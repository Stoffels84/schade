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942" documentId="13_ncr:1_{BC833B0D-2F54-40DF-A6AF-902741D0EBA0}" xr6:coauthVersionLast="47" xr6:coauthVersionMax="47" xr10:uidLastSave="{046293FD-1EF8-49A9-8B6B-755099819D68}"/>
  <bookViews>
    <workbookView xWindow="-108" yWindow="-108" windowWidth="30768" windowHeight="17628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860" i="1" l="1"/>
  <c r="D860" i="1"/>
  <c r="E860" i="1"/>
  <c r="S860" i="1"/>
  <c r="B860" i="1" l="1"/>
  <c r="C859" i="1"/>
  <c r="D859" i="1"/>
  <c r="E859" i="1"/>
  <c r="S859" i="1"/>
  <c r="B859" i="1" l="1"/>
  <c r="C824" i="1"/>
  <c r="D824" i="1"/>
  <c r="E824" i="1"/>
  <c r="S824" i="1"/>
  <c r="C547" i="1"/>
  <c r="D547" i="1"/>
  <c r="E547" i="1"/>
  <c r="S547" i="1"/>
  <c r="C819" i="1"/>
  <c r="D819" i="1"/>
  <c r="E819" i="1"/>
  <c r="S819" i="1"/>
  <c r="S548" i="1"/>
  <c r="C548" i="1"/>
  <c r="D548" i="1"/>
  <c r="E548" i="1"/>
  <c r="C841" i="1"/>
  <c r="D841" i="1"/>
  <c r="E841" i="1"/>
  <c r="S841" i="1"/>
  <c r="C858" i="1"/>
  <c r="D858" i="1"/>
  <c r="E858" i="1"/>
  <c r="S858" i="1"/>
  <c r="C857" i="1"/>
  <c r="D857" i="1"/>
  <c r="E857" i="1"/>
  <c r="S857" i="1"/>
  <c r="C843" i="1"/>
  <c r="D843" i="1"/>
  <c r="E843" i="1"/>
  <c r="S843" i="1"/>
  <c r="C856" i="1"/>
  <c r="D856" i="1"/>
  <c r="E856" i="1"/>
  <c r="S856" i="1"/>
  <c r="C825" i="1"/>
  <c r="D825" i="1"/>
  <c r="E825" i="1"/>
  <c r="S825" i="1"/>
  <c r="C529" i="1"/>
  <c r="D529" i="1"/>
  <c r="E529" i="1"/>
  <c r="S529" i="1"/>
  <c r="C577" i="1"/>
  <c r="D577" i="1"/>
  <c r="E577" i="1"/>
  <c r="S577" i="1"/>
  <c r="C532" i="1"/>
  <c r="D532" i="1"/>
  <c r="E532" i="1"/>
  <c r="S532" i="1"/>
  <c r="C854" i="1"/>
  <c r="D854" i="1"/>
  <c r="E854" i="1"/>
  <c r="S854" i="1"/>
  <c r="C787" i="1"/>
  <c r="D787" i="1"/>
  <c r="E787" i="1"/>
  <c r="S787" i="1"/>
  <c r="C538" i="1"/>
  <c r="D538" i="1"/>
  <c r="E538" i="1"/>
  <c r="S538" i="1"/>
  <c r="C626" i="1"/>
  <c r="D626" i="1"/>
  <c r="E626" i="1"/>
  <c r="S626" i="1"/>
  <c r="C528" i="1"/>
  <c r="D528" i="1"/>
  <c r="E528" i="1"/>
  <c r="S528" i="1"/>
  <c r="C830" i="1"/>
  <c r="D830" i="1"/>
  <c r="E830" i="1"/>
  <c r="S830" i="1"/>
  <c r="C852" i="1"/>
  <c r="D852" i="1"/>
  <c r="E852" i="1"/>
  <c r="S852" i="1"/>
  <c r="C681" i="1"/>
  <c r="D681" i="1"/>
  <c r="E681" i="1"/>
  <c r="S681" i="1"/>
  <c r="C836" i="1"/>
  <c r="D836" i="1"/>
  <c r="E836" i="1"/>
  <c r="S836" i="1"/>
  <c r="C801" i="1"/>
  <c r="B801" i="1" s="1"/>
  <c r="D801" i="1"/>
  <c r="C540" i="1"/>
  <c r="B540" i="1" s="1"/>
  <c r="D540" i="1"/>
  <c r="C735" i="1"/>
  <c r="B735" i="1" s="1"/>
  <c r="D735" i="1"/>
  <c r="C526" i="1"/>
  <c r="B526" i="1" s="1"/>
  <c r="D526" i="1"/>
  <c r="C802" i="1"/>
  <c r="C855" i="1"/>
  <c r="C518" i="1"/>
  <c r="C845" i="1"/>
  <c r="C549" i="1"/>
  <c r="C816" i="1"/>
  <c r="D802" i="1"/>
  <c r="D855" i="1"/>
  <c r="D518" i="1"/>
  <c r="D845" i="1"/>
  <c r="D549" i="1"/>
  <c r="D816" i="1"/>
  <c r="E802" i="1"/>
  <c r="E855" i="1"/>
  <c r="E518" i="1"/>
  <c r="E845" i="1"/>
  <c r="E549" i="1"/>
  <c r="E816" i="1"/>
  <c r="S802" i="1"/>
  <c r="S855" i="1"/>
  <c r="S518" i="1"/>
  <c r="S845" i="1"/>
  <c r="S549" i="1"/>
  <c r="S816" i="1"/>
  <c r="C524" i="1"/>
  <c r="D524" i="1"/>
  <c r="E524" i="1"/>
  <c r="S524" i="1"/>
  <c r="C578" i="1"/>
  <c r="D578" i="1"/>
  <c r="E578" i="1"/>
  <c r="S578" i="1"/>
  <c r="C633" i="1"/>
  <c r="D633" i="1"/>
  <c r="E633" i="1"/>
  <c r="S633" i="1"/>
  <c r="C584" i="1"/>
  <c r="D584" i="1"/>
  <c r="E584" i="1"/>
  <c r="S584" i="1"/>
  <c r="C850" i="1"/>
  <c r="D850" i="1"/>
  <c r="E850" i="1"/>
  <c r="S850" i="1"/>
  <c r="C833" i="1"/>
  <c r="D833" i="1"/>
  <c r="E833" i="1"/>
  <c r="S833" i="1"/>
  <c r="B681" i="1"/>
  <c r="B847" i="1"/>
  <c r="S847" i="1"/>
  <c r="C834" i="1"/>
  <c r="D834" i="1"/>
  <c r="E834" i="1"/>
  <c r="S834" i="1"/>
  <c r="C765" i="1"/>
  <c r="D765" i="1"/>
  <c r="E765" i="1"/>
  <c r="S765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8" i="1"/>
  <c r="B509" i="1"/>
  <c r="B611" i="1"/>
  <c r="B742" i="1"/>
  <c r="B848" i="1"/>
  <c r="B792" i="1"/>
  <c r="B2" i="1"/>
  <c r="S827" i="1"/>
  <c r="C827" i="1"/>
  <c r="D827" i="1"/>
  <c r="E827" i="1"/>
  <c r="C569" i="1"/>
  <c r="D569" i="1"/>
  <c r="E569" i="1"/>
  <c r="S569" i="1"/>
  <c r="B2" i="12"/>
  <c r="B3" i="12"/>
  <c r="E3" i="12" s="1"/>
  <c r="B4" i="12"/>
  <c r="D4" i="12" s="1"/>
  <c r="E4" i="12"/>
  <c r="B5" i="12"/>
  <c r="D5" i="12"/>
  <c r="B6" i="12"/>
  <c r="D6" i="12" s="1"/>
  <c r="B7" i="12"/>
  <c r="E7" i="12" s="1"/>
  <c r="B8" i="12"/>
  <c r="E8" i="12" s="1"/>
  <c r="B9" i="12"/>
  <c r="B10" i="12"/>
  <c r="D10" i="12" s="1"/>
  <c r="B11" i="12"/>
  <c r="E11" i="12" s="1"/>
  <c r="B12" i="12"/>
  <c r="B13" i="12"/>
  <c r="E13" i="12" s="1"/>
  <c r="B14" i="12"/>
  <c r="C7" i="12"/>
  <c r="C8" i="12"/>
  <c r="C9" i="12"/>
  <c r="C10" i="12"/>
  <c r="C11" i="12"/>
  <c r="C12" i="12"/>
  <c r="C13" i="12"/>
  <c r="C14" i="12"/>
  <c r="C4" i="12"/>
  <c r="C5" i="12"/>
  <c r="C6" i="12"/>
  <c r="C851" i="1"/>
  <c r="D851" i="1"/>
  <c r="E851" i="1"/>
  <c r="S851" i="1"/>
  <c r="C2" i="12"/>
  <c r="C3" i="12"/>
  <c r="C775" i="1"/>
  <c r="D775" i="1"/>
  <c r="E775" i="1"/>
  <c r="S775" i="1"/>
  <c r="E5" i="12"/>
  <c r="E12" i="12"/>
  <c r="D12" i="12"/>
  <c r="E9" i="12"/>
  <c r="D9" i="12"/>
  <c r="D8" i="12"/>
  <c r="E10" i="12"/>
  <c r="E14" i="12"/>
  <c r="D14" i="12"/>
  <c r="D7" i="12"/>
  <c r="E6" i="12"/>
  <c r="D3" i="12"/>
  <c r="E2" i="12"/>
  <c r="D2" i="12"/>
  <c r="C811" i="1"/>
  <c r="D811" i="1"/>
  <c r="E811" i="1"/>
  <c r="S811" i="1"/>
  <c r="C708" i="1"/>
  <c r="D708" i="1"/>
  <c r="E708" i="1"/>
  <c r="S708" i="1"/>
  <c r="C826" i="1"/>
  <c r="D826" i="1"/>
  <c r="E826" i="1"/>
  <c r="S826" i="1"/>
  <c r="S792" i="1"/>
  <c r="C680" i="1"/>
  <c r="D680" i="1"/>
  <c r="E680" i="1"/>
  <c r="S680" i="1"/>
  <c r="C849" i="1"/>
  <c r="D849" i="1"/>
  <c r="E849" i="1"/>
  <c r="S849" i="1"/>
  <c r="C804" i="1"/>
  <c r="D804" i="1"/>
  <c r="E804" i="1"/>
  <c r="S804" i="1"/>
  <c r="C651" i="1"/>
  <c r="D651" i="1"/>
  <c r="E651" i="1"/>
  <c r="S651" i="1"/>
  <c r="C682" i="1"/>
  <c r="D682" i="1"/>
  <c r="E682" i="1"/>
  <c r="S682" i="1"/>
  <c r="C812" i="1"/>
  <c r="D812" i="1"/>
  <c r="E812" i="1"/>
  <c r="S812" i="1"/>
  <c r="C541" i="1"/>
  <c r="D541" i="1"/>
  <c r="E541" i="1"/>
  <c r="S541" i="1"/>
  <c r="C641" i="1"/>
  <c r="D641" i="1"/>
  <c r="E641" i="1"/>
  <c r="S641" i="1"/>
  <c r="C749" i="1"/>
  <c r="D749" i="1"/>
  <c r="E749" i="1"/>
  <c r="S749" i="1"/>
  <c r="C784" i="1"/>
  <c r="D784" i="1"/>
  <c r="E784" i="1"/>
  <c r="S784" i="1"/>
  <c r="C813" i="1"/>
  <c r="D813" i="1"/>
  <c r="E813" i="1"/>
  <c r="S813" i="1"/>
  <c r="C553" i="1"/>
  <c r="D553" i="1"/>
  <c r="E553" i="1"/>
  <c r="S553" i="1"/>
  <c r="C506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527" i="1"/>
  <c r="D527" i="1"/>
  <c r="E527" i="1"/>
  <c r="C561" i="1"/>
  <c r="D561" i="1"/>
  <c r="E561" i="1"/>
  <c r="S561" i="1"/>
  <c r="C729" i="1"/>
  <c r="D729" i="1"/>
  <c r="E729" i="1"/>
  <c r="S729" i="1"/>
  <c r="C587" i="1"/>
  <c r="D587" i="1"/>
  <c r="E587" i="1"/>
  <c r="S587" i="1"/>
  <c r="C853" i="1"/>
  <c r="D853" i="1"/>
  <c r="E853" i="1"/>
  <c r="S853" i="1"/>
  <c r="C574" i="1"/>
  <c r="D574" i="1"/>
  <c r="E574" i="1"/>
  <c r="S574" i="1"/>
  <c r="C831" i="1"/>
  <c r="D831" i="1"/>
  <c r="E831" i="1"/>
  <c r="S831" i="1"/>
  <c r="C696" i="1"/>
  <c r="D696" i="1"/>
  <c r="E696" i="1"/>
  <c r="S696" i="1"/>
  <c r="C537" i="1"/>
  <c r="D537" i="1"/>
  <c r="E537" i="1"/>
  <c r="S537" i="1"/>
  <c r="C722" i="1"/>
  <c r="D722" i="1"/>
  <c r="E722" i="1"/>
  <c r="S722" i="1"/>
  <c r="C531" i="1"/>
  <c r="D531" i="1"/>
  <c r="E531" i="1"/>
  <c r="S531" i="1"/>
  <c r="C603" i="1"/>
  <c r="D603" i="1"/>
  <c r="E603" i="1"/>
  <c r="S603" i="1"/>
  <c r="C755" i="1"/>
  <c r="D755" i="1"/>
  <c r="E755" i="1"/>
  <c r="S755" i="1"/>
  <c r="C558" i="1"/>
  <c r="D558" i="1"/>
  <c r="E558" i="1"/>
  <c r="S558" i="1"/>
  <c r="C719" i="1"/>
  <c r="D719" i="1"/>
  <c r="E719" i="1"/>
  <c r="S719" i="1"/>
  <c r="C535" i="1"/>
  <c r="D535" i="1"/>
  <c r="E535" i="1"/>
  <c r="S535" i="1"/>
  <c r="C667" i="1"/>
  <c r="D667" i="1"/>
  <c r="E667" i="1"/>
  <c r="S667" i="1"/>
  <c r="C781" i="1"/>
  <c r="D781" i="1"/>
  <c r="E781" i="1"/>
  <c r="S781" i="1"/>
  <c r="C657" i="1"/>
  <c r="D657" i="1"/>
  <c r="E657" i="1"/>
  <c r="S657" i="1"/>
  <c r="C762" i="1"/>
  <c r="D762" i="1"/>
  <c r="E762" i="1"/>
  <c r="S762" i="1"/>
  <c r="C519" i="1"/>
  <c r="D519" i="1"/>
  <c r="E519" i="1"/>
  <c r="S519" i="1"/>
  <c r="C572" i="1"/>
  <c r="D572" i="1"/>
  <c r="E572" i="1"/>
  <c r="S572" i="1"/>
  <c r="C536" i="1"/>
  <c r="D536" i="1"/>
  <c r="E536" i="1"/>
  <c r="S536" i="1"/>
  <c r="C703" i="1"/>
  <c r="D703" i="1"/>
  <c r="E703" i="1"/>
  <c r="S703" i="1"/>
  <c r="C616" i="1"/>
  <c r="D616" i="1"/>
  <c r="E616" i="1"/>
  <c r="S616" i="1"/>
  <c r="C613" i="1"/>
  <c r="D613" i="1"/>
  <c r="E613" i="1"/>
  <c r="S613" i="1"/>
  <c r="C683" i="1"/>
  <c r="D683" i="1"/>
  <c r="E683" i="1"/>
  <c r="S683" i="1"/>
  <c r="S848" i="1"/>
  <c r="C615" i="1"/>
  <c r="D615" i="1"/>
  <c r="E615" i="1"/>
  <c r="S615" i="1"/>
  <c r="C554" i="1"/>
  <c r="D554" i="1"/>
  <c r="E554" i="1"/>
  <c r="S554" i="1"/>
  <c r="C621" i="1"/>
  <c r="D621" i="1"/>
  <c r="E621" i="1"/>
  <c r="S621" i="1"/>
  <c r="C738" i="1"/>
  <c r="D738" i="1"/>
  <c r="E738" i="1"/>
  <c r="S738" i="1"/>
  <c r="C788" i="1"/>
  <c r="D788" i="1"/>
  <c r="E788" i="1"/>
  <c r="S788" i="1"/>
  <c r="C559" i="1"/>
  <c r="D559" i="1"/>
  <c r="E559" i="1"/>
  <c r="S559" i="1"/>
  <c r="C780" i="1"/>
  <c r="D780" i="1"/>
  <c r="E780" i="1"/>
  <c r="S780" i="1"/>
  <c r="C542" i="1"/>
  <c r="D542" i="1"/>
  <c r="E542" i="1"/>
  <c r="S542" i="1"/>
  <c r="C664" i="1"/>
  <c r="D664" i="1"/>
  <c r="E664" i="1"/>
  <c r="S664" i="1"/>
  <c r="C594" i="1"/>
  <c r="D594" i="1"/>
  <c r="E594" i="1"/>
  <c r="S594" i="1"/>
  <c r="C728" i="1"/>
  <c r="D728" i="1"/>
  <c r="E728" i="1"/>
  <c r="S728" i="1"/>
  <c r="C571" i="1"/>
  <c r="D571" i="1"/>
  <c r="E571" i="1"/>
  <c r="S571" i="1"/>
  <c r="C514" i="1"/>
  <c r="D514" i="1"/>
  <c r="E514" i="1"/>
  <c r="S514" i="1"/>
  <c r="C688" i="1"/>
  <c r="D688" i="1"/>
  <c r="E688" i="1"/>
  <c r="S688" i="1"/>
  <c r="C515" i="1"/>
  <c r="D515" i="1"/>
  <c r="E515" i="1"/>
  <c r="S515" i="1"/>
  <c r="C565" i="1"/>
  <c r="D565" i="1"/>
  <c r="E565" i="1"/>
  <c r="S565" i="1"/>
  <c r="C705" i="1"/>
  <c r="D705" i="1"/>
  <c r="E705" i="1"/>
  <c r="S705" i="1"/>
  <c r="C544" i="1"/>
  <c r="D544" i="1"/>
  <c r="E544" i="1"/>
  <c r="S544" i="1"/>
  <c r="C597" i="1"/>
  <c r="D597" i="1"/>
  <c r="E597" i="1"/>
  <c r="S597" i="1"/>
  <c r="C704" i="1"/>
  <c r="D704" i="1"/>
  <c r="E704" i="1"/>
  <c r="S704" i="1"/>
  <c r="C671" i="1"/>
  <c r="D671" i="1"/>
  <c r="E671" i="1"/>
  <c r="S671" i="1"/>
  <c r="C668" i="1"/>
  <c r="D668" i="1"/>
  <c r="E668" i="1"/>
  <c r="S668" i="1"/>
  <c r="C763" i="1"/>
  <c r="D763" i="1"/>
  <c r="E763" i="1"/>
  <c r="S763" i="1"/>
  <c r="C589" i="1"/>
  <c r="D589" i="1"/>
  <c r="E589" i="1"/>
  <c r="S589" i="1"/>
  <c r="C768" i="1"/>
  <c r="D768" i="1"/>
  <c r="E768" i="1"/>
  <c r="S768" i="1"/>
  <c r="C842" i="1"/>
  <c r="D842" i="1"/>
  <c r="E842" i="1"/>
  <c r="S842" i="1"/>
  <c r="C655" i="1"/>
  <c r="D655" i="1"/>
  <c r="E655" i="1"/>
  <c r="S655" i="1"/>
  <c r="C846" i="1"/>
  <c r="D846" i="1"/>
  <c r="E846" i="1"/>
  <c r="S846" i="1"/>
  <c r="C712" i="1"/>
  <c r="D712" i="1"/>
  <c r="E712" i="1"/>
  <c r="S712" i="1"/>
  <c r="C599" i="1"/>
  <c r="D599" i="1"/>
  <c r="E599" i="1"/>
  <c r="S599" i="1"/>
  <c r="C701" i="1"/>
  <c r="D701" i="1"/>
  <c r="E701" i="1"/>
  <c r="S701" i="1"/>
  <c r="C662" i="1"/>
  <c r="D662" i="1"/>
  <c r="E662" i="1"/>
  <c r="S662" i="1"/>
  <c r="C661" i="1"/>
  <c r="D661" i="1"/>
  <c r="E661" i="1"/>
  <c r="S661" i="1"/>
  <c r="C588" i="1"/>
  <c r="D588" i="1"/>
  <c r="E588" i="1"/>
  <c r="S588" i="1"/>
  <c r="C725" i="1"/>
  <c r="D725" i="1"/>
  <c r="E725" i="1"/>
  <c r="S725" i="1"/>
  <c r="C607" i="1"/>
  <c r="D607" i="1"/>
  <c r="E607" i="1"/>
  <c r="S607" i="1"/>
  <c r="C521" i="1"/>
  <c r="D521" i="1"/>
  <c r="E521" i="1"/>
  <c r="S521" i="1"/>
  <c r="C799" i="1"/>
  <c r="D799" i="1"/>
  <c r="E799" i="1"/>
  <c r="S799" i="1"/>
  <c r="C772" i="1"/>
  <c r="D772" i="1"/>
  <c r="E772" i="1"/>
  <c r="S772" i="1"/>
  <c r="C679" i="1"/>
  <c r="D679" i="1"/>
  <c r="E679" i="1"/>
  <c r="S679" i="1"/>
  <c r="C798" i="1"/>
  <c r="D798" i="1"/>
  <c r="E798" i="1"/>
  <c r="S798" i="1"/>
  <c r="C601" i="1"/>
  <c r="D601" i="1"/>
  <c r="E601" i="1"/>
  <c r="S601" i="1"/>
  <c r="C795" i="1"/>
  <c r="D795" i="1"/>
  <c r="E795" i="1"/>
  <c r="S795" i="1"/>
  <c r="C796" i="1"/>
  <c r="D796" i="1"/>
  <c r="E796" i="1"/>
  <c r="S796" i="1"/>
  <c r="C545" i="1"/>
  <c r="D545" i="1"/>
  <c r="E545" i="1"/>
  <c r="S545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2" i="1"/>
  <c r="D492" i="1"/>
  <c r="E492" i="1"/>
  <c r="S492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1" i="1"/>
  <c r="D481" i="1"/>
  <c r="E481" i="1"/>
  <c r="S481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1" i="1"/>
  <c r="D511" i="1"/>
  <c r="E511" i="1"/>
  <c r="S511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4" i="1"/>
  <c r="D494" i="1"/>
  <c r="E494" i="1"/>
  <c r="S494" i="1"/>
  <c r="C124" i="1"/>
  <c r="D124" i="1"/>
  <c r="E124" i="1"/>
  <c r="S124" i="1"/>
  <c r="S243" i="1"/>
  <c r="C764" i="1"/>
  <c r="D764" i="1"/>
  <c r="E764" i="1"/>
  <c r="S764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09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839" i="1"/>
  <c r="D839" i="1"/>
  <c r="E839" i="1"/>
  <c r="S839" i="1"/>
  <c r="C821" i="1"/>
  <c r="D821" i="1"/>
  <c r="E821" i="1"/>
  <c r="S821" i="1"/>
  <c r="C575" i="1"/>
  <c r="D575" i="1"/>
  <c r="E575" i="1"/>
  <c r="S575" i="1"/>
  <c r="C501" i="1"/>
  <c r="D501" i="1"/>
  <c r="E501" i="1"/>
  <c r="S501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0" i="1"/>
  <c r="D500" i="1"/>
  <c r="E500" i="1"/>
  <c r="S500" i="1"/>
  <c r="C505" i="1"/>
  <c r="D505" i="1"/>
  <c r="E505" i="1"/>
  <c r="S505" i="1"/>
  <c r="C485" i="1"/>
  <c r="D485" i="1"/>
  <c r="E485" i="1"/>
  <c r="S485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0" i="1"/>
  <c r="D490" i="1"/>
  <c r="E490" i="1"/>
  <c r="S490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0" i="1"/>
  <c r="D480" i="1"/>
  <c r="E480" i="1"/>
  <c r="S480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3" i="1"/>
  <c r="D513" i="1"/>
  <c r="E513" i="1"/>
  <c r="S513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4" i="1"/>
  <c r="D504" i="1"/>
  <c r="E504" i="1"/>
  <c r="S504" i="1"/>
  <c r="S219" i="1"/>
  <c r="C484" i="1"/>
  <c r="D484" i="1"/>
  <c r="E484" i="1"/>
  <c r="S484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3" i="1"/>
  <c r="D503" i="1"/>
  <c r="E503" i="1"/>
  <c r="S503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60" i="1"/>
  <c r="D760" i="1"/>
  <c r="E760" i="1"/>
  <c r="S760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8" i="1"/>
  <c r="C498" i="1"/>
  <c r="D498" i="1"/>
  <c r="E498" i="1"/>
  <c r="S498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7" i="1"/>
  <c r="D497" i="1"/>
  <c r="E497" i="1"/>
  <c r="S497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6" i="1"/>
  <c r="D496" i="1"/>
  <c r="E496" i="1"/>
  <c r="S496" i="1"/>
  <c r="C372" i="1"/>
  <c r="D372" i="1"/>
  <c r="E372" i="1"/>
  <c r="S372" i="1"/>
  <c r="C489" i="1"/>
  <c r="D489" i="1"/>
  <c r="E489" i="1"/>
  <c r="S489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6" i="1"/>
  <c r="E506" i="1"/>
  <c r="S506" i="1"/>
  <c r="C265" i="1"/>
  <c r="D265" i="1"/>
  <c r="E265" i="1"/>
  <c r="S265" i="1"/>
  <c r="C41" i="1"/>
  <c r="D41" i="1"/>
  <c r="E41" i="1"/>
  <c r="S41" i="1"/>
  <c r="C244" i="1"/>
  <c r="D244" i="1"/>
  <c r="E244" i="1"/>
  <c r="S244" i="1"/>
  <c r="C652" i="1"/>
  <c r="D652" i="1"/>
  <c r="E652" i="1"/>
  <c r="S65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2" i="1"/>
  <c r="D502" i="1"/>
  <c r="E502" i="1"/>
  <c r="S502" i="1"/>
  <c r="C365" i="1"/>
  <c r="D365" i="1"/>
  <c r="E365" i="1"/>
  <c r="S365" i="1"/>
  <c r="C359" i="1"/>
  <c r="D359" i="1"/>
  <c r="E359" i="1"/>
  <c r="S359" i="1"/>
  <c r="C488" i="1"/>
  <c r="D488" i="1"/>
  <c r="E488" i="1"/>
  <c r="S488" i="1"/>
  <c r="C239" i="1"/>
  <c r="D239" i="1"/>
  <c r="E239" i="1"/>
  <c r="S239" i="1"/>
  <c r="S269" i="1"/>
  <c r="C486" i="1"/>
  <c r="D486" i="1"/>
  <c r="E486" i="1"/>
  <c r="S486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3" i="1"/>
  <c r="D483" i="1"/>
  <c r="E483" i="1"/>
  <c r="S483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7" i="1"/>
  <c r="D487" i="1"/>
  <c r="E487" i="1"/>
  <c r="S487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1" i="1"/>
  <c r="D491" i="1"/>
  <c r="E491" i="1"/>
  <c r="S491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3" i="1"/>
  <c r="D493" i="1"/>
  <c r="E493" i="1"/>
  <c r="S493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7" i="1"/>
  <c r="D507" i="1"/>
  <c r="E507" i="1"/>
  <c r="S507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5" i="1"/>
  <c r="D495" i="1"/>
  <c r="E495" i="1"/>
  <c r="S495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499" i="1"/>
  <c r="D499" i="1"/>
  <c r="E499" i="1"/>
  <c r="S499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0" i="1"/>
  <c r="D510" i="1"/>
  <c r="E510" i="1"/>
  <c r="S510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44" i="1"/>
  <c r="D744" i="1"/>
  <c r="E744" i="1"/>
  <c r="S744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2" i="1"/>
  <c r="D512" i="1"/>
  <c r="E512" i="1"/>
  <c r="S512" i="1"/>
  <c r="C392" i="1"/>
  <c r="D392" i="1"/>
  <c r="E392" i="1"/>
  <c r="S392" i="1"/>
  <c r="C482" i="1"/>
  <c r="D482" i="1"/>
  <c r="E482" i="1"/>
  <c r="S482" i="1"/>
  <c r="C338" i="1"/>
  <c r="D338" i="1"/>
  <c r="E338" i="1"/>
  <c r="S338" i="1"/>
  <c r="C63" i="1"/>
  <c r="D63" i="1"/>
  <c r="E63" i="1"/>
  <c r="S63" i="1"/>
  <c r="C829" i="1"/>
  <c r="D829" i="1"/>
  <c r="E829" i="1"/>
  <c r="S829" i="1"/>
  <c r="C740" i="1"/>
  <c r="D740" i="1"/>
  <c r="E740" i="1"/>
  <c r="S740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82" i="1"/>
  <c r="D782" i="1"/>
  <c r="E782" i="1"/>
  <c r="S782" i="1"/>
  <c r="C761" i="1"/>
  <c r="D761" i="1"/>
  <c r="E761" i="1"/>
  <c r="S761" i="1"/>
  <c r="S741" i="1"/>
  <c r="S669" i="1"/>
  <c r="S713" i="1"/>
  <c r="S560" i="1"/>
  <c r="S733" i="1"/>
  <c r="S714" i="1"/>
  <c r="S624" i="1"/>
  <c r="S721" i="1"/>
  <c r="S747" i="1"/>
  <c r="S691" i="1"/>
  <c r="S718" i="1"/>
  <c r="S776" i="1"/>
  <c r="S582" i="1"/>
  <c r="S620" i="1"/>
  <c r="S630" i="1"/>
  <c r="S643" i="1"/>
  <c r="S726" i="1"/>
  <c r="S752" i="1"/>
  <c r="S756" i="1"/>
  <c r="S758" i="1"/>
  <c r="S570" i="1"/>
  <c r="S580" i="1"/>
  <c r="S591" i="1"/>
  <c r="S605" i="1"/>
  <c r="S609" i="1"/>
  <c r="S614" i="1"/>
  <c r="S731" i="1"/>
  <c r="S724" i="1"/>
  <c r="S748" i="1"/>
  <c r="S647" i="1"/>
  <c r="S659" i="1"/>
  <c r="S672" i="1"/>
  <c r="S678" i="1"/>
  <c r="S684" i="1"/>
  <c r="S694" i="1"/>
  <c r="S730" i="1"/>
  <c r="S736" i="1"/>
  <c r="S743" i="1"/>
  <c r="S746" i="1"/>
  <c r="S567" i="1"/>
  <c r="S700" i="1"/>
  <c r="S533" i="1"/>
  <c r="S546" i="1"/>
  <c r="S550" i="1"/>
  <c r="S551" i="1"/>
  <c r="S555" i="1"/>
  <c r="S610" i="1"/>
  <c r="S612" i="1"/>
  <c r="S660" i="1"/>
  <c r="S623" i="1"/>
  <c r="S631" i="1"/>
  <c r="S635" i="1"/>
  <c r="S646" i="1"/>
  <c r="S650" i="1"/>
  <c r="S654" i="1"/>
  <c r="S656" i="1"/>
  <c r="S663" i="1"/>
  <c r="S666" i="1"/>
  <c r="S686" i="1"/>
  <c r="S689" i="1"/>
  <c r="S697" i="1"/>
  <c r="S715" i="1"/>
  <c r="S716" i="1"/>
  <c r="S634" i="1"/>
  <c r="S737" i="1"/>
  <c r="S523" i="1"/>
  <c r="S583" i="1"/>
  <c r="S791" i="1"/>
  <c r="S806" i="1"/>
  <c r="S573" i="1"/>
  <c r="S711" i="1"/>
  <c r="S516" i="1"/>
  <c r="S520" i="1"/>
  <c r="S522" i="1"/>
  <c r="S525" i="1"/>
  <c r="S534" i="1"/>
  <c r="S539" i="1"/>
  <c r="S540" i="1"/>
  <c r="S552" i="1"/>
  <c r="S556" i="1"/>
  <c r="S557" i="1"/>
  <c r="S563" i="1"/>
  <c r="S562" i="1"/>
  <c r="S564" i="1"/>
  <c r="S566" i="1"/>
  <c r="S568" i="1"/>
  <c r="S579" i="1"/>
  <c r="S585" i="1"/>
  <c r="S586" i="1"/>
  <c r="S593" i="1"/>
  <c r="S595" i="1"/>
  <c r="S596" i="1"/>
  <c r="S598" i="1"/>
  <c r="S820" i="1"/>
  <c r="S526" i="1"/>
  <c r="S629" i="1"/>
  <c r="S602" i="1"/>
  <c r="S606" i="1"/>
  <c r="S618" i="1"/>
  <c r="S622" i="1"/>
  <c r="S627" i="1"/>
  <c r="S632" i="1"/>
  <c r="S637" i="1"/>
  <c r="S636" i="1"/>
  <c r="S638" i="1"/>
  <c r="S639" i="1"/>
  <c r="S640" i="1"/>
  <c r="S642" i="1"/>
  <c r="S644" i="1"/>
  <c r="S645" i="1"/>
  <c r="S653" i="1"/>
  <c r="S665" i="1"/>
  <c r="S670" i="1"/>
  <c r="S675" i="1"/>
  <c r="S674" i="1"/>
  <c r="S673" i="1"/>
  <c r="S685" i="1"/>
  <c r="S687" i="1"/>
  <c r="S692" i="1"/>
  <c r="S690" i="1"/>
  <c r="S702" i="1"/>
  <c r="S710" i="1"/>
  <c r="S720" i="1"/>
  <c r="S723" i="1"/>
  <c r="S727" i="1"/>
  <c r="S648" i="1"/>
  <c r="S732" i="1"/>
  <c r="S707" i="1"/>
  <c r="S592" i="1"/>
  <c r="S717" i="1"/>
  <c r="S735" i="1"/>
  <c r="S581" i="1"/>
  <c r="S709" i="1"/>
  <c r="S835" i="1"/>
  <c r="S742" i="1"/>
  <c r="S698" i="1"/>
  <c r="S745" i="1"/>
  <c r="S754" i="1"/>
  <c r="S750" i="1"/>
  <c r="S753" i="1"/>
  <c r="S751" i="1"/>
  <c r="S649" i="1"/>
  <c r="S757" i="1"/>
  <c r="S676" i="1"/>
  <c r="S759" i="1"/>
  <c r="S576" i="1"/>
  <c r="S766" i="1"/>
  <c r="S767" i="1"/>
  <c r="S770" i="1"/>
  <c r="S771" i="1"/>
  <c r="S773" i="1"/>
  <c r="S774" i="1"/>
  <c r="S617" i="1"/>
  <c r="S778" i="1"/>
  <c r="S777" i="1"/>
  <c r="S625" i="1"/>
  <c r="S739" i="1"/>
  <c r="S783" i="1"/>
  <c r="S785" i="1"/>
  <c r="S789" i="1"/>
  <c r="S790" i="1"/>
  <c r="S693" i="1"/>
  <c r="S619" i="1"/>
  <c r="S838" i="1"/>
  <c r="S793" i="1"/>
  <c r="S794" i="1"/>
  <c r="S797" i="1"/>
  <c r="S800" i="1"/>
  <c r="S769" i="1"/>
  <c r="S801" i="1"/>
  <c r="S608" i="1"/>
  <c r="S699" i="1"/>
  <c r="S803" i="1"/>
  <c r="S810" i="1"/>
  <c r="S517" i="1"/>
  <c r="S807" i="1"/>
  <c r="S805" i="1"/>
  <c r="S809" i="1"/>
  <c r="S808" i="1"/>
  <c r="S695" i="1"/>
  <c r="S817" i="1"/>
  <c r="S734" i="1"/>
  <c r="S815" i="1"/>
  <c r="S814" i="1"/>
  <c r="S677" i="1"/>
  <c r="S823" i="1"/>
  <c r="S828" i="1"/>
  <c r="S837" i="1"/>
  <c r="S611" i="1"/>
  <c r="S604" i="1"/>
  <c r="S628" i="1"/>
  <c r="S658" i="1"/>
  <c r="S786" i="1"/>
  <c r="S818" i="1"/>
  <c r="S844" i="1"/>
  <c r="S530" i="1"/>
  <c r="S779" i="1"/>
  <c r="S822" i="1"/>
  <c r="S706" i="1"/>
  <c r="S832" i="1"/>
  <c r="S840" i="1"/>
  <c r="S543" i="1"/>
  <c r="S600" i="1"/>
  <c r="S590" i="1"/>
  <c r="C590" i="1"/>
  <c r="D590" i="1"/>
  <c r="E590" i="1"/>
  <c r="E600" i="1"/>
  <c r="D600" i="1"/>
  <c r="C600" i="1"/>
  <c r="E543" i="1"/>
  <c r="D543" i="1"/>
  <c r="C543" i="1"/>
  <c r="E840" i="1"/>
  <c r="D840" i="1"/>
  <c r="C840" i="1"/>
  <c r="C832" i="1"/>
  <c r="D832" i="1"/>
  <c r="E832" i="1"/>
  <c r="C706" i="1"/>
  <c r="D706" i="1"/>
  <c r="E706" i="1"/>
  <c r="C844" i="1"/>
  <c r="D844" i="1"/>
  <c r="E844" i="1"/>
  <c r="C818" i="1"/>
  <c r="D818" i="1"/>
  <c r="E818" i="1"/>
  <c r="C786" i="1"/>
  <c r="D786" i="1"/>
  <c r="E786" i="1"/>
  <c r="C658" i="1"/>
  <c r="D658" i="1"/>
  <c r="E658" i="1"/>
  <c r="C628" i="1"/>
  <c r="D628" i="1"/>
  <c r="E628" i="1"/>
  <c r="C604" i="1"/>
  <c r="D604" i="1"/>
  <c r="E604" i="1"/>
  <c r="C750" i="1"/>
  <c r="D750" i="1"/>
  <c r="E750" i="1"/>
  <c r="C774" i="1"/>
  <c r="D774" i="1"/>
  <c r="E774" i="1"/>
  <c r="C773" i="1"/>
  <c r="D773" i="1"/>
  <c r="E773" i="1"/>
  <c r="C692" i="1"/>
  <c r="D692" i="1"/>
  <c r="E692" i="1"/>
  <c r="E517" i="1"/>
  <c r="D517" i="1"/>
  <c r="C517" i="1"/>
  <c r="E805" i="1"/>
  <c r="D805" i="1"/>
  <c r="C805" i="1"/>
  <c r="E695" i="1"/>
  <c r="D695" i="1"/>
  <c r="C695" i="1"/>
  <c r="C699" i="1"/>
  <c r="D699" i="1"/>
  <c r="E699" i="1"/>
  <c r="C770" i="1"/>
  <c r="D770" i="1"/>
  <c r="E770" i="1"/>
  <c r="C820" i="1"/>
  <c r="D820" i="1"/>
  <c r="E820" i="1"/>
  <c r="C629" i="1"/>
  <c r="D629" i="1"/>
  <c r="E629" i="1"/>
  <c r="C835" i="1"/>
  <c r="D835" i="1"/>
  <c r="E835" i="1"/>
  <c r="E649" i="1"/>
  <c r="D649" i="1"/>
  <c r="C649" i="1"/>
  <c r="C717" i="1"/>
  <c r="D717" i="1"/>
  <c r="E717" i="1"/>
  <c r="C779" i="1"/>
  <c r="D779" i="1"/>
  <c r="E779" i="1"/>
  <c r="E581" i="1"/>
  <c r="D581" i="1"/>
  <c r="C581" i="1"/>
  <c r="C789" i="1"/>
  <c r="D789" i="1"/>
  <c r="E789" i="1"/>
  <c r="C806" i="1"/>
  <c r="D806" i="1"/>
  <c r="E806" i="1"/>
  <c r="E710" i="1"/>
  <c r="D710" i="1"/>
  <c r="C710" i="1"/>
  <c r="C793" i="1"/>
  <c r="D793" i="1"/>
  <c r="E793" i="1"/>
  <c r="C530" i="1"/>
  <c r="D530" i="1"/>
  <c r="E530" i="1"/>
  <c r="C807" i="1"/>
  <c r="D807" i="1"/>
  <c r="E807" i="1"/>
  <c r="C579" i="1"/>
  <c r="D579" i="1"/>
  <c r="E579" i="1"/>
  <c r="C556" i="1"/>
  <c r="D556" i="1"/>
  <c r="E556" i="1"/>
  <c r="C593" i="1"/>
  <c r="D593" i="1"/>
  <c r="E593" i="1"/>
  <c r="C822" i="1"/>
  <c r="D822" i="1"/>
  <c r="E822" i="1"/>
  <c r="C720" i="1"/>
  <c r="D720" i="1"/>
  <c r="E720" i="1"/>
  <c r="C585" i="1"/>
  <c r="D585" i="1"/>
  <c r="E585" i="1"/>
  <c r="C808" i="1"/>
  <c r="D808" i="1"/>
  <c r="E808" i="1"/>
  <c r="C751" i="1"/>
  <c r="D751" i="1"/>
  <c r="E751" i="1"/>
  <c r="C687" i="1"/>
  <c r="D687" i="1"/>
  <c r="E687" i="1"/>
  <c r="C778" i="1"/>
  <c r="D778" i="1"/>
  <c r="E778" i="1"/>
  <c r="C757" i="1"/>
  <c r="D757" i="1"/>
  <c r="E757" i="1"/>
  <c r="C815" i="1"/>
  <c r="D815" i="1"/>
  <c r="E815" i="1"/>
  <c r="C810" i="1"/>
  <c r="D810" i="1"/>
  <c r="E810" i="1"/>
  <c r="C685" i="1"/>
  <c r="D685" i="1"/>
  <c r="E685" i="1"/>
  <c r="C673" i="1"/>
  <c r="D673" i="1"/>
  <c r="E673" i="1"/>
  <c r="C563" i="1"/>
  <c r="D563" i="1"/>
  <c r="E563" i="1"/>
  <c r="C753" i="1"/>
  <c r="D753" i="1"/>
  <c r="E753" i="1"/>
  <c r="C727" i="1"/>
  <c r="D727" i="1"/>
  <c r="E727" i="1"/>
  <c r="C674" i="1"/>
  <c r="D674" i="1"/>
  <c r="E674" i="1"/>
  <c r="C817" i="1"/>
  <c r="D817" i="1"/>
  <c r="E817" i="1"/>
  <c r="C670" i="1"/>
  <c r="D670" i="1"/>
  <c r="E670" i="1"/>
  <c r="E669" i="1"/>
  <c r="E733" i="1"/>
  <c r="E823" i="1"/>
  <c r="E803" i="1"/>
  <c r="E560" i="1"/>
  <c r="E754" i="1"/>
  <c r="E713" i="1"/>
  <c r="E791" i="1"/>
  <c r="E790" i="1"/>
  <c r="E721" i="1"/>
  <c r="E794" i="1"/>
  <c r="E797" i="1"/>
  <c r="E747" i="1"/>
  <c r="E624" i="1"/>
  <c r="E783" i="1"/>
  <c r="E714" i="1"/>
  <c r="E718" i="1"/>
  <c r="E691" i="1"/>
  <c r="E776" i="1"/>
  <c r="E620" i="1"/>
  <c r="E630" i="1"/>
  <c r="E582" i="1"/>
  <c r="E746" i="1"/>
  <c r="E752" i="1"/>
  <c r="E758" i="1"/>
  <c r="E726" i="1"/>
  <c r="E756" i="1"/>
  <c r="E643" i="1"/>
  <c r="E567" i="1"/>
  <c r="E580" i="1"/>
  <c r="E694" i="1"/>
  <c r="E631" i="1"/>
  <c r="E672" i="1"/>
  <c r="E731" i="1"/>
  <c r="E743" i="1"/>
  <c r="E660" i="1"/>
  <c r="E678" i="1"/>
  <c r="E647" i="1"/>
  <c r="E785" i="1"/>
  <c r="E659" i="1"/>
  <c r="E724" i="1"/>
  <c r="E736" i="1"/>
  <c r="E591" i="1"/>
  <c r="E609" i="1"/>
  <c r="E838" i="1"/>
  <c r="E730" i="1"/>
  <c r="E605" i="1"/>
  <c r="E614" i="1"/>
  <c r="E684" i="1"/>
  <c r="E748" i="1"/>
  <c r="E570" i="1"/>
  <c r="E700" i="1"/>
  <c r="E759" i="1"/>
  <c r="E650" i="1"/>
  <c r="E523" i="1"/>
  <c r="E646" i="1"/>
  <c r="E533" i="1"/>
  <c r="E551" i="1"/>
  <c r="E653" i="1"/>
  <c r="E564" i="1"/>
  <c r="E697" i="1"/>
  <c r="E550" i="1"/>
  <c r="E663" i="1"/>
  <c r="E689" i="1"/>
  <c r="E711" i="1"/>
  <c r="E716" i="1"/>
  <c r="E546" i="1"/>
  <c r="E656" i="1"/>
  <c r="E686" i="1"/>
  <c r="E777" i="1"/>
  <c r="E715" i="1"/>
  <c r="E555" i="1"/>
  <c r="E583" i="1"/>
  <c r="E623" i="1"/>
  <c r="E635" i="1"/>
  <c r="E666" i="1"/>
  <c r="E573" i="1"/>
  <c r="E610" i="1"/>
  <c r="E612" i="1"/>
  <c r="E654" i="1"/>
  <c r="E737" i="1"/>
  <c r="E800" i="1"/>
  <c r="E769" i="1"/>
  <c r="E732" i="1"/>
  <c r="E618" i="1"/>
  <c r="E707" i="1"/>
  <c r="E592" i="1"/>
  <c r="E702" i="1"/>
  <c r="E634" i="1"/>
  <c r="E693" i="1"/>
  <c r="E771" i="1"/>
  <c r="E767" i="1"/>
  <c r="E698" i="1"/>
  <c r="E602" i="1"/>
  <c r="E709" i="1"/>
  <c r="E837" i="1"/>
  <c r="E520" i="1"/>
  <c r="E562" i="1"/>
  <c r="E809" i="1"/>
  <c r="E734" i="1"/>
  <c r="E627" i="1"/>
  <c r="E640" i="1"/>
  <c r="E644" i="1"/>
  <c r="E525" i="1"/>
  <c r="E636" i="1"/>
  <c r="E622" i="1"/>
  <c r="E552" i="1"/>
  <c r="E516" i="1"/>
  <c r="E576" i="1"/>
  <c r="E745" i="1"/>
  <c r="E539" i="1"/>
  <c r="E690" i="1"/>
  <c r="E557" i="1"/>
  <c r="E617" i="1"/>
  <c r="E648" i="1"/>
  <c r="E814" i="1"/>
  <c r="E625" i="1"/>
  <c r="E739" i="1"/>
  <c r="E632" i="1"/>
  <c r="E665" i="1"/>
  <c r="E596" i="1"/>
  <c r="E766" i="1"/>
  <c r="E534" i="1"/>
  <c r="E566" i="1"/>
  <c r="E828" i="1"/>
  <c r="E723" i="1"/>
  <c r="E595" i="1"/>
  <c r="E608" i="1"/>
  <c r="E637" i="1"/>
  <c r="E642" i="1"/>
  <c r="E522" i="1"/>
  <c r="E586" i="1"/>
  <c r="E619" i="1"/>
  <c r="E638" i="1"/>
  <c r="E639" i="1"/>
  <c r="E645" i="1"/>
  <c r="E598" i="1"/>
  <c r="E675" i="1"/>
  <c r="E677" i="1"/>
  <c r="E568" i="1"/>
  <c r="E676" i="1"/>
  <c r="E606" i="1"/>
  <c r="E741" i="1"/>
  <c r="C759" i="1"/>
  <c r="D759" i="1"/>
  <c r="C653" i="1"/>
  <c r="D653" i="1"/>
  <c r="C754" i="1"/>
  <c r="D754" i="1"/>
  <c r="C790" i="1"/>
  <c r="D790" i="1"/>
  <c r="C791" i="1"/>
  <c r="D791" i="1"/>
  <c r="C809" i="1"/>
  <c r="D809" i="1"/>
  <c r="C777" i="1"/>
  <c r="D777" i="1"/>
  <c r="C803" i="1"/>
  <c r="D803" i="1"/>
  <c r="C797" i="1"/>
  <c r="D797" i="1"/>
  <c r="C794" i="1"/>
  <c r="D794" i="1"/>
  <c r="C823" i="1"/>
  <c r="D823" i="1"/>
  <c r="C828" i="1"/>
  <c r="D828" i="1"/>
  <c r="C814" i="1"/>
  <c r="D814" i="1"/>
  <c r="C785" i="1"/>
  <c r="D785" i="1"/>
  <c r="C783" i="1"/>
  <c r="D783" i="1"/>
  <c r="D669" i="1"/>
  <c r="D560" i="1"/>
  <c r="D741" i="1"/>
  <c r="D800" i="1"/>
  <c r="D713" i="1"/>
  <c r="D721" i="1"/>
  <c r="D747" i="1"/>
  <c r="D624" i="1"/>
  <c r="D714" i="1"/>
  <c r="D718" i="1"/>
  <c r="D691" i="1"/>
  <c r="D776" i="1"/>
  <c r="D620" i="1"/>
  <c r="D630" i="1"/>
  <c r="D582" i="1"/>
  <c r="D746" i="1"/>
  <c r="D752" i="1"/>
  <c r="D758" i="1"/>
  <c r="D726" i="1"/>
  <c r="D756" i="1"/>
  <c r="D643" i="1"/>
  <c r="D567" i="1"/>
  <c r="D580" i="1"/>
  <c r="D694" i="1"/>
  <c r="D631" i="1"/>
  <c r="D672" i="1"/>
  <c r="D731" i="1"/>
  <c r="D743" i="1"/>
  <c r="D660" i="1"/>
  <c r="D678" i="1"/>
  <c r="D647" i="1"/>
  <c r="D659" i="1"/>
  <c r="D724" i="1"/>
  <c r="D736" i="1"/>
  <c r="D591" i="1"/>
  <c r="D609" i="1"/>
  <c r="D838" i="1"/>
  <c r="D730" i="1"/>
  <c r="D605" i="1"/>
  <c r="D614" i="1"/>
  <c r="D684" i="1"/>
  <c r="D748" i="1"/>
  <c r="D570" i="1"/>
  <c r="D700" i="1"/>
  <c r="D650" i="1"/>
  <c r="D523" i="1"/>
  <c r="D646" i="1"/>
  <c r="D533" i="1"/>
  <c r="D551" i="1"/>
  <c r="D564" i="1"/>
  <c r="D697" i="1"/>
  <c r="D550" i="1"/>
  <c r="D663" i="1"/>
  <c r="D689" i="1"/>
  <c r="D711" i="1"/>
  <c r="D716" i="1"/>
  <c r="D546" i="1"/>
  <c r="D656" i="1"/>
  <c r="D686" i="1"/>
  <c r="D715" i="1"/>
  <c r="D555" i="1"/>
  <c r="D583" i="1"/>
  <c r="D623" i="1"/>
  <c r="D635" i="1"/>
  <c r="D666" i="1"/>
  <c r="D573" i="1"/>
  <c r="D610" i="1"/>
  <c r="D612" i="1"/>
  <c r="D654" i="1"/>
  <c r="D737" i="1"/>
  <c r="D769" i="1"/>
  <c r="D732" i="1"/>
  <c r="D618" i="1"/>
  <c r="D707" i="1"/>
  <c r="D592" i="1"/>
  <c r="D702" i="1"/>
  <c r="D634" i="1"/>
  <c r="D693" i="1"/>
  <c r="D771" i="1"/>
  <c r="D767" i="1"/>
  <c r="D698" i="1"/>
  <c r="D602" i="1"/>
  <c r="D709" i="1"/>
  <c r="D837" i="1"/>
  <c r="D520" i="1"/>
  <c r="D562" i="1"/>
  <c r="D734" i="1"/>
  <c r="D627" i="1"/>
  <c r="D640" i="1"/>
  <c r="D644" i="1"/>
  <c r="D525" i="1"/>
  <c r="D636" i="1"/>
  <c r="D622" i="1"/>
  <c r="D552" i="1"/>
  <c r="D516" i="1"/>
  <c r="D576" i="1"/>
  <c r="D745" i="1"/>
  <c r="D539" i="1"/>
  <c r="D690" i="1"/>
  <c r="D557" i="1"/>
  <c r="D617" i="1"/>
  <c r="D648" i="1"/>
  <c r="D625" i="1"/>
  <c r="D739" i="1"/>
  <c r="D632" i="1"/>
  <c r="D665" i="1"/>
  <c r="D596" i="1"/>
  <c r="D766" i="1"/>
  <c r="D534" i="1"/>
  <c r="D566" i="1"/>
  <c r="D723" i="1"/>
  <c r="D595" i="1"/>
  <c r="D608" i="1"/>
  <c r="D637" i="1"/>
  <c r="D642" i="1"/>
  <c r="D522" i="1"/>
  <c r="D586" i="1"/>
  <c r="D619" i="1"/>
  <c r="D638" i="1"/>
  <c r="D639" i="1"/>
  <c r="D645" i="1"/>
  <c r="D598" i="1"/>
  <c r="D675" i="1"/>
  <c r="D677" i="1"/>
  <c r="D568" i="1"/>
  <c r="D676" i="1"/>
  <c r="D606" i="1"/>
  <c r="C669" i="1"/>
  <c r="C560" i="1"/>
  <c r="C741" i="1"/>
  <c r="C800" i="1"/>
  <c r="C713" i="1"/>
  <c r="C721" i="1"/>
  <c r="C747" i="1"/>
  <c r="C624" i="1"/>
  <c r="C714" i="1"/>
  <c r="C718" i="1"/>
  <c r="C691" i="1"/>
  <c r="C776" i="1"/>
  <c r="C620" i="1"/>
  <c r="C630" i="1"/>
  <c r="C582" i="1"/>
  <c r="C746" i="1"/>
  <c r="C752" i="1"/>
  <c r="C758" i="1"/>
  <c r="C726" i="1"/>
  <c r="C756" i="1"/>
  <c r="C643" i="1"/>
  <c r="C567" i="1"/>
  <c r="C580" i="1"/>
  <c r="C694" i="1"/>
  <c r="C631" i="1"/>
  <c r="C672" i="1"/>
  <c r="C731" i="1"/>
  <c r="C743" i="1"/>
  <c r="C660" i="1"/>
  <c r="C678" i="1"/>
  <c r="C647" i="1"/>
  <c r="C659" i="1"/>
  <c r="C724" i="1"/>
  <c r="C736" i="1"/>
  <c r="C591" i="1"/>
  <c r="C609" i="1"/>
  <c r="C838" i="1"/>
  <c r="C730" i="1"/>
  <c r="C605" i="1"/>
  <c r="C614" i="1"/>
  <c r="C684" i="1"/>
  <c r="C748" i="1"/>
  <c r="C570" i="1"/>
  <c r="C700" i="1"/>
  <c r="C650" i="1"/>
  <c r="C523" i="1"/>
  <c r="C646" i="1"/>
  <c r="C533" i="1"/>
  <c r="C551" i="1"/>
  <c r="C564" i="1"/>
  <c r="C697" i="1"/>
  <c r="C550" i="1"/>
  <c r="C663" i="1"/>
  <c r="C689" i="1"/>
  <c r="C711" i="1"/>
  <c r="C716" i="1"/>
  <c r="C546" i="1"/>
  <c r="C656" i="1"/>
  <c r="C686" i="1"/>
  <c r="C715" i="1"/>
  <c r="C555" i="1"/>
  <c r="C583" i="1"/>
  <c r="C623" i="1"/>
  <c r="C635" i="1"/>
  <c r="C666" i="1"/>
  <c r="C573" i="1"/>
  <c r="C610" i="1"/>
  <c r="C612" i="1"/>
  <c r="C654" i="1"/>
  <c r="C737" i="1"/>
  <c r="C769" i="1"/>
  <c r="C732" i="1"/>
  <c r="C618" i="1"/>
  <c r="C707" i="1"/>
  <c r="C592" i="1"/>
  <c r="C702" i="1"/>
  <c r="C634" i="1"/>
  <c r="C693" i="1"/>
  <c r="C771" i="1"/>
  <c r="C767" i="1"/>
  <c r="C698" i="1"/>
  <c r="C602" i="1"/>
  <c r="C709" i="1"/>
  <c r="C837" i="1"/>
  <c r="C520" i="1"/>
  <c r="C562" i="1"/>
  <c r="C734" i="1"/>
  <c r="C627" i="1"/>
  <c r="C640" i="1"/>
  <c r="C644" i="1"/>
  <c r="C525" i="1"/>
  <c r="C636" i="1"/>
  <c r="C622" i="1"/>
  <c r="C552" i="1"/>
  <c r="C516" i="1"/>
  <c r="C576" i="1"/>
  <c r="C745" i="1"/>
  <c r="C539" i="1"/>
  <c r="C690" i="1"/>
  <c r="C557" i="1"/>
  <c r="C617" i="1"/>
  <c r="C648" i="1"/>
  <c r="C625" i="1"/>
  <c r="C739" i="1"/>
  <c r="C632" i="1"/>
  <c r="C665" i="1"/>
  <c r="C596" i="1"/>
  <c r="C766" i="1"/>
  <c r="C534" i="1"/>
  <c r="C566" i="1"/>
  <c r="C723" i="1"/>
  <c r="C595" i="1"/>
  <c r="C608" i="1"/>
  <c r="C637" i="1"/>
  <c r="C642" i="1"/>
  <c r="C522" i="1"/>
  <c r="C586" i="1"/>
  <c r="C619" i="1"/>
  <c r="C638" i="1"/>
  <c r="C639" i="1"/>
  <c r="C645" i="1"/>
  <c r="C598" i="1"/>
  <c r="C675" i="1"/>
  <c r="C677" i="1"/>
  <c r="C568" i="1"/>
  <c r="C676" i="1"/>
  <c r="C606" i="1"/>
  <c r="D733" i="1"/>
  <c r="C733" i="1"/>
  <c r="I42" i="11"/>
  <c r="I43" i="11"/>
  <c r="I48" i="11"/>
  <c r="I44" i="11"/>
  <c r="I49" i="11"/>
  <c r="I45" i="11"/>
  <c r="I47" i="11"/>
  <c r="I46" i="11"/>
  <c r="B857" i="1" l="1"/>
  <c r="B858" i="1"/>
  <c r="B529" i="1"/>
  <c r="B856" i="1"/>
  <c r="B825" i="1"/>
  <c r="B843" i="1"/>
  <c r="B824" i="1"/>
  <c r="B577" i="1"/>
  <c r="B675" i="1"/>
  <c r="B642" i="1"/>
  <c r="B596" i="1"/>
  <c r="D11" i="12"/>
  <c r="D13" i="12"/>
  <c r="B532" i="1"/>
  <c r="B841" i="1"/>
  <c r="B548" i="1"/>
  <c r="B819" i="1"/>
  <c r="B547" i="1"/>
  <c r="B568" i="1"/>
  <c r="B677" i="1"/>
  <c r="B522" i="1"/>
  <c r="B766" i="1"/>
  <c r="B3" i="1"/>
  <c r="B591" i="1"/>
  <c r="B722" i="1"/>
  <c r="B633" i="1"/>
  <c r="B651" i="1"/>
  <c r="B854" i="1"/>
  <c r="B119" i="10"/>
  <c r="B389" i="10"/>
  <c r="B252" i="1"/>
  <c r="B475" i="1"/>
  <c r="B27" i="1"/>
  <c r="B220" i="1"/>
  <c r="B472" i="1"/>
  <c r="B505" i="1"/>
  <c r="B575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49" i="1"/>
  <c r="B330" i="10"/>
  <c r="B190" i="1"/>
  <c r="B316" i="1"/>
  <c r="B494" i="1"/>
  <c r="B81" i="1"/>
  <c r="B372" i="1"/>
  <c r="B54" i="1"/>
  <c r="B438" i="1"/>
  <c r="B4" i="1"/>
  <c r="B118" i="1"/>
  <c r="B787" i="1"/>
  <c r="B538" i="1"/>
  <c r="B626" i="1"/>
  <c r="B444" i="1"/>
  <c r="B304" i="1"/>
  <c r="B852" i="1"/>
  <c r="B213" i="1"/>
  <c r="B804" i="1"/>
  <c r="B809" i="1"/>
  <c r="B68" i="1"/>
  <c r="B74" i="1"/>
  <c r="B417" i="1"/>
  <c r="B225" i="1"/>
  <c r="B744" i="1"/>
  <c r="B434" i="1"/>
  <c r="B306" i="1"/>
  <c r="B53" i="1"/>
  <c r="B491" i="1"/>
  <c r="B483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1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802" i="1"/>
  <c r="B836" i="1"/>
  <c r="B528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26" i="1"/>
  <c r="B830" i="1"/>
  <c r="B111" i="1"/>
  <c r="B337" i="1"/>
  <c r="B172" i="1"/>
  <c r="B353" i="1"/>
  <c r="B795" i="1"/>
  <c r="B650" i="1"/>
  <c r="B835" i="1"/>
  <c r="B713" i="1"/>
  <c r="B563" i="1"/>
  <c r="B751" i="1"/>
  <c r="B654" i="1"/>
  <c r="B605" i="1"/>
  <c r="B822" i="1"/>
  <c r="B806" i="1"/>
  <c r="B695" i="1"/>
  <c r="B774" i="1"/>
  <c r="B362" i="10"/>
  <c r="B365" i="10"/>
  <c r="B305" i="10"/>
  <c r="B844" i="1"/>
  <c r="B840" i="1"/>
  <c r="B11" i="10"/>
  <c r="B19" i="10"/>
  <c r="B27" i="10"/>
  <c r="B35" i="10"/>
  <c r="B43" i="10"/>
  <c r="B51" i="10"/>
  <c r="B67" i="10"/>
  <c r="B75" i="10"/>
  <c r="B550" i="1"/>
  <c r="B700" i="1"/>
  <c r="B797" i="1"/>
  <c r="B632" i="1"/>
  <c r="B631" i="1"/>
  <c r="B47" i="10"/>
  <c r="B71" i="10"/>
  <c r="B87" i="10"/>
  <c r="B343" i="10"/>
  <c r="B367" i="10"/>
  <c r="B403" i="10"/>
  <c r="B320" i="1"/>
  <c r="B513" i="1"/>
  <c r="B424" i="1"/>
  <c r="B339" i="1"/>
  <c r="B839" i="1"/>
  <c r="B98" i="1"/>
  <c r="B135" i="1"/>
  <c r="B329" i="1"/>
  <c r="B387" i="1"/>
  <c r="B425" i="1"/>
  <c r="B192" i="1"/>
  <c r="B22" i="1"/>
  <c r="B161" i="1"/>
  <c r="B760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2" i="1"/>
  <c r="B67" i="1"/>
  <c r="B263" i="1"/>
  <c r="B132" i="1"/>
  <c r="B95" i="1"/>
  <c r="B680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16" i="1"/>
  <c r="B6" i="10"/>
  <c r="B102" i="10"/>
  <c r="B298" i="10"/>
  <c r="B350" i="10"/>
  <c r="B394" i="10"/>
  <c r="B100" i="10"/>
  <c r="B304" i="10"/>
  <c r="B158" i="10"/>
  <c r="B338" i="10"/>
  <c r="B853" i="1"/>
  <c r="B811" i="1"/>
  <c r="B54" i="10"/>
  <c r="B86" i="10"/>
  <c r="B162" i="10"/>
  <c r="B282" i="10"/>
  <c r="B322" i="10"/>
  <c r="B68" i="10"/>
  <c r="B224" i="10"/>
  <c r="B328" i="10"/>
  <c r="B392" i="10"/>
  <c r="B776" i="1"/>
  <c r="B770" i="1"/>
  <c r="B750" i="1"/>
  <c r="B196" i="10"/>
  <c r="B244" i="10"/>
  <c r="B260" i="10"/>
  <c r="B308" i="10"/>
  <c r="B316" i="10"/>
  <c r="B360" i="10"/>
  <c r="B368" i="10"/>
  <c r="B374" i="10"/>
  <c r="B608" i="1"/>
  <c r="B666" i="1"/>
  <c r="B767" i="1"/>
  <c r="B638" i="1"/>
  <c r="B338" i="1"/>
  <c r="B325" i="1"/>
  <c r="B79" i="1"/>
  <c r="B302" i="1"/>
  <c r="B206" i="1"/>
  <c r="B156" i="1"/>
  <c r="B60" i="1"/>
  <c r="B421" i="1"/>
  <c r="B51" i="1"/>
  <c r="B13" i="1"/>
  <c r="B162" i="1"/>
  <c r="B493" i="1"/>
  <c r="B84" i="1"/>
  <c r="B383" i="1"/>
  <c r="B357" i="1"/>
  <c r="B374" i="1"/>
  <c r="B504" i="1"/>
  <c r="B855" i="1"/>
  <c r="B557" i="1"/>
  <c r="B570" i="1"/>
  <c r="B602" i="1"/>
  <c r="B684" i="1"/>
  <c r="B404" i="10"/>
  <c r="B829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89" i="1"/>
  <c r="B440" i="1"/>
  <c r="B416" i="1"/>
  <c r="B737" i="1"/>
  <c r="B583" i="1"/>
  <c r="B689" i="1"/>
  <c r="B523" i="1"/>
  <c r="B372" i="10"/>
  <c r="B21" i="1"/>
  <c r="B61" i="1"/>
  <c r="B176" i="1"/>
  <c r="B413" i="1"/>
  <c r="B138" i="1"/>
  <c r="B358" i="1"/>
  <c r="B109" i="1"/>
  <c r="B498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64" i="1"/>
  <c r="B796" i="1"/>
  <c r="B506" i="1"/>
  <c r="B837" i="1"/>
  <c r="B394" i="1"/>
  <c r="B455" i="1"/>
  <c r="B108" i="1"/>
  <c r="B668" i="1"/>
  <c r="B636" i="1"/>
  <c r="B94" i="1"/>
  <c r="B17" i="1"/>
  <c r="B423" i="1"/>
  <c r="B393" i="1"/>
  <c r="B209" i="1"/>
  <c r="B386" i="1"/>
  <c r="B254" i="1"/>
  <c r="B500" i="1"/>
  <c r="B553" i="1"/>
  <c r="B845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545" i="1"/>
  <c r="B592" i="1"/>
  <c r="B560" i="1"/>
  <c r="B514" i="1"/>
  <c r="B621" i="1"/>
  <c r="B524" i="1"/>
  <c r="B564" i="1"/>
  <c r="B177" i="10"/>
  <c r="B670" i="1"/>
  <c r="B658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40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551" i="1"/>
  <c r="B699" i="1"/>
  <c r="B496" i="1"/>
  <c r="B157" i="1"/>
  <c r="B466" i="1"/>
  <c r="B497" i="1"/>
  <c r="B468" i="1"/>
  <c r="B408" i="1"/>
  <c r="B260" i="1"/>
  <c r="B450" i="1"/>
  <c r="B384" i="1"/>
  <c r="B277" i="1"/>
  <c r="B624" i="1"/>
  <c r="B754" i="1"/>
  <c r="B240" i="1"/>
  <c r="B354" i="1"/>
  <c r="B128" i="1"/>
  <c r="B436" i="1"/>
  <c r="B87" i="1"/>
  <c r="B625" i="1"/>
  <c r="B823" i="1"/>
  <c r="B673" i="1"/>
  <c r="B690" i="1"/>
  <c r="B525" i="1"/>
  <c r="B709" i="1"/>
  <c r="B702" i="1"/>
  <c r="B566" i="1"/>
  <c r="B794" i="1"/>
  <c r="B753" i="1"/>
  <c r="B36" i="10"/>
  <c r="B84" i="10"/>
  <c r="B132" i="10"/>
  <c r="B168" i="10"/>
  <c r="B208" i="10"/>
  <c r="B240" i="10"/>
  <c r="B672" i="1"/>
  <c r="B746" i="1"/>
  <c r="B734" i="1"/>
  <c r="B783" i="1"/>
  <c r="B645" i="1"/>
  <c r="B665" i="1"/>
  <c r="B539" i="1"/>
  <c r="B644" i="1"/>
  <c r="B612" i="1"/>
  <c r="B715" i="1"/>
  <c r="B586" i="1"/>
  <c r="B534" i="1"/>
  <c r="B628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813" i="1"/>
  <c r="B736" i="1"/>
  <c r="B618" i="1"/>
  <c r="B828" i="1"/>
  <c r="B724" i="1"/>
  <c r="B614" i="1"/>
  <c r="B639" i="1"/>
  <c r="B758" i="1"/>
  <c r="B694" i="1"/>
  <c r="B777" i="1"/>
  <c r="B739" i="1"/>
  <c r="B576" i="1"/>
  <c r="B627" i="1"/>
  <c r="B707" i="1"/>
  <c r="B573" i="1"/>
  <c r="B656" i="1"/>
  <c r="B609" i="1"/>
  <c r="B743" i="1"/>
  <c r="B756" i="1"/>
  <c r="B726" i="1"/>
  <c r="B814" i="1"/>
  <c r="B791" i="1"/>
  <c r="B674" i="1"/>
  <c r="B818" i="1"/>
  <c r="B600" i="1"/>
  <c r="B782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7" i="1"/>
  <c r="B342" i="1"/>
  <c r="B409" i="1"/>
  <c r="B367" i="1"/>
  <c r="B173" i="1"/>
  <c r="B35" i="1"/>
  <c r="B652" i="1"/>
  <c r="B58" i="1"/>
  <c r="B613" i="1"/>
  <c r="B703" i="1"/>
  <c r="B762" i="1"/>
  <c r="B549" i="1"/>
  <c r="B518" i="1"/>
  <c r="B708" i="1"/>
  <c r="B834" i="1"/>
  <c r="B833" i="1"/>
  <c r="B584" i="1"/>
  <c r="B578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798" i="1"/>
  <c r="B772" i="1"/>
  <c r="B701" i="1"/>
  <c r="B712" i="1"/>
  <c r="B655" i="1"/>
  <c r="B768" i="1"/>
  <c r="B763" i="1"/>
  <c r="B671" i="1"/>
  <c r="B728" i="1"/>
  <c r="B664" i="1"/>
  <c r="B780" i="1"/>
  <c r="B788" i="1"/>
  <c r="B615" i="1"/>
  <c r="B784" i="1"/>
  <c r="B590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730" i="1"/>
  <c r="B653" i="1"/>
  <c r="B820" i="1"/>
  <c r="B247" i="1"/>
  <c r="B136" i="1"/>
  <c r="B428" i="1"/>
  <c r="B331" i="1"/>
  <c r="B296" i="1"/>
  <c r="B217" i="1"/>
  <c r="B73" i="1"/>
  <c r="B228" i="1"/>
  <c r="B23" i="1"/>
  <c r="B678" i="1"/>
  <c r="B733" i="1"/>
  <c r="B745" i="1"/>
  <c r="B640" i="1"/>
  <c r="B610" i="1"/>
  <c r="B686" i="1"/>
  <c r="B697" i="1"/>
  <c r="B660" i="1"/>
  <c r="B643" i="1"/>
  <c r="B620" i="1"/>
  <c r="B687" i="1"/>
  <c r="B579" i="1"/>
  <c r="B114" i="10"/>
  <c r="B47" i="1"/>
  <c r="B315" i="1"/>
  <c r="B399" i="1"/>
  <c r="B119" i="1"/>
  <c r="B32" i="1"/>
  <c r="B273" i="1"/>
  <c r="B43" i="1"/>
  <c r="B349" i="1"/>
  <c r="B502" i="1"/>
  <c r="B327" i="1"/>
  <c r="B646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80" i="1"/>
  <c r="B698" i="1"/>
  <c r="B676" i="1"/>
  <c r="B619" i="1"/>
  <c r="B731" i="1"/>
  <c r="B142" i="10"/>
  <c r="B352" i="10"/>
  <c r="B567" i="1"/>
  <c r="B634" i="1"/>
  <c r="B276" i="1"/>
  <c r="B258" i="1"/>
  <c r="B471" i="1"/>
  <c r="B397" i="1"/>
  <c r="B255" i="1"/>
  <c r="B490" i="1"/>
  <c r="B180" i="1"/>
  <c r="B501" i="1"/>
  <c r="B821" i="1"/>
  <c r="B11" i="1"/>
  <c r="B129" i="1"/>
  <c r="B182" i="1"/>
  <c r="B647" i="1"/>
  <c r="B617" i="1"/>
  <c r="B622" i="1"/>
  <c r="B520" i="1"/>
  <c r="B769" i="1"/>
  <c r="B623" i="1"/>
  <c r="B752" i="1"/>
  <c r="B714" i="1"/>
  <c r="B669" i="1"/>
  <c r="B720" i="1"/>
  <c r="B649" i="1"/>
  <c r="B773" i="1"/>
  <c r="B435" i="1"/>
  <c r="B470" i="1"/>
  <c r="B242" i="1"/>
  <c r="B317" i="1"/>
  <c r="B487" i="1"/>
  <c r="B291" i="1"/>
  <c r="B541" i="1"/>
  <c r="B18" i="1"/>
  <c r="B112" i="1"/>
  <c r="B169" i="1"/>
  <c r="B641" i="1"/>
  <c r="B569" i="1"/>
  <c r="B765" i="1"/>
  <c r="B850" i="1"/>
  <c r="B572" i="1"/>
  <c r="B781" i="1"/>
  <c r="B535" i="1"/>
  <c r="B558" i="1"/>
  <c r="B603" i="1"/>
  <c r="B696" i="1"/>
  <c r="B574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51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48" i="1"/>
  <c r="B552" i="1"/>
  <c r="B562" i="1"/>
  <c r="B732" i="1"/>
  <c r="B635" i="1"/>
  <c r="B716" i="1"/>
  <c r="B691" i="1"/>
  <c r="B741" i="1"/>
  <c r="B637" i="1"/>
  <c r="B718" i="1"/>
  <c r="B803" i="1"/>
  <c r="B790" i="1"/>
  <c r="B810" i="1"/>
  <c r="B807" i="1"/>
  <c r="B710" i="1"/>
  <c r="B30" i="10"/>
  <c r="B94" i="10"/>
  <c r="B110" i="10"/>
  <c r="B118" i="10"/>
  <c r="B186" i="10"/>
  <c r="B410" i="1"/>
  <c r="B292" i="1"/>
  <c r="B527" i="1"/>
  <c r="B771" i="1"/>
  <c r="B748" i="1"/>
  <c r="B585" i="1"/>
  <c r="B793" i="1"/>
  <c r="B779" i="1"/>
  <c r="B48" i="10"/>
  <c r="B104" i="10"/>
  <c r="B120" i="10"/>
  <c r="B188" i="10"/>
  <c r="B204" i="10"/>
  <c r="B598" i="1"/>
  <c r="B757" i="1"/>
  <c r="B593" i="1"/>
  <c r="B789" i="1"/>
  <c r="B555" i="1"/>
  <c r="B663" i="1"/>
  <c r="B595" i="1"/>
  <c r="B533" i="1"/>
  <c r="B659" i="1"/>
  <c r="B727" i="1"/>
  <c r="B581" i="1"/>
  <c r="B717" i="1"/>
  <c r="B723" i="1"/>
  <c r="B711" i="1"/>
  <c r="B606" i="1"/>
  <c r="B838" i="1"/>
  <c r="B582" i="1"/>
  <c r="B747" i="1"/>
  <c r="B693" i="1"/>
  <c r="B630" i="1"/>
  <c r="B721" i="1"/>
  <c r="B785" i="1"/>
  <c r="B817" i="1"/>
  <c r="B778" i="1"/>
  <c r="B556" i="1"/>
  <c r="B517" i="1"/>
  <c r="B20" i="1"/>
  <c r="B257" i="1"/>
  <c r="B300" i="1"/>
  <c r="B41" i="1"/>
  <c r="B272" i="1"/>
  <c r="B188" i="1"/>
  <c r="B224" i="1"/>
  <c r="B152" i="1"/>
  <c r="B290" i="1"/>
  <c r="B461" i="1"/>
  <c r="B692" i="1"/>
  <c r="B604" i="1"/>
  <c r="B786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2" i="1"/>
  <c r="B512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5" i="1"/>
  <c r="B356" i="1"/>
  <c r="B203" i="1"/>
  <c r="B462" i="1"/>
  <c r="B143" i="1"/>
  <c r="B415" i="1"/>
  <c r="B77" i="1"/>
  <c r="B37" i="1"/>
  <c r="B808" i="1"/>
  <c r="B805" i="1"/>
  <c r="B543" i="1"/>
  <c r="B3" i="10"/>
  <c r="B12" i="10"/>
  <c r="B510" i="1"/>
  <c r="B256" i="1"/>
  <c r="B140" i="1"/>
  <c r="B481" i="1"/>
  <c r="B530" i="1"/>
  <c r="B706" i="1"/>
  <c r="B516" i="1"/>
  <c r="B546" i="1"/>
  <c r="B800" i="1"/>
  <c r="B759" i="1"/>
  <c r="B685" i="1"/>
  <c r="B815" i="1"/>
  <c r="B629" i="1"/>
  <c r="B262" i="1"/>
  <c r="B8" i="1"/>
  <c r="B359" i="1"/>
  <c r="B202" i="1"/>
  <c r="B295" i="1"/>
  <c r="B307" i="1"/>
  <c r="B69" i="1"/>
  <c r="B729" i="1"/>
  <c r="B749" i="1"/>
  <c r="B682" i="1"/>
  <c r="B827" i="1"/>
  <c r="B130" i="1"/>
  <c r="B499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521" i="1"/>
  <c r="B725" i="1"/>
  <c r="B661" i="1"/>
  <c r="B597" i="1"/>
  <c r="B705" i="1"/>
  <c r="B515" i="1"/>
  <c r="B775" i="1"/>
  <c r="B812" i="1"/>
  <c r="B391" i="1"/>
  <c r="B253" i="1"/>
  <c r="B587" i="1"/>
  <c r="B561" i="1"/>
  <c r="B191" i="1"/>
  <c r="B210" i="1"/>
  <c r="B232" i="1"/>
  <c r="B400" i="1"/>
  <c r="B75" i="1"/>
  <c r="B80" i="1"/>
  <c r="B147" i="1"/>
  <c r="B145" i="1"/>
  <c r="B312" i="1"/>
  <c r="B36" i="1"/>
  <c r="B29" i="1"/>
  <c r="B486" i="1"/>
  <c r="B488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3" i="1"/>
  <c r="B456" i="1"/>
  <c r="B133" i="1"/>
  <c r="B453" i="1"/>
  <c r="B484" i="1"/>
  <c r="B426" i="1"/>
  <c r="B324" i="1"/>
  <c r="B412" i="1"/>
  <c r="B178" i="1"/>
  <c r="B480" i="1"/>
  <c r="B164" i="1"/>
  <c r="B443" i="1"/>
  <c r="B96" i="1"/>
  <c r="B459" i="1"/>
  <c r="B50" i="1"/>
  <c r="B379" i="1"/>
  <c r="B485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601" i="1"/>
  <c r="B679" i="1"/>
  <c r="B799" i="1"/>
  <c r="B607" i="1"/>
  <c r="B588" i="1"/>
  <c r="B662" i="1"/>
  <c r="B599" i="1"/>
  <c r="B846" i="1"/>
  <c r="B842" i="1"/>
  <c r="B589" i="1"/>
  <c r="B704" i="1"/>
  <c r="B544" i="1"/>
  <c r="B565" i="1"/>
  <c r="B688" i="1"/>
  <c r="B571" i="1"/>
  <c r="B594" i="1"/>
  <c r="B542" i="1"/>
  <c r="B559" i="1"/>
  <c r="B738" i="1"/>
  <c r="B554" i="1"/>
  <c r="B667" i="1"/>
  <c r="B719" i="1"/>
  <c r="B755" i="1"/>
  <c r="B832" i="1"/>
  <c r="B80" i="10"/>
  <c r="B88" i="10"/>
  <c r="B376" i="1"/>
  <c r="B139" i="1"/>
  <c r="B115" i="1"/>
  <c r="B452" i="1"/>
  <c r="B683" i="1"/>
  <c r="B616" i="1"/>
  <c r="B536" i="1"/>
  <c r="B519" i="1"/>
  <c r="B657" i="1"/>
  <c r="B531" i="1"/>
  <c r="B537" i="1"/>
  <c r="B831" i="1"/>
  <c r="B761" i="1"/>
  <c r="I50" i="11"/>
  <c r="M42" i="11" l="1"/>
  <c r="M47" i="11"/>
  <c r="M49" i="11"/>
  <c r="M48" i="11"/>
  <c r="M46" i="11"/>
  <c r="M45" i="11"/>
  <c r="M44" i="11"/>
  <c r="M43" i="11"/>
  <c r="M50" i="11" l="1"/>
</calcChain>
</file>

<file path=xl/sharedStrings.xml><?xml version="1.0" encoding="utf-8"?>
<sst xmlns="http://schemas.openxmlformats.org/spreadsheetml/2006/main" count="7804" uniqueCount="3599">
  <si>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</si>
  <si>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</si>
  <si>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</si>
  <si>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</si>
  <si>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</si>
  <si>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</si>
  <si>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</si>
  <si>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</si>
  <si>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</si>
  <si>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</si>
  <si>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</si>
  <si>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</si>
  <si>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</si>
  <si>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</si>
  <si>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</si>
  <si>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</si>
  <si>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</si>
  <si>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</si>
  <si>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</si>
  <si>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</si>
  <si>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</si>
  <si>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</si>
  <si>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</si>
  <si>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</si>
  <si>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</si>
  <si>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</si>
  <si>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</si>
  <si>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</si>
  <si>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</si>
  <si>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</si>
  <si>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</si>
  <si>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</si>
  <si>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</si>
  <si>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</si>
  <si>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</si>
  <si>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</si>
  <si>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</si>
  <si>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</si>
  <si>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</si>
  <si>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</si>
  <si>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</si>
  <si>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</si>
  <si>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</si>
  <si>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</si>
  <si>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</si>
  <si>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</si>
  <si>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</si>
  <si>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</si>
  <si>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</si>
  <si>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</si>
  <si>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</si>
  <si>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</si>
  <si>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</si>
  <si>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</si>
  <si>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</si>
  <si>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</si>
  <si>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</si>
  <si>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</si>
  <si>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</si>
  <si>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</si>
  <si>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</si>
  <si>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</si>
  <si>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</si>
  <si>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</si>
  <si>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</si>
  <si>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</si>
  <si>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</si>
  <si>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</si>
  <si>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</si>
  <si>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</si>
  <si>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</si>
  <si>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</si>
  <si>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</si>
  <si>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</si>
  <si>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</si>
  <si>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</si>
  <si>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</si>
  <si>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</si>
  <si>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</si>
  <si>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</si>
  <si>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</si>
  <si>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</si>
  <si>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</si>
  <si>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</si>
  <si>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</si>
  <si>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</si>
  <si>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</si>
  <si>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</si>
  <si>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</si>
  <si>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</si>
  <si>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</si>
  <si>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</si>
  <si>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</si>
  <si>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</si>
  <si>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</si>
  <si>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</si>
  <si>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</si>
  <si>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</si>
  <si>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</si>
  <si>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</si>
  <si>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</si>
  <si>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</si>
  <si>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</si>
  <si>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</si>
  <si>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</si>
  <si>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</si>
  <si>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</si>
  <si>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</si>
  <si>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</si>
  <si>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</si>
  <si>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</si>
  <si>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</si>
  <si>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</si>
  <si>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</si>
  <si>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</si>
  <si>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</si>
  <si>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</si>
  <si>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</si>
  <si>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</si>
  <si>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</si>
  <si>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</si>
  <si>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</si>
  <si>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</si>
  <si>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</si>
  <si>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</si>
  <si>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</si>
  <si>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</si>
  <si>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</si>
  <si>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</si>
  <si>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</si>
  <si>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</si>
  <si>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</si>
  <si>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</si>
  <si>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</si>
  <si>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</si>
  <si>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</si>
  <si>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</si>
  <si>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</si>
  <si>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</si>
  <si>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</si>
  <si>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</si>
  <si>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</si>
  <si>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</si>
  <si>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</si>
  <si>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</si>
  <si>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</si>
  <si>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</si>
  <si>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</si>
  <si>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</si>
  <si>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</si>
  <si>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</si>
  <si>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</si>
  <si>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</si>
  <si>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</si>
  <si>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</si>
  <si>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</si>
  <si>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</si>
  <si>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</si>
  <si>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</si>
  <si>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</si>
  <si>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</si>
  <si>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</si>
  <si>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</si>
  <si>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</si>
  <si>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</si>
  <si>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</si>
  <si>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</si>
  <si>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</si>
  <si>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</si>
  <si>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</si>
  <si>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</si>
  <si>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</si>
  <si>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</si>
  <si>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</si>
  <si>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</si>
  <si>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</si>
  <si>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</si>
  <si>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</si>
  <si>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</si>
  <si>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</si>
  <si>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</si>
  <si>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</si>
  <si>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</si>
  <si>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</si>
  <si>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</si>
  <si>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</si>
  <si>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</si>
  <si>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</si>
  <si>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</si>
  <si>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</si>
  <si>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</si>
  <si>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</si>
  <si>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</si>
  <si>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</si>
  <si>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</si>
  <si>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</si>
  <si>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</si>
  <si>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</si>
  <si>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</si>
  <si>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</si>
  <si>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</si>
  <si>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</si>
  <si>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</si>
  <si>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</si>
  <si>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</si>
  <si>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</si>
  <si>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</si>
  <si>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</si>
  <si>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</si>
  <si>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</si>
  <si>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</si>
  <si>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</si>
  <si>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21582 De Grom Patrick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</si>
  <si>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</si>
  <si>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</si>
  <si>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</si>
  <si>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</si>
  <si>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</si>
  <si>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</si>
  <si>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</si>
  <si>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</si>
  <si>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</si>
  <si>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</si>
  <si>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</si>
  <si>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</si>
  <si>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</si>
  <si>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</si>
  <si>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</si>
  <si>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</si>
  <si>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</si>
  <si>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</si>
  <si>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</si>
  <si>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</si>
  <si>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</si>
  <si>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</si>
  <si>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</si>
  <si>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</si>
  <si>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</si>
  <si>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</si>
  <si>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</si>
  <si>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</si>
  <si>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</si>
  <si>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</si>
  <si>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</si>
  <si>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</si>
  <si>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</si>
  <si>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</si>
  <si>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</si>
  <si>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</si>
  <si>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</si>
  <si>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</si>
  <si>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</si>
  <si>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18987 De Geyter Dolly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</si>
  <si>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</si>
  <si>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</si>
  <si>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</si>
  <si>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</si>
  <si>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</si>
  <si>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</si>
  <si>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</si>
  <si>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</si>
  <si>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</si>
  <si>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</si>
  <si>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</si>
  <si>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</si>
  <si>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</si>
  <si>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</si>
  <si>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</si>
  <si>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</si>
  <si>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</si>
  <si>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</si>
  <si>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</si>
  <si>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</si>
  <si>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</si>
  <si>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</si>
  <si>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</si>
  <si>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</si>
  <si>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</si>
  <si>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</si>
  <si>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</si>
  <si>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</si>
  <si>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</si>
  <si>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</si>
  <si>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</si>
  <si>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</si>
  <si>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</si>
  <si>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</si>
  <si>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</si>
  <si>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</si>
  <si>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</si>
  <si>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</si>
  <si>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</si>
  <si>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</si>
  <si>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</si>
  <si>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</si>
  <si>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</si>
  <si>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</si>
  <si>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</si>
  <si>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</si>
  <si>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</si>
  <si>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</si>
  <si>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</si>
  <si>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</si>
  <si>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</si>
  <si>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</si>
  <si>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</si>
  <si>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</si>
  <si>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</si>
  <si>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</si>
  <si>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</si>
  <si>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</si>
  <si>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</si>
  <si>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</si>
  <si>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</si>
  <si>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</si>
  <si>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</si>
  <si>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</si>
  <si>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</si>
  <si>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</si>
  <si>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</si>
  <si>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</si>
  <si>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</si>
  <si>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</si>
  <si>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</si>
  <si>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</si>
  <si>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</si>
  <si>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</si>
  <si>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</si>
  <si>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</si>
  <si>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</si>
  <si>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</si>
  <si>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</si>
  <si>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</si>
  <si>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</si>
  <si>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</si>
  <si>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</si>
  <si>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</si>
  <si>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</si>
  <si>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</si>
  <si>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</si>
  <si>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</si>
  <si>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</si>
  <si>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</si>
  <si>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</si>
  <si>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</si>
  <si>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</si>
  <si>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</si>
  <si>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</si>
  <si>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</si>
  <si>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</si>
  <si>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</si>
  <si>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</si>
  <si>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</si>
  <si>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</si>
  <si>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</si>
  <si>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</si>
  <si>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</si>
  <si>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</si>
  <si>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</si>
  <si>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</si>
  <si>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</si>
  <si>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</si>
  <si>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</si>
  <si>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</si>
  <si>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</si>
  <si>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</si>
  <si>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</si>
  <si>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</si>
  <si>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</si>
  <si>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</si>
  <si>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</si>
  <si>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</si>
  <si>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</si>
  <si>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</si>
  <si>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</si>
  <si>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</si>
  <si>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</si>
  <si>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</si>
  <si>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</si>
  <si>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</si>
  <si>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</si>
  <si>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</si>
  <si>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</si>
  <si>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</si>
  <si>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</si>
  <si>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</si>
  <si>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</si>
  <si>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</si>
  <si>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</si>
  <si>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</si>
  <si>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</si>
  <si>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</si>
  <si>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</si>
  <si>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</si>
  <si>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</si>
  <si>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</si>
  <si>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</si>
  <si>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</si>
  <si>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</si>
  <si>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</si>
  <si>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</si>
  <si>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</si>
  <si>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</si>
  <si>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</si>
  <si>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</si>
  <si>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</si>
  <si>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</si>
  <si>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</si>
  <si>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</si>
  <si>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</si>
  <si>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</si>
  <si>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</si>
  <si>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</si>
  <si>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</si>
  <si>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</si>
  <si>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</si>
  <si>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</si>
  <si>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</si>
  <si>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</si>
  <si>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</si>
  <si>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</si>
  <si>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</si>
  <si>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</si>
  <si>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</si>
  <si>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</si>
  <si>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</si>
  <si>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</si>
  <si>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</si>
  <si>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</si>
  <si>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</si>
  <si>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</si>
  <si>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</si>
  <si>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</si>
  <si>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</si>
  <si>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</si>
  <si>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</si>
  <si>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</si>
  <si>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</si>
  <si>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</si>
  <si>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</si>
  <si>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</si>
  <si>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</si>
  <si>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</si>
  <si>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</si>
  <si>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</si>
  <si>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</si>
  <si>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</si>
  <si>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</si>
  <si>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</si>
  <si>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</si>
  <si>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</si>
  <si>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</si>
  <si>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</si>
  <si>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</si>
  <si>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</si>
  <si>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</si>
  <si>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</si>
  <si>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</si>
  <si>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</si>
  <si>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</si>
  <si>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</si>
  <si>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</si>
  <si>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</si>
  <si>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</si>
  <si>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</si>
  <si>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</si>
  <si>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</si>
  <si>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</si>
  <si>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</si>
  <si>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</si>
  <si>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</si>
  <si>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</si>
  <si>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</si>
  <si>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</si>
  <si>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</si>
  <si>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</si>
  <si>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</si>
  <si>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</si>
  <si>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</si>
  <si>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</si>
  <si>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</si>
  <si>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</si>
  <si>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</si>
  <si>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</si>
  <si>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</si>
  <si>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</si>
  <si>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</si>
  <si>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</si>
  <si>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</si>
  <si>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</si>
  <si>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</si>
  <si>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</si>
  <si>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</si>
  <si>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</si>
  <si>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</si>
  <si>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</si>
  <si>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</si>
  <si>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</si>
  <si>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</si>
  <si>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</si>
  <si>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</si>
  <si>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</si>
  <si>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</si>
  <si>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</si>
  <si>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</si>
  <si>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</si>
  <si>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</si>
  <si>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</si>
  <si>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</si>
  <si>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</si>
  <si>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</si>
  <si>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</si>
  <si>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</si>
  <si>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</si>
  <si>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</si>
  <si>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</si>
  <si>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</si>
  <si>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</si>
  <si>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</si>
  <si>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</si>
  <si>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</si>
  <si>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</si>
  <si>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</si>
  <si>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</si>
  <si>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</si>
  <si>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</si>
  <si>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</si>
  <si>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</si>
  <si>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</si>
  <si>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</si>
  <si>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</si>
  <si>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</si>
  <si>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</si>
  <si>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</si>
  <si>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</si>
  <si>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</si>
  <si>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</si>
  <si>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</si>
  <si>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</si>
  <si>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</si>
  <si>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</si>
  <si>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</si>
  <si>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</si>
  <si>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</si>
  <si>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</si>
  <si>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</si>
  <si>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</si>
  <si>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</si>
  <si>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</si>
  <si>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</si>
  <si>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</si>
  <si>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</si>
  <si>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</si>
  <si>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</si>
  <si>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</si>
  <si>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</si>
  <si>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</si>
  <si>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</si>
  <si>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</si>
  <si>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</si>
  <si>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</si>
  <si>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</si>
  <si>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</si>
  <si>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</si>
  <si>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</si>
  <si>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</si>
  <si>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</si>
  <si>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</si>
  <si>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</si>
  <si>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</si>
  <si>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</si>
  <si>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</si>
  <si>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</si>
  <si>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</si>
  <si>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</si>
  <si>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</si>
  <si>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</si>
  <si>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</si>
  <si>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</si>
  <si>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</si>
  <si>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</si>
  <si>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</si>
  <si>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</si>
  <si>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</si>
  <si>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</si>
  <si>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</si>
  <si>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</si>
  <si>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</si>
  <si>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</si>
  <si>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</si>
  <si>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</si>
  <si>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</si>
  <si>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</si>
  <si>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</si>
  <si>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</si>
  <si>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</si>
  <si>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</si>
  <si>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</si>
  <si>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</si>
  <si>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</si>
  <si>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</si>
  <si>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</si>
  <si>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</si>
  <si>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</si>
  <si>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</si>
  <si>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</si>
  <si>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</si>
  <si>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</si>
  <si>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</si>
  <si>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</si>
  <si>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</si>
  <si>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</si>
  <si>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</si>
  <si>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</si>
  <si>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</si>
  <si>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</si>
  <si>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</si>
  <si>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</si>
  <si>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</si>
  <si>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</si>
  <si>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</si>
  <si>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</si>
  <si>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</si>
  <si>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</si>
  <si>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</si>
  <si>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</si>
  <si>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</si>
  <si>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</si>
  <si>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</si>
  <si>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</si>
  <si>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</si>
  <si>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</si>
  <si>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</si>
  <si>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</si>
  <si>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</si>
  <si>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</si>
  <si>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</si>
  <si>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</si>
  <si>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</si>
  <si>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</si>
  <si>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</si>
  <si>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</si>
  <si>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</si>
  <si>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</si>
  <si>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</si>
  <si>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</si>
  <si>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</si>
  <si>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</si>
  <si>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</si>
  <si>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</si>
  <si>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</si>
  <si>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</si>
  <si>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</si>
  <si>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</si>
  <si>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</si>
  <si>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</si>
  <si>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</si>
  <si>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</si>
  <si>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</si>
  <si>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</si>
  <si>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</si>
  <si>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</si>
  <si>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</si>
  <si>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</si>
  <si>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</si>
  <si>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</si>
  <si>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</si>
  <si>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</si>
  <si>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</si>
  <si>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</si>
  <si>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</si>
  <si>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</si>
  <si>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</si>
  <si>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</si>
  <si>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</si>
  <si>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</si>
  <si>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</si>
  <si>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</si>
  <si>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</si>
  <si>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</si>
  <si>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</si>
  <si>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</si>
  <si>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</si>
  <si>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</si>
  <si>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</si>
  <si>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</si>
  <si>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</si>
  <si>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</si>
  <si>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</si>
  <si>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</si>
  <si>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</si>
  <si>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</si>
  <si>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</si>
  <si>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</si>
  <si>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</si>
  <si>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</si>
  <si>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</si>
  <si>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</si>
  <si>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</si>
  <si>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</si>
  <si>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</si>
  <si>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</si>
  <si>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</si>
  <si>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</si>
  <si>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</si>
  <si>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</si>
  <si>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</si>
  <si>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</si>
  <si>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</si>
  <si>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</si>
  <si>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</si>
  <si>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</si>
  <si>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</si>
  <si>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</si>
  <si>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</si>
  <si>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</si>
  <si>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</si>
  <si>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</si>
  <si>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</si>
  <si>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</si>
  <si>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</si>
  <si>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</si>
  <si>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</si>
  <si>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</si>
  <si>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</si>
  <si>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</si>
  <si>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</si>
  <si>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</si>
  <si>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</si>
  <si>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</si>
  <si>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</si>
  <si>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</si>
  <si>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</si>
  <si>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</si>
  <si>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</si>
  <si>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</si>
  <si>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</si>
  <si>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</si>
  <si>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</si>
  <si>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</si>
  <si>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</si>
  <si>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</si>
  <si>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</si>
  <si>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</si>
  <si>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</si>
  <si>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</si>
  <si>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</si>
  <si>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</si>
  <si>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</si>
  <si>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</si>
  <si>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</si>
  <si>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</si>
  <si>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</si>
  <si>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</si>
  <si>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</si>
  <si>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</si>
  <si>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</si>
  <si>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</si>
  <si>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</si>
  <si>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</si>
  <si>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</si>
  <si>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</si>
  <si>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</si>
  <si>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</si>
  <si>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</si>
  <si>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</si>
  <si>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</si>
  <si>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</si>
  <si>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</si>
  <si>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</si>
  <si>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</si>
  <si>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</si>
  <si>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</si>
  <si>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</si>
  <si>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</si>
  <si>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</si>
  <si>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</si>
  <si>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</si>
  <si>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</si>
  <si>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</si>
  <si>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</si>
  <si>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</si>
  <si>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</si>
  <si>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</si>
  <si>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</si>
  <si>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</si>
  <si>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</si>
  <si>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</si>
  <si>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</si>
  <si>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</si>
  <si>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</si>
  <si>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</si>
  <si>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</si>
  <si>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</si>
  <si>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</si>
  <si>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</si>
  <si>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</si>
  <si>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</si>
  <si>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</si>
  <si>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</si>
  <si>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</si>
  <si>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</si>
  <si>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</si>
  <si>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</si>
  <si>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</si>
  <si>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</si>
  <si>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</si>
  <si>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</si>
  <si>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</si>
  <si>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</si>
  <si>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</si>
  <si>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</si>
  <si>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</si>
  <si>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</si>
  <si>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</si>
  <si>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</si>
  <si>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</si>
  <si>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</si>
  <si>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</si>
  <si>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</si>
  <si>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</si>
  <si>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</si>
  <si>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</si>
  <si>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</si>
  <si>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</si>
  <si>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</si>
  <si>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</si>
  <si>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</si>
  <si>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</si>
  <si>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</si>
  <si>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</si>
  <si>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</si>
  <si>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</si>
  <si>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</si>
  <si>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</si>
  <si>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</si>
  <si>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</si>
  <si>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</si>
  <si>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</si>
  <si>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</si>
  <si>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</si>
  <si>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</si>
  <si>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</si>
  <si>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</si>
  <si>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</si>
  <si>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</si>
  <si>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</si>
  <si>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</si>
  <si>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</si>
  <si>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</si>
  <si>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</si>
  <si>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</si>
  <si>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</si>
  <si>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</si>
  <si>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</si>
  <si>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</si>
  <si>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</si>
  <si>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</si>
  <si>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</si>
  <si>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</si>
  <si>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</si>
  <si>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</si>
  <si>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</si>
  <si>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</si>
  <si>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</si>
  <si>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</si>
  <si>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</si>
  <si>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</si>
  <si>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</si>
  <si>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</si>
  <si>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</si>
  <si>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</si>
  <si>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</si>
  <si>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</si>
  <si>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</si>
  <si>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</si>
  <si>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</si>
  <si>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</si>
  <si>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</si>
  <si>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</si>
  <si>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</si>
  <si>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</si>
  <si>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</si>
  <si>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</si>
  <si>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</si>
  <si>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</si>
  <si>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</si>
  <si>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</si>
  <si>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</si>
  <si>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</si>
  <si>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</si>
  <si>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</si>
  <si>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</si>
  <si>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</si>
  <si>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</si>
  <si>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</si>
  <si>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</si>
  <si>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</si>
  <si>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</si>
  <si>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</si>
  <si>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</si>
  <si>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</si>
  <si>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</si>
  <si>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</si>
  <si>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</si>
  <si>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</si>
  <si>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</si>
  <si>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</si>
  <si>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</si>
  <si>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</si>
  <si>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</si>
  <si>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</si>
  <si>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</si>
  <si>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</si>
  <si>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</si>
  <si>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</si>
  <si>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</si>
  <si>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</si>
  <si>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</si>
  <si>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</si>
  <si>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</si>
  <si>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</si>
  <si>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</si>
  <si>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</si>
  <si>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</si>
  <si>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</si>
  <si>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</si>
  <si>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</si>
  <si>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</si>
  <si>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</si>
  <si>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</si>
  <si>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</si>
  <si>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</si>
  <si>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</si>
  <si>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</si>
  <si>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</si>
  <si>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</si>
  <si>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</si>
  <si>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</si>
  <si>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</si>
  <si>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</si>
  <si>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</si>
  <si>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</si>
  <si>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</si>
  <si>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</si>
  <si>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</si>
  <si>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</si>
  <si>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</si>
  <si>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</si>
  <si>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</si>
  <si>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</si>
  <si>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</si>
  <si>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</si>
  <si>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</si>
  <si>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</si>
  <si>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</si>
  <si>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</si>
  <si>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</si>
  <si>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</si>
  <si>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</si>
  <si>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</si>
  <si>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</si>
  <si>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</si>
  <si>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</si>
  <si>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</si>
  <si>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</si>
  <si>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</si>
  <si>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</si>
  <si>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</si>
  <si>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</si>
  <si>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</si>
  <si>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</si>
  <si>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</si>
  <si>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</si>
  <si>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</si>
  <si>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</si>
  <si>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</si>
  <si>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</si>
  <si>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</si>
  <si>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</si>
  <si>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</si>
  <si>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</si>
  <si>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</si>
  <si>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</si>
  <si>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</si>
  <si>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</si>
  <si>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</si>
  <si>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</si>
  <si>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</si>
  <si>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</si>
  <si>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</si>
  <si>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</si>
  <si>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</si>
  <si>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</si>
  <si>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</si>
  <si>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</si>
  <si>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</si>
  <si>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</si>
  <si>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</si>
  <si>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</si>
  <si>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</si>
  <si>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</si>
  <si>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</si>
  <si>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</si>
  <si>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</si>
  <si>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</si>
  <si>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</si>
  <si>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</si>
  <si>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</si>
  <si>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</si>
  <si>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</si>
  <si>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</si>
  <si>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</si>
  <si>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</si>
  <si>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</si>
  <si>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</si>
  <si>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</si>
  <si>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</si>
  <si>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</si>
  <si>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</si>
  <si>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</si>
  <si>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</si>
  <si>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</si>
  <si>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</si>
  <si>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</si>
  <si>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</si>
  <si>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</si>
  <si>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</si>
  <si>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</si>
  <si>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</si>
  <si>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</si>
  <si>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</si>
  <si>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</si>
  <si>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</si>
  <si>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</si>
  <si>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</si>
  <si>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</si>
  <si>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</si>
  <si>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</si>
  <si>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</si>
  <si>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</si>
  <si>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</si>
  <si>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</si>
  <si>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</si>
  <si>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</si>
  <si>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</si>
  <si>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</si>
  <si>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</si>
  <si>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</si>
  <si>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</si>
  <si>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</si>
  <si>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</si>
  <si>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</si>
  <si>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</si>
  <si>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</si>
  <si>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</si>
  <si>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</si>
  <si>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</si>
  <si>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</si>
  <si>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</si>
  <si>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</si>
  <si>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</si>
  <si>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</si>
  <si>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</si>
  <si>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</si>
  <si>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</si>
  <si>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</si>
  <si>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</si>
  <si>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</si>
  <si>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</si>
  <si>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</si>
  <si>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</si>
  <si>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</si>
  <si>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</si>
  <si>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</si>
  <si>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</si>
  <si>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</si>
  <si>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</si>
  <si>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</si>
  <si>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</si>
  <si>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</si>
  <si>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</si>
  <si>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</si>
  <si>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</si>
  <si>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</si>
  <si>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</si>
  <si>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</si>
  <si>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</si>
  <si>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</si>
  <si>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</si>
  <si>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</si>
  <si>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</si>
  <si>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</si>
  <si>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</si>
  <si>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</si>
  <si>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</si>
  <si>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</si>
  <si>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</si>
  <si>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</si>
  <si>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</si>
  <si>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</si>
  <si>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</si>
  <si>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</si>
  <si>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</si>
  <si>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</si>
  <si>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</si>
  <si>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</si>
  <si>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</si>
  <si>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</si>
  <si>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</si>
  <si>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</si>
  <si>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</si>
  <si>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</si>
  <si>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</si>
  <si>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</si>
  <si>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</si>
  <si>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</si>
  <si>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</si>
  <si>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</si>
  <si>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</si>
  <si>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</si>
  <si>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</si>
  <si>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</si>
  <si>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</si>
  <si>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</si>
  <si>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</si>
  <si>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</si>
  <si>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</si>
  <si>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</si>
  <si>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</si>
  <si>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</si>
  <si>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</si>
  <si>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</si>
  <si>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</si>
  <si>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</si>
  <si>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</si>
  <si>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</si>
  <si>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</si>
  <si>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</si>
  <si>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</si>
  <si>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</si>
  <si>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</si>
  <si>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</si>
  <si>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</si>
  <si>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</si>
  <si>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</si>
  <si>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</si>
  <si>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</si>
  <si>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</si>
  <si>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</si>
  <si>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</si>
  <si>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</si>
  <si>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</si>
  <si>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</si>
  <si>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</si>
  <si>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</si>
  <si>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</si>
  <si>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</si>
  <si>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</si>
  <si>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</si>
  <si>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</si>
  <si>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</si>
  <si>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</si>
  <si>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</si>
  <si>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</si>
  <si>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</si>
  <si>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</si>
  <si>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</si>
  <si>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</si>
  <si>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</si>
  <si>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</si>
  <si>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</si>
  <si>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</si>
  <si>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</si>
  <si>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</si>
  <si>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</si>
  <si>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</si>
  <si>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</si>
  <si>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</si>
  <si>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</si>
  <si>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</si>
  <si>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</si>
  <si>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</si>
  <si>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</si>
  <si>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</si>
  <si>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</si>
  <si>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</si>
  <si>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</si>
  <si>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</si>
  <si>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</si>
  <si>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</si>
  <si>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</si>
  <si>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</si>
  <si>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</si>
  <si>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</si>
  <si>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</si>
  <si>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</si>
  <si>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</si>
  <si>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</si>
  <si>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</si>
  <si>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</si>
  <si>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</si>
  <si>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</si>
  <si>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</si>
  <si>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</si>
  <si>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</si>
  <si>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</si>
  <si>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</si>
  <si>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</si>
  <si>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</si>
  <si>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</si>
  <si>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</si>
  <si>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</si>
  <si>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</si>
  <si>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</si>
  <si>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</si>
  <si>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</si>
  <si>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</si>
  <si>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</si>
  <si>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</si>
  <si>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</si>
  <si>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</si>
  <si>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</si>
  <si>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</si>
  <si>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</si>
  <si>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</si>
  <si>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</si>
  <si>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</si>
  <si>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</si>
  <si>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</si>
  <si>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</si>
  <si>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</si>
  <si>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</si>
  <si>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</si>
  <si>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</si>
  <si>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</si>
  <si>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</si>
  <si>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</si>
  <si>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</si>
  <si>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</si>
  <si>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</si>
  <si>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</si>
  <si>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</si>
  <si>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</si>
  <si>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</si>
  <si>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</si>
  <si>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</si>
  <si>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</si>
  <si>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</si>
  <si>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</si>
  <si>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</si>
  <si>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</si>
  <si>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</si>
  <si>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</si>
  <si>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</si>
  <si>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</si>
  <si>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</si>
  <si>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</si>
  <si>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</si>
  <si>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</si>
  <si>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</si>
  <si>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</si>
  <si>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</si>
  <si>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</si>
  <si>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</si>
  <si>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</si>
  <si>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</si>
  <si>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</si>
  <si>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</si>
  <si>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</si>
  <si>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</si>
  <si>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</si>
  <si>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</si>
  <si>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</si>
  <si>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</si>
  <si>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</si>
  <si>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</si>
  <si>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</si>
  <si>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</si>
  <si>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</si>
  <si>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</si>
  <si>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</si>
  <si>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</si>
  <si>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</si>
  <si>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</si>
  <si>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</si>
  <si>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</si>
  <si>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</si>
  <si>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</si>
  <si>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</si>
  <si>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</si>
  <si>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</si>
  <si>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</si>
  <si>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</si>
  <si>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</si>
  <si>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</si>
  <si>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</si>
  <si>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</si>
  <si>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</si>
  <si>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</si>
  <si>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</si>
  <si>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</si>
  <si>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</si>
  <si>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</si>
  <si>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</si>
  <si>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</si>
  <si>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</si>
  <si>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</si>
  <si>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</si>
  <si>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</si>
  <si>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</si>
  <si>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</si>
  <si>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</si>
  <si>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</si>
  <si>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</si>
  <si>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</si>
  <si>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</si>
  <si>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</si>
  <si>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</si>
  <si>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</si>
  <si>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</si>
  <si>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</si>
  <si>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</si>
  <si>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</si>
  <si>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</si>
  <si>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</si>
  <si>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</si>
  <si>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</si>
  <si>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</si>
  <si>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</si>
  <si>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</si>
  <si>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</si>
  <si>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</si>
  <si>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</si>
  <si>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</si>
  <si>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</si>
  <si>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</si>
  <si>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</si>
  <si>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</si>
  <si>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</si>
  <si>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</si>
  <si>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</si>
  <si>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</si>
  <si>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</si>
  <si>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</si>
  <si>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</si>
  <si>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</si>
  <si>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</si>
  <si>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</si>
  <si>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</si>
  <si>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</si>
  <si>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</si>
  <si>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</si>
  <si>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</si>
  <si>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</si>
  <si>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</si>
  <si>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</si>
  <si>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</si>
  <si>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</si>
  <si>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</si>
  <si>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</si>
  <si>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</si>
  <si>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</si>
  <si>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</si>
  <si>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</si>
  <si>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</si>
  <si>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</si>
  <si>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</si>
  <si>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</si>
  <si>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</si>
  <si>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</si>
  <si>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</si>
  <si>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</si>
  <si>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</si>
  <si>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</si>
  <si>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</si>
  <si>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</si>
  <si>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</si>
  <si>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</si>
  <si>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</si>
  <si>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</si>
  <si>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</si>
  <si>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</si>
  <si>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</si>
  <si>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</si>
  <si>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</si>
  <si>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</si>
  <si>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</si>
  <si>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</si>
  <si>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</si>
  <si>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</si>
  <si>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</si>
  <si>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</si>
  <si>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</si>
  <si>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</si>
  <si>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</si>
  <si>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</si>
  <si>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</si>
  <si>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</si>
  <si>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</si>
  <si>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</si>
  <si>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</si>
  <si>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</si>
  <si>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</si>
  <si>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</si>
  <si>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</si>
  <si>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</si>
  <si>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</si>
  <si>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</si>
  <si>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</si>
  <si>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</si>
  <si>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</si>
  <si>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</si>
  <si>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</si>
  <si>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</si>
  <si>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</si>
  <si>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</si>
  <si>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</si>
  <si>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</si>
  <si>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</si>
  <si>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</si>
  <si>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</si>
  <si>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</si>
  <si>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</si>
  <si>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</si>
  <si>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</si>
  <si>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</si>
  <si>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</si>
  <si>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</si>
  <si>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</si>
  <si>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</si>
  <si>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</si>
  <si>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</si>
  <si>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</si>
  <si>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</si>
  <si>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</si>
  <si>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</si>
  <si>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</si>
  <si>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</si>
  <si>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</si>
  <si>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</si>
  <si>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</si>
  <si>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</si>
  <si>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</si>
  <si>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</si>
  <si>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</si>
  <si>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</si>
  <si>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</si>
  <si>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</si>
  <si>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</si>
  <si>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</si>
  <si>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</si>
  <si>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</si>
  <si>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</si>
  <si>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</si>
  <si>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</si>
  <si>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</si>
  <si>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</si>
  <si>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</si>
  <si>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</si>
  <si>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</si>
  <si>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</si>
  <si>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</si>
  <si>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</si>
  <si>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</si>
  <si>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</si>
  <si>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</si>
  <si>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</si>
  <si>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</si>
  <si>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</si>
  <si>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</si>
  <si>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</si>
  <si>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</si>
  <si>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</si>
  <si>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</si>
  <si>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</si>
  <si>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</si>
  <si>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</si>
  <si>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</si>
  <si>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</si>
  <si>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</si>
  <si>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</si>
  <si>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</si>
  <si>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</si>
  <si>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</si>
  <si>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</si>
  <si>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</si>
  <si>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</si>
  <si>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</si>
  <si>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</si>
  <si>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</si>
  <si>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</si>
  <si>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</si>
  <si>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</si>
  <si>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</si>
  <si>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</si>
  <si>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</si>
  <si>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</si>
  <si>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</si>
  <si>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</si>
  <si>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</si>
  <si>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</si>
  <si>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</si>
  <si>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</si>
  <si>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</si>
  <si>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</si>
  <si>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</si>
  <si>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</si>
  <si>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</si>
  <si>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</si>
  <si>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</si>
  <si>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</si>
  <si>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</si>
  <si>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</si>
  <si>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</si>
  <si>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</si>
  <si>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</si>
  <si>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</si>
  <si>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</si>
  <si>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</si>
  <si>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</si>
  <si>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</si>
  <si>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</si>
  <si>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</si>
  <si>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</si>
  <si>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</si>
  <si>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</si>
  <si>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</si>
  <si>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</si>
  <si>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</si>
  <si>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</si>
  <si>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</si>
  <si>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</si>
  <si>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</si>
  <si>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</si>
  <si>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</si>
  <si>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</si>
  <si>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</si>
  <si>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</si>
  <si>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</si>
  <si>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</si>
  <si>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</si>
  <si>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</si>
  <si>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</si>
  <si>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</si>
  <si>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</si>
  <si>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</si>
  <si>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</si>
  <si>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</si>
  <si>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</si>
  <si>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</si>
  <si>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</si>
  <si>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</si>
  <si>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</si>
  <si>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</si>
  <si>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</si>
  <si>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</si>
  <si>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</si>
  <si>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</si>
  <si>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</si>
  <si>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</si>
  <si>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</si>
  <si>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</si>
  <si>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</si>
  <si>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</si>
  <si>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</si>
  <si>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</si>
  <si>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</si>
  <si>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</si>
  <si>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</si>
  <si>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</si>
  <si>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</si>
  <si>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</si>
  <si>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</si>
  <si>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</si>
  <si>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</si>
  <si>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</si>
  <si>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</si>
  <si>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</si>
  <si>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</si>
  <si>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</si>
  <si>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</si>
  <si>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</si>
  <si>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</si>
  <si>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</si>
  <si>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</si>
  <si>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</si>
  <si>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</si>
  <si>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</si>
  <si>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</si>
  <si>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</si>
  <si>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</si>
  <si>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</si>
  <si>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</si>
  <si>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</si>
  <si>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</si>
  <si>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</si>
  <si>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</si>
  <si>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</si>
  <si>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</si>
  <si>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</si>
  <si>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</si>
  <si>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</si>
  <si>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</si>
  <si>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</si>
  <si>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</si>
  <si>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+32 (456) 161406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</si>
  <si>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</si>
  <si>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</si>
  <si>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</si>
  <si>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</si>
  <si>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</si>
  <si>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</si>
  <si>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</si>
  <si>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</si>
  <si>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</si>
  <si>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</si>
  <si>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</si>
  <si>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</si>
  <si>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</si>
  <si>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</si>
  <si>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</si>
  <si>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</si>
  <si>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</si>
  <si>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</si>
  <si>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</si>
  <si>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</si>
  <si>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</si>
  <si>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</si>
  <si>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</si>
  <si>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</si>
  <si>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</si>
  <si>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</si>
  <si>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</si>
  <si>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</si>
  <si>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</si>
  <si>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</si>
  <si>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</si>
  <si>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</si>
  <si>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</si>
  <si>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</si>
  <si>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</si>
  <si>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</si>
  <si>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</si>
  <si>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</si>
  <si>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</si>
  <si>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</si>
  <si>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</si>
  <si>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</si>
  <si>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</si>
  <si>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</si>
  <si>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</si>
  <si>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</si>
  <si>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</si>
  <si>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</si>
  <si>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</si>
  <si>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</si>
  <si>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</si>
  <si>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</si>
  <si>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</si>
  <si>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</si>
  <si>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</si>
  <si>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</si>
  <si>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</si>
  <si>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</si>
  <si>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</si>
  <si>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</si>
  <si>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</si>
  <si>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</si>
  <si>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</si>
  <si>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</si>
  <si>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</si>
  <si>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</si>
  <si>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</si>
  <si>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</si>
  <si>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</si>
  <si>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</si>
  <si>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</si>
  <si>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</si>
  <si>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</si>
  <si>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</si>
  <si>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</si>
  <si>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</si>
  <si>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</si>
  <si>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</si>
  <si>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</si>
  <si>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</si>
  <si>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</si>
  <si>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</si>
  <si>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</si>
  <si>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</si>
  <si>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</si>
  <si>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</si>
  <si>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</si>
  <si>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</si>
  <si>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</si>
  <si>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</si>
  <si>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</si>
  <si>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</si>
  <si>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</si>
  <si>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</si>
  <si>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</si>
  <si>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</si>
  <si>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</si>
  <si>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</si>
  <si>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</si>
  <si>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</si>
  <si>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</si>
  <si>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</si>
  <si>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</si>
  <si>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</si>
  <si>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</si>
  <si>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</si>
  <si>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</si>
  <si>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</si>
  <si>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</si>
  <si>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</si>
  <si>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</si>
  <si>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</si>
  <si>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</si>
  <si>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</si>
  <si>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</si>
  <si>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</si>
  <si>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</si>
  <si>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</si>
  <si>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</si>
  <si>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</si>
  <si>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</si>
  <si>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</si>
  <si>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</si>
  <si>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</si>
  <si>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</si>
  <si>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</si>
  <si>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</si>
  <si>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</si>
  <si>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</si>
  <si>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</si>
  <si>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</si>
  <si>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</si>
  <si>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</si>
  <si>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</si>
  <si>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</si>
  <si>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</si>
  <si>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</si>
  <si>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</si>
  <si>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</si>
  <si>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</si>
  <si>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</si>
  <si>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</si>
  <si>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</si>
  <si>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</si>
  <si>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</si>
  <si>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</si>
  <si>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</si>
  <si>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</si>
  <si>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</si>
  <si>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</si>
  <si>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</si>
  <si>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</si>
  <si>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</si>
  <si>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</si>
  <si>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</si>
  <si>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</si>
  <si>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</si>
  <si>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</si>
  <si>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</si>
  <si>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</si>
  <si>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</si>
  <si>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</si>
  <si>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</si>
  <si>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</si>
  <si>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</si>
  <si>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</si>
  <si>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</si>
  <si>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</si>
  <si>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</si>
  <si>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</si>
  <si>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</si>
  <si>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</si>
  <si>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</si>
  <si>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</si>
  <si>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</si>
  <si>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</si>
  <si>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</si>
  <si>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</si>
  <si>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</si>
  <si>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</si>
  <si>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</si>
  <si>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</si>
  <si>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</si>
  <si>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</si>
  <si>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</si>
  <si>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</si>
  <si>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</si>
  <si>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</si>
  <si>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</si>
  <si>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</si>
  <si>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</si>
  <si>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</si>
  <si>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</si>
  <si>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</si>
  <si>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</si>
  <si>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</si>
  <si>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</si>
  <si>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</si>
  <si>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</si>
  <si>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</si>
  <si>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</si>
  <si>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</si>
  <si>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</si>
  <si>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</si>
  <si>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</si>
  <si>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</si>
  <si>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</si>
  <si>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</si>
  <si>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</si>
  <si>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</si>
  <si>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</si>
  <si>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</si>
  <si>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</si>
  <si>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</si>
  <si>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</si>
  <si>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</si>
  <si>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</si>
  <si>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</si>
  <si>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</si>
  <si>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</si>
  <si>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</si>
  <si>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</si>
  <si>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</si>
  <si>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</si>
  <si>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</si>
  <si>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</si>
  <si>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</si>
  <si>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</si>
  <si>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</si>
  <si>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</si>
  <si>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</si>
  <si>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</si>
  <si>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</si>
  <si>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</si>
  <si>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</si>
  <si>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</si>
  <si>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</si>
  <si>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</si>
  <si>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</si>
  <si>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</si>
  <si>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</si>
  <si>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</si>
  <si>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</si>
  <si>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</si>
  <si>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</si>
  <si>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</si>
  <si>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</si>
  <si>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</si>
  <si>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</si>
  <si>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</si>
  <si>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</si>
  <si>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ROREY59@HOTMAIL.COM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</si>
  <si>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</si>
  <si>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</si>
  <si>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</si>
  <si>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</si>
  <si>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</si>
  <si>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</si>
  <si>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</si>
  <si>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</si>
  <si>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</si>
  <si>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</si>
  <si>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</si>
  <si>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</si>
  <si>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</si>
  <si>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</si>
  <si>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</si>
  <si>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</si>
  <si>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</si>
  <si>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</si>
  <si>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</si>
  <si>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</si>
  <si>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</si>
  <si>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</si>
  <si>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</si>
  <si>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</si>
  <si>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</si>
  <si>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</si>
  <si>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</si>
  <si>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</si>
  <si>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</si>
  <si>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</si>
  <si>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</si>
  <si>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</si>
  <si>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</si>
  <si>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</si>
  <si>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</si>
  <si>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</si>
  <si>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</si>
  <si>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</si>
  <si>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</si>
  <si>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</si>
  <si>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</si>
  <si>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</si>
  <si>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</si>
  <si>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</si>
  <si>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</si>
  <si>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</si>
  <si>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</si>
  <si>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</si>
  <si>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</si>
  <si>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</si>
  <si>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</si>
  <si>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</si>
  <si>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</si>
  <si>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</si>
  <si>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</si>
  <si>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</si>
  <si>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</si>
  <si>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</si>
  <si>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</si>
  <si>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</si>
  <si>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</si>
  <si>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</si>
  <si>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</si>
  <si>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</si>
  <si>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</si>
  <si>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</si>
  <si>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</si>
  <si>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</si>
  <si>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</si>
  <si>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</si>
  <si>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</si>
  <si>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</si>
  <si>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</si>
  <si>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</si>
  <si>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</si>
  <si>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</si>
  <si>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</si>
  <si>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</si>
  <si>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</si>
  <si>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</si>
  <si>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</si>
  <si>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</si>
  <si>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</si>
  <si>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</si>
  <si>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</si>
  <si>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</si>
  <si>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</si>
  <si>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</si>
  <si>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</si>
  <si>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</si>
  <si>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</si>
  <si>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</si>
  <si>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</si>
  <si>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</si>
  <si>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</si>
  <si>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</si>
  <si>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</si>
  <si>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</si>
  <si>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</si>
  <si>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</si>
  <si>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</si>
  <si>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</si>
  <si>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</si>
  <si>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</si>
  <si>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</si>
  <si>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</si>
  <si>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</si>
  <si>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</si>
  <si>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</si>
  <si>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</si>
  <si>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</si>
  <si>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</si>
  <si>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</si>
  <si>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</si>
  <si>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</si>
  <si>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</si>
  <si>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</si>
  <si>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</si>
  <si>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</si>
  <si>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</si>
  <si>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</si>
  <si>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</si>
  <si>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</si>
  <si>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</si>
  <si>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</si>
  <si>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</si>
  <si>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</si>
  <si>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</si>
  <si>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</si>
  <si>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</si>
  <si>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</si>
  <si>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</si>
  <si>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</si>
  <si>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</si>
  <si>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</si>
  <si>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</si>
  <si>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De Grom</t>
  </si>
  <si>
    <t>+32 (497) 789445</t>
  </si>
  <si>
    <t>Patrick.DeGrom@delijn.be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</si>
  <si>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</si>
  <si>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</si>
  <si>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</si>
  <si>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</si>
  <si>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</si>
  <si>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</si>
  <si>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</si>
  <si>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</si>
  <si>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</si>
  <si>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</si>
  <si>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</si>
  <si>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</si>
  <si>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</si>
  <si>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</si>
  <si>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</si>
  <si>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</si>
  <si>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</si>
  <si>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</si>
  <si>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</si>
  <si>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</si>
  <si>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</si>
  <si>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</si>
  <si>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</si>
  <si>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</si>
  <si>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</si>
  <si>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</si>
  <si>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</si>
  <si>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</si>
  <si>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</si>
  <si>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</si>
  <si>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</si>
  <si>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</si>
  <si>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</si>
  <si>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</si>
  <si>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</si>
  <si>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</si>
  <si>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</si>
  <si>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</si>
  <si>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</si>
  <si>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</si>
  <si>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</si>
  <si>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</si>
  <si>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</si>
  <si>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</si>
  <si>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</si>
  <si>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</si>
  <si>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</si>
  <si>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</si>
  <si>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</si>
  <si>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</si>
  <si>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</si>
  <si>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</si>
  <si>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</si>
  <si>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</si>
  <si>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</si>
  <si>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</si>
  <si>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</si>
  <si>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</si>
  <si>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</si>
  <si>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</si>
  <si>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</si>
  <si>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</si>
  <si>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</si>
  <si>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</si>
  <si>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</si>
  <si>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</si>
  <si>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</si>
  <si>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</si>
  <si>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</si>
  <si>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</si>
  <si>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</si>
  <si>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</si>
  <si>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</si>
  <si>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</si>
  <si>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</si>
  <si>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</si>
  <si>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</si>
  <si>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Aksu</t>
  </si>
  <si>
    <t>Oguzhan</t>
  </si>
  <si>
    <t>+32 (472) 632859</t>
  </si>
  <si>
    <t>oguzhan.aksu@delijn.be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</si>
  <si>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</si>
  <si>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</si>
  <si>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</si>
  <si>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</si>
  <si>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</si>
  <si>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</si>
  <si>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</si>
  <si>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</si>
  <si>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</si>
  <si>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</si>
  <si>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</si>
  <si>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</si>
  <si>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</si>
  <si>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</si>
  <si>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</si>
  <si>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</si>
  <si>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</si>
  <si>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</si>
  <si>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</si>
  <si>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</si>
  <si>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</si>
  <si>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</si>
  <si>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</si>
  <si>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</si>
  <si>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</si>
  <si>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</si>
  <si>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Couvreur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</si>
  <si>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</si>
  <si>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</si>
  <si>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</si>
  <si>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</si>
  <si>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</si>
  <si>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</si>
  <si>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</si>
  <si>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</si>
  <si>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</si>
  <si>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</si>
  <si>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</si>
  <si>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</si>
  <si>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</si>
  <si>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</si>
  <si>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</si>
  <si>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</si>
  <si>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</si>
  <si>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</si>
  <si>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</si>
  <si>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</si>
  <si>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</si>
  <si>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</si>
  <si>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</si>
  <si>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</si>
  <si>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</si>
  <si>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</si>
  <si>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</si>
  <si>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</si>
  <si>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</si>
  <si>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</si>
  <si>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</si>
  <si>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</si>
  <si>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</si>
  <si>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</si>
  <si>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</si>
  <si>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</si>
  <si>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</si>
  <si>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</si>
  <si>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</si>
  <si>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</si>
  <si>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</si>
  <si>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</si>
  <si>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</si>
  <si>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</si>
  <si>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</si>
  <si>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</si>
  <si>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</si>
  <si>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</si>
  <si>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</si>
  <si>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</si>
  <si>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</si>
  <si>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</si>
  <si>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</si>
  <si>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</si>
  <si>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</si>
  <si>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</si>
  <si>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</si>
  <si>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</si>
  <si>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</si>
  <si>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</si>
  <si>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</si>
  <si>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</si>
  <si>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</si>
  <si>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</si>
  <si>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</si>
  <si>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</si>
  <si>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</si>
  <si>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</si>
  <si>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</si>
  <si>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</si>
  <si>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</si>
  <si>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</si>
  <si>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</si>
  <si>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</si>
  <si>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</si>
  <si>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</si>
  <si>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</si>
  <si>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</si>
  <si>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</si>
  <si>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</si>
  <si>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</si>
  <si>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</si>
  <si>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</si>
  <si>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</si>
  <si>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</si>
  <si>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</si>
  <si>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</si>
  <si>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</si>
  <si>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</si>
  <si>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</si>
  <si>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</si>
  <si>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</si>
  <si>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</si>
  <si>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</si>
  <si>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</si>
  <si>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</si>
  <si>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</si>
  <si>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</si>
  <si>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</si>
  <si>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</si>
  <si>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</si>
  <si>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</si>
  <si>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</si>
  <si>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</si>
  <si>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</si>
  <si>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</si>
  <si>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</si>
  <si>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</si>
  <si>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</si>
  <si>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</si>
  <si>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</si>
  <si>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</si>
  <si>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</si>
  <si>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</si>
  <si>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</si>
  <si>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</si>
  <si>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</si>
  <si>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</si>
  <si>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</si>
  <si>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</si>
  <si>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</si>
  <si>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</si>
  <si>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</si>
  <si>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</si>
  <si>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</si>
  <si>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</si>
  <si>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</si>
  <si>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</si>
  <si>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</si>
  <si>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</si>
  <si>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</si>
  <si>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</si>
  <si>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</si>
  <si>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</si>
  <si>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</si>
  <si>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</si>
  <si>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</si>
  <si>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</si>
  <si>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</si>
  <si>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</si>
  <si>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</si>
  <si>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</si>
  <si>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</si>
  <si>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</si>
  <si>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</si>
  <si>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</si>
  <si>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</si>
  <si>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</si>
  <si>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</si>
  <si>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</si>
  <si>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</si>
  <si>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</si>
  <si>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</si>
  <si>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</si>
  <si>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</si>
  <si>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</si>
  <si>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</si>
  <si>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</si>
  <si>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</si>
  <si>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</si>
  <si>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</si>
  <si>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</si>
  <si>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</si>
  <si>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</si>
  <si>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</si>
  <si>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</si>
  <si>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</si>
  <si>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</si>
  <si>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</si>
  <si>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</si>
  <si>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De Jonge</t>
  </si>
  <si>
    <t>+32 (484) 493979</t>
  </si>
  <si>
    <t>Matthew.DeJonge@delijn.be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</si>
  <si>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</si>
  <si>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</si>
  <si>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</si>
  <si>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</si>
  <si>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</si>
  <si>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</si>
  <si>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</si>
  <si>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</si>
  <si>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</si>
  <si>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</si>
  <si>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</si>
  <si>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</si>
  <si>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</si>
  <si>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</si>
  <si>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</si>
  <si>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</si>
  <si>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</si>
  <si>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</si>
  <si>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</si>
  <si>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</si>
  <si>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</si>
  <si>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</si>
  <si>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</si>
  <si>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</si>
  <si>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</si>
  <si>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</si>
  <si>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</si>
  <si>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</si>
  <si>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</si>
  <si>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</si>
  <si>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</si>
  <si>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</si>
  <si>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</si>
  <si>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</si>
  <si>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</si>
  <si>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</si>
  <si>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</si>
  <si>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</si>
  <si>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</si>
  <si>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</si>
  <si>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</si>
  <si>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</si>
  <si>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</si>
  <si>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</si>
  <si>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</si>
  <si>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</si>
  <si>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</si>
  <si>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</si>
  <si>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</si>
  <si>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</si>
  <si>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</si>
  <si>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</si>
  <si>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</si>
  <si>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</si>
  <si>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</si>
  <si>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</si>
  <si>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</si>
  <si>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</si>
  <si>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</si>
  <si>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</si>
  <si>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</si>
  <si>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</si>
  <si>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</si>
  <si>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</si>
  <si>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</si>
  <si>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</si>
  <si>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</si>
  <si>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</si>
  <si>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</si>
  <si>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</si>
  <si>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</si>
  <si>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</si>
  <si>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</si>
  <si>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</si>
  <si>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</si>
  <si>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</si>
  <si>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</si>
  <si>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</si>
  <si>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</si>
  <si>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</si>
  <si>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</si>
  <si>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</si>
  <si>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</si>
  <si>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</si>
  <si>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</si>
  <si>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</si>
  <si>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</si>
  <si>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</si>
  <si>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</si>
  <si>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</si>
  <si>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</si>
  <si>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</si>
  <si>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</si>
  <si>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</si>
  <si>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M'Hamed.Azahaf@delijn.be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</si>
  <si>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</si>
  <si>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</si>
  <si>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</si>
  <si>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</si>
  <si>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</si>
  <si>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</si>
  <si>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</si>
  <si>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</si>
  <si>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</si>
  <si>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</si>
  <si>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</si>
  <si>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</si>
  <si>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</si>
  <si>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</si>
  <si>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</si>
  <si>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</si>
  <si>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</si>
  <si>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</si>
  <si>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</si>
  <si>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</si>
  <si>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</si>
  <si>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</si>
  <si>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</si>
  <si>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</si>
  <si>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</si>
  <si>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</si>
  <si>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</si>
  <si>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</si>
  <si>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</si>
  <si>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</si>
  <si>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</si>
  <si>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</si>
  <si>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</si>
  <si>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</si>
  <si>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</si>
  <si>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</si>
  <si>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</si>
  <si>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</si>
  <si>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</si>
  <si>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</si>
  <si>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</si>
  <si>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</si>
  <si>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</si>
  <si>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</si>
  <si>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</si>
  <si>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</si>
  <si>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</si>
  <si>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</si>
  <si>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</si>
  <si>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</si>
  <si>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</si>
  <si>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</si>
  <si>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</si>
  <si>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</si>
  <si>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</si>
  <si>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</si>
  <si>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</si>
  <si>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</si>
  <si>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</si>
  <si>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</si>
  <si>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</si>
  <si>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</si>
  <si>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</si>
  <si>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</si>
  <si>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</si>
  <si>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</si>
  <si>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</si>
  <si>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</si>
  <si>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</si>
  <si>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</si>
  <si>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</si>
  <si>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</si>
  <si>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</si>
  <si>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</si>
  <si>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</si>
  <si>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</si>
  <si>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</si>
  <si>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</si>
  <si>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</si>
  <si>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</si>
  <si>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</si>
  <si>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</si>
  <si>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</si>
  <si>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</si>
  <si>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</si>
  <si>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</si>
  <si>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</si>
  <si>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</si>
  <si>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</si>
  <si>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</si>
  <si>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</si>
  <si>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</si>
  <si>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</si>
  <si>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</si>
  <si>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</si>
  <si>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</si>
  <si>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</si>
  <si>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</si>
  <si>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</si>
  <si>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</si>
  <si>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</si>
  <si>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</si>
  <si>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</si>
  <si>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</si>
  <si>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</si>
  <si>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</si>
  <si>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</si>
  <si>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</si>
  <si>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</si>
  <si>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</si>
  <si>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</si>
  <si>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</si>
  <si>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</si>
  <si>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</si>
  <si>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</si>
  <si>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</si>
  <si>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</si>
  <si>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</si>
  <si>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</si>
  <si>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</si>
  <si>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</si>
  <si>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</si>
  <si>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</si>
  <si>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</si>
  <si>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</si>
  <si>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</si>
  <si>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</si>
  <si>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</si>
  <si>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</si>
  <si>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</si>
  <si>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</si>
  <si>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</si>
  <si>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</si>
  <si>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</si>
  <si>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</si>
  <si>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</si>
  <si>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</si>
  <si>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</si>
  <si>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</si>
  <si>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</si>
  <si>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</si>
  <si>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</si>
  <si>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</si>
  <si>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</si>
  <si>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</si>
  <si>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</si>
  <si>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</si>
  <si>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</si>
  <si>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</si>
  <si>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</si>
  <si>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</si>
  <si>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</si>
  <si>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</si>
  <si>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</si>
  <si>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</si>
  <si>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</si>
  <si>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</si>
  <si>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</si>
  <si>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</si>
  <si>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</si>
  <si>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</si>
  <si>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</si>
  <si>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</si>
  <si>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</si>
  <si>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</si>
  <si>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</si>
  <si>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</si>
  <si>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</si>
  <si>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</si>
  <si>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</si>
  <si>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</si>
  <si>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</si>
  <si>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</si>
  <si>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</si>
  <si>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</si>
  <si>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</si>
  <si>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</si>
  <si>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</si>
  <si>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</si>
  <si>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</si>
  <si>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</si>
  <si>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</si>
  <si>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</si>
  <si>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</si>
  <si>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</si>
  <si>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</si>
  <si>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</si>
  <si>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</si>
  <si>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</si>
  <si>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</si>
  <si>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</si>
  <si>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</si>
  <si>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</si>
  <si>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</si>
  <si>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</si>
  <si>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</si>
  <si>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</si>
  <si>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</si>
  <si>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</si>
  <si>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</si>
  <si>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</si>
  <si>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</si>
  <si>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</si>
  <si>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</si>
  <si>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</si>
  <si>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</si>
  <si>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</si>
  <si>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</si>
  <si>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</si>
  <si>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</si>
  <si>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</si>
  <si>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</si>
  <si>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</si>
  <si>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</si>
  <si>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</si>
  <si>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Stroobandt</t>
  </si>
  <si>
    <t>Jonas</t>
  </si>
  <si>
    <t>+32 (476) 286766</t>
  </si>
  <si>
    <t>Jonas.Stroobandt@delijn.be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</si>
  <si>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</si>
  <si>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</si>
  <si>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</si>
  <si>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</si>
  <si>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</si>
  <si>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</si>
  <si>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</si>
  <si>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</si>
  <si>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</si>
  <si>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</si>
  <si>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</si>
  <si>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</si>
  <si>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</si>
  <si>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</si>
  <si>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</si>
  <si>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</si>
  <si>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</si>
  <si>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</si>
  <si>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</si>
  <si>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</si>
  <si>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</si>
  <si>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</si>
  <si>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</si>
  <si>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</si>
  <si>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</si>
  <si>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</si>
  <si>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</si>
  <si>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</si>
  <si>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</si>
  <si>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</si>
  <si>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</si>
  <si>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</si>
  <si>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</si>
  <si>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</si>
  <si>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</si>
  <si>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</si>
  <si>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</si>
  <si>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</si>
  <si>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</si>
  <si>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</si>
  <si>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</si>
  <si>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</si>
  <si>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</si>
  <si>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</si>
  <si>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</si>
  <si>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</si>
  <si>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</si>
  <si>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</si>
  <si>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</si>
  <si>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</si>
  <si>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</si>
  <si>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</si>
  <si>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</si>
  <si>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</si>
  <si>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</si>
  <si>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</si>
  <si>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</si>
  <si>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</si>
  <si>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</si>
  <si>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</si>
  <si>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</si>
  <si>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Wyffels</t>
  </si>
  <si>
    <t>Jean-Pierre</t>
  </si>
  <si>
    <t>+32 (496) 236274</t>
  </si>
  <si>
    <t>Jean-Pierre.Wyffels@delijn.be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</si>
  <si>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</si>
  <si>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</si>
  <si>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</si>
  <si>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</si>
  <si>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</si>
  <si>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</si>
  <si>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</si>
  <si>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</si>
  <si>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</si>
  <si>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</si>
  <si>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</si>
  <si>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</si>
  <si>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</si>
  <si>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</si>
  <si>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</si>
  <si>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</si>
  <si>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</si>
  <si>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</si>
  <si>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</si>
  <si>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</si>
  <si>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</si>
  <si>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</si>
  <si>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</si>
  <si>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</si>
  <si>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</si>
  <si>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</si>
  <si>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</si>
  <si>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</si>
  <si>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</si>
  <si>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</si>
  <si>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</si>
  <si>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</si>
  <si>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</si>
  <si>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</si>
  <si>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</si>
  <si>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</si>
  <si>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</si>
  <si>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</si>
  <si>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</si>
  <si>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</si>
  <si>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</si>
  <si>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</si>
  <si>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</si>
  <si>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</si>
  <si>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+32 (465) 808502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</si>
  <si>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</si>
  <si>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</si>
  <si>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</si>
  <si>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</si>
  <si>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</si>
  <si>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</si>
  <si>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</si>
  <si>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</si>
  <si>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</si>
  <si>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</si>
  <si>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</si>
  <si>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</si>
  <si>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</si>
  <si>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</si>
  <si>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</si>
  <si>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</si>
  <si>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</si>
  <si>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</si>
  <si>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</si>
  <si>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</si>
  <si>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</si>
  <si>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</si>
  <si>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</si>
  <si>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</si>
  <si>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</si>
  <si>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</si>
  <si>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</si>
  <si>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</si>
  <si>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</si>
  <si>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</si>
  <si>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</si>
  <si>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</si>
  <si>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</si>
  <si>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</si>
  <si>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</si>
  <si>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</si>
  <si>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</si>
  <si>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</si>
  <si>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</si>
  <si>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</si>
  <si>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</si>
  <si>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</si>
  <si>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</si>
  <si>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</si>
  <si>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</si>
  <si>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</si>
  <si>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</si>
  <si>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</si>
  <si>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</si>
  <si>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</si>
  <si>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</si>
  <si>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</si>
  <si>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</si>
  <si>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</si>
  <si>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</si>
  <si>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</si>
  <si>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</si>
  <si>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</si>
  <si>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</si>
  <si>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</si>
  <si>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</si>
  <si>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</si>
  <si>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</si>
  <si>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</si>
  <si>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</si>
  <si>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</si>
  <si>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</si>
  <si>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</si>
  <si>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</si>
  <si>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</si>
  <si>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</si>
  <si>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</si>
  <si>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</si>
  <si>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</si>
  <si>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</si>
  <si>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</si>
  <si>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</si>
  <si>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</si>
  <si>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</si>
  <si>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</si>
  <si>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</si>
  <si>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</si>
  <si>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</si>
  <si>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</si>
  <si>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</si>
  <si>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</si>
  <si>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</si>
  <si>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</si>
  <si>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</si>
  <si>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</si>
  <si>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</si>
  <si>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</si>
  <si>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</si>
  <si>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</si>
  <si>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</si>
  <si>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</si>
  <si>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</si>
  <si>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</si>
  <si>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</si>
  <si>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</si>
  <si>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</si>
  <si>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</si>
  <si>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</si>
  <si>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</si>
  <si>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</si>
  <si>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</si>
  <si>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</si>
  <si>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</si>
  <si>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</si>
  <si>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</si>
  <si>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</si>
  <si>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</si>
  <si>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</si>
  <si>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</si>
  <si>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</si>
  <si>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</si>
  <si>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</si>
  <si>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</si>
  <si>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</si>
  <si>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</si>
  <si>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</si>
  <si>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</si>
  <si>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</si>
  <si>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</si>
  <si>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</si>
  <si>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</si>
  <si>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</si>
  <si>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</si>
  <si>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</si>
  <si>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</si>
  <si>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</si>
  <si>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</si>
  <si>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</si>
  <si>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</si>
  <si>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</si>
  <si>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</si>
  <si>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</si>
  <si>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</si>
  <si>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</si>
  <si>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</si>
  <si>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</si>
  <si>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</si>
  <si>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</si>
  <si>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</si>
  <si>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</si>
  <si>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</si>
  <si>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</si>
  <si>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</si>
  <si>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</si>
  <si>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Mijnals</t>
  </si>
  <si>
    <t>Gillan</t>
  </si>
  <si>
    <t>+32 (456) 776257</t>
  </si>
  <si>
    <t>gillan.mijnals@delijn.be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</si>
  <si>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</si>
  <si>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</si>
  <si>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</si>
  <si>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</si>
  <si>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</si>
  <si>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</si>
  <si>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</si>
  <si>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</si>
  <si>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</si>
  <si>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</si>
  <si>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</si>
  <si>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</si>
  <si>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</si>
  <si>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</si>
  <si>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</si>
  <si>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</si>
  <si>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</si>
  <si>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</si>
  <si>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</si>
  <si>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</si>
  <si>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</si>
  <si>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</si>
  <si>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</si>
  <si>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</si>
  <si>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</si>
  <si>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</si>
  <si>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</si>
  <si>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</si>
  <si>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</si>
  <si>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</si>
  <si>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</si>
  <si>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</si>
  <si>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</si>
  <si>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</si>
  <si>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</si>
  <si>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</si>
  <si>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</si>
  <si>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</si>
  <si>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</si>
  <si>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</si>
  <si>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</si>
  <si>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</si>
  <si>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</si>
  <si>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</si>
  <si>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</si>
  <si>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</si>
  <si>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</si>
  <si>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</si>
  <si>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</si>
  <si>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</si>
  <si>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</si>
  <si>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</si>
  <si>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</si>
  <si>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</si>
  <si>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</si>
  <si>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</si>
  <si>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</si>
  <si>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</si>
  <si>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</si>
  <si>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</si>
  <si>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</si>
  <si>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</si>
  <si>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</si>
  <si>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</si>
  <si>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</si>
  <si>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</si>
  <si>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</si>
  <si>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</si>
  <si>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</si>
  <si>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</si>
  <si>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</si>
  <si>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</si>
  <si>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</si>
  <si>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</si>
  <si>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</si>
  <si>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</si>
  <si>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</si>
  <si>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</si>
  <si>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</si>
  <si>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</si>
  <si>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</si>
  <si>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</si>
  <si>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</si>
  <si>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</si>
  <si>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</si>
  <si>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</si>
  <si>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</si>
  <si>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</si>
  <si>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</si>
  <si>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</si>
  <si>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</si>
  <si>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</si>
  <si>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</si>
  <si>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</si>
  <si>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</si>
  <si>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</si>
  <si>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</si>
  <si>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</si>
  <si>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</si>
  <si>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</si>
  <si>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</si>
  <si>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</si>
  <si>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</si>
  <si>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</si>
  <si>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</si>
  <si>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</si>
  <si>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</si>
  <si>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</si>
  <si>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</si>
  <si>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</si>
  <si>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</si>
  <si>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</si>
  <si>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</si>
  <si>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</si>
  <si>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</si>
  <si>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</si>
  <si>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</si>
  <si>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</si>
  <si>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</si>
  <si>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</si>
  <si>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</si>
  <si>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</si>
  <si>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</si>
  <si>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</si>
  <si>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</si>
  <si>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</si>
  <si>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</si>
  <si>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</si>
  <si>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</si>
  <si>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</si>
  <si>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</si>
  <si>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</si>
  <si>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</si>
  <si>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</si>
  <si>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</si>
  <si>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</si>
  <si>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</si>
  <si>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</si>
  <si>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</si>
  <si>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</si>
  <si>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</si>
  <si>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</si>
  <si>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</si>
  <si>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</si>
  <si>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</si>
  <si>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</si>
  <si>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</si>
  <si>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</si>
  <si>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</si>
  <si>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</si>
  <si>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</si>
  <si>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</si>
  <si>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</si>
  <si>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</si>
  <si>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</si>
  <si>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</si>
  <si>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</si>
  <si>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</si>
  <si>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</si>
  <si>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</si>
  <si>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</si>
  <si>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</si>
  <si>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</si>
  <si>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</si>
  <si>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</si>
  <si>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</si>
  <si>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</si>
  <si>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</si>
  <si>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</si>
  <si>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</si>
  <si>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</si>
  <si>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</si>
  <si>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</si>
  <si>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</si>
  <si>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</si>
  <si>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</si>
  <si>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</si>
  <si>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</si>
  <si>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</si>
  <si>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</si>
  <si>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</si>
  <si>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</si>
  <si>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</si>
  <si>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</si>
  <si>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</si>
  <si>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</si>
  <si>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</si>
  <si>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</si>
  <si>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</si>
  <si>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</si>
  <si>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</si>
  <si>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</si>
  <si>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</si>
  <si>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</si>
  <si>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</si>
  <si>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</si>
  <si>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</si>
  <si>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</si>
  <si>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</si>
  <si>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</si>
  <si>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</si>
  <si>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</si>
  <si>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</si>
  <si>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Dolly</t>
  </si>
  <si>
    <t>+32 (495) 743146</t>
  </si>
  <si>
    <t>Dolly.DeGeyter@delijn.be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</si>
  <si>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</si>
  <si>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</si>
  <si>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</si>
  <si>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</si>
  <si>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</si>
  <si>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</si>
  <si>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</si>
  <si>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</si>
  <si>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</si>
  <si>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</si>
  <si>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</si>
  <si>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</si>
  <si>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</si>
  <si>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</si>
  <si>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</si>
  <si>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</si>
  <si>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</si>
  <si>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</si>
  <si>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</si>
  <si>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</si>
  <si>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</si>
  <si>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</si>
  <si>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</si>
  <si>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</si>
  <si>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</si>
  <si>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</si>
  <si>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</si>
  <si>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</si>
  <si>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</si>
  <si>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</si>
  <si>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</si>
  <si>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</si>
  <si>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</si>
  <si>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</si>
  <si>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</si>
  <si>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</si>
  <si>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</si>
  <si>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</si>
  <si>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</si>
  <si>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</si>
  <si>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</si>
  <si>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</si>
  <si>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</si>
  <si>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</si>
  <si>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</si>
  <si>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</si>
  <si>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</si>
  <si>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</si>
  <si>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</si>
  <si>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</si>
  <si>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</si>
  <si>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</si>
  <si>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</si>
  <si>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</si>
  <si>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</si>
  <si>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</si>
  <si>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</si>
  <si>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</si>
  <si>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</si>
  <si>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</si>
  <si>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</si>
  <si>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</si>
  <si>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</si>
  <si>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</si>
  <si>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</si>
  <si>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</si>
  <si>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</si>
  <si>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</si>
  <si>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</si>
  <si>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</si>
  <si>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</si>
  <si>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</si>
  <si>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</si>
  <si>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</si>
  <si>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</si>
  <si>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</si>
  <si>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</si>
  <si>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</si>
  <si>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</si>
  <si>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</si>
  <si>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</si>
  <si>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</si>
  <si>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</si>
  <si>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</si>
  <si>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</si>
  <si>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</si>
  <si>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</si>
  <si>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</si>
  <si>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</si>
  <si>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</si>
  <si>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</si>
  <si>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</si>
  <si>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</si>
  <si>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</si>
  <si>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</si>
  <si>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</si>
  <si>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</si>
  <si>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</si>
  <si>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</si>
  <si>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</si>
  <si>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</si>
  <si>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</si>
  <si>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</si>
  <si>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</si>
  <si>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</si>
  <si>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</si>
  <si>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</si>
  <si>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</si>
  <si>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</si>
  <si>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</si>
  <si>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</si>
  <si>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</si>
  <si>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</si>
  <si>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</si>
  <si>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</si>
  <si>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</si>
  <si>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</si>
  <si>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</si>
  <si>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</si>
  <si>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</si>
  <si>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</si>
  <si>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</si>
  <si>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</si>
  <si>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</si>
  <si>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</si>
  <si>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</si>
  <si>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</si>
  <si>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</si>
  <si>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</si>
  <si>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</si>
  <si>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</si>
  <si>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</si>
  <si>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</si>
  <si>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</si>
  <si>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</si>
  <si>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</si>
  <si>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</si>
  <si>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</si>
  <si>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</si>
  <si>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</si>
  <si>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</si>
  <si>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</si>
  <si>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</si>
  <si>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</si>
  <si>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</si>
  <si>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</si>
  <si>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</si>
  <si>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</si>
  <si>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</si>
  <si>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</si>
  <si>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</si>
  <si>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</si>
  <si>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</si>
  <si>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</si>
  <si>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</si>
  <si>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</si>
  <si>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</si>
  <si>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</si>
  <si>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</si>
  <si>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</si>
  <si>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</si>
  <si>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</si>
  <si>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</si>
  <si>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</si>
  <si>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</si>
  <si>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</si>
  <si>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</si>
  <si>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</si>
  <si>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</si>
  <si>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</si>
  <si>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</si>
  <si>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</si>
  <si>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</si>
  <si>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</si>
  <si>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</si>
  <si>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</si>
  <si>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</si>
  <si>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</si>
  <si>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</si>
  <si>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</si>
  <si>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</si>
  <si>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</si>
  <si>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</si>
  <si>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</si>
  <si>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</si>
  <si>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</si>
  <si>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</si>
  <si>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</si>
  <si>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</si>
  <si>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</si>
  <si>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</si>
  <si>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</si>
  <si>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</si>
  <si>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</si>
  <si>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</si>
  <si>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</si>
  <si>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</si>
  <si>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</si>
  <si>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</si>
  <si>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</si>
  <si>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</si>
  <si>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</si>
  <si>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</si>
  <si>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</si>
  <si>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</si>
  <si>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</si>
  <si>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</si>
  <si>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</si>
  <si>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</si>
  <si>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</si>
  <si>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</si>
  <si>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</si>
  <si>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</si>
  <si>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</si>
  <si>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</si>
  <si>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</si>
  <si>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</si>
  <si>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</si>
  <si>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</si>
  <si>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</si>
  <si>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</si>
  <si>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</si>
  <si>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</si>
  <si>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</si>
  <si>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</si>
  <si>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</si>
  <si>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</si>
  <si>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</si>
  <si>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</si>
  <si>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</si>
  <si>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</si>
  <si>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</si>
  <si>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</si>
  <si>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</si>
  <si>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</si>
  <si>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</si>
  <si>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</si>
  <si>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</si>
  <si>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</si>
  <si>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</si>
  <si>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</si>
  <si>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</si>
  <si>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</si>
  <si>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</si>
  <si>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</si>
  <si>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</si>
  <si>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</si>
  <si>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</si>
  <si>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</si>
  <si>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</si>
  <si>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</si>
  <si>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</si>
  <si>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</si>
  <si>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</si>
  <si>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</si>
  <si>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</si>
  <si>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</si>
  <si>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</si>
  <si>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</si>
  <si>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</si>
  <si>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</si>
  <si>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</si>
  <si>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</si>
  <si>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</si>
  <si>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</si>
  <si>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</si>
  <si>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</si>
  <si>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</si>
  <si>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</si>
  <si>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</si>
  <si>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</si>
  <si>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</si>
  <si>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</si>
  <si>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</si>
  <si>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</si>
  <si>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</si>
  <si>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</si>
  <si>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</si>
  <si>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</si>
  <si>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</si>
  <si>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</si>
  <si>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</si>
  <si>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</si>
  <si>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</si>
  <si>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</si>
  <si>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</si>
  <si>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</si>
  <si>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</si>
  <si>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</si>
  <si>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</si>
  <si>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</si>
  <si>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</si>
  <si>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</si>
  <si>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</si>
  <si>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</si>
  <si>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</si>
  <si>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</si>
  <si>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</si>
  <si>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</si>
  <si>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</si>
  <si>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</si>
  <si>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</si>
  <si>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</si>
  <si>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</si>
  <si>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</si>
  <si>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</si>
  <si>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</si>
  <si>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</si>
  <si>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</si>
  <si>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</si>
  <si>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</si>
  <si>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</si>
  <si>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</si>
  <si>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</si>
  <si>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</si>
  <si>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</si>
  <si>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</si>
  <si>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</si>
  <si>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</si>
  <si>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</si>
  <si>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</si>
  <si>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</si>
  <si>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</si>
  <si>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</si>
  <si>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</si>
  <si>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</si>
  <si>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</si>
  <si>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</si>
  <si>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</si>
  <si>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</si>
  <si>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</si>
  <si>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</si>
  <si>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</si>
  <si>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</si>
  <si>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</si>
  <si>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</si>
  <si>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</si>
  <si>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</si>
  <si>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</si>
  <si>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</si>
  <si>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</si>
  <si>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</si>
  <si>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</si>
  <si>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</si>
  <si>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</si>
  <si>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</si>
  <si>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</si>
  <si>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</si>
  <si>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</si>
  <si>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</si>
  <si>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</si>
  <si>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</si>
  <si>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</si>
  <si>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</si>
  <si>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</si>
  <si>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</si>
  <si>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</si>
  <si>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</si>
  <si>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</si>
  <si>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</si>
  <si>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</si>
  <si>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</si>
  <si>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</si>
  <si>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</si>
  <si>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</si>
  <si>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</si>
  <si>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</si>
  <si>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</si>
  <si>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</si>
  <si>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</si>
  <si>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</si>
  <si>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</si>
  <si>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</si>
  <si>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</si>
  <si>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</si>
  <si>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</si>
  <si>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</si>
  <si>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</si>
  <si>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</si>
  <si>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</si>
  <si>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</si>
  <si>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</si>
  <si>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</si>
  <si>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</si>
  <si>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</si>
  <si>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</si>
  <si>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</si>
  <si>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</si>
  <si>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</si>
  <si>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</si>
  <si>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</si>
  <si>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</si>
  <si>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</si>
  <si>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</si>
  <si>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</si>
  <si>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</si>
  <si>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</si>
  <si>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</si>
  <si>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</si>
  <si>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</si>
  <si>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</si>
  <si>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</si>
  <si>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</si>
  <si>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</si>
  <si>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</si>
  <si>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</si>
  <si>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</si>
  <si>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</si>
  <si>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</si>
  <si>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</si>
  <si>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</si>
  <si>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</si>
  <si>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</si>
  <si>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</si>
  <si>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+32 (492) 429999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</si>
  <si>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</si>
  <si>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</si>
  <si>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</si>
  <si>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</si>
  <si>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</si>
  <si>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</si>
  <si>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</si>
  <si>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</si>
  <si>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</si>
  <si>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</si>
  <si>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</si>
  <si>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</si>
  <si>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</si>
  <si>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</si>
  <si>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</si>
  <si>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</si>
  <si>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</si>
  <si>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</si>
  <si>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</si>
  <si>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</si>
  <si>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</si>
  <si>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</si>
  <si>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</si>
  <si>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</si>
  <si>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</si>
  <si>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</si>
  <si>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</si>
  <si>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</si>
  <si>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</si>
  <si>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</si>
  <si>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</si>
  <si>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</si>
  <si>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</si>
  <si>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</si>
  <si>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</si>
  <si>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</si>
  <si>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</si>
  <si>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</si>
  <si>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</si>
  <si>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</si>
  <si>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</si>
  <si>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</si>
  <si>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</si>
  <si>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</si>
  <si>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</si>
  <si>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</si>
  <si>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</si>
  <si>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</si>
  <si>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</si>
  <si>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</si>
  <si>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</si>
  <si>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</si>
  <si>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</si>
  <si>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</si>
  <si>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</si>
  <si>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</si>
  <si>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</si>
  <si>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</si>
  <si>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</si>
  <si>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</si>
  <si>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</si>
  <si>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</si>
  <si>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</si>
  <si>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</si>
  <si>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</si>
  <si>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</si>
  <si>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</si>
  <si>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</si>
  <si>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</si>
  <si>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</si>
  <si>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</si>
  <si>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</si>
  <si>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</si>
  <si>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</si>
  <si>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</si>
  <si>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</si>
  <si>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</si>
  <si>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</si>
  <si>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</si>
  <si>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</si>
  <si>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</si>
  <si>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</si>
  <si>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</si>
  <si>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</si>
  <si>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</si>
  <si>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</si>
  <si>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</si>
  <si>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</si>
  <si>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</si>
  <si>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</si>
  <si>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</si>
  <si>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</si>
  <si>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</si>
  <si>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</si>
  <si>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</si>
  <si>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</si>
  <si>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</si>
  <si>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</si>
  <si>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</si>
  <si>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</si>
  <si>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</si>
  <si>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</si>
  <si>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</si>
  <si>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</si>
  <si>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</si>
  <si>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</si>
  <si>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</si>
  <si>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</si>
  <si>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</si>
  <si>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</si>
  <si>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</si>
  <si>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</si>
  <si>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</si>
  <si>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</si>
  <si>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actief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</si>
  <si>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</si>
  <si>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</si>
  <si>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</si>
  <si>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>?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</si>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</sst>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sz val="11"/>
      <color rgb="FF000000"/>
      <name val="Aptos Narrow"/>
      <family val="2"/>
    </font>
  </fonts>
  <fills count="12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1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5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7" borderId="0" xfId="0" applyFont="1" applyFill="1"/>
    <xf numFmtId="0" fontId="5" fillId="8" borderId="0" xfId="0" applyFont="1" applyFill="1"/>
    <xf numFmtId="0" fontId="0" fillId="0" borderId="0" xfId="0" applyProtection="1">
      <protection locked="0"/>
    </xf>
    <xf numFmtId="14" fontId="0" fillId="5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9" borderId="0" xfId="0" applyFont="1" applyFill="1"/>
    <xf numFmtId="0" fontId="2" fillId="6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9" borderId="0" xfId="0" applyFill="1"/>
    <xf numFmtId="14" fontId="0" fillId="3" borderId="0" xfId="0" applyNumberFormat="1" applyFill="1" applyAlignment="1">
      <alignment horizontal="center"/>
    </xf>
    <xf numFmtId="0" fontId="7" fillId="9" borderId="0" xfId="0" applyFont="1" applyFill="1" applyAlignment="1">
      <alignment vertical="center"/>
    </xf>
    <xf numFmtId="0" fontId="4" fillId="9" borderId="0" xfId="0" applyFont="1" applyFill="1" applyAlignment="1">
      <alignment vertical="center"/>
    </xf>
    <xf numFmtId="0" fontId="8" fillId="9" borderId="0" xfId="0" applyFont="1" applyFill="1"/>
    <xf numFmtId="0" fontId="0" fillId="6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5" borderId="0" xfId="0" applyFill="1" applyAlignment="1">
      <alignment horizontal="left"/>
    </xf>
    <xf numFmtId="0" fontId="0" fillId="11" borderId="0" xfId="0" applyFill="1" applyAlignment="1">
      <alignment horizontal="left"/>
    </xf>
    <xf numFmtId="0" fontId="0" fillId="0" borderId="0" xfId="0" applyAlignment="1">
      <alignment vertical="center"/>
    </xf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Bus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28</c:v>
                </c:pt>
                <c:pt idx="1">
                  <c:v>37</c:v>
                </c:pt>
                <c:pt idx="2">
                  <c:v>33</c:v>
                </c:pt>
                <c:pt idx="3">
                  <c:v>27</c:v>
                </c:pt>
                <c:pt idx="4">
                  <c:v>20</c:v>
                </c:pt>
                <c:pt idx="5">
                  <c:v>25</c:v>
                </c:pt>
                <c:pt idx="6">
                  <c:v>31</c:v>
                </c:pt>
                <c:pt idx="7">
                  <c:v>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11</c:v>
                </c:pt>
                <c:pt idx="1">
                  <c:v>8</c:v>
                </c:pt>
                <c:pt idx="2">
                  <c:v>4</c:v>
                </c:pt>
                <c:pt idx="3">
                  <c:v>12</c:v>
                </c:pt>
                <c:pt idx="4">
                  <c:v>7</c:v>
                </c:pt>
                <c:pt idx="5">
                  <c:v>7</c:v>
                </c:pt>
                <c:pt idx="6">
                  <c:v>8</c:v>
                </c:pt>
                <c:pt idx="7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Els Vanhoe</c:v>
                </c:pt>
                <c:pt idx="3">
                  <c:v>Christoff Rotty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Els Dewulf</c:v>
                </c:pt>
                <c:pt idx="7">
                  <c:v>Lucie Vande Velde</c:v>
                </c:pt>
                <c:pt idx="8">
                  <c:v>Jarne Stubbe</c:v>
                </c:pt>
                <c:pt idx="9">
                  <c:v>uit dienst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53</c:v>
                </c:pt>
                <c:pt idx="1">
                  <c:v>43</c:v>
                </c:pt>
                <c:pt idx="2">
                  <c:v>39</c:v>
                </c:pt>
                <c:pt idx="3">
                  <c:v>35</c:v>
                </c:pt>
                <c:pt idx="4">
                  <c:v>30</c:v>
                </c:pt>
                <c:pt idx="5">
                  <c:v>28</c:v>
                </c:pt>
                <c:pt idx="6">
                  <c:v>23</c:v>
                </c:pt>
                <c:pt idx="7">
                  <c:v>22</c:v>
                </c:pt>
                <c:pt idx="8">
                  <c:v>4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751418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</xdr:colOff>
          <xdr:row>1</xdr:row>
          <xdr:rowOff>38100</xdr:rowOff>
        </xdr:from>
        <xdr:to>
          <xdr:col>6</xdr:col>
          <xdr:colOff>1097280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785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7</v>
          </cell>
          <cell r="B2" t="str">
            <v>Christoff Rotty</v>
          </cell>
          <cell r="D2">
            <v>25</v>
          </cell>
        </row>
        <row r="3">
          <cell r="A3">
            <v>13</v>
          </cell>
          <cell r="B3" t="str">
            <v>Bart Van der Beken</v>
          </cell>
          <cell r="D3">
            <v>18</v>
          </cell>
        </row>
        <row r="4">
          <cell r="A4">
            <v>13</v>
          </cell>
          <cell r="B4" t="str">
            <v>Els Dewulf</v>
          </cell>
          <cell r="D4">
            <v>21</v>
          </cell>
        </row>
        <row r="5">
          <cell r="A5">
            <v>13</v>
          </cell>
          <cell r="B5" t="str">
            <v>Els Vanhoe</v>
          </cell>
          <cell r="D5">
            <v>17</v>
          </cell>
        </row>
        <row r="6">
          <cell r="A6">
            <v>13</v>
          </cell>
          <cell r="B6" t="str">
            <v>Dominique De Clercq</v>
          </cell>
          <cell r="D6">
            <v>27</v>
          </cell>
        </row>
        <row r="7">
          <cell r="A7">
            <v>7</v>
          </cell>
          <cell r="B7" t="str">
            <v>Steven Storm</v>
          </cell>
          <cell r="D7">
            <v>11</v>
          </cell>
        </row>
        <row r="8">
          <cell r="A8">
            <v>11</v>
          </cell>
          <cell r="B8" t="str">
            <v>Lucie Vande Velde</v>
          </cell>
          <cell r="D8">
            <v>20</v>
          </cell>
        </row>
        <row r="9">
          <cell r="A9">
            <v>11</v>
          </cell>
          <cell r="B9" t="str">
            <v>Kenneth De Rick</v>
          </cell>
          <cell r="D9">
            <v>21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00.578397337966" createdVersion="8" refreshedVersion="8" minRefreshableVersion="3" recordCount="835" xr:uid="{A79F02F4-7057-403C-BA1E-F048587AF0EA}">
  <cacheSource type="worksheet">
    <worksheetSource name="bron"/>
  </cacheSource>
  <cacheFields count="28">
    <cacheField name="personeelsnr" numFmtId="0">
      <sharedItems containsString="0" containsBlank="1" containsNumber="1" containsInteger="1" minValue="4419" maxValue="42145"/>
    </cacheField>
    <cacheField name="volledige naam" numFmtId="0">
      <sharedItems containsBlank="1" count="58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s v="18987 De Geyter Dolly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21582 De Grom Patrick"/>
        <s v="34325 Eid Mathyn"/>
        <s v="13345 Schijvens Ronny"/>
        <s v="25994 Peers Mario"/>
        <s v="36569 Stroobandt Jonas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3880 Wyffels Jean-Pierre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30389 De Jonge Matthew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6426 Mohamed Yassin Abdulhamid"/>
        <s v="17951 Lega Claude"/>
        <s v="39972 Repaj Ramazav"/>
        <s v="28910 Gassa Osmane"/>
        <s v="38035 Simsek Isa"/>
        <s v="40443 Fakash Mahmoud"/>
        <s v="29746 Huyse Annicke"/>
        <s v="41671 Hasan Salem"/>
        <s v="41482 Özdemir Osman"/>
        <s v="15412 Dhondt Frank"/>
        <s v="41619 Bachiri Ousama"/>
        <s v="40745 Ivanov Ivan"/>
        <s v="11213 De Plus Gunter"/>
        <s v="12819 Van Eenaeme David"/>
        <s v="25679 Vanrenterghem Serge"/>
        <s v="39267 Van Holsbeeck Jens"/>
        <s v="34019 Hoste Tom"/>
        <s v="41520 Smets Avery"/>
        <s v="38731 Ben Sidhom Samir"/>
        <s v="41384 Hillaert Thimo"/>
        <s v="7746 Aelterman Didier"/>
        <s v="26695 Lippens Miguel"/>
        <s v="22416 Bicici Abdul Kadir"/>
        <s v="38740 Meskens Anthony"/>
        <s v="41348 Van Huffel Tim"/>
        <s v="18051 Van Wittenberge Filip"/>
        <s v="36663 Cesmeli Achraf"/>
        <s v="41162 Hoeckman Jeroen"/>
        <s v="13398 Kirdas Ramazan"/>
        <s v="41091 Yavas Talha"/>
        <s v="41246 Van Holsbeeck Yana"/>
        <s v="40591 Hiloui Mahmoud"/>
        <s v="29674 Martens Geoffrey"/>
        <s v="41064 Ardic Atilla"/>
        <s v="37744 De Lange Frank"/>
        <s v="41230 De Witte Bart"/>
        <s v="37132 Dacic Esmir"/>
        <s v="40938 Hasnaoui Nejmeddine"/>
        <s v="40393 Salimova Eydzhan"/>
        <s v="39850 Helleputte William"/>
        <s v="31776 Famelaer Steve"/>
        <s v="41137 De smet Dirk"/>
        <s v="41874 Dobbeleire Bruno"/>
        <s v="41871 Karanfil Ibrahim"/>
        <s v="29646 Özer Mesut"/>
        <s v="40444 Van Damme Glenn"/>
        <s v="21424 Verstichel Jethro"/>
        <s v="19520 Van Steenbergen Kris"/>
        <s v="38580 Smajla Samet"/>
        <s v="31118 De Sutter Michiel"/>
        <s v="40645 Bytebier Jason"/>
        <s v="41690 Van de Winckel Kelly"/>
        <s v="22877 Goossens Gunther"/>
        <s v="36577 De Smet Martine"/>
        <s v="30271 Bracke Jeroen"/>
        <s v="39831 Dolgiev Mukhamed"/>
        <s v="22052 Meyvaert Peter"/>
        <s v="41032 Rocabado Hinojosa Lukas"/>
        <s v="35491 Toubadie Zakaria"/>
        <s v="40055 Afara Ammar"/>
        <s v="6229 De Meyer Antoon"/>
        <s v="41383 De Pauw Tony"/>
        <s v="26199 Wauters Franky"/>
        <s v="41012 Natad Younes"/>
        <s v="25733 Simsek Abdullah"/>
        <s v="32245 Verlinden Bianca"/>
        <s v="24155 Luttens Koen"/>
        <s v="41710 Ghani Fazal"/>
        <s v="4720 De Roo Jo"/>
        <s v="42002 Bogaert Kevin"/>
        <s v="31490 De Weirdt Steph"/>
        <s v="41859 Palit Ramazan"/>
        <s v="41007 Sogut Cagri"/>
        <s v="41190 De Meyer Horst"/>
        <s v="40856 Neissi Sadegh"/>
        <s v="32091 Köroglu Ercan"/>
        <s v="40939 Cisse Sayon"/>
        <s v="32611 Özer Özgur"/>
        <s v="41588 Naessens Yves"/>
        <s v="33085 Van Hoe Ivo"/>
        <s v="39856 Curukcu Bayram"/>
        <s v="37208 Catar Gökhan"/>
        <s v="31150 Oueslati Mohamed Ali"/>
        <s v="41721 Nolf Philippe"/>
        <s v="40362 Kuru Cetin"/>
        <s v="39677 Tacq Joey"/>
        <s v="35495 Razzaz Mahmoud"/>
        <s v="10782 De Kee Ina"/>
        <s v="12514 De Smet Kenneth"/>
        <s v="28737 El-Mohamed Mohamed"/>
        <s v="35397 Minbari Ako"/>
        <s v="35216 Coban Mehmet"/>
        <s v="4608 Steenbrugge Johan"/>
        <s v="36154 De Clercq Sven"/>
        <s v="14625 Rodrigue Vincent"/>
        <s v="11120 De Vrieze Ludo"/>
        <s v="36021 Boelaert Frederik"/>
        <s v="40969 Kerman Melisa"/>
        <s v="33640 Verschraegen Patrick"/>
        <s v="9824 De Meulenaere Eric"/>
        <s v="35619 El Mezroui Zouheir"/>
        <s v="9158 De Weirdt Ronny"/>
        <s v="36820 Haché Philip"/>
        <s v="37908 Vandenberghe Michael"/>
        <s v="27672 Criel Veronique"/>
        <s v="32002 Hasni Helmi"/>
        <s v="22202 Pluym Pascal"/>
        <s v="35490 Nguetto Brisco Romeo"/>
        <s v="25829 Kayim Akin"/>
        <s v="42145 Gys Shayya"/>
        <e v="#N/A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4890 Sturtewagen Tom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37258 Ouchir Louay" u="1"/>
        <s v="19810 Willems Kristine" u="1"/>
        <s v="28165 De Pauw Kurt" u="1"/>
        <s v="29271 Maes Filip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1021 Seeuws Marnic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062 Westelinck Davy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37222 Blondeel Dominique" u="1"/>
        <s v="6067 Vantilcke Fabien" u="1"/>
        <s v="7748 Baetslé Stephen" u="1"/>
        <s v="16623 Notte Nancy" u="1"/>
        <s v="19016 Joos Veronique" u="1"/>
        <s v="20656 Vonck Bart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31634 Kirsan Ömer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38555 Almohammad Malek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e v="#N/A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2024-12-04T00:00:00" maxDate="2025-08-23T00:00:00" count="43">
        <m/>
        <d v="2025-01-03T00:00:00"/>
        <d v="2024-12-04T00:00:00"/>
        <d v="2025-02-18T00:00:00"/>
        <d v="2025-05-06T00:00:00"/>
        <d v="2025-06-23T00:00:00"/>
        <d v="2025-03-19T00:00:00"/>
        <d v="2025-07-04T00:00:00"/>
        <d v="2025-07-29T00:00:00"/>
        <d v="2025-06-13T00:00:00"/>
        <d v="2025-04-30T00:00:00"/>
        <d v="2025-08-14T00:00:00"/>
        <d v="2025-07-26T00:00:00"/>
        <d v="2025-07-25T00:00:00"/>
        <d v="2025-07-15T00:00:00"/>
        <d v="2025-01-27T00:00:00"/>
        <d v="2025-06-28T00:00:00"/>
        <d v="2025-04-16T00:00:00"/>
        <d v="2025-06-05T00:00:00"/>
        <d v="2025-08-21T00:00:00"/>
        <d v="2025-02-22T00:00:00"/>
        <d v="2025-01-13T00:00:00"/>
        <d v="2025-03-21T00:00:00"/>
        <d v="2025-06-29T00:00:00"/>
        <d v="2025-05-21T00:00:00"/>
        <d v="2025-07-24T00:00:00"/>
        <d v="2025-05-23T00:00:00"/>
        <d v="2025-02-15T00:00:00"/>
        <d v="2025-04-07T00:00:00"/>
        <d v="2025-03-15T00:00:00"/>
        <d v="2025-07-30T00:00:00"/>
        <d v="2025-01-21T00:00:00"/>
        <d v="2025-05-05T00:00:00"/>
        <d v="2025-02-27T00:00:00"/>
        <d v="2025-01-17T00:00:00"/>
        <d v="2025-01-18T00:00:00"/>
        <d v="2025-06-20T00:00:00"/>
        <d v="2025-07-03T00:00:00"/>
        <d v="2025-08-05T00:00:00"/>
        <d v="2025-04-26T00:00:00"/>
        <d v="2025-08-22T00:00:00"/>
        <d v="2025-03-16T00:00:00" u="1"/>
        <d v="2025-03-02T00:00:00" u="1"/>
      </sharedItems>
      <fieldGroup par="27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08-30T00:00:00" count="428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m/>
        <d v="2025-01-10T00:00:00"/>
        <d v="2025-01-22T00:00:00"/>
        <d v="2025-02-03T00:00:00"/>
        <d v="2025-02-06T00:00:00"/>
        <d v="2025-02-14T00:00:00"/>
        <d v="2025-02-19T00:00:00"/>
        <d v="2025-02-21T00:00:00"/>
        <d v="2025-02-22T00:00:00"/>
        <d v="2025-02-27T00:00:00"/>
        <d v="2025-03-09T00:00:00"/>
        <d v="2025-03-13T00:00:00"/>
        <d v="2025-03-26T00:00:00"/>
        <d v="2025-04-02T00:00:00"/>
        <d v="2025-04-09T00:00:00"/>
        <d v="2025-04-15T00:00:00"/>
        <d v="2025-04-22T00:00:00"/>
        <d v="2025-05-09T00:00:00"/>
        <d v="2025-05-14T00:00:00"/>
        <d v="2025-05-22T00:00:00"/>
        <d v="2025-05-23T00:00:00"/>
        <d v="2025-05-26T00:00:00"/>
        <d v="2025-05-30T00:00:00"/>
        <d v="2025-06-20T00:00:00"/>
        <d v="2025-06-23T00:00:00"/>
        <d v="2025-06-24T00:00:00"/>
        <d v="2025-06-25T00:00:00"/>
        <d v="2025-07-02T00:00:00"/>
        <d v="2025-07-03T00:00:00"/>
        <d v="2025-07-15T00:00:00"/>
        <d v="2025-07-19T00:00:00"/>
        <d v="2025-07-24T00:00:00"/>
        <d v="2025-07-25T00:00:00"/>
        <d v="2025-08-23T00:00:00"/>
        <d v="2025-08-28T00:00:00"/>
        <d v="2025-01-04T00:00:00"/>
        <d v="2025-01-15T00:00:00"/>
        <d v="2025-01-28T00:00:00"/>
        <d v="2025-02-01T00:00:00"/>
        <d v="2025-02-05T00:00:00"/>
        <d v="2025-02-11T00:00:00"/>
        <d v="2025-02-12T00:00:00"/>
        <d v="2025-02-24T00:00:00"/>
        <d v="2025-03-01T00:00:00"/>
        <d v="2025-03-02T00:00:00"/>
        <d v="2025-03-05T00:00:00"/>
        <d v="2025-03-11T00:00:00"/>
        <d v="2025-03-12T00:00:00"/>
        <d v="2025-03-20T00:00:00"/>
        <d v="2025-04-03T00:00:00"/>
        <d v="2025-04-19T00:00:00"/>
        <d v="2025-05-05T00:00:00"/>
        <d v="2025-05-11T00:00:00"/>
        <d v="2025-05-31T00:00:00"/>
        <d v="2025-06-02T00:00:00"/>
        <d v="2025-06-12T00:00:00"/>
        <d v="2025-06-13T00:00:00"/>
        <d v="2025-07-05T00:00:00"/>
        <d v="2025-07-29T00:00:00"/>
        <d v="2025-08-02T00:00:00"/>
        <d v="2025-08-10T00:00:00"/>
        <d v="2025-08-18T00:00:00"/>
        <d v="2025-01-08T00:00:00"/>
        <d v="2025-01-23T00:00:00"/>
        <d v="2025-01-24T00:00:00"/>
        <d v="2025-01-27T00:00:00"/>
        <d v="2025-01-31T00:00:00"/>
        <d v="2025-02-02T00:00:00"/>
        <d v="2025-02-15T00:00:00"/>
        <d v="2025-02-18T00:00:00"/>
        <d v="2025-02-20T00:00:00"/>
        <d v="2025-02-23T00:00:00"/>
        <d v="2025-02-28T00:00:00"/>
        <d v="2025-03-06T00:00:00"/>
        <d v="2025-03-16T00:00:00"/>
        <d v="2025-03-18T00:00:00"/>
        <d v="2025-03-29T00:00:00"/>
        <d v="2025-04-07T00:00:00"/>
        <d v="2025-04-16T00:00:00"/>
        <d v="2025-04-18T00:00:00"/>
        <d v="2025-04-23T00:00:00"/>
        <d v="2025-04-28T00:00:00"/>
        <d v="2025-04-30T00:00:00"/>
        <d v="2025-05-01T00:00:00"/>
        <d v="2025-05-06T00:00:00"/>
        <d v="2025-05-15T00:00:00"/>
        <d v="2025-05-17T00:00:00"/>
        <d v="2025-06-03T00:00:00"/>
        <d v="2025-06-21T00:00:00"/>
        <d v="2025-06-29T00:00:00"/>
        <d v="2025-07-01T00:00:00"/>
        <d v="2025-07-07T00:00:00"/>
        <d v="2025-07-10T00:00:00"/>
        <d v="2025-07-21T00:00:00"/>
        <d v="2025-07-23T00:00:00"/>
        <d v="2025-08-05T00:00:00"/>
        <d v="2025-08-07T00:00:00"/>
        <d v="2025-08-09T00:00:00"/>
        <d v="2025-08-15T00:00:00"/>
        <d v="2025-07-11T00:00:00"/>
        <d v="2025-01-13T00:00:00"/>
        <d v="2025-01-14T00:00:00"/>
        <d v="2025-01-16T00:00:00"/>
        <d v="2025-01-17T00:00:00"/>
        <d v="2025-01-29T00:00:00"/>
        <d v="2025-03-04T00:00:00"/>
        <d v="2025-03-19T00:00:00"/>
        <d v="2025-03-27T00:00:00"/>
        <d v="2025-03-28T00:00:00"/>
        <d v="2025-04-24T00:00:00"/>
        <d v="2025-06-06T00:00:00"/>
        <d v="2025-06-10T00:00:00"/>
        <d v="2025-06-22T00:00:00"/>
        <d v="2025-07-09T00:00:00"/>
        <d v="2025-07-14T00:00:00"/>
        <d v="2025-07-16T00:00:00"/>
        <d v="2025-01-09T00:00:00"/>
        <d v="2025-01-21T00:00:00"/>
        <d v="2025-01-30T00:00:00"/>
        <d v="2025-02-07T00:00:00"/>
        <d v="2025-02-13T00:00:00"/>
        <d v="2025-04-12T00:00:00"/>
        <d v="2025-04-29T00:00:00"/>
        <d v="2025-05-02T00:00:00"/>
        <d v="2025-05-07T00:00:00"/>
        <d v="2025-05-21T00:00:00"/>
        <d v="2025-06-05T00:00:00"/>
        <d v="2025-07-28T00:00:00"/>
        <d v="2025-08-03T00:00:00"/>
        <d v="2025-08-26T00:00:00"/>
        <d v="2025-08-22T00:00:00"/>
        <d v="2025-01-12T00:00:00"/>
        <d v="2025-01-20T00:00:00"/>
        <d v="2025-03-17T00:00:00"/>
        <d v="2025-03-21T00:00:00"/>
        <d v="2025-04-04T00:00:00"/>
        <d v="2025-04-26T00:00:00"/>
        <d v="2025-05-04T00:00:00"/>
        <d v="2025-05-13T00:00:00"/>
        <d v="2025-05-29T00:00:00"/>
        <d v="2025-06-04T00:00:00"/>
        <d v="2025-06-07T00:00:00"/>
        <d v="2025-07-12T00:00:00"/>
        <d v="2025-08-29T00:00:00"/>
        <d v="2025-02-10T00:00:00"/>
        <d v="2025-02-25T00:00:00"/>
        <d v="2025-05-03T00:00:00"/>
        <d v="2025-05-10T00:00:00"/>
        <d v="2025-07-04T00:00:00"/>
        <d v="2025-07-13T00:00:00"/>
        <d v="2025-03-03T00:00:00"/>
        <d v="2025-03-10T00:00:00"/>
        <d v="2025-03-24T00:00:00"/>
        <d v="2025-04-08T00:00:00"/>
        <d v="2025-04-10T00:00:00"/>
        <d v="2025-04-11T00:00:00"/>
        <d v="2025-06-11T00:00:00"/>
        <d v="2025-07-08T00:00:00"/>
        <d v="2025-08-14T00:00:00"/>
        <d v="2025-08-25T00:00:00"/>
      </sharedItems>
    </cacheField>
    <cacheField name="Link" numFmtId="0">
      <sharedItems containsBlank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3">
        <s v="Bus"/>
        <s v="Tram"/>
        <m/>
      </sharedItems>
    </cacheField>
    <cacheField name="Locatie" numFmtId="0">
      <sharedItems containsBlank="1" count="232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otermarkt"/>
        <s v="Vlaanderenstraat"/>
        <s v="Griendeplein"/>
        <s v="Sleepstraat"/>
        <s v="Onbekend"/>
        <s v="Muide"/>
        <s v="Segersplein"/>
        <m/>
        <s v="Overzet"/>
        <s v="Noordstraat"/>
        <s v="Tentoonstellingslaan"/>
        <s v="Heymanslaan"/>
        <s v="Burggravenlaan"/>
        <s v="Coupure"/>
        <s v="Steenakker"/>
        <s v="Belfortstraat"/>
        <s v="contributiestraat"/>
        <s v="Groentenmarkt"/>
        <s v="Berkhoutestraat"/>
        <s v="Nazareth"/>
        <s v="Astene"/>
        <s v="Stelplaats Destelbergen"/>
        <s v="UZ Gent"/>
        <s v="Blandijnberg"/>
        <s v="Kartuizerlaan"/>
        <s v="Temse"/>
        <s v="Widauwkaai"/>
        <s v="Melle"/>
        <s v="Moscou"/>
        <s v="Groene staakstraat"/>
        <s v="Stapelplein "/>
        <s v="Neuseplein"/>
        <s v="Van Goethemstraat"/>
        <s v="Antoon Catriestraat"/>
        <s v="Sint Salvatorstraat "/>
        <s v="Ham"/>
        <s v="Doornzelesteenweg"/>
        <s v="Doornzelestraat"/>
        <s v="Sint pieters nieuwstraat"/>
        <s v="Baarledorp"/>
        <s v="Kruisem"/>
        <s v="Houtdoklaan"/>
        <s v="Antoon sanderusstraat"/>
        <s v="Pauwstraat"/>
        <s v="Beelbroekstraat"/>
        <s v="Sint Jorisbrug"/>
        <s v="Nieuwe vaart"/>
        <s v="Lijnmolenstraat"/>
        <s v="Bernard Spaelaan"/>
        <s v="Corneel Heymanslaan"/>
        <s v="Brusselsepoort"/>
        <s v="Meerhem"/>
        <s v="Wittewalle"/>
        <s v="Tweekappellestraat"/>
        <s v="Koning Albertstraat"/>
        <s v="Kortrijksepoortstraat"/>
        <s v="Edelsteenstraat"/>
        <s v="Gentsesteenweg Deinze"/>
        <s v="Kikvorsstraat"/>
        <s v="Leo Tertzwiellaan"/>
        <s v="volvo cars"/>
        <s v="eksaarderijweg"/>
        <s v="Salvatorstraat"/>
        <s v="Heiveldstraat"/>
        <s v="Citadellaan"/>
        <s v="Laarne"/>
        <s v="Gentstraat (Oostakker)"/>
        <s v="Nazarethsesteenweg"/>
        <s v="Koninging Elisabethlaan"/>
        <s v="Evergem"/>
        <s v="Clementinalaan"/>
        <s v="Sint Baafsplein"/>
        <s v="Sint Amandsstraat"/>
        <s v="Sassekaai"/>
        <s v="Wittebroodhof"/>
        <s v="Liefkensstraat"/>
        <s v="Eke"/>
        <s v="Merelbeke statrion"/>
        <s v="Van Beverenplein"/>
        <s v="P+R Ledeberg"/>
        <s v="brabantdam"/>
        <s v="Gravenbolwerkstraat"/>
        <s v="John F Kennedylaan"/>
        <s v="Wondegembrug"/>
        <s v="Oostakker Dorp" u="1"/>
        <s v="-" u="1"/>
      </sharedItems>
    </cacheField>
    <cacheField name="Maanden (Nt Meetelend 2025)" numFmtId="0" databaseField="0">
      <fieldGroup base="5">
        <rangePr groupBy="months" startDate="2024-12-04T00:00:00" endDate="2025-08-23T00:00:00"/>
        <groupItems count="14">
          <s v="&lt;4/12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3/08/2025"/>
        </groupItems>
      </fieldGroup>
    </cacheField>
    <cacheField name="Kwartalen (Nt Meetelend 2025)" numFmtId="0" databaseField="0">
      <fieldGroup base="5">
        <rangePr groupBy="quarters" startDate="2024-12-04T00:00:00" endDate="2025-08-23T00:00:00"/>
        <groupItems count="6">
          <s v="&lt;4/12/2024"/>
          <s v="Kwrt1"/>
          <s v="Kwrt2"/>
          <s v="Kwrt3"/>
          <s v="Kwrt4"/>
          <s v="&gt;23/08/2025"/>
        </groupItems>
      </fieldGroup>
    </cacheField>
    <cacheField name="Jaren (Nt Meetelend 2025)" numFmtId="0" databaseField="0">
      <fieldGroup base="5">
        <rangePr groupBy="years" startDate="2024-12-04T00:00:00" endDate="2025-08-23T00:00:00"/>
        <groupItems count="4">
          <s v="&lt;4/12/2024"/>
          <s v="2024"/>
          <s v="2025"/>
          <s v="&gt;23/08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35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</r>
  <r>
    <n v="18987"/>
    <x v="43"/>
    <s v="De Geyter"/>
    <s v="Dolly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</r>
  <r>
    <n v="21582"/>
    <x v="52"/>
    <s v="De Grom"/>
    <s v="Patrick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</r>
  <r>
    <n v="34325"/>
    <x v="53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</r>
  <r>
    <n v="13345"/>
    <x v="54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</r>
  <r>
    <n v="25994"/>
    <x v="55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</r>
  <r>
    <n v="36569"/>
    <x v="56"/>
    <s v="Stroobandt"/>
    <s v="Jonas"/>
    <x v="3"/>
    <x v="0"/>
    <m/>
    <n v="1"/>
    <m/>
    <m/>
    <m/>
    <m/>
    <m/>
    <m/>
    <m/>
    <m/>
    <m/>
    <m/>
    <n v="1"/>
    <x v="38"/>
    <s v="EAF 2207 Gent Kortrijksesteenweg 22012024.pdf"/>
    <n v="1"/>
    <m/>
    <x v="0"/>
    <x v="5"/>
  </r>
  <r>
    <n v="32369"/>
    <x v="57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</r>
  <r>
    <n v="27713"/>
    <x v="58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</r>
  <r>
    <n v="38475"/>
    <x v="59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</r>
  <r>
    <n v="35120"/>
    <x v="60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</r>
  <r>
    <n v="39184"/>
    <x v="61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</r>
  <r>
    <n v="24367"/>
    <x v="62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</r>
  <r>
    <n v="11236"/>
    <x v="63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</r>
  <r>
    <n v="38475"/>
    <x v="59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</r>
  <r>
    <n v="35709"/>
    <x v="64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</r>
  <r>
    <n v="21509"/>
    <x v="65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</r>
  <r>
    <n v="39013"/>
    <x v="66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</r>
  <r>
    <n v="20653"/>
    <x v="67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</r>
  <r>
    <n v="39014"/>
    <x v="68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</r>
  <r>
    <n v="39929"/>
    <x v="69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</r>
  <r>
    <n v="27186"/>
    <x v="70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</r>
  <r>
    <n v="39633"/>
    <x v="71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</r>
  <r>
    <n v="38648"/>
    <x v="72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</r>
  <r>
    <n v="33965"/>
    <x v="73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</r>
  <r>
    <n v="39712"/>
    <x v="74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</r>
  <r>
    <n v="39929"/>
    <x v="69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</r>
  <r>
    <n v="32951"/>
    <x v="75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</r>
  <r>
    <n v="8394"/>
    <x v="76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</r>
  <r>
    <n v="39558"/>
    <x v="77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</r>
  <r>
    <n v="39660"/>
    <x v="78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</r>
  <r>
    <n v="22240"/>
    <x v="79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</r>
  <r>
    <n v="40200"/>
    <x v="80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</r>
  <r>
    <n v="26198"/>
    <x v="81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</r>
  <r>
    <n v="19088"/>
    <x v="82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</r>
  <r>
    <n v="32528"/>
    <x v="83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</r>
  <r>
    <n v="25993"/>
    <x v="84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</r>
  <r>
    <n v="38648"/>
    <x v="72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</r>
  <r>
    <n v="21809"/>
    <x v="85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</r>
  <r>
    <n v="23880"/>
    <x v="86"/>
    <s v="Wyffels"/>
    <s v="Jean-Pierre"/>
    <x v="7"/>
    <x v="0"/>
    <m/>
    <m/>
    <n v="1"/>
    <m/>
    <m/>
    <m/>
    <m/>
    <m/>
    <m/>
    <m/>
    <m/>
    <m/>
    <n v="1"/>
    <x v="55"/>
    <s v="EAF 6369 Frereobanlaan 20032024.pdf"/>
    <m/>
    <n v="1"/>
    <x v="1"/>
    <x v="62"/>
  </r>
  <r>
    <n v="26331"/>
    <x v="87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</r>
  <r>
    <n v="15320"/>
    <x v="88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</r>
  <r>
    <n v="31231"/>
    <x v="89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</r>
  <r>
    <n v="40223"/>
    <x v="90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</r>
  <r>
    <n v="35107"/>
    <x v="91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</r>
  <r>
    <n v="5559"/>
    <x v="92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</r>
  <r>
    <n v="26960"/>
    <x v="93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</r>
  <r>
    <n v="33450"/>
    <x v="94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</r>
  <r>
    <n v="32951"/>
    <x v="75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</r>
  <r>
    <n v="21382"/>
    <x v="95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</r>
  <r>
    <n v="34286"/>
    <x v="96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</r>
  <r>
    <n v="16282"/>
    <x v="97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</r>
  <r>
    <n v="39654"/>
    <x v="98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</r>
  <r>
    <n v="33400"/>
    <x v="99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</r>
  <r>
    <n v="12124"/>
    <x v="100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</r>
  <r>
    <n v="37439"/>
    <x v="101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</r>
  <r>
    <n v="31600"/>
    <x v="102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</r>
  <r>
    <n v="19848"/>
    <x v="103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</r>
  <r>
    <n v="38481"/>
    <x v="104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</r>
  <r>
    <n v="37216"/>
    <x v="105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</r>
  <r>
    <n v="29179"/>
    <x v="106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</r>
  <r>
    <n v="34385"/>
    <x v="107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</r>
  <r>
    <n v="32620"/>
    <x v="108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</r>
  <r>
    <n v="8708"/>
    <x v="109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</r>
  <r>
    <n v="38807"/>
    <x v="110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</r>
  <r>
    <n v="28717"/>
    <x v="111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</r>
  <r>
    <n v="39930"/>
    <x v="112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</r>
  <r>
    <n v="36429"/>
    <x v="113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</r>
  <r>
    <n v="39829"/>
    <x v="114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</r>
  <r>
    <n v="40223"/>
    <x v="90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</r>
  <r>
    <n v="5599"/>
    <x v="115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</r>
  <r>
    <n v="38481"/>
    <x v="104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</r>
  <r>
    <n v="35450"/>
    <x v="116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</r>
  <r>
    <n v="34351"/>
    <x v="117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</r>
  <r>
    <n v="21509"/>
    <x v="65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</r>
  <r>
    <n v="34044"/>
    <x v="118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</r>
  <r>
    <n v="11866"/>
    <x v="119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</r>
  <r>
    <n v="21124"/>
    <x v="120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</r>
  <r>
    <n v="22625"/>
    <x v="121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</r>
  <r>
    <n v="39927"/>
    <x v="122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</r>
  <r>
    <n v="39899"/>
    <x v="123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</r>
  <r>
    <n v="37951"/>
    <x v="124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</r>
  <r>
    <n v="30901"/>
    <x v="125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</r>
  <r>
    <n v="30321"/>
    <x v="126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</r>
  <r>
    <n v="33551"/>
    <x v="127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</r>
  <r>
    <n v="21582"/>
    <x v="52"/>
    <s v="De Grom"/>
    <s v="Patrick"/>
    <x v="8"/>
    <x v="0"/>
    <m/>
    <m/>
    <m/>
    <n v="1"/>
    <m/>
    <m/>
    <m/>
    <m/>
    <m/>
    <m/>
    <m/>
    <m/>
    <n v="1"/>
    <x v="88"/>
    <s v="EAF 6359 Gent 30042024.pdf"/>
    <m/>
    <n v="1"/>
    <x v="1"/>
    <x v="56"/>
  </r>
  <r>
    <n v="9065"/>
    <x v="128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</r>
  <r>
    <n v="37609"/>
    <x v="129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</r>
  <r>
    <n v="40110"/>
    <x v="130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</r>
  <r>
    <n v="37439"/>
    <x v="101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</r>
  <r>
    <n v="15852"/>
    <x v="131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</r>
  <r>
    <n v="15088"/>
    <x v="132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</r>
  <r>
    <n v="37950"/>
    <x v="133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</r>
  <r>
    <n v="33965"/>
    <x v="73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</r>
  <r>
    <n v="40058"/>
    <x v="134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</r>
  <r>
    <n v="13088"/>
    <x v="135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</r>
  <r>
    <n v="40222"/>
    <x v="136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</r>
  <r>
    <n v="25487"/>
    <x v="137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</r>
  <r>
    <n v="38688"/>
    <x v="138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</r>
  <r>
    <n v="35246"/>
    <x v="139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</r>
  <r>
    <n v="10150"/>
    <x v="140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</r>
  <r>
    <n v="6310"/>
    <x v="141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</r>
  <r>
    <n v="37345"/>
    <x v="142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</r>
  <r>
    <n v="11508"/>
    <x v="143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</r>
  <r>
    <n v="34351"/>
    <x v="117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</r>
  <r>
    <n v="36503"/>
    <x v="144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</r>
  <r>
    <n v="37439"/>
    <x v="101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</r>
  <r>
    <n v="38688"/>
    <x v="138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</r>
  <r>
    <n v="40223"/>
    <x v="90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</r>
  <r>
    <n v="35187"/>
    <x v="145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</r>
  <r>
    <n v="39528"/>
    <x v="146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</r>
  <r>
    <n v="19087"/>
    <x v="147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</r>
  <r>
    <n v="39712"/>
    <x v="74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</r>
  <r>
    <n v="33551"/>
    <x v="127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</r>
  <r>
    <n v="17931"/>
    <x v="148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</r>
  <r>
    <n v="23700"/>
    <x v="149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</r>
  <r>
    <n v="39907"/>
    <x v="150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</r>
  <r>
    <n v="36624"/>
    <x v="151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</r>
  <r>
    <n v="34325"/>
    <x v="53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</r>
  <r>
    <n v="19249"/>
    <x v="152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</r>
  <r>
    <n v="34325"/>
    <x v="53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</r>
  <r>
    <n v="39712"/>
    <x v="74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</r>
  <r>
    <n v="29179"/>
    <x v="106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</r>
  <r>
    <n v="37936"/>
    <x v="153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</r>
  <r>
    <n v="27186"/>
    <x v="70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</r>
  <r>
    <n v="39013"/>
    <x v="66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</r>
  <r>
    <n v="37131"/>
    <x v="154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</r>
  <r>
    <n v="29478"/>
    <x v="155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</r>
  <r>
    <n v="39929"/>
    <x v="69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</r>
  <r>
    <n v="40110"/>
    <x v="130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</r>
  <r>
    <n v="31689"/>
    <x v="156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</r>
  <r>
    <n v="40521"/>
    <x v="157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</r>
  <r>
    <n v="37542"/>
    <x v="158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</r>
  <r>
    <n v="37542"/>
    <x v="158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</r>
  <r>
    <n v="40036"/>
    <x v="159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</r>
  <r>
    <n v="33986"/>
    <x v="160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</r>
  <r>
    <n v="39660"/>
    <x v="78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</r>
  <r>
    <n v="39660"/>
    <x v="78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</r>
  <r>
    <n v="14261"/>
    <x v="161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</r>
  <r>
    <n v="35493"/>
    <x v="162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</r>
  <r>
    <n v="39528"/>
    <x v="146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</r>
  <r>
    <n v="40223"/>
    <x v="90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</r>
  <r>
    <n v="37609"/>
    <x v="129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</r>
  <r>
    <n v="14665"/>
    <x v="163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</r>
  <r>
    <n v="35395"/>
    <x v="164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</r>
  <r>
    <n v="26198"/>
    <x v="81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</r>
  <r>
    <n v="32951"/>
    <x v="75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</r>
  <r>
    <n v="22244"/>
    <x v="165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</r>
  <r>
    <n v="32542"/>
    <x v="166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</r>
  <r>
    <n v="35006"/>
    <x v="167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</r>
  <r>
    <n v="33986"/>
    <x v="160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</r>
  <r>
    <n v="39532"/>
    <x v="168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</r>
  <r>
    <n v="39529"/>
    <x v="169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</r>
  <r>
    <n v="39379"/>
    <x v="170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</r>
  <r>
    <n v="34044"/>
    <x v="118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</r>
  <r>
    <n v="36569"/>
    <x v="56"/>
    <s v="Stroobandt"/>
    <s v="Jonas"/>
    <x v="3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</r>
  <r>
    <n v="37542"/>
    <x v="158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</r>
  <r>
    <n v="14261"/>
    <x v="161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</r>
  <r>
    <n v="39532"/>
    <x v="168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</r>
  <r>
    <n v="40110"/>
    <x v="130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</r>
  <r>
    <n v="21509"/>
    <x v="65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</r>
  <r>
    <n v="21581"/>
    <x v="171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</r>
  <r>
    <n v="37179"/>
    <x v="172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</r>
  <r>
    <n v="39532"/>
    <x v="168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</r>
  <r>
    <n v="21121"/>
    <x v="173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</r>
  <r>
    <n v="29478"/>
    <x v="155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</r>
  <r>
    <n v="29179"/>
    <x v="106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</r>
  <r>
    <n v="12124"/>
    <x v="100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</r>
  <r>
    <n v="28830"/>
    <x v="174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</r>
  <r>
    <n v="39610"/>
    <x v="175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</r>
  <r>
    <n v="37131"/>
    <x v="154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</r>
  <r>
    <n v="28794"/>
    <x v="176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</r>
  <r>
    <n v="40478"/>
    <x v="177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</r>
  <r>
    <n v="32387"/>
    <x v="178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</r>
  <r>
    <n v="37950"/>
    <x v="133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</r>
  <r>
    <n v="26198"/>
    <x v="81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</r>
  <r>
    <n v="36337"/>
    <x v="179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</r>
  <r>
    <n v="20375"/>
    <x v="180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</r>
  <r>
    <n v="13020"/>
    <x v="181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</r>
  <r>
    <n v="40403"/>
    <x v="182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</r>
  <r>
    <n v="26137"/>
    <x v="183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</r>
  <r>
    <n v="36428"/>
    <x v="184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</r>
  <r>
    <n v="36512"/>
    <x v="185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</r>
  <r>
    <n v="39929"/>
    <x v="69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</r>
  <r>
    <n v="37662"/>
    <x v="186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</r>
  <r>
    <n v="39889"/>
    <x v="187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</r>
  <r>
    <n v="8016"/>
    <x v="188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</r>
  <r>
    <n v="17931"/>
    <x v="148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</r>
  <r>
    <n v="29179"/>
    <x v="106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</r>
  <r>
    <n v="31165"/>
    <x v="189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</r>
  <r>
    <n v="8016"/>
    <x v="188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</r>
  <r>
    <n v="14665"/>
    <x v="163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</r>
  <r>
    <n v="33965"/>
    <x v="73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</r>
  <r>
    <n v="31231"/>
    <x v="89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</r>
  <r>
    <n v="37662"/>
    <x v="186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</r>
  <r>
    <n v="30389"/>
    <x v="190"/>
    <s v="De Jonge"/>
    <s v="Matthew"/>
    <x v="6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</r>
  <r>
    <n v="40521"/>
    <x v="157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</r>
  <r>
    <n v="40744"/>
    <x v="191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</r>
  <r>
    <n v="39858"/>
    <x v="192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</r>
  <r>
    <n v="33965"/>
    <x v="73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</r>
  <r>
    <n v="31360"/>
    <x v="193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</r>
  <r>
    <n v="8394"/>
    <x v="76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</r>
  <r>
    <n v="38633"/>
    <x v="194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</r>
  <r>
    <n v="23790"/>
    <x v="195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</r>
  <r>
    <n v="40744"/>
    <x v="191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</r>
  <r>
    <n v="29179"/>
    <x v="106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</r>
  <r>
    <n v="26331"/>
    <x v="87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</r>
  <r>
    <n v="24472"/>
    <x v="196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</r>
  <r>
    <n v="37662"/>
    <x v="186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</r>
  <r>
    <n v="39929"/>
    <x v="69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</r>
  <r>
    <n v="40266"/>
    <x v="197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</r>
  <r>
    <n v="12124"/>
    <x v="100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</r>
  <r>
    <n v="37496"/>
    <x v="198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</r>
  <r>
    <n v="32168"/>
    <x v="199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</r>
  <r>
    <n v="39651"/>
    <x v="200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</r>
  <r>
    <n v="35450"/>
    <x v="116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</r>
  <r>
    <n v="35588"/>
    <x v="201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</r>
  <r>
    <n v="35434"/>
    <x v="202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</r>
  <r>
    <n v="40110"/>
    <x v="130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</r>
  <r>
    <n v="39929"/>
    <x v="69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</r>
  <r>
    <n v="37509"/>
    <x v="203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</r>
  <r>
    <n v="11236"/>
    <x v="63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</r>
  <r>
    <n v="31635"/>
    <x v="204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</r>
  <r>
    <n v="39728"/>
    <x v="205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</r>
  <r>
    <n v="27635"/>
    <x v="206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</r>
  <r>
    <n v="36559"/>
    <x v="207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</r>
  <r>
    <n v="40486"/>
    <x v="208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</r>
  <r>
    <n v="26137"/>
    <x v="183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</r>
  <r>
    <n v="36624"/>
    <x v="151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</r>
  <r>
    <n v="36428"/>
    <x v="184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</r>
  <r>
    <n v="40478"/>
    <x v="177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</r>
  <r>
    <n v="40006"/>
    <x v="209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</r>
  <r>
    <n v="8391"/>
    <x v="210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</r>
  <r>
    <n v="40761"/>
    <x v="211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</r>
  <r>
    <n v="34325"/>
    <x v="53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</r>
  <r>
    <n v="34286"/>
    <x v="96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</r>
  <r>
    <n v="26137"/>
    <x v="183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</r>
  <r>
    <n v="37683"/>
    <x v="212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</r>
  <r>
    <n v="39013"/>
    <x v="66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</r>
  <r>
    <n v="26266"/>
    <x v="213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</r>
  <r>
    <n v="38551"/>
    <x v="214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</r>
  <r>
    <n v="39532"/>
    <x v="168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</r>
  <r>
    <n v="5718"/>
    <x v="215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</r>
  <r>
    <n v="40608"/>
    <x v="216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</r>
  <r>
    <n v="6310"/>
    <x v="141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</r>
  <r>
    <n v="33965"/>
    <x v="73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</r>
  <r>
    <n v="36569"/>
    <x v="56"/>
    <s v="Stroobandt"/>
    <s v="Jonas"/>
    <x v="3"/>
    <x v="0"/>
    <m/>
    <m/>
    <m/>
    <m/>
    <m/>
    <m/>
    <m/>
    <m/>
    <m/>
    <n v="1"/>
    <m/>
    <m/>
    <n v="1"/>
    <x v="209"/>
    <s v="EAF 5911 Gentbruggebrug Gent 15102024.pdf"/>
    <n v="1"/>
    <m/>
    <x v="0"/>
    <x v="2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</r>
  <r>
    <n v="23918"/>
    <x v="217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</r>
  <r>
    <n v="37662"/>
    <x v="186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</r>
  <r>
    <n v="33986"/>
    <x v="160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</r>
  <r>
    <n v="6310"/>
    <x v="141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</r>
  <r>
    <n v="39929"/>
    <x v="69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</r>
  <r>
    <n v="32387"/>
    <x v="178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</r>
  <r>
    <n v="5718"/>
    <x v="215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</r>
  <r>
    <n v="35598"/>
    <x v="218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</r>
  <r>
    <n v="40222"/>
    <x v="136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</r>
  <r>
    <n v="35450"/>
    <x v="116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</r>
  <r>
    <n v="40652"/>
    <x v="219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</r>
  <r>
    <n v="37809"/>
    <x v="220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</r>
  <r>
    <n v="30623"/>
    <x v="221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</r>
  <r>
    <n v="37809"/>
    <x v="220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</r>
  <r>
    <n v="40859"/>
    <x v="222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</r>
  <r>
    <n v="21892"/>
    <x v="223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</r>
  <r>
    <n v="12173"/>
    <x v="224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</r>
  <r>
    <n v="37542"/>
    <x v="158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</r>
  <r>
    <n v="40278"/>
    <x v="225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</r>
  <r>
    <n v="29540"/>
    <x v="226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</r>
  <r>
    <n v="30901"/>
    <x v="125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</r>
  <r>
    <n v="33488"/>
    <x v="227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</r>
  <r>
    <n v="26102"/>
    <x v="228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</r>
  <r>
    <n v="39528"/>
    <x v="146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</r>
  <r>
    <n v="32951"/>
    <x v="75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</r>
  <r>
    <n v="33965"/>
    <x v="73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</r>
  <r>
    <n v="40223"/>
    <x v="90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</r>
  <r>
    <n v="20400"/>
    <x v="229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</r>
  <r>
    <n v="21121"/>
    <x v="173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</r>
  <r>
    <n v="37496"/>
    <x v="198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</r>
  <r>
    <n v="16545"/>
    <x v="230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</r>
  <r>
    <n v="30119"/>
    <x v="231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</r>
  <r>
    <n v="35645"/>
    <x v="232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</r>
  <r>
    <n v="19249"/>
    <x v="152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</r>
  <r>
    <n v="15676"/>
    <x v="233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</r>
  <r>
    <n v="39184"/>
    <x v="61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</r>
  <r>
    <n v="16895"/>
    <x v="234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</r>
  <r>
    <n v="35430"/>
    <x v="235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</r>
  <r>
    <n v="36228"/>
    <x v="236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</r>
  <r>
    <n v="40200"/>
    <x v="80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</r>
  <r>
    <n v="29821"/>
    <x v="237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</r>
  <r>
    <n v="30967"/>
    <x v="238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</r>
  <r>
    <n v="31635"/>
    <x v="204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</r>
  <r>
    <n v="32951"/>
    <x v="75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</r>
  <r>
    <n v="40138"/>
    <x v="239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</r>
  <r>
    <n v="39930"/>
    <x v="112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</r>
  <r>
    <n v="40134"/>
    <x v="240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</r>
  <r>
    <n v="40859"/>
    <x v="222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</r>
  <r>
    <n v="41092"/>
    <x v="241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</r>
  <r>
    <n v="40134"/>
    <x v="240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</r>
  <r>
    <n v="12684"/>
    <x v="242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</r>
  <r>
    <n v="33965"/>
    <x v="73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</r>
  <r>
    <n v="13020"/>
    <x v="181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</r>
  <r>
    <n v="36438"/>
    <x v="243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</r>
  <r>
    <n v="37254"/>
    <x v="244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</r>
  <r>
    <n v="8394"/>
    <x v="76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</r>
  <r>
    <n v="18987"/>
    <x v="43"/>
    <s v="De Geyter"/>
    <s v="Dolly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</r>
  <r>
    <n v="32387"/>
    <x v="178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</r>
  <r>
    <n v="40744"/>
    <x v="191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</r>
  <r>
    <n v="35379"/>
    <x v="245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</r>
  <r>
    <n v="37794"/>
    <x v="246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6"/>
  </r>
  <r>
    <n v="40294"/>
    <x v="247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7"/>
  </r>
  <r>
    <n v="37662"/>
    <x v="186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</r>
  <r>
    <n v="32542"/>
    <x v="166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8"/>
  </r>
  <r>
    <n v="33450"/>
    <x v="94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49"/>
  </r>
  <r>
    <n v="17555"/>
    <x v="248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</r>
  <r>
    <n v="39529"/>
    <x v="169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</r>
  <r>
    <n v="40652"/>
    <x v="219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</r>
  <r>
    <n v="22767"/>
    <x v="249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</r>
  <r>
    <n v="29477"/>
    <x v="250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</r>
  <r>
    <n v="16897"/>
    <x v="251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</r>
  <r>
    <n v="18173"/>
    <x v="252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</r>
  <r>
    <n v="41296"/>
    <x v="253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</r>
  <r>
    <n v="36513"/>
    <x v="254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</r>
  <r>
    <n v="33400"/>
    <x v="99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</r>
  <r>
    <n v="24367"/>
    <x v="62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</r>
  <r>
    <n v="40005"/>
    <x v="255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</r>
  <r>
    <n v="40652"/>
    <x v="219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</r>
  <r>
    <n v="26847"/>
    <x v="256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</r>
  <r>
    <n v="40414"/>
    <x v="257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</r>
  <r>
    <n v="21812"/>
    <x v="258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</r>
  <r>
    <n v="36358"/>
    <x v="259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</r>
  <r>
    <n v="4419"/>
    <x v="260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</r>
  <r>
    <n v="29179"/>
    <x v="106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</r>
  <r>
    <n v="39014"/>
    <x v="68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0"/>
    <x v="150"/>
  </r>
  <r>
    <n v="36426"/>
    <x v="262"/>
    <s v="Mohamed Yassin"/>
    <s v="Abdulhamid"/>
    <x v="4"/>
    <x v="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6311%20Gent%2003012025.pdf?csf=1&amp;web=1&amp;e=2BaFcc"/>
    <m/>
    <n v="1"/>
    <x v="1"/>
    <x v="151"/>
  </r>
  <r>
    <n v="19917"/>
    <x v="12"/>
    <s v="Vandevyvere"/>
    <s v="Frank"/>
    <x v="4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767%20Dendermondsesteenweg%20Gent%2010012025.pdf?csf=1&amp;web=1&amp;e=5vYL1N"/>
    <n v="1"/>
    <m/>
    <x v="0"/>
    <x v="9"/>
  </r>
  <r>
    <n v="39660"/>
    <x v="78"/>
    <s v="Lloyd"/>
    <s v="Glenn"/>
    <x v="4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264%20Morekstraat%20Wondelgem%2022.01.2025.pdf?csf=1&amp;web=1&amp;e=vTRSRN"/>
    <n v="1"/>
    <m/>
    <x v="0"/>
    <x v="24"/>
  </r>
  <r>
    <n v="16545"/>
    <x v="230"/>
    <s v="Toch"/>
    <s v="Erwin"/>
    <x v="4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327%20Sint-Pietersstation%20Gent%2003.02.2025.pdf?csf=1&amp;web=1&amp;e=3KRGB3"/>
    <n v="1"/>
    <m/>
    <x v="0"/>
    <x v="8"/>
  </r>
  <r>
    <n v="17951"/>
    <x v="263"/>
    <s v="Lega"/>
    <s v="Claude"/>
    <x v="4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6317%20Gent%2006022025%2017951%20Claude%20Lega.pdf?csf=1&amp;web=1&amp;e=aqrFXe"/>
    <m/>
    <n v="1"/>
    <x v="1"/>
    <x v="111"/>
  </r>
  <r>
    <n v="37662"/>
    <x v="186"/>
    <s v="Van den Meerssche"/>
    <s v="Steven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052%20Seghersplein%20Gent%2014022025.pdf?csf=1&amp;web=1&amp;e=IgURl3"/>
    <n v="1"/>
    <m/>
    <x v="0"/>
    <x v="152"/>
  </r>
  <r>
    <n v="11236"/>
    <x v="63"/>
    <s v="Baert"/>
    <s v="Freddy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241%20Gentbruggebrug%2014.02.2025.pdf?csf=1&amp;web=1&amp;e=fgQjVx"/>
    <n v="1"/>
    <m/>
    <x v="0"/>
    <x v="6"/>
  </r>
  <r>
    <n v="39660"/>
    <x v="78"/>
    <s v="Lloyd"/>
    <s v="Glenn"/>
    <x v="4"/>
    <x v="0"/>
    <m/>
    <n v="1"/>
    <m/>
    <m/>
    <m/>
    <m/>
    <m/>
    <m/>
    <m/>
    <m/>
    <m/>
    <m/>
    <n v="1"/>
    <x v="274"/>
    <s v="https://delijn.sharepoint.com/:b:/r/teams/CTM-OTGentStad/Shared%20Documents/General/EAF/CSI(nieuwe%20sharepoint)%202025/2.%20Februari/EAF%202195%20Gentsesteenweg%20Deinze%2019.02.2025.pdf?csf=1&amp;web=1&amp;e=YKjxRO"/>
    <n v="1"/>
    <m/>
    <x v="0"/>
    <x v="10"/>
  </r>
  <r>
    <n v="39972"/>
    <x v="264"/>
    <s v="Repaj"/>
    <s v="Ramazav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229%20Rooigemlaan%20Gent%2021022025.pdf?csf=1&amp;web=1&amp;e=9rahT3"/>
    <n v="1"/>
    <m/>
    <x v="0"/>
    <x v="42"/>
  </r>
  <r>
    <n v="40744"/>
    <x v="191"/>
    <s v="Gözüküçük"/>
    <s v="Ugur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929%20Koer%20stelplaats%20Gentbrugge%2021.02.2025.pdf?csf=1&amp;web=1&amp;e=WcuRMe"/>
    <n v="1"/>
    <m/>
    <x v="0"/>
    <x v="32"/>
  </r>
  <r>
    <n v="39712"/>
    <x v="74"/>
    <s v="Repaj"/>
    <s v="Ramazan"/>
    <x v="4"/>
    <x v="0"/>
    <m/>
    <n v="1"/>
    <m/>
    <m/>
    <m/>
    <m/>
    <m/>
    <m/>
    <m/>
    <m/>
    <m/>
    <m/>
    <n v="1"/>
    <x v="275"/>
    <m/>
    <n v="1"/>
    <m/>
    <x v="0"/>
    <x v="153"/>
  </r>
  <r>
    <n v="37509"/>
    <x v="203"/>
    <s v="Abdulkader"/>
    <s v="Sabah"/>
    <x v="4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043%20Steendam%20Gent%2022.02.2025%20om%2017u24.pdf?csf=1&amp;web=1&amp;e=5fwQvm"/>
    <n v="1"/>
    <m/>
    <x v="0"/>
    <x v="23"/>
  </r>
  <r>
    <n v="40744"/>
    <x v="191"/>
    <s v="Gözüküçük"/>
    <s v="Ugur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2546%20Meeuwstraat%20Gent%2027.02.2025.pdf?csf=1&amp;web=1&amp;e=CQdWKK"/>
    <n v="1"/>
    <m/>
    <x v="0"/>
    <x v="101"/>
  </r>
  <r>
    <n v="39779"/>
    <x v="47"/>
    <s v="Avci"/>
    <s v="Muhammet Abdullah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923%20Wondelgem%2027022025%2039779.pdf?csf=1&amp;web=1&amp;e=bosJkF"/>
    <n v="1"/>
    <m/>
    <x v="0"/>
    <x v="16"/>
  </r>
  <r>
    <n v="28910"/>
    <x v="265"/>
    <s v="Gassa"/>
    <s v="Osmane"/>
    <x v="4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040%20Gent%2028910%20Gassa%20Osmane.pdf?csf=1&amp;web=1&amp;e=L9zGMT"/>
    <n v="1"/>
    <m/>
    <x v="0"/>
    <x v="118"/>
  </r>
  <r>
    <n v="37662"/>
    <x v="186"/>
    <s v="Van den Meerssche"/>
    <s v="Steven"/>
    <x v="4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0"/>
    <x v="154"/>
  </r>
  <r>
    <n v="37179"/>
    <x v="172"/>
    <s v="Bashir"/>
    <s v="Muhammad Salman"/>
    <x v="4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266%20Wondelgem%2026032025%2037179.pdf?csf=1&amp;web=1&amp;e=evHmMw"/>
    <n v="1"/>
    <m/>
    <x v="0"/>
    <x v="24"/>
  </r>
  <r>
    <n v="17566"/>
    <x v="9"/>
    <s v="Praet"/>
    <s v="Reginald"/>
    <x v="4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4%20Zwijnaardsesteenweg%20Gent%2002.04.2025%20Reginald%20Praet%2017566.pdf?csf=1&amp;web=1&amp;e=dRduHF"/>
    <m/>
    <n v="1"/>
    <x v="1"/>
    <x v="12"/>
  </r>
  <r>
    <n v="38035"/>
    <x v="266"/>
    <s v="Simsek"/>
    <s v="Isa"/>
    <x v="4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0"/>
    <x v="59"/>
  </r>
  <r>
    <n v="40443"/>
    <x v="267"/>
    <s v="Fakash"/>
    <s v="Mahmoud"/>
    <x v="4"/>
    <x v="0"/>
    <m/>
    <m/>
    <m/>
    <n v="1"/>
    <m/>
    <m/>
    <m/>
    <m/>
    <m/>
    <m/>
    <m/>
    <m/>
    <n v="1"/>
    <x v="28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0"/>
    <x v="155"/>
  </r>
  <r>
    <n v="40478"/>
    <x v="177"/>
    <s v="Hashimi"/>
    <s v="Ali Mir"/>
    <x v="4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5772%20Gent%20220425%20401478%20Hashimi.pdf?csf=1&amp;web=1&amp;e=guL8Ss"/>
    <n v="1"/>
    <m/>
    <x v="0"/>
    <x v="156"/>
  </r>
  <r>
    <n v="38931"/>
    <x v="15"/>
    <s v="Sancak"/>
    <s v="Eyuphan"/>
    <x v="4"/>
    <x v="0"/>
    <m/>
    <m/>
    <m/>
    <m/>
    <n v="1"/>
    <m/>
    <m/>
    <m/>
    <m/>
    <m/>
    <m/>
    <m/>
    <n v="1"/>
    <x v="285"/>
    <s v="https://delijn.sharepoint.com/:b:/r/teams/CTM-OTGentStad/Shared%20Documents/General/EAF/CSI(nieuwe%20sharepoint)%202025/5.%20Mei/EAF%204678%20Gent%2009052025%2038931%20Sancak.pdf?csf=1&amp;web=1&amp;e=inxfnO"/>
    <n v="1"/>
    <m/>
    <x v="0"/>
    <x v="157"/>
  </r>
  <r>
    <n v="29746"/>
    <x v="268"/>
    <s v="Huyse"/>
    <s v="Annicke"/>
    <x v="4"/>
    <x v="0"/>
    <m/>
    <m/>
    <m/>
    <m/>
    <n v="1"/>
    <m/>
    <m/>
    <m/>
    <m/>
    <m/>
    <m/>
    <m/>
    <n v="1"/>
    <x v="286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0"/>
    <x v="0"/>
  </r>
  <r>
    <n v="41671"/>
    <x v="269"/>
    <s v="Hasan"/>
    <s v="Salem"/>
    <x v="4"/>
    <x v="0"/>
    <m/>
    <m/>
    <m/>
    <m/>
    <n v="1"/>
    <m/>
    <m/>
    <m/>
    <m/>
    <m/>
    <m/>
    <m/>
    <n v="1"/>
    <x v="287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0"/>
    <x v="82"/>
  </r>
  <r>
    <n v="41482"/>
    <x v="270"/>
    <s v="Özdemir"/>
    <s v="Osman"/>
    <x v="4"/>
    <x v="0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5928%20Gent%2023052025%2041482.pdf?csf=1&amp;web=1&amp;e=sFqO7G"/>
    <n v="1"/>
    <m/>
    <x v="0"/>
    <x v="26"/>
  </r>
  <r>
    <n v="15412"/>
    <x v="271"/>
    <s v="Dhondt"/>
    <s v="Frank"/>
    <x v="4"/>
    <x v="0"/>
    <m/>
    <m/>
    <m/>
    <m/>
    <m/>
    <n v="1"/>
    <m/>
    <m/>
    <m/>
    <m/>
    <m/>
    <m/>
    <n v="1"/>
    <x v="289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0"/>
    <x v="158"/>
  </r>
  <r>
    <n v="36438"/>
    <x v="243"/>
    <s v="Agil"/>
    <s v="Birol"/>
    <x v="4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6314%20gent%2026052025%2036438.pdf?csf=1&amp;web=1&amp;e=Z7eZiV"/>
    <m/>
    <n v="1"/>
    <x v="1"/>
    <x v="159"/>
  </r>
  <r>
    <n v="41619"/>
    <x v="272"/>
    <s v="Bachiri"/>
    <s v="Ousama"/>
    <x v="4"/>
    <x v="0"/>
    <m/>
    <m/>
    <m/>
    <m/>
    <n v="1"/>
    <m/>
    <m/>
    <m/>
    <m/>
    <m/>
    <m/>
    <m/>
    <n v="1"/>
    <x v="290"/>
    <s v="https://delijn.sharepoint.com/:b:/r/teams/CTM-OTGentStad/Shared%20Documents/General/EAF/CSI(nieuwe%20sharepoint)%202025/6.%20Juni/EAF%205927%20Gent%2030052025%2041619%20Ousama.pdf?csf=1&amp;web=1&amp;e=hrQO2G"/>
    <n v="1"/>
    <m/>
    <x v="0"/>
    <x v="160"/>
  </r>
  <r>
    <n v="36426"/>
    <x v="262"/>
    <s v="Mohamed Yassin"/>
    <s v="Abdulham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1"/>
    <x v="65"/>
  </r>
  <r>
    <n v="26847"/>
    <x v="256"/>
    <s v="De Meester"/>
    <s v="Dav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6341%2020062025%20Gent%2026847%20DAvid%20De%20Meester.pdf?csf=1&amp;web=1&amp;e=Axtmjn"/>
    <m/>
    <n v="1"/>
    <x v="1"/>
    <x v="2"/>
  </r>
  <r>
    <n v="19917"/>
    <x v="12"/>
    <s v="Vandevyvere"/>
    <s v="Frank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260%2023062025%20Gent%2019917%20Frank%20Vandevyvere.pdf?csf=1&amp;web=1&amp;e=f3iwKC"/>
    <n v="1"/>
    <m/>
    <x v="0"/>
    <x v="24"/>
  </r>
  <r>
    <n v="40478"/>
    <x v="177"/>
    <s v="Hashimi"/>
    <s v="Ali Mir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911%20Gent23062025%2040478%20Ali%20Mir%20Hashimi.pdf?csf=1&amp;web=1&amp;e=LpDw5m"/>
    <n v="1"/>
    <m/>
    <x v="0"/>
    <x v="75"/>
  </r>
  <r>
    <n v="38634"/>
    <x v="10"/>
    <s v="Asskale"/>
    <s v="Zouhir"/>
    <x v="4"/>
    <x v="0"/>
    <m/>
    <m/>
    <m/>
    <m/>
    <m/>
    <n v="1"/>
    <m/>
    <m/>
    <m/>
    <m/>
    <m/>
    <m/>
    <n v="1"/>
    <x v="293"/>
    <s v="https://delijn.sharepoint.com/:b:/r/teams/CTM-OTGentStad/Shared%20Documents/General/EAF/CSI(nieuwe%20sharepoint)%202025/6.%20Juni/EAF%206339%20Gent%2024062025%2038634.pdf?csf=1&amp;web=1&amp;e=4abjDJ"/>
    <m/>
    <n v="1"/>
    <x v="1"/>
    <x v="17"/>
  </r>
  <r>
    <n v="15412"/>
    <x v="271"/>
    <s v="Dhondt"/>
    <s v="Frank"/>
    <x v="4"/>
    <x v="0"/>
    <m/>
    <m/>
    <m/>
    <m/>
    <m/>
    <m/>
    <m/>
    <m/>
    <m/>
    <m/>
    <m/>
    <m/>
    <n v="0"/>
    <x v="294"/>
    <s v="https://delijn.sharepoint.com/:b:/r/teams/CTM-OTGentStad/Shared%20Documents/General/EAF/CSI(nieuwe%20sharepoint)%202025/6.%20Juni/EAF%205261%20Gent%2025062025%2015412%20Frank%20Dhond.pdf?csf=1&amp;web=1&amp;e=BT24uc"/>
    <n v="1"/>
    <m/>
    <x v="0"/>
    <x v="161"/>
  </r>
  <r>
    <n v="37542"/>
    <x v="158"/>
    <s v="De Tandt"/>
    <s v="Hans"/>
    <x v="4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1"/>
    <x v="82"/>
  </r>
  <r>
    <n v="40745"/>
    <x v="273"/>
    <s v="Ivanov"/>
    <s v="Ivan"/>
    <x v="4"/>
    <x v="0"/>
    <m/>
    <m/>
    <m/>
    <m/>
    <m/>
    <m/>
    <n v="1"/>
    <m/>
    <m/>
    <m/>
    <m/>
    <m/>
    <n v="1"/>
    <x v="296"/>
    <s v="https://delijn.sharepoint.com/:b:/r/teams/CTM-OTGentStad/Shared%20Documents/General/EAF/CSI(nieuwe%20sharepoint)%202025/7.%20Juli/EAF%205259%2003072025%20GENT%2040745%20Ivan%20Ivanov.pdf?csf=1&amp;web=1&amp;e=pJwYiX"/>
    <n v="1"/>
    <m/>
    <x v="0"/>
    <x v="119"/>
  </r>
  <r>
    <n v="19917"/>
    <x v="12"/>
    <s v="Vandevyvere"/>
    <s v="Frank"/>
    <x v="4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0"/>
    <x v="9"/>
  </r>
  <r>
    <n v="26331"/>
    <x v="87"/>
    <s v="Van Semmertier"/>
    <s v="Pascal"/>
    <x v="4"/>
    <x v="0"/>
    <m/>
    <m/>
    <m/>
    <m/>
    <m/>
    <m/>
    <n v="1"/>
    <m/>
    <m/>
    <m/>
    <m/>
    <m/>
    <n v="1"/>
    <x v="298"/>
    <s v="https://delijn.sharepoint.com/:b:/r/teams/CTM-OTGentStad/Shared%20Documents/General/EAF/CSI(nieuwe%20sharepoint)%202025/7.%20Juli/EAF%205266%20Brugsepoort%20Gent%2019072025.pdf?csf=1&amp;web=1&amp;e=CPSUQU"/>
    <n v="1"/>
    <m/>
    <x v="0"/>
    <x v="162"/>
  </r>
  <r>
    <n v="11213"/>
    <x v="274"/>
    <s v="De Plus"/>
    <s v="Gunter"/>
    <x v="4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6331%20Gent%2024072025%2011213%20De%20Plus%20Gunther.pdf?csf=1&amp;web=1&amp;e=MhEOdn"/>
    <m/>
    <n v="1"/>
    <x v="1"/>
    <x v="163"/>
  </r>
  <r>
    <n v="12819"/>
    <x v="275"/>
    <s v="Van Eenaeme"/>
    <s v="David"/>
    <x v="4"/>
    <x v="0"/>
    <m/>
    <m/>
    <m/>
    <m/>
    <m/>
    <m/>
    <n v="1"/>
    <m/>
    <m/>
    <m/>
    <m/>
    <m/>
    <n v="1"/>
    <x v="300"/>
    <s v="https://delijn.sharepoint.com/:b:/r/teams/CTM-OTGentStad/Shared%20Documents/General/EAF/CSI(nieuwe%20sharepoint)%202025/7.%20Juli/EAF%205041%20Gent%2025072025%2012819%20David%20Van%20Eename.pdf?csf=1&amp;web=1&amp;e=J8HFtY"/>
    <n v="1"/>
    <m/>
    <x v="0"/>
    <x v="15"/>
  </r>
  <r>
    <n v="40744"/>
    <x v="191"/>
    <s v="Gözüküçük"/>
    <s v="Ugur"/>
    <x v="4"/>
    <x v="2"/>
    <m/>
    <m/>
    <m/>
    <m/>
    <m/>
    <m/>
    <m/>
    <m/>
    <m/>
    <m/>
    <m/>
    <m/>
    <n v="0"/>
    <x v="268"/>
    <s v="EAF 04122024 Ugur.pdf"/>
    <n v="1"/>
    <m/>
    <x v="0"/>
    <x v="164"/>
  </r>
  <r>
    <n v="37509"/>
    <x v="203"/>
    <s v="Abdulkader"/>
    <s v="Sabah"/>
    <x v="4"/>
    <x v="3"/>
    <m/>
    <n v="1"/>
    <m/>
    <m/>
    <m/>
    <m/>
    <m/>
    <m/>
    <m/>
    <m/>
    <m/>
    <m/>
    <n v="1"/>
    <x v="268"/>
    <s v="EAF 2200 Steinstraat Nazareth 18.02.2025.pdf"/>
    <n v="1"/>
    <m/>
    <x v="0"/>
    <x v="165"/>
  </r>
  <r>
    <n v="37662"/>
    <x v="186"/>
    <s v="Van den Meerssche"/>
    <s v="Steven"/>
    <x v="4"/>
    <x v="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044%20Dampoort%2006052025.pdf?csf=1&amp;web=1&amp;e=AOYsIO"/>
    <n v="1"/>
    <m/>
    <x v="0"/>
    <x v="26"/>
  </r>
  <r>
    <n v="29746"/>
    <x v="268"/>
    <s v="Huyse"/>
    <s v="Annicke"/>
    <x v="4"/>
    <x v="5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</r>
  <r>
    <n v="39779"/>
    <x v="47"/>
    <s v="Avci"/>
    <s v="Muhammet Abdullah"/>
    <x v="4"/>
    <x v="6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0"/>
    <x v="1"/>
  </r>
  <r>
    <n v="39660"/>
    <x v="78"/>
    <s v="Lloyd"/>
    <s v="Glenn"/>
    <x v="4"/>
    <x v="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0%2004072025%20Gent%2039660%20Glenn%20Loyd.pdf?csf=1&amp;web=1&amp;e=GWNfVE"/>
    <n v="1"/>
    <m/>
    <x v="0"/>
    <x v="166"/>
  </r>
  <r>
    <n v="20653"/>
    <x v="67"/>
    <s v="Mestdag"/>
    <s v="Marius"/>
    <x v="4"/>
    <x v="8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</r>
  <r>
    <n v="41619"/>
    <x v="272"/>
    <s v="Bachiri"/>
    <s v="Ousama"/>
    <x v="4"/>
    <x v="0"/>
    <m/>
    <m/>
    <m/>
    <m/>
    <m/>
    <m/>
    <m/>
    <n v="1"/>
    <m/>
    <m/>
    <m/>
    <m/>
    <n v="1"/>
    <x v="301"/>
    <s v=" https://delijn.sharepoint.com/:b:/r/teams/CTM-OTGentStad/Shared%20Documents/General/EAF/CSI(nieuwe%20sharepoint)%202025/8.%20Augustus/EAF%205048%20Gent%2023082025%2041619%20Bachiri%20Ousama.pdf?csf=1&amp;web=1&amp;e=zWKH6v"/>
    <n v="1"/>
    <m/>
    <x v="0"/>
    <x v="155"/>
  </r>
  <r>
    <n v="11236"/>
    <x v="63"/>
    <s v="Baert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5046%2028082025%20Gent%2011236%20Freddy%20Baert.pdf?csf=1&amp;web=1&amp;e=PXPs08"/>
    <n v="1"/>
    <m/>
    <x v="0"/>
    <x v="167"/>
  </r>
  <r>
    <n v="16895"/>
    <x v="234"/>
    <s v="Van Lauwe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6332%20GEnt%2028082025.pdf?csf=1&amp;web=1&amp;e=aAVqVH"/>
    <n v="1"/>
    <m/>
    <x v="0"/>
    <x v="168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0"/>
    <x v="0"/>
  </r>
  <r>
    <n v="40138"/>
    <x v="239"/>
    <s v="Moerman"/>
    <s v="Tjimmy"/>
    <x v="5"/>
    <x v="0"/>
    <n v="1"/>
    <m/>
    <m/>
    <m/>
    <m/>
    <m/>
    <m/>
    <m/>
    <m/>
    <m/>
    <m/>
    <m/>
    <n v="1"/>
    <x v="303"/>
    <s v="https://delijn.sharepoint.com/:b:/r/teams/CTM-OTGentStad/Shared%20Documents/General/EAF/CSI(nieuwe%20sharepoint)%202025/1.%20Januari/EAF%205051%20Gent%2004012025.pdf?csf=1&amp;web=1&amp;e=R2H0Ug"/>
    <n v="1"/>
    <m/>
    <x v="0"/>
    <x v="72"/>
  </r>
  <r>
    <n v="40266"/>
    <x v="197"/>
    <s v="Taibi"/>
    <s v="Yassine"/>
    <x v="5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12%20Blandijnberg%2010012025%20Yassine%20Taibi.pdf?csf=1&amp;web=1&amp;e=8YVEw2"/>
    <n v="1"/>
    <m/>
    <x v="0"/>
    <x v="169"/>
  </r>
  <r>
    <n v="40005"/>
    <x v="255"/>
    <s v="Bernaerts"/>
    <s v="Philip"/>
    <x v="5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5920%20Gent%2015012025.pdf?csf=1&amp;web=1&amp;e=LrqePB"/>
    <n v="1"/>
    <m/>
    <x v="0"/>
    <x v="7"/>
  </r>
  <r>
    <n v="40138"/>
    <x v="239"/>
    <s v="Moerman"/>
    <s v="Tjimmy"/>
    <x v="5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923%20Gent%20Moerman%20Jimmy%2040138%2028012025.pdf?csf=1&amp;web=1&amp;e=kKemrH"/>
    <n v="1"/>
    <m/>
    <x v="0"/>
    <x v="14"/>
  </r>
  <r>
    <n v="39532"/>
    <x v="168"/>
    <s v="Sahin"/>
    <s v="Orhan"/>
    <x v="5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8%20E17%20parking%2001022025.pdf?csf=1&amp;web=1&amp;e=oybdIm"/>
    <n v="1"/>
    <m/>
    <x v="0"/>
    <x v="0"/>
  </r>
  <r>
    <n v="40266"/>
    <x v="197"/>
    <s v="Taibi"/>
    <s v="Yassine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199%20Deinze%2040266%20Taibi%20Yassine%2005022025.pdf?csf=1&amp;web=1&amp;e=Ho3WJM"/>
    <n v="1"/>
    <m/>
    <x v="0"/>
    <x v="10"/>
  </r>
  <r>
    <n v="25679"/>
    <x v="276"/>
    <s v="Vanrenterghem"/>
    <s v="Serge"/>
    <x v="5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0"/>
    <x v="2"/>
  </r>
  <r>
    <n v="39267"/>
    <x v="277"/>
    <s v="Van Holsbeeck"/>
    <s v="Jens"/>
    <x v="5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1"/>
    <x v="49"/>
  </r>
  <r>
    <n v="30121"/>
    <x v="28"/>
    <s v="Simons"/>
    <s v="Andreas"/>
    <x v="5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206%20Gent%2024022025%2030121%20Simons%20Andreas.pdf?csf=1&amp;web=1&amp;e=GFU2jw"/>
    <n v="1"/>
    <m/>
    <x v="0"/>
    <x v="25"/>
  </r>
  <r>
    <n v="40138"/>
    <x v="239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0"/>
    <x v="53"/>
  </r>
  <r>
    <n v="38807"/>
    <x v="110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0"/>
    <x v="170"/>
  </r>
  <r>
    <n v="34019"/>
    <x v="278"/>
    <s v="Hoste"/>
    <s v="Tom"/>
    <x v="5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911%20Gent%20Tom%20Hoste.pdf?csf=1&amp;web=1&amp;e=DV4jWx"/>
    <n v="1"/>
    <m/>
    <x v="0"/>
    <x v="125"/>
  </r>
  <r>
    <n v="40138"/>
    <x v="239"/>
    <s v="Moerman"/>
    <s v="Tjimmy"/>
    <x v="5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5325%20Gent%2011032025%2040138%20Tjimmy%20Moerman.pdf?csf=1&amp;web=1&amp;e=dGpyn2"/>
    <n v="1"/>
    <m/>
    <x v="0"/>
    <x v="29"/>
  </r>
  <r>
    <n v="39532"/>
    <x v="168"/>
    <s v="Sahin"/>
    <s v="Orhan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5237%20Gent%2012032025%2039532%20Orhan%20Sahin.pdf?csf=1&amp;web=1&amp;e=sOhFBm"/>
    <n v="1"/>
    <m/>
    <x v="0"/>
    <x v="109"/>
  </r>
  <r>
    <n v="41520"/>
    <x v="279"/>
    <s v="Smets"/>
    <s v="Avery"/>
    <x v="5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8138%20gent%2020032025%2041520%20Avery%20smets.pdf?csf=1&amp;web=1&amp;e=SuXtCv"/>
    <n v="1"/>
    <m/>
    <x v="0"/>
    <x v="171"/>
  </r>
  <r>
    <n v="38807"/>
    <x v="110"/>
    <s v="Dossche"/>
    <s v="Caroline"/>
    <x v="5"/>
    <x v="0"/>
    <m/>
    <m/>
    <m/>
    <n v="1"/>
    <m/>
    <m/>
    <m/>
    <m/>
    <m/>
    <m/>
    <m/>
    <m/>
    <n v="1"/>
    <x v="317"/>
    <s v="https://delijn.sharepoint.com/:b:/r/teams/CTM-OTGentStad/Shared%20Documents/General/EAF/CSI(nieuwe%20sharepoint)%202025/4.%20April/EAF%205046%20Gent%2003042025%2038807%20Caroline%20Dossche.pdf?csf=1&amp;web=1&amp;e=5g91m1"/>
    <n v="1"/>
    <m/>
    <x v="0"/>
    <x v="29"/>
  </r>
  <r>
    <n v="39929"/>
    <x v="69"/>
    <s v="Staneva"/>
    <s v="Mariyana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2197%20Gent%2009042025%2039929%20Mariyana%20Staneva.pdf?csf=1&amp;web=1&amp;e=e8TW4G"/>
    <n v="1"/>
    <m/>
    <x v="0"/>
    <x v="115"/>
  </r>
  <r>
    <n v="39358"/>
    <x v="41"/>
    <s v="Weeks Aracena"/>
    <s v="Jimmy Alexander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238%20Gent%2009042025%2039358%20Jimmy%20weeks%20Arcena.pdf?csf=1&amp;web=1&amp;e=jumpLS"/>
    <n v="1"/>
    <m/>
    <x v="0"/>
    <x v="42"/>
  </r>
  <r>
    <n v="25679"/>
    <x v="276"/>
    <s v="Vanrenterghem"/>
    <s v="Serge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6308%20gent%2009042025%2025679%20Serge%20Van%20Rentergem.pdf?csf=1&amp;web=1&amp;e=TIvMp3"/>
    <m/>
    <n v="1"/>
    <x v="1"/>
    <x v="56"/>
  </r>
  <r>
    <n v="40110"/>
    <x v="130"/>
    <s v="Vanlerberghe"/>
    <s v="Sandra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2197%20Gent%2019042025%2040110%20Sandra%20Vanlerberghe.pdf?csf=1&amp;web=1&amp;e=E3vM9R"/>
    <n v="1"/>
    <m/>
    <x v="0"/>
    <x v="34"/>
  </r>
  <r>
    <n v="41520"/>
    <x v="279"/>
    <s v="Smets"/>
    <s v="Avery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9%20Gent%2019042025%2041520%20Avery%20Smets.pdf?csf=1&amp;web=1&amp;e=b7Xzf4"/>
    <n v="1"/>
    <m/>
    <x v="0"/>
    <x v="172"/>
  </r>
  <r>
    <n v="38731"/>
    <x v="280"/>
    <s v="Ben Sidhom"/>
    <s v="Samir"/>
    <x v="5"/>
    <x v="0"/>
    <m/>
    <m/>
    <m/>
    <m/>
    <n v="1"/>
    <m/>
    <m/>
    <m/>
    <m/>
    <m/>
    <m/>
    <m/>
    <n v="1"/>
    <x v="319"/>
    <s v="https://delijn.sharepoint.com/:b:/r/teams/CTM-OTGentStad/Shared%20Documents/General/EAF/CSI(nieuwe%20sharepoint)%202025/5.%20Mei/EAF%205053%20Gent%2006052025%2038731%20Ben%20Samir%20Sidhom.pdf?csf=1&amp;web=1&amp;e=IH2ioZ"/>
    <n v="1"/>
    <m/>
    <x v="0"/>
    <x v="0"/>
  </r>
  <r>
    <n v="40138"/>
    <x v="239"/>
    <s v="Moerman"/>
    <s v="Tjimmy"/>
    <x v="5"/>
    <x v="0"/>
    <m/>
    <m/>
    <m/>
    <m/>
    <n v="1"/>
    <m/>
    <m/>
    <m/>
    <m/>
    <m/>
    <m/>
    <m/>
    <n v="1"/>
    <x v="320"/>
    <s v=" https://delijn.sharepoint.com/:b:/r/teams/CTM-OTGentStad/Shared%20Documents/General/EAF/CSI(nieuwe%20sharepoint)%202025/5.%20Mei/EAF%205047%20Einde%20Were%20Gent%2011052025.pdf?csf=1&amp;web=1&amp;e=YoZLwz"/>
    <n v="1"/>
    <m/>
    <x v="0"/>
    <x v="42"/>
  </r>
  <r>
    <n v="40278"/>
    <x v="225"/>
    <s v="Ates"/>
    <s v="Firat"/>
    <x v="5"/>
    <x v="0"/>
    <m/>
    <m/>
    <m/>
    <m/>
    <n v="1"/>
    <m/>
    <m/>
    <m/>
    <m/>
    <m/>
    <m/>
    <m/>
    <n v="1"/>
    <x v="288"/>
    <s v="EAF bij chauffeur verloren. Via planning west naar schade gestuurd"/>
    <n v="1"/>
    <m/>
    <x v="0"/>
    <x v="23"/>
  </r>
  <r>
    <n v="39927"/>
    <x v="122"/>
    <s v="De Wilde"/>
    <s v="Jordy"/>
    <x v="5"/>
    <x v="0"/>
    <m/>
    <m/>
    <m/>
    <m/>
    <n v="1"/>
    <m/>
    <m/>
    <m/>
    <m/>
    <m/>
    <m/>
    <m/>
    <n v="1"/>
    <x v="321"/>
    <s v="https://delijn.sharepoint.com/:b:/r/teams/CTM-OTGentStad/Shared%20Documents/General/EAF/CSI(nieuwe%20sharepoint)%202025/5.%20Mei/EAF%206355%20Gent%2031052025%2039927%20Jordy%20Dewilde.pdf?csf=1&amp;web=1&amp;e=MnwuV8"/>
    <m/>
    <n v="1"/>
    <x v="1"/>
    <x v="56"/>
  </r>
  <r>
    <n v="40278"/>
    <x v="225"/>
    <s v="Ates"/>
    <s v="Firat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236%20Gent%2002062025%2040278%20Ates%20Firat.pdf?csf=1&amp;web=1&amp;e=U99UKS"/>
    <n v="1"/>
    <m/>
    <x v="0"/>
    <x v="119"/>
  </r>
  <r>
    <n v="41384"/>
    <x v="281"/>
    <s v="Hillaert"/>
    <s v="Thimo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489%20Gent%2002062025%2041384%20Thimo%20Hillaert.pdf?csf=1&amp;web=1&amp;e=RbemFP"/>
    <n v="1"/>
    <m/>
    <x v="0"/>
    <x v="9"/>
  </r>
  <r>
    <n v="7746"/>
    <x v="282"/>
    <s v="Aelterman"/>
    <s v="Didier"/>
    <x v="5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488%20Gent%2012062025%207746%20Didier%20Aelterman.pdf?csf=1&amp;web=1&amp;e=544rWn"/>
    <n v="1"/>
    <m/>
    <x v="0"/>
    <x v="173"/>
  </r>
  <r>
    <n v="26695"/>
    <x v="283"/>
    <s v="Lippens"/>
    <s v="Miguel"/>
    <x v="5"/>
    <x v="9"/>
    <m/>
    <m/>
    <m/>
    <m/>
    <m/>
    <n v="1"/>
    <m/>
    <m/>
    <m/>
    <m/>
    <m/>
    <m/>
    <n v="1"/>
    <x v="324"/>
    <s v="https://delijn.sharepoint.com/:b:/r/teams/CTM-OTGentStad/Shared%20Documents/General/EAF/CSI(nieuwe%20sharepoint)%202025/6.%20Juni/EAF%20Gent%2013062025%2026695%20Miquel%20Lippens.pdf?csf=1&amp;web=1&amp;e=PfzS3d"/>
    <n v="1"/>
    <m/>
    <x v="0"/>
    <x v="173"/>
  </r>
  <r>
    <n v="22416"/>
    <x v="284"/>
    <s v="Bicici"/>
    <s v="Abdul Kadir"/>
    <x v="5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6355%20Gent%2005072025%2022416%20Abdul%20Kadir%20Bicici.pdf?csf=1&amp;web=1&amp;e=0CzNqL"/>
    <m/>
    <n v="1"/>
    <x v="1"/>
    <x v="174"/>
  </r>
  <r>
    <n v="41296"/>
    <x v="253"/>
    <s v="Abulehia"/>
    <s v="Oday"/>
    <x v="5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271%20Gent%2031072025.pdf?csf=1&amp;web=1&amp;e=BoHWZf"/>
    <n v="1"/>
    <m/>
    <x v="0"/>
    <x v="175"/>
  </r>
  <r>
    <n v="40138"/>
    <x v="239"/>
    <s v="Moerman"/>
    <s v="Tjimmy"/>
    <x v="5"/>
    <x v="0"/>
    <m/>
    <m/>
    <m/>
    <m/>
    <m/>
    <m/>
    <m/>
    <n v="1"/>
    <m/>
    <m/>
    <m/>
    <m/>
    <n v="1"/>
    <x v="327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0"/>
    <x v="42"/>
  </r>
  <r>
    <n v="38740"/>
    <x v="285"/>
    <s v="Meskens"/>
    <s v="Anthony"/>
    <x v="5"/>
    <x v="0"/>
    <m/>
    <m/>
    <m/>
    <m/>
    <m/>
    <m/>
    <m/>
    <n v="1"/>
    <m/>
    <m/>
    <m/>
    <m/>
    <n v="1"/>
    <x v="328"/>
    <s v="https://delijn.sharepoint.com/:b:/r/teams/CTM-OTGentStad/Shared%20Documents/General/EAF/CSI(nieuwe%20sharepoint)%202025/8.%20Augustus/EAF%206321%20GEnt%2010082025%2038740%20Anthony%20Meskens.pdf?csf=1&amp;web=1&amp;e=xdQry7"/>
    <m/>
    <n v="1"/>
    <x v="1"/>
    <x v="56"/>
  </r>
  <r>
    <n v="40058"/>
    <x v="134"/>
    <s v="Sögüt"/>
    <s v="Can"/>
    <x v="5"/>
    <x v="1"/>
    <m/>
    <m/>
    <m/>
    <m/>
    <m/>
    <m/>
    <m/>
    <m/>
    <m/>
    <m/>
    <m/>
    <m/>
    <n v="0"/>
    <x v="268"/>
    <s v="EAF 5047 Gent 03012025.pdf"/>
    <n v="1"/>
    <m/>
    <x v="0"/>
    <x v="11"/>
  </r>
  <r>
    <n v="38740"/>
    <x v="285"/>
    <s v="Meskens"/>
    <s v="Anthony"/>
    <x v="5"/>
    <x v="10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</r>
  <r>
    <n v="41348"/>
    <x v="286"/>
    <s v="Van Huffel"/>
    <s v="Tim"/>
    <x v="5"/>
    <x v="11"/>
    <m/>
    <m/>
    <m/>
    <m/>
    <m/>
    <m/>
    <m/>
    <m/>
    <m/>
    <m/>
    <m/>
    <m/>
    <n v="0"/>
    <x v="268"/>
    <s v="https://delijn.sharepoint.com/:b:/r/teams/CTM-OTGentStad/Shared%20Documents/General/EAF/CSI(nieuwe%20sharepoint)%202025/8.%20Augustus/EAF%205927%2014082025%20Gent%2041348%20Tim%20Van%20Huffel.pdf?csf=1&amp;web=1&amp;e=Alupbn"/>
    <n v="1"/>
    <m/>
    <x v="0"/>
    <x v="2"/>
  </r>
  <r>
    <n v="41384"/>
    <x v="281"/>
    <s v="Hillaert"/>
    <s v="Thimo"/>
    <x v="5"/>
    <x v="12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767%20GEnt%2026072025%2041384%20Thimo%20Hillaert.pdf?csf=1&amp;web=1&amp;e=LokqEX"/>
    <n v="1"/>
    <m/>
    <x v="0"/>
    <x v="176"/>
  </r>
  <r>
    <n v="18051"/>
    <x v="287"/>
    <s v="Van Wittenberge"/>
    <s v="Filip"/>
    <x v="5"/>
    <x v="13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</r>
  <r>
    <n v="39529"/>
    <x v="169"/>
    <s v="Desmet"/>
    <s v="Patricia"/>
    <x v="5"/>
    <x v="14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7"/>
  </r>
  <r>
    <n v="18051"/>
    <x v="287"/>
    <s v="Van Wittenberge"/>
    <s v="Filip"/>
    <x v="5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0"/>
    <x v="154"/>
  </r>
  <r>
    <n v="36663"/>
    <x v="288"/>
    <s v="Cesmeli"/>
    <s v="Achraf"/>
    <x v="7"/>
    <x v="0"/>
    <n v="1"/>
    <m/>
    <m/>
    <m/>
    <m/>
    <m/>
    <m/>
    <m/>
    <m/>
    <m/>
    <m/>
    <m/>
    <n v="1"/>
    <x v="303"/>
    <s v="Geen EAF Opgemaakt (via VWF)"/>
    <n v="1"/>
    <m/>
    <x v="0"/>
    <x v="153"/>
  </r>
  <r>
    <n v="37950"/>
    <x v="133"/>
    <s v="De Naegel"/>
    <s v="Bruno"/>
    <x v="7"/>
    <x v="0"/>
    <n v="1"/>
    <m/>
    <m/>
    <m/>
    <m/>
    <m/>
    <m/>
    <m/>
    <m/>
    <m/>
    <m/>
    <m/>
    <n v="1"/>
    <x v="330"/>
    <s v="https://delijn.sharepoint.com/:b:/r/teams/CTM-OTGentStad/Shared%20Documents/General/EAF/CSI(nieuwe%20sharepoint)%202025/1.%20Januari/EAF%205931%20Bevrijdingslaan%2008012025%20Bruno%20De%20Naegel.pdf?csf=1&amp;web=1&amp;e=78802o"/>
    <n v="1"/>
    <m/>
    <x v="0"/>
    <x v="114"/>
  </r>
  <r>
    <n v="30967"/>
    <x v="238"/>
    <s v="Taser"/>
    <s v="Fatih"/>
    <x v="7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6334%2015012025%20Neuseplein%20Fatih%20Taser.pdf?csf=1&amp;web=1&amp;e=EAzEQ3"/>
    <m/>
    <n v="1"/>
    <x v="1"/>
    <x v="177"/>
  </r>
  <r>
    <n v="41162"/>
    <x v="289"/>
    <s v="Hoeckman"/>
    <s v="Jeroen"/>
    <x v="7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929%20%20Gent%2022012025%20Jeroen%20Hoeckman%2041162.pdf?csf=1&amp;web=1&amp;e=giMGLm"/>
    <n v="1"/>
    <m/>
    <x v="0"/>
    <x v="125"/>
  </r>
  <r>
    <n v="31360"/>
    <x v="193"/>
    <s v="Simsek"/>
    <s v="Fatih"/>
    <x v="7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5%20Gent%2023012025.pdf?csf=1&amp;web=1&amp;e=SzvGqf"/>
    <m/>
    <n v="1"/>
    <x v="1"/>
    <x v="159"/>
  </r>
  <r>
    <n v="13398"/>
    <x v="290"/>
    <s v="Kirdas"/>
    <s v="Ramazan"/>
    <x v="7"/>
    <x v="0"/>
    <n v="1"/>
    <m/>
    <m/>
    <m/>
    <m/>
    <m/>
    <m/>
    <m/>
    <m/>
    <m/>
    <m/>
    <m/>
    <n v="1"/>
    <x v="332"/>
    <s v="https://delijn.sharepoint.com/:b:/r/teams/CTM-OTGentStad/Shared%20Documents/General/EAF/CSI(nieuwe%20sharepoint)%202025/1.%20Januari/EAF%206333%20Gent%2024012025.pdf?csf=1&amp;web=1&amp;e=CdRRgw"/>
    <m/>
    <n v="1"/>
    <x v="1"/>
    <x v="143"/>
  </r>
  <r>
    <n v="36663"/>
    <x v="288"/>
    <s v="Cesmeli"/>
    <s v="Achraf"/>
    <x v="7"/>
    <x v="0"/>
    <n v="1"/>
    <m/>
    <m/>
    <m/>
    <m/>
    <m/>
    <m/>
    <m/>
    <m/>
    <m/>
    <m/>
    <m/>
    <n v="1"/>
    <x v="333"/>
    <s v="https://delijn.sharepoint.com/:b:/r/teams/CTM-OTGentStad/Shared%20Documents/General/EAF/CSI(nieuwe%20sharepoint)%202025/1.%20Januari/EAF%205267%20Ledebergplein%2027012025%20Achraf%20Cesmeli.pdf?csf=1&amp;web=1&amp;e=q2VPsx"/>
    <n v="1"/>
    <m/>
    <x v="0"/>
    <x v="49"/>
  </r>
  <r>
    <n v="36663"/>
    <x v="288"/>
    <s v="Cesmeli"/>
    <s v="Achraf"/>
    <x v="7"/>
    <x v="0"/>
    <n v="1"/>
    <m/>
    <m/>
    <m/>
    <m/>
    <m/>
    <m/>
    <m/>
    <m/>
    <m/>
    <m/>
    <m/>
    <n v="1"/>
    <x v="334"/>
    <s v="https://delijn.sharepoint.com/:b:/r/teams/CTM-OTGentStad/Shared%20Documents/General/EAF/CSI(nieuwe%20sharepoint)%202025/1.%20Januari/EAF%205053%20E17%2031012025%20Achraf%20Cesmeli.pdf?csf=1&amp;web=1&amp;e=hL9ZUE"/>
    <n v="1"/>
    <m/>
    <x v="0"/>
    <x v="0"/>
  </r>
  <r>
    <n v="37496"/>
    <x v="198"/>
    <s v="Oosterlinck"/>
    <s v="Willy"/>
    <x v="7"/>
    <x v="0"/>
    <m/>
    <n v="1"/>
    <m/>
    <m/>
    <m/>
    <m/>
    <m/>
    <m/>
    <m/>
    <m/>
    <m/>
    <m/>
    <n v="1"/>
    <x v="335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1"/>
    <x v="56"/>
  </r>
  <r>
    <n v="41162"/>
    <x v="289"/>
    <s v="Hoeckman"/>
    <s v="Jero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0"/>
    <x v="178"/>
  </r>
  <r>
    <n v="41092"/>
    <x v="241"/>
    <s v="De Keyser"/>
    <s v="Dori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935%20Steenakker%2005022025%20Dorien%20De%20Keyser.pdf?csf=1&amp;web=1&amp;e=ZxVG7Z"/>
    <n v="1"/>
    <m/>
    <x v="0"/>
    <x v="160"/>
  </r>
  <r>
    <n v="40223"/>
    <x v="90"/>
    <s v="Teetaert"/>
    <s v="Billy"/>
    <x v="7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0"/>
    <x v="179"/>
  </r>
  <r>
    <n v="37496"/>
    <x v="198"/>
    <s v="Oosterlinck"/>
    <s v="Willy"/>
    <x v="7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1"/>
    <x v="180"/>
  </r>
  <r>
    <n v="41091"/>
    <x v="291"/>
    <s v="Yavas"/>
    <s v="Talha"/>
    <x v="7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5928%20Ham%2015022025%20Yavas%20Talha%2015022025.pdf?csf=1&amp;web=1&amp;e=lvakYp"/>
    <n v="1"/>
    <m/>
    <x v="0"/>
    <x v="181"/>
  </r>
  <r>
    <n v="41162"/>
    <x v="289"/>
    <s v="Hoeckman"/>
    <s v="Jeroen"/>
    <x v="7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7%20Doornzelestraat%2018022025%20Jeroen%20Hoeckman.pdf?csf=1&amp;web=1&amp;e=XUOPuR"/>
    <n v="1"/>
    <m/>
    <x v="0"/>
    <x v="182"/>
  </r>
  <r>
    <n v="41246"/>
    <x v="292"/>
    <s v="Van Holsbeeck"/>
    <s v="Yana"/>
    <x v="7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0"/>
    <x v="183"/>
  </r>
  <r>
    <n v="40223"/>
    <x v="90"/>
    <s v="Teetaert"/>
    <s v="Billy"/>
    <x v="7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5049%20Rooigemlaan%2023022025%20Billy%20Teetaert.pdf?csf=1&amp;web=1&amp;e=4DNmAQ"/>
    <n v="1"/>
    <m/>
    <x v="0"/>
    <x v="42"/>
  </r>
  <r>
    <n v="41092"/>
    <x v="241"/>
    <s v="De Keyser"/>
    <s v="Dorien"/>
    <x v="7"/>
    <x v="0"/>
    <m/>
    <n v="1"/>
    <m/>
    <m/>
    <m/>
    <m/>
    <m/>
    <m/>
    <m/>
    <m/>
    <m/>
    <m/>
    <n v="1"/>
    <x v="340"/>
    <s v="https://delijn.sharepoint.com/:b:/r/teams/CTM-OTGentStad/Shared%20Documents/General/EAF/CSI(nieuwe%20sharepoint)%202025/2.%20Februari/EAF%202548%20Dampoort%20Gent%2028022025.pdf?csf=1&amp;web=1&amp;e=wRbrek"/>
    <n v="1"/>
    <m/>
    <x v="0"/>
    <x v="26"/>
  </r>
  <r>
    <n v="40591"/>
    <x v="293"/>
    <s v="Hiloui"/>
    <s v="Mahmoud"/>
    <x v="7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042%20Gent%2040591%20Mahmoud%20Hiloui.pdf?csf=1&amp;web=1&amp;e=DLOqH0"/>
    <n v="1"/>
    <m/>
    <x v="0"/>
    <x v="59"/>
  </r>
  <r>
    <n v="41092"/>
    <x v="241"/>
    <s v="De Keyser"/>
    <s v="Dorien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09%20Gent%2041092%20Dorien%20De%20Keyser.pdf?csf=1&amp;web=1&amp;e=ogf0tC"/>
    <n v="1"/>
    <m/>
    <x v="0"/>
    <x v="184"/>
  </r>
  <r>
    <n v="29674"/>
    <x v="294"/>
    <s v="Martens"/>
    <s v="Geoffrey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3%20Gent%2029674%20Geoffrey%20Martens.pdf?csf=1&amp;web=1&amp;e=1wHBsm"/>
    <m/>
    <n v="1"/>
    <x v="1"/>
    <x v="56"/>
  </r>
  <r>
    <n v="41246"/>
    <x v="292"/>
    <s v="Van Holsbeeck"/>
    <s v="Yana"/>
    <x v="7"/>
    <x v="0"/>
    <m/>
    <m/>
    <n v="1"/>
    <m/>
    <m/>
    <m/>
    <m/>
    <m/>
    <m/>
    <m/>
    <m/>
    <m/>
    <n v="1"/>
    <x v="342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0"/>
    <x v="111"/>
  </r>
  <r>
    <n v="41064"/>
    <x v="295"/>
    <s v="Ardic"/>
    <s v="Atilla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2549%20-%20gent%20-%2018032025%20Ardic%20Attila.pdf?csf=1&amp;web=1&amp;e=pKy5CP"/>
    <n v="1"/>
    <m/>
    <x v="0"/>
    <x v="2"/>
  </r>
  <r>
    <n v="41092"/>
    <x v="241"/>
    <s v="De Keyser"/>
    <s v="Dorien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770%20Gent%2019032025%20410092%20Dorien%20De%20Keyser.pdf?csf=1&amp;web=1&amp;e=FRC2cn"/>
    <n v="1"/>
    <m/>
    <x v="0"/>
    <x v="169"/>
  </r>
  <r>
    <n v="31668"/>
    <x v="20"/>
    <s v="Weemhof"/>
    <s v="Maurice"/>
    <x v="7"/>
    <x v="0"/>
    <m/>
    <m/>
    <n v="1"/>
    <m/>
    <m/>
    <m/>
    <m/>
    <m/>
    <m/>
    <m/>
    <m/>
    <m/>
    <n v="1"/>
    <x v="344"/>
    <s v="https://delijn.sharepoint.com/:b:/r/teams/CTM-OTGentStad/Shared%20Documents/General/EAF/CSI(nieuwe%20sharepoint)%202025/3.%20Maart/EAF%205918%20Gent%2024032025%2030668%20Maurice%20Weemhof.pdf?csf=1&amp;web=1&amp;e=xg0HDG"/>
    <n v="1"/>
    <m/>
    <x v="0"/>
    <x v="2"/>
  </r>
  <r>
    <n v="41092"/>
    <x v="241"/>
    <s v="De Keyser"/>
    <s v="Dorien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766%20Hoogstraat%20Gent%2007042025.pdf?csf=1&amp;web=1&amp;e=s0oe3V"/>
    <n v="1"/>
    <m/>
    <x v="0"/>
    <x v="11"/>
  </r>
  <r>
    <n v="34445"/>
    <x v="22"/>
    <s v="Wulleput"/>
    <s v="Illya"/>
    <x v="7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1"/>
    <x v="82"/>
  </r>
  <r>
    <n v="37744"/>
    <x v="296"/>
    <s v="De Lange"/>
    <s v="Frank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325%20Baarle%20Dorp%2018042025.pdf?csf=1&amp;web=1&amp;e=ib906o"/>
    <n v="1"/>
    <m/>
    <x v="0"/>
    <x v="185"/>
  </r>
  <r>
    <n v="41230"/>
    <x v="297"/>
    <s v="De Witte"/>
    <s v="Bart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910%20Gent%2018042025%2041230%20Bart%20De%20witte.pdf?csf=1&amp;web=1&amp;e=Mbhzfg"/>
    <n v="1"/>
    <m/>
    <x v="0"/>
    <x v="183"/>
  </r>
  <r>
    <n v="37132"/>
    <x v="298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1"/>
    <x v="138"/>
  </r>
  <r>
    <n v="40591"/>
    <x v="293"/>
    <s v="Hiloui"/>
    <s v="Mahmoud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2208%20Gent%2028042025%2040591%20Mahmoud.pdf?csf=1&amp;web=1&amp;e=32VpYX"/>
    <n v="1"/>
    <m/>
    <x v="0"/>
    <x v="134"/>
  </r>
  <r>
    <n v="40134"/>
    <x v="240"/>
    <s v="Cardon"/>
    <s v="Sharon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770%20Gent%2028042025%2040134%20Sharon%20Cardon.pdf?csf=1&amp;web=1&amp;e=WyYZ7y"/>
    <n v="1"/>
    <m/>
    <x v="0"/>
    <x v="135"/>
  </r>
  <r>
    <n v="41092"/>
    <x v="241"/>
    <s v="De Keyser"/>
    <s v="Dorien"/>
    <x v="7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0"/>
    <x v="116"/>
  </r>
  <r>
    <n v="30967"/>
    <x v="238"/>
    <s v="Taser"/>
    <s v="Fatih"/>
    <x v="7"/>
    <x v="0"/>
    <m/>
    <m/>
    <m/>
    <m/>
    <d v="1899-12-31T00:00:00"/>
    <m/>
    <m/>
    <m/>
    <m/>
    <m/>
    <m/>
    <m/>
    <n v="1"/>
    <x v="351"/>
    <s v="https://delijn.sharepoint.com/:b:/r/teams/CTM-OTGentStad/Shared%20Documents/General/EAF/CSI(nieuwe%20sharepoint)%202025/5.%20Mei/EAF%20Gent%2001052025%2030967.pdf?csf=1&amp;web=1&amp;e=BefRdN"/>
    <n v="1"/>
    <m/>
    <x v="0"/>
    <x v="8"/>
  </r>
  <r>
    <n v="40938"/>
    <x v="299"/>
    <s v="Hasnaoui"/>
    <s v="Nejmeddine"/>
    <x v="7"/>
    <x v="0"/>
    <m/>
    <m/>
    <m/>
    <m/>
    <n v="1"/>
    <m/>
    <m/>
    <m/>
    <m/>
    <m/>
    <m/>
    <m/>
    <n v="1"/>
    <x v="352"/>
    <s v="https://delijn.sharepoint.com/:b:/r/teams/CTM-OTGentStad/Shared%20Documents/General/EAF/CSI(nieuwe%20sharepoint)%202025/5.%20Mei/EAF%20Gent%2006052025%2040938%20Nejmeddine%20Hasnaoui.pdf?csf=1&amp;web=1&amp;e=VZ70Ah"/>
    <n v="1"/>
    <m/>
    <x v="0"/>
    <x v="10"/>
  </r>
  <r>
    <n v="40393"/>
    <x v="300"/>
    <s v="Salimova"/>
    <s v="Eydzhan"/>
    <x v="7"/>
    <x v="0"/>
    <m/>
    <m/>
    <m/>
    <m/>
    <m/>
    <m/>
    <m/>
    <m/>
    <m/>
    <m/>
    <m/>
    <m/>
    <n v="0"/>
    <x v="353"/>
    <s v="EAF 7897 15052024 Nederzwalmsesteenweg Eydzhan Salimova.pdf"/>
    <n v="1"/>
    <m/>
    <x v="0"/>
    <x v="186"/>
  </r>
  <r>
    <n v="41230"/>
    <x v="297"/>
    <s v="De Witte"/>
    <s v="Bart"/>
    <x v="7"/>
    <x v="0"/>
    <m/>
    <m/>
    <m/>
    <m/>
    <n v="1"/>
    <m/>
    <m/>
    <m/>
    <m/>
    <m/>
    <m/>
    <m/>
    <n v="1"/>
    <x v="354"/>
    <s v="https://delijn.sharepoint.com/:b:/r/teams/CTM-OTGentStad/Shared%20Documents/General/EAF/CSI(nieuwe%20sharepoint)%202025/5.%20Mei/EAF%205924%20Gent%2017052025%2041230%20Bart%20De%20Witte.pdf?csf=1&amp;web=1&amp;e=evidHQ"/>
    <n v="1"/>
    <m/>
    <x v="0"/>
    <x v="187"/>
  </r>
  <r>
    <n v="40036"/>
    <x v="159"/>
    <s v="Karakaya"/>
    <s v="Oguz"/>
    <x v="7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931%20Gent%2002062025%2040036%20Oguz%20Karakaya.pdf?csf=1&amp;web=1&amp;e=oarPZJ"/>
    <n v="1"/>
    <m/>
    <x v="0"/>
    <x v="188"/>
  </r>
  <r>
    <n v="41064"/>
    <x v="295"/>
    <s v="Ardic"/>
    <s v="Atill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048%20Gent%2003062025%2041064%20Ardic%20Attila.pdf?csf=1&amp;web=1&amp;e=b3pliq"/>
    <n v="1"/>
    <m/>
    <x v="0"/>
    <x v="56"/>
  </r>
  <r>
    <n v="41246"/>
    <x v="292"/>
    <s v="Van Holsbeeck"/>
    <s v="Yan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20%20Gent%2003062025%2041246%20yana%20van%20holsbeek.pdf?csf=1&amp;web=1&amp;e=dfnO9S"/>
    <n v="1"/>
    <m/>
    <x v="0"/>
    <x v="189"/>
  </r>
  <r>
    <n v="36624"/>
    <x v="151"/>
    <s v="De Meulenaere"/>
    <s v="Kurt"/>
    <x v="7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910%20Gent%2021062025%2036624%20Kurt%20De%20Meulenaere.pdf?csf=1&amp;web=1&amp;e=FkSgzE"/>
    <n v="1"/>
    <m/>
    <x v="0"/>
    <x v="91"/>
  </r>
  <r>
    <n v="39850"/>
    <x v="301"/>
    <s v="Helleputte"/>
    <s v="William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2%2029062025%20Gent%2039850%20William%20Helleput.pdf?csf=1&amp;web=1&amp;e=0SwyMY"/>
    <n v="1"/>
    <m/>
    <x v="0"/>
    <x v="11"/>
  </r>
  <r>
    <n v="40223"/>
    <x v="90"/>
    <s v="Teetaert"/>
    <s v="Billy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7%20Gent%2029062025%2040223%20Teetaert%20Billy.pdf?csf=1&amp;web=1&amp;e=nq4b2m"/>
    <n v="1"/>
    <m/>
    <x v="0"/>
    <x v="190"/>
  </r>
  <r>
    <n v="21509"/>
    <x v="65"/>
    <s v="De Craemer"/>
    <s v="Kris"/>
    <x v="7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6319%2001072025%20Gent%2021509%20Kris%20De%20Craemer.pdf?csf=1&amp;web=1&amp;e=3Gwvl3"/>
    <m/>
    <n v="1"/>
    <x v="1"/>
    <x v="71"/>
  </r>
  <r>
    <n v="31776"/>
    <x v="302"/>
    <s v="Famelaer"/>
    <s v="Steve"/>
    <x v="7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2198%20Gent%2007062025%2031776%20Steve%20Famelaer.pdf?csf=1&amp;web=1&amp;e=pYcdqJ"/>
    <n v="1"/>
    <m/>
    <x v="0"/>
    <x v="8"/>
  </r>
  <r>
    <n v="31668"/>
    <x v="20"/>
    <s v="Weemhof"/>
    <s v="Maurice"/>
    <x v="7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2196%2010072025%20Gent.pdf?csf=1&amp;web=1&amp;e=TUzY3P"/>
    <n v="1"/>
    <m/>
    <x v="0"/>
    <x v="32"/>
  </r>
  <r>
    <n v="41137"/>
    <x v="303"/>
    <s v="De smet"/>
    <s v="Dirk"/>
    <x v="7"/>
    <x v="0"/>
    <m/>
    <m/>
    <m/>
    <m/>
    <m/>
    <m/>
    <n v="1"/>
    <m/>
    <m/>
    <m/>
    <m/>
    <m/>
    <n v="1"/>
    <x v="361"/>
    <s v="https://delijn.sharepoint.com/:b:/r/teams/CTM-OTGentStad/Shared%20Documents/General/EAF/CSI(nieuwe%20sharepoint)%202025/7.%20Juli/EAF%205767%20Gent%2021072025.pdf?csf=1&amp;web=1&amp;e=L7JGQk"/>
    <n v="1"/>
    <m/>
    <x v="0"/>
    <x v="181"/>
  </r>
  <r>
    <n v="41162"/>
    <x v="289"/>
    <s v="Hoeckman"/>
    <s v="Jeroen"/>
    <x v="7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046%2023072025%20Gent%2041162%20Jeroen%20Hoeckman.pdf?csf=1&amp;web=1&amp;e=5joert"/>
    <n v="1"/>
    <m/>
    <x v="0"/>
    <x v="141"/>
  </r>
  <r>
    <n v="41162"/>
    <x v="289"/>
    <s v="Hoeckman"/>
    <s v="Jeroen"/>
    <x v="7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0"/>
    <x v="8"/>
  </r>
  <r>
    <n v="41874"/>
    <x v="304"/>
    <s v="Dobbeleire"/>
    <s v="Bruno"/>
    <x v="7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923%20Gent%20%2007082025%2041874%20Bruno%20Dobbeleire.pdf?csf=1&amp;web=1&amp;e=vWcu13"/>
    <n v="1"/>
    <m/>
    <x v="0"/>
    <x v="14"/>
  </r>
  <r>
    <n v="41092"/>
    <x v="241"/>
    <s v="De Keyser"/>
    <s v="Dorien"/>
    <x v="7"/>
    <x v="0"/>
    <m/>
    <m/>
    <m/>
    <m/>
    <m/>
    <m/>
    <m/>
    <n v="1"/>
    <m/>
    <m/>
    <m/>
    <m/>
    <n v="1"/>
    <x v="365"/>
    <s v="https://delijn.sharepoint.com/:b:/r/teams/CTM-OTGentStad/Shared%20Documents/General/EAF/CSI(nieuwe%20sharepoint)%202025/8.%20Augustus/EAF%202194%2009082025%20Gent%2041092%20Dorien%20De%20Keyser.pdf?csf=1&amp;web=1&amp;e=ZuBDXU"/>
    <n v="1"/>
    <m/>
    <x v="0"/>
    <x v="191"/>
  </r>
  <r>
    <n v="41871"/>
    <x v="305"/>
    <s v="Karanfil"/>
    <s v="Ibrahim"/>
    <x v="7"/>
    <x v="0"/>
    <m/>
    <m/>
    <m/>
    <m/>
    <m/>
    <m/>
    <m/>
    <n v="1"/>
    <m/>
    <m/>
    <m/>
    <m/>
    <n v="1"/>
    <x v="366"/>
    <s v="https://delijn.sharepoint.com/:b:/r/teams/CTM-OTGentStad/Shared%20Documents/General/EAF/CSI(nieuwe%20sharepoint)%202025/8.%20Augustus/EAF%205912%2015082025%2041871%20Karanfil%20Ibrahim.pdf?csf=1&amp;web=1&amp;e=6QiGxw"/>
    <n v="1"/>
    <m/>
    <x v="0"/>
    <x v="86"/>
  </r>
  <r>
    <n v="21509"/>
    <x v="65"/>
    <s v="De Craemer"/>
    <s v="Kris"/>
    <x v="7"/>
    <x v="15"/>
    <m/>
    <m/>
    <m/>
    <m/>
    <m/>
    <m/>
    <m/>
    <m/>
    <m/>
    <m/>
    <m/>
    <m/>
    <n v="0"/>
    <x v="268"/>
    <s v="EAF 6303 Ledebergplein 27012025 Kris De Craemer.pdf"/>
    <m/>
    <n v="1"/>
    <x v="1"/>
    <x v="49"/>
  </r>
  <r>
    <n v="29646"/>
    <x v="306"/>
    <s v="Özer"/>
    <s v="Mesut"/>
    <x v="7"/>
    <x v="1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8062025%20Ozer%20Mesut.pdf?csf=1&amp;web=1&amp;e=gqAGpG"/>
    <n v="1"/>
    <m/>
    <x v="0"/>
    <x v="192"/>
  </r>
  <r>
    <n v="23700"/>
    <x v="149"/>
    <s v="Byosière"/>
    <s v="Christof"/>
    <x v="7"/>
    <x v="17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5235%20Arsenaal%2016042025%20Christof%20Byosi%C3%A8re.pdf?csf=1&amp;web=1&amp;e=GJjy9d"/>
    <n v="1"/>
    <m/>
    <x v="0"/>
    <x v="56"/>
  </r>
  <r>
    <n v="30119"/>
    <x v="231"/>
    <s v="Haerens"/>
    <s v="Tom"/>
    <x v="7"/>
    <x v="18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</r>
  <r>
    <n v="40403"/>
    <x v="182"/>
    <s v="Prové"/>
    <s v="Michaël"/>
    <x v="7"/>
    <x v="19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5239%2021082025%20Gent%2040403%20Prove%20Michael.pdf?csf=1&amp;web=1&amp;e=fjpcUT"/>
    <n v="1"/>
    <m/>
    <x v="0"/>
    <x v="26"/>
  </r>
  <r>
    <n v="41091"/>
    <x v="291"/>
    <s v="Yavas"/>
    <s v="Talha"/>
    <x v="7"/>
    <x v="0"/>
    <m/>
    <m/>
    <m/>
    <m/>
    <m/>
    <m/>
    <n v="1"/>
    <m/>
    <m/>
    <m/>
    <m/>
    <m/>
    <n v="1"/>
    <x v="367"/>
    <s v=" https://delijn.sharepoint.com/:b:/r/teams/CTM-OTGentStad/Shared%20Documents/General/EAF/CSI(nieuwe%20sharepoint)%202025/7.%20Juli/EAF%20532411072025%20Gent%2041091.pdf?csf=1&amp;web=1&amp;e=bklbFI"/>
    <n v="1"/>
    <m/>
    <x v="0"/>
    <x v="193"/>
  </r>
  <r>
    <n v="40444"/>
    <x v="307"/>
    <s v="Van Damme"/>
    <s v="Glenn"/>
    <x v="2"/>
    <x v="0"/>
    <n v="1"/>
    <m/>
    <m/>
    <m/>
    <m/>
    <m/>
    <m/>
    <m/>
    <m/>
    <m/>
    <m/>
    <m/>
    <n v="1"/>
    <x v="368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0"/>
    <x v="109"/>
  </r>
  <r>
    <n v="36626"/>
    <x v="13"/>
    <s v="Kartal"/>
    <s v="Kadir"/>
    <x v="2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7%20Nieuwe%20Wandeling%20Gent%2014012025.pdf?csf=1&amp;web=1&amp;e=I2N7ub"/>
    <n v="1"/>
    <m/>
    <x v="0"/>
    <x v="59"/>
  </r>
  <r>
    <n v="36626"/>
    <x v="13"/>
    <s v="Kartal"/>
    <s v="Kadir"/>
    <x v="2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6357%20Brusselsesteenweg%20Gentbrugge%2016012025.pdf?csf=1&amp;web=1&amp;e=1PUmmf"/>
    <m/>
    <n v="1"/>
    <x v="1"/>
    <x v="56"/>
  </r>
  <r>
    <n v="22240"/>
    <x v="79"/>
    <s v="Delahaye"/>
    <s v="Karina"/>
    <x v="2"/>
    <x v="0"/>
    <n v="1"/>
    <m/>
    <m/>
    <m/>
    <m/>
    <m/>
    <m/>
    <m/>
    <m/>
    <m/>
    <m/>
    <m/>
    <n v="1"/>
    <x v="371"/>
    <s v="https://delijn.sharepoint.com/:b:/r/teams/CTM-OTGentStad/Shared%20Documents/General/EAF/CSI(nieuwe%20sharepoint)%202025/1.%20Januari/EAF%206355%20Gent%2017012025.pdf?csf=1&amp;web=1&amp;e=Hl5VXa"/>
    <m/>
    <n v="1"/>
    <x v="1"/>
    <x v="194"/>
  </r>
  <r>
    <n v="21424"/>
    <x v="308"/>
    <s v="Verstichel"/>
    <s v="Jethro"/>
    <x v="2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1"/>
    <x v="12"/>
  </r>
  <r>
    <n v="21424"/>
    <x v="308"/>
    <s v="Verstichel"/>
    <s v="Jethro"/>
    <x v="2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911%20Gent%2021424%20Verstichel%20Jethro%2003022025.pdf?csf=1&amp;web=1&amp;e=vo6oQx"/>
    <n v="1"/>
    <m/>
    <x v="0"/>
    <x v="170"/>
  </r>
  <r>
    <n v="19520"/>
    <x v="309"/>
    <s v="Van Steenbergen"/>
    <s v="Kris"/>
    <x v="2"/>
    <x v="0"/>
    <m/>
    <m/>
    <n v="1"/>
    <m/>
    <m/>
    <m/>
    <m/>
    <m/>
    <m/>
    <m/>
    <m/>
    <m/>
    <n v="1"/>
    <x v="373"/>
    <s v="https://delijn.sharepoint.com/:b:/r/teams/CTM-OTGentStad/Shared%20Documents/General/EAF/CSI(nieuwe%20sharepoint)%202025/3.%20Maart/EAF%202196%20Voskenslaan%20Gent%2004032025.pdf?csf=1&amp;web=1&amp;e=OzOqAI"/>
    <n v="1"/>
    <m/>
    <x v="0"/>
    <x v="29"/>
  </r>
  <r>
    <n v="35450"/>
    <x v="116"/>
    <s v="Roos"/>
    <s v="Hugo"/>
    <x v="2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4665%20gent%2019032025%2035450%20Hugo%20Roos.pdf?csf=1&amp;web=1&amp;e=eihgTD"/>
    <n v="1"/>
    <m/>
    <x v="0"/>
    <x v="195"/>
  </r>
  <r>
    <n v="38580"/>
    <x v="310"/>
    <s v="Smajla"/>
    <s v="Samet"/>
    <x v="2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0"/>
    <x v="47"/>
  </r>
  <r>
    <n v="31118"/>
    <x v="311"/>
    <s v="De Sutter"/>
    <s v="Michiel"/>
    <x v="2"/>
    <x v="0"/>
    <m/>
    <m/>
    <n v="1"/>
    <m/>
    <m/>
    <m/>
    <m/>
    <m/>
    <m/>
    <m/>
    <m/>
    <m/>
    <n v="1"/>
    <x v="375"/>
    <s v="https://delijn.sharepoint.com/:b:/r/teams/CTM-OTGentStad/Shared%20Documents/General/EAF/CSI(nieuwe%20sharepoint)%202025/3.%20Maart/EAF%205922%20Gent%2021032025%2031118%20Michiel%20de%20sutter.pdf?csf=1&amp;web=1&amp;e=m3qUKq"/>
    <n v="1"/>
    <m/>
    <x v="0"/>
    <x v="23"/>
  </r>
  <r>
    <n v="39581"/>
    <x v="2"/>
    <s v="Vandenhaute"/>
    <s v="Linus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5261%20Morekstraat%20Gent%2028032025.pdf?csf=1&amp;web=1&amp;e=3wGupf"/>
    <n v="1"/>
    <m/>
    <x v="0"/>
    <x v="24"/>
  </r>
  <r>
    <n v="36358"/>
    <x v="259"/>
    <s v="De Nys"/>
    <s v="Elise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70%20Gent%2028032025%2036358%20Elise%20Denys.pdf?csf=1&amp;web=1&amp;e=AlHjoP"/>
    <m/>
    <n v="1"/>
    <x v="1"/>
    <x v="177"/>
  </r>
  <r>
    <n v="38475"/>
    <x v="59"/>
    <s v="Verschraegen"/>
    <s v="Katleen"/>
    <x v="2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0"/>
    <x v="38"/>
  </r>
  <r>
    <n v="38475"/>
    <x v="59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0%20Gent%2028042025%2038475%20Kathleen%20Verschraegen.pdf?csf=1&amp;web=1&amp;e=UOYKOY"/>
    <n v="1"/>
    <m/>
    <x v="0"/>
    <x v="75"/>
  </r>
  <r>
    <n v="36627"/>
    <x v="19"/>
    <s v="Dobbelaere"/>
    <s v="David"/>
    <x v="2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74%20gent%2006062025%2036627%20david%20dobbelaere.pdf?csf=1&amp;web=1&amp;e=zDht8o"/>
    <m/>
    <n v="1"/>
    <x v="1"/>
    <x v="1"/>
  </r>
  <r>
    <n v="40645"/>
    <x v="312"/>
    <s v="Bytebier"/>
    <s v="Jason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5909%20Gent%2010062025%2040645%20Jason%20Bytebier.pdf?csf=1&amp;web=1&amp;e=rQFKXA"/>
    <n v="1"/>
    <m/>
    <x v="0"/>
    <x v="32"/>
  </r>
  <r>
    <n v="41690"/>
    <x v="313"/>
    <s v="Van de Winckel"/>
    <s v="Kelly"/>
    <x v="2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0"/>
    <x v="14"/>
  </r>
  <r>
    <n v="38808"/>
    <x v="37"/>
    <s v="Wasen"/>
    <s v="Jens"/>
    <x v="2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5926%20Gent%2022062025%2038808%20Jens%20Wasen.pdf?csf=1&amp;web=1&amp;e=BlwXj0"/>
    <n v="1"/>
    <m/>
    <x v="0"/>
    <x v="32"/>
  </r>
  <r>
    <n v="38633"/>
    <x v="194"/>
    <s v="Stomphorst"/>
    <s v="Mattanja"/>
    <x v="2"/>
    <x v="0"/>
    <m/>
    <m/>
    <m/>
    <m/>
    <m/>
    <n v="1"/>
    <m/>
    <m/>
    <m/>
    <m/>
    <m/>
    <m/>
    <n v="1"/>
    <x v="292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0"/>
    <x v="9"/>
  </r>
  <r>
    <n v="22877"/>
    <x v="314"/>
    <s v="Goossens"/>
    <s v="Gunther"/>
    <x v="2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2189%2009072025%20Gent%2022877Gunther%20Goossens.pdf?csf=1&amp;web=1&amp;e=dfhXP2"/>
    <n v="1"/>
    <m/>
    <x v="0"/>
    <x v="19"/>
  </r>
  <r>
    <n v="36577"/>
    <x v="315"/>
    <s v="De Smet"/>
    <s v="Martine"/>
    <x v="2"/>
    <x v="0"/>
    <m/>
    <m/>
    <m/>
    <m/>
    <m/>
    <m/>
    <n v="1"/>
    <m/>
    <m/>
    <m/>
    <m/>
    <m/>
    <n v="1"/>
    <x v="382"/>
    <s v="https://delijn.sharepoint.com/:b:/r/teams/CTM-OTGentStad/Shared%20Documents/General/EAF/CSI(nieuwe%20sharepoint)%202025/7.%20Juli/EAF%206353%2014072025%20Gent%2036577%20Martine%20Desmet.pdf?csf=1&amp;web=1&amp;e=yvmkmw"/>
    <n v="1"/>
    <m/>
    <x v="0"/>
    <x v="71"/>
  </r>
  <r>
    <n v="30271"/>
    <x v="316"/>
    <s v="Bracke"/>
    <s v="Jeroen"/>
    <x v="2"/>
    <x v="0"/>
    <m/>
    <m/>
    <m/>
    <m/>
    <m/>
    <m/>
    <n v="1"/>
    <m/>
    <m/>
    <m/>
    <m/>
    <m/>
    <n v="1"/>
    <x v="383"/>
    <s v="https://delijn.sharepoint.com/:b:/r/teams/CTM-OTGentStad/Shared%20Documents/General/EAF/CSI(nieuwe%20sharepoint)%202025/7.%20Juli/EAF%202807%2016072025%20Gent%2030271%20Jeroen%20Bracke.pdf?csf=1&amp;web=1&amp;e=O6TV35"/>
    <n v="1"/>
    <m/>
    <x v="0"/>
    <x v="2"/>
  </r>
  <r>
    <n v="39581"/>
    <x v="2"/>
    <s v="Vandenhaute"/>
    <s v="Linus"/>
    <x v="2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260%2023072025%2039581%20Linus%20Vandenhoutte.pdf?csf=1&amp;web=1&amp;e=4u80bg"/>
    <n v="1"/>
    <m/>
    <x v="0"/>
    <x v="35"/>
  </r>
  <r>
    <n v="39831"/>
    <x v="317"/>
    <s v="Dolgiev"/>
    <s v="Mukhamed"/>
    <x v="2"/>
    <x v="20"/>
    <m/>
    <n v="1"/>
    <m/>
    <m/>
    <m/>
    <m/>
    <m/>
    <m/>
    <m/>
    <m/>
    <m/>
    <m/>
    <n v="1"/>
    <x v="268"/>
    <s v="EAF 5043 Brugsesteenweg Gent 22.02.2025 om 17u59.pdf"/>
    <n v="1"/>
    <m/>
    <x v="0"/>
    <x v="35"/>
  </r>
  <r>
    <n v="22052"/>
    <x v="318"/>
    <s v="Meyvaert"/>
    <s v="Peter"/>
    <x v="2"/>
    <x v="21"/>
    <n v="1"/>
    <m/>
    <m/>
    <m/>
    <m/>
    <m/>
    <m/>
    <m/>
    <m/>
    <m/>
    <m/>
    <m/>
    <n v="1"/>
    <x v="268"/>
    <s v="EAF 5263 Mariakerke 13012025.pdf"/>
    <n v="1"/>
    <m/>
    <x v="0"/>
    <x v="35"/>
  </r>
  <r>
    <n v="31600"/>
    <x v="102"/>
    <s v="Mertens"/>
    <s v="Tom"/>
    <x v="2"/>
    <x v="22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2197%20Gent%2025032025%2031600%20Tom%20Mertens.pdf?csf=1&amp;web=1&amp;e=r4wap5"/>
    <n v="1"/>
    <m/>
    <x v="0"/>
    <x v="113"/>
  </r>
  <r>
    <n v="31231"/>
    <x v="89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n v="1"/>
    <m/>
    <x v="0"/>
    <x v="196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0"/>
    <x v="8"/>
  </r>
  <r>
    <n v="41032"/>
    <x v="319"/>
    <s v="Rocabado Hinojosa"/>
    <s v="Lukas"/>
    <x v="3"/>
    <x v="0"/>
    <n v="1"/>
    <m/>
    <m/>
    <m/>
    <m/>
    <m/>
    <m/>
    <m/>
    <m/>
    <m/>
    <m/>
    <m/>
    <n v="1"/>
    <x v="384"/>
    <s v="https://delijn.sharepoint.com/:i:/r/teams/CTM-OTGentStad/Shared%20Documents/General/EAF/CSI(nieuwe%20sharepoint)%202025/1.%20Januari/achterkant.jpg?csf=1&amp;web=1&amp;e=mJAsup"/>
    <n v="1"/>
    <m/>
    <x v="0"/>
    <x v="12"/>
  </r>
  <r>
    <n v="39673"/>
    <x v="18"/>
    <s v="Steurbaut"/>
    <s v="Henri"/>
    <x v="3"/>
    <x v="0"/>
    <n v="1"/>
    <m/>
    <m/>
    <m/>
    <m/>
    <m/>
    <m/>
    <m/>
    <m/>
    <m/>
    <m/>
    <m/>
    <n v="1"/>
    <x v="385"/>
    <s v="https://delijn.sharepoint.com/:b:/r/teams/CTM-OTGentStad/Shared%20Documents/General/EAF/CSI(nieuwe%20sharepoint)%202025/1.%20Januari/EAF%205922%20Sanderuustraat%2021012025%20Henri%20Steurbaut.pdf?csf=1&amp;web=1&amp;e=Gv9PYU"/>
    <n v="1"/>
    <m/>
    <x v="0"/>
    <x v="197"/>
  </r>
  <r>
    <n v="34351"/>
    <x v="117"/>
    <s v="Callant"/>
    <s v="Dieter"/>
    <x v="3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6324%20Poperingestraat%20Gent%2022012025.pdf?csf=1&amp;web=1&amp;e=6XDCJ6"/>
    <m/>
    <n v="1"/>
    <x v="1"/>
    <x v="31"/>
  </r>
  <r>
    <n v="35491"/>
    <x v="320"/>
    <s v="Toubadie"/>
    <s v="Zakaria"/>
    <x v="3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235%20Nieuwe%20Wandeling%20Gent%2028012025.pdf?csf=1&amp;web=1&amp;e=Ae8kzb"/>
    <n v="1"/>
    <m/>
    <x v="0"/>
    <x v="59"/>
  </r>
  <r>
    <n v="40652"/>
    <x v="219"/>
    <s v="Van Damme"/>
    <s v="Gilyann"/>
    <x v="3"/>
    <x v="0"/>
    <n v="1"/>
    <m/>
    <m/>
    <m/>
    <m/>
    <m/>
    <m/>
    <m/>
    <m/>
    <m/>
    <m/>
    <m/>
    <n v="1"/>
    <x v="386"/>
    <s v="https://delijn.sharepoint.com/:b:/r/teams/CTM-OTGentStad/Shared%20Documents/General/EAF/CSI(nieuwe%20sharepoint)%202025/1.%20Januari/EAF%202204%20Gent%2030012025%2040652%20Van%20Damme%20Gilyanne.pdf?csf=1&amp;web=1&amp;e=e1WMM6"/>
    <n v="1"/>
    <m/>
    <x v="0"/>
    <x v="22"/>
  </r>
  <r>
    <n v="40859"/>
    <x v="222"/>
    <s v="Yagoub"/>
    <s v="Abdelali"/>
    <x v="3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325%20Wittewalle%20Oostakker%2005022025.pdf?csf=1&amp;web=1&amp;e=ycr1B0"/>
    <n v="1"/>
    <m/>
    <x v="0"/>
    <x v="198"/>
  </r>
  <r>
    <n v="40055"/>
    <x v="321"/>
    <s v="Afara"/>
    <s v="Ammar"/>
    <x v="3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5261%20Sint-Pietersstation%20Gent%2007022025.pdf?csf=1&amp;web=1&amp;e=yXc4ol"/>
    <n v="1"/>
    <m/>
    <x v="0"/>
    <x v="8"/>
  </r>
  <r>
    <n v="6229"/>
    <x v="322"/>
    <s v="De Meyer"/>
    <s v="Antoon"/>
    <x v="3"/>
    <x v="0"/>
    <m/>
    <n v="1"/>
    <m/>
    <m/>
    <m/>
    <m/>
    <m/>
    <m/>
    <m/>
    <m/>
    <m/>
    <m/>
    <n v="1"/>
    <x v="38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0"/>
    <x v="199"/>
  </r>
  <r>
    <n v="41383"/>
    <x v="323"/>
    <s v="De Pauw"/>
    <s v="Tony"/>
    <x v="3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0"/>
    <x v="188"/>
  </r>
  <r>
    <n v="26199"/>
    <x v="324"/>
    <s v="Wauters"/>
    <s v="Franky"/>
    <x v="3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1"/>
    <x v="200"/>
  </r>
  <r>
    <n v="41012"/>
    <x v="325"/>
    <s v="Natad"/>
    <s v="Youne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3%20Steendam%20Gent%2018022025.pdf?csf=1&amp;web=1&amp;e=qO2CaC"/>
    <n v="1"/>
    <m/>
    <x v="0"/>
    <x v="23"/>
  </r>
  <r>
    <n v="41032"/>
    <x v="319"/>
    <s v="Rocabado Hinojosa"/>
    <s v="Luka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5%20Meulesteedsesteenweg%20Gent%2018022025.pdf?csf=1&amp;web=1&amp;e=OBGcZA"/>
    <n v="1"/>
    <m/>
    <x v="0"/>
    <x v="67"/>
  </r>
  <r>
    <n v="36569"/>
    <x v="56"/>
    <s v="Stroobandt"/>
    <s v="Jonas"/>
    <x v="3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6333%20Brusselsesteenweg%20Gentbrugge%2020022025.pdf?csf=1&amp;web=1&amp;e=Dzx6pC"/>
    <n v="1"/>
    <m/>
    <x v="0"/>
    <x v="56"/>
  </r>
  <r>
    <n v="26960"/>
    <x v="93"/>
    <s v="Toubadie"/>
    <s v="Mossa"/>
    <x v="3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16%20Gent%2026960%20Toubadie%20Mossa.pdf?csf=1&amp;web=1&amp;e=4TEWyz"/>
    <n v="1"/>
    <m/>
    <x v="0"/>
    <x v="177"/>
  </r>
  <r>
    <n v="35379"/>
    <x v="245"/>
    <s v="Engels"/>
    <s v="Sam"/>
    <x v="3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240%20Gent%2013032025%2035379%20Sam%20Engels.pdf?csf=1&amp;web=1&amp;e=pGWrsC"/>
    <n v="1"/>
    <m/>
    <x v="0"/>
    <x v="158"/>
  </r>
  <r>
    <n v="41012"/>
    <x v="325"/>
    <s v="Natad"/>
    <s v="Younes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045%20Rooigemlaan%20Gent%2018032025.pdf?csf=1&amp;web=1&amp;e=9mZVNF"/>
    <n v="1"/>
    <m/>
    <x v="0"/>
    <x v="42"/>
  </r>
  <r>
    <n v="35246"/>
    <x v="139"/>
    <s v="De Meyer"/>
    <s v="Karel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0"/>
    <x v="170"/>
  </r>
  <r>
    <n v="36569"/>
    <x v="56"/>
    <s v="Stroobandt"/>
    <s v="Jonas"/>
    <x v="3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25%20Gent%2028032025%2036569%20Jonas%20Stroobandt.pdf?csf=1&amp;web=1&amp;e=xEvO0k"/>
    <n v="1"/>
    <m/>
    <x v="0"/>
    <x v="201"/>
  </r>
  <r>
    <n v="32620"/>
    <x v="108"/>
    <s v="Saey"/>
    <s v="Elias"/>
    <x v="3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9%20Botermarkt%20Ledeberg%2002042025.pdf?csf=1&amp;web=1&amp;e=JCdS2N"/>
    <m/>
    <n v="1"/>
    <x v="1"/>
    <x v="82"/>
  </r>
  <r>
    <n v="25733"/>
    <x v="326"/>
    <s v="Simsek"/>
    <s v="Abdullah"/>
    <x v="3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1"/>
    <x v="116"/>
  </r>
  <r>
    <n v="32245"/>
    <x v="327"/>
    <s v="Verlinden"/>
    <s v="Bianca"/>
    <x v="3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8%20E17%2019042025.pdf?csf=1&amp;web=1&amp;e=jKaDuv"/>
    <n v="1"/>
    <m/>
    <x v="0"/>
    <x v="0"/>
  </r>
  <r>
    <n v="24155"/>
    <x v="328"/>
    <s v="Luttens"/>
    <s v="Koen"/>
    <x v="3"/>
    <x v="0"/>
    <m/>
    <m/>
    <m/>
    <n v="1"/>
    <m/>
    <m/>
    <m/>
    <m/>
    <m/>
    <m/>
    <m/>
    <m/>
    <n v="1"/>
    <x v="390"/>
    <s v="https://delijn.sharepoint.com/:b:/r/teams/CTM-OTGentStad/Shared%20Documents/General/EAF/CSI(nieuwe%20sharepoint)%202025/4.%20April/EAF%206368%20Edelsteenstraat%2029042025.pdf?csf=1&amp;web=1&amp;e=ofwXCs"/>
    <n v="1"/>
    <m/>
    <x v="0"/>
    <x v="202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5.%20Mei/EAF%202198%20Voskenslaan%2002052025.pdf?csf=1&amp;web=1&amp;e=ks6CAK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2"/>
    <s v="https://delijn.sharepoint.com/:b:/r/teams/CTM-OTGentStad/Shared%20Documents/General/EAF/CSI(nieuwe%20sharepoint)%202025/5.%20Mei/EAF%202196%20Gentsesteenweg%20Deinze%2007052025.pdf?csf=1&amp;web=1&amp;e=uwsq2j"/>
    <n v="1"/>
    <m/>
    <x v="0"/>
    <x v="203"/>
  </r>
  <r>
    <n v="41710"/>
    <x v="329"/>
    <s v="Ghani"/>
    <s v="Fazal"/>
    <x v="3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2546%20Gent%2021052025%2041710%20Ghani%20Fazal.pdf?csf=1&amp;web=1&amp;e=DhRjBv"/>
    <n v="1"/>
    <m/>
    <x v="0"/>
    <x v="176"/>
  </r>
  <r>
    <n v="23918"/>
    <x v="217"/>
    <s v="D'Haeyere"/>
    <s v="Bernard"/>
    <x v="3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31%20Gent%2003062025%2023918%20Bernard%20Dhaeyere.pdf?csf=1&amp;web=1&amp;e=mBlqK4"/>
    <n v="1"/>
    <m/>
    <x v="0"/>
    <x v="20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Bevrijdingslaan%20Gent%2005062025.pdf?csf=1&amp;web=1&amp;e=DezH5m"/>
    <n v="1"/>
    <m/>
    <x v="0"/>
    <x v="11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Dampoort%20Gent%2005062025.pdf?csf=1&amp;web=1&amp;e=ggtBJR"/>
    <n v="1"/>
    <m/>
    <x v="0"/>
    <x v="26"/>
  </r>
  <r>
    <n v="36569"/>
    <x v="56"/>
    <s v="Stroobandt"/>
    <s v="Jonas"/>
    <x v="3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21%20Zwijnaardsesteenweg%20Gent%2020062025.pdf?csf=1&amp;web=1&amp;e=OYMdOD"/>
    <m/>
    <n v="1"/>
    <x v="1"/>
    <x v="12"/>
  </r>
  <r>
    <n v="15088"/>
    <x v="132"/>
    <s v="Laute"/>
    <s v="Dirk"/>
    <x v="3"/>
    <x v="23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5046%20Morekstraat%20Wondelgem%2029062025.pdf?csf=1&amp;web=1&amp;e=qHNve5"/>
    <n v="1"/>
    <m/>
    <x v="0"/>
    <x v="24"/>
  </r>
  <r>
    <n v="4720"/>
    <x v="330"/>
    <s v="De Roo"/>
    <s v="Jo"/>
    <x v="3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5772%2009072025%20Gent%204720%20De%20Roo%20Jo.pdf?csf=1&amp;web=1&amp;e=zjOxtW"/>
    <n v="1"/>
    <m/>
    <x v="0"/>
    <x v="205"/>
  </r>
  <r>
    <n v="12684"/>
    <x v="242"/>
    <s v="Van Den Bossche"/>
    <s v="Martine"/>
    <x v="3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046%2010072025%20Gent%2012684%20Martine%20Vandenbossche.pdf?csf=1&amp;web=1&amp;e=lw5xjo"/>
    <n v="1"/>
    <m/>
    <x v="0"/>
    <x v="23"/>
  </r>
  <r>
    <n v="12684"/>
    <x v="242"/>
    <s v="Van Den Bossche"/>
    <s v="Martine"/>
    <x v="3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044%20Hagelandkaai%20Gent%2015072025.pdf?csf=1&amp;web=1&amp;e=UeBZGh"/>
    <n v="1"/>
    <m/>
    <x v="0"/>
    <x v="89"/>
  </r>
  <r>
    <n v="23918"/>
    <x v="217"/>
    <s v="D'Haeyere"/>
    <s v="Bernard"/>
    <x v="3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5933%20Gent%2024072025%2023918%20Bernard%20Dhaeyere.pdf?csf=1&amp;web=1&amp;e=tutFuS"/>
    <n v="1"/>
    <m/>
    <x v="0"/>
    <x v="32"/>
  </r>
  <r>
    <n v="39673"/>
    <x v="18"/>
    <s v="Steurbaut"/>
    <s v="Henri"/>
    <x v="3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2%2028072025%20Gent.pdf?csf=1&amp;web=1&amp;e=MYEecx"/>
    <n v="1"/>
    <m/>
    <x v="0"/>
    <x v="206"/>
  </r>
  <r>
    <n v="40859"/>
    <x v="222"/>
    <s v="Yagoub"/>
    <s v="Abdelali"/>
    <x v="3"/>
    <x v="0"/>
    <m/>
    <m/>
    <m/>
    <m/>
    <m/>
    <m/>
    <m/>
    <n v="1"/>
    <m/>
    <m/>
    <m/>
    <m/>
    <n v="1"/>
    <x v="396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0"/>
    <x v="207"/>
  </r>
  <r>
    <n v="26960"/>
    <x v="93"/>
    <s v="Toubadie"/>
    <s v="Mossa"/>
    <x v="3"/>
    <x v="2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935%20Gent%2021052025%2026960%20Mossa%20Toubadie.pdf?csf=1&amp;web=1&amp;e=36Xu6a"/>
    <n v="1"/>
    <m/>
    <x v="0"/>
    <x v="183"/>
  </r>
  <r>
    <n v="42002"/>
    <x v="331"/>
    <s v="Bogaert"/>
    <s v="Kevin"/>
    <x v="3"/>
    <x v="25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924%20Gent%2024072025%2042007%20Kevin%20bogaert.pdf?csf=1&amp;web=1&amp;e=M0Mio5"/>
    <n v="1"/>
    <m/>
    <x v="0"/>
    <x v="32"/>
  </r>
  <r>
    <n v="34198"/>
    <x v="42"/>
    <s v="Pelfrene"/>
    <s v="Toby"/>
    <x v="3"/>
    <x v="0"/>
    <m/>
    <m/>
    <m/>
    <m/>
    <m/>
    <m/>
    <m/>
    <n v="1"/>
    <m/>
    <m/>
    <m/>
    <m/>
    <n v="1"/>
    <x v="397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1"/>
    <x v="56"/>
  </r>
  <r>
    <n v="31490"/>
    <x v="332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0"/>
    <x v="32"/>
  </r>
  <r>
    <n v="41859"/>
    <x v="333"/>
    <s v="Palit"/>
    <s v="Ramazan"/>
    <x v="9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921%2007072025%20Gent%2041859%20Palit%20Ramazan.pdf?csf=1&amp;web=1&amp;e=d6bv5u"/>
    <n v="1"/>
    <m/>
    <x v="0"/>
    <x v="32"/>
  </r>
  <r>
    <n v="41007"/>
    <x v="334"/>
    <s v="Sogut"/>
    <s v="Cagri"/>
    <x v="9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923%2029072025%20stelplaats%20GBR.pdf?csf=1&amp;web=1&amp;e=kIxIf8"/>
    <n v="1"/>
    <m/>
    <x v="0"/>
    <x v="32"/>
  </r>
  <r>
    <n v="41190"/>
    <x v="335"/>
    <s v="De Meyer"/>
    <s v="Horst"/>
    <x v="9"/>
    <x v="0"/>
    <m/>
    <m/>
    <m/>
    <m/>
    <m/>
    <m/>
    <m/>
    <n v="1"/>
    <m/>
    <m/>
    <m/>
    <m/>
    <n v="1"/>
    <x v="398"/>
    <s v="https://delijn.sharepoint.com/:b:/r/teams/CTM-OTGentStad/Shared%20Documents/General/EAF/CSI(nieuwe%20sharepoint)%202025/8.%20Augustus/EAF%205765%2041190%20Horst%20Demeyer.pdf?csf=1&amp;web=1&amp;e=pTb6Am"/>
    <n v="1"/>
    <m/>
    <x v="0"/>
    <x v="56"/>
  </r>
  <r>
    <n v="36559"/>
    <x v="207"/>
    <s v="De Staercke"/>
    <s v="Sandra"/>
    <x v="1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6366%20Gent%2010012025.pdf?csf=1&amp;web=1&amp;e=ZJgv0h"/>
    <m/>
    <n v="1"/>
    <x v="1"/>
    <x v="208"/>
  </r>
  <r>
    <n v="33986"/>
    <x v="160"/>
    <s v="Göktas"/>
    <s v="Muharrem"/>
    <x v="1"/>
    <x v="0"/>
    <m/>
    <m/>
    <m/>
    <m/>
    <m/>
    <m/>
    <m/>
    <m/>
    <m/>
    <m/>
    <m/>
    <m/>
    <n v="0"/>
    <x v="399"/>
    <s v="https://delijn.sharepoint.com/:b:/r/teams/CTM-OTGentStad/Shared%20Documents/General/EAF/CSI(nieuwe%20sharepoint)%202025/1.%20Januari/EAF%205267%20Gent%2012012025.pdf?csf=1&amp;web=1&amp;e=Iapyqk"/>
    <n v="1"/>
    <m/>
    <x v="0"/>
    <x v="209"/>
  </r>
  <r>
    <n v="33965"/>
    <x v="73"/>
    <s v="Van de Gehuchte"/>
    <s v="Gilles"/>
    <x v="1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6327%20Gent%2020012025.pdf?csf=1&amp;web=1&amp;e=YyVtbb"/>
    <m/>
    <n v="1"/>
    <x v="1"/>
    <x v="12"/>
  </r>
  <r>
    <n v="40856"/>
    <x v="336"/>
    <s v="Neissi"/>
    <s v="Sadegh"/>
    <x v="1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2208%20Gent%2006022025%2040856%20Neissi%20Sadegh.pdf?csf=1&amp;web=1&amp;e=n8OqOd"/>
    <n v="1"/>
    <m/>
    <x v="0"/>
    <x v="210"/>
  </r>
  <r>
    <n v="32091"/>
    <x v="337"/>
    <s v="Köroglu"/>
    <s v="Ercan"/>
    <x v="1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5911%20Gent%2006032025%2032091%20Ercan%20Koroglu.pdf?csf=1&amp;web=1&amp;e=zVfHFi"/>
    <n v="1"/>
    <m/>
    <x v="0"/>
    <x v="2"/>
  </r>
  <r>
    <n v="40939"/>
    <x v="338"/>
    <s v="Cisse"/>
    <s v="Sayon"/>
    <x v="1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932%20Gent%2040939%20Cisse%20Sayon.pdf?csf=1&amp;web=1&amp;e=Uoqenx"/>
    <n v="1"/>
    <m/>
    <x v="0"/>
    <x v="0"/>
  </r>
  <r>
    <n v="36635"/>
    <x v="48"/>
    <s v="Fadel"/>
    <s v="Husam"/>
    <x v="1"/>
    <x v="0"/>
    <m/>
    <m/>
    <n v="1"/>
    <m/>
    <m/>
    <m/>
    <m/>
    <m/>
    <m/>
    <m/>
    <m/>
    <m/>
    <n v="1"/>
    <x v="401"/>
    <s v="https://delijn.sharepoint.com/:b:/r/teams/CTM-OTGentStad/Shared%20Documents/General/EAF/CSI(nieuwe%20sharepoint)%202025/3.%20Maart/EAF%206331%20Gent%2017032025%2036635%20FAdel%20Husan.pdf?csf=1&amp;web=1&amp;e=dZDy2q"/>
    <m/>
    <n v="1"/>
    <x v="1"/>
    <x v="39"/>
  </r>
  <r>
    <n v="32611"/>
    <x v="339"/>
    <s v="Özer"/>
    <s v="Özgur"/>
    <x v="1"/>
    <x v="0"/>
    <m/>
    <m/>
    <n v="1"/>
    <m/>
    <m/>
    <m/>
    <m/>
    <m/>
    <m/>
    <m/>
    <m/>
    <m/>
    <n v="1"/>
    <x v="402"/>
    <s v="https://delijn.sharepoint.com/:b:/r/teams/CTM-OTGentStad/Shared%20Documents/General/EAF/CSI(nieuwe%20sharepoint)%202025/3.%20Maart/EAF%205922%20Gent%2021032025%2032611%20Ozer%20Ozgur.pdf?csf=1&amp;web=1&amp;e=JHQF0W"/>
    <n v="1"/>
    <m/>
    <x v="0"/>
    <x v="188"/>
  </r>
  <r>
    <n v="40939"/>
    <x v="338"/>
    <s v="Cisse"/>
    <s v="Sayon"/>
    <x v="1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Deinze%2004042025%2040939%20Cisse%20Sayon.pdf?csf=1&amp;web=1&amp;e=ch8sPQ"/>
    <n v="1"/>
    <m/>
    <x v="0"/>
    <x v="10"/>
  </r>
  <r>
    <n v="41588"/>
    <x v="340"/>
    <s v="Naessens"/>
    <s v="Yves"/>
    <x v="1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7897%20GENT%2022042025%2041588%20Naessens%20Yves.pdf?csf=1&amp;web=1&amp;e=FxTbpk"/>
    <n v="1"/>
    <m/>
    <x v="0"/>
    <x v="211"/>
  </r>
  <r>
    <n v="33965"/>
    <x v="73"/>
    <s v="Van de Gehuchte"/>
    <s v="Gilles"/>
    <x v="1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0"/>
    <x v="6"/>
  </r>
  <r>
    <n v="33085"/>
    <x v="341"/>
    <s v="Van Hoe"/>
    <s v="Ivo"/>
    <x v="1"/>
    <x v="0"/>
    <m/>
    <m/>
    <m/>
    <n v="1"/>
    <m/>
    <m/>
    <m/>
    <m/>
    <m/>
    <m/>
    <m/>
    <m/>
    <n v="1"/>
    <x v="404"/>
    <s v="https://delijn.sharepoint.com/:b:/r/teams/CTM-OTGentStad/Shared%20Documents/General/EAF/CSI(nieuwe%20sharepoint)%202025/4.%20April/EAF%202198%2026042025%20Gent%2033085%20Ivo%20Van%20Hoe.pdf?csf=1&amp;web=1&amp;e=ulTovn"/>
    <n v="1"/>
    <m/>
    <x v="0"/>
    <x v="212"/>
  </r>
  <r>
    <n v="33965"/>
    <x v="73"/>
    <s v="Van de Gehuchte"/>
    <s v="Gilles"/>
    <x v="1"/>
    <x v="0"/>
    <m/>
    <m/>
    <m/>
    <m/>
    <d v="1899-12-31T00:00:00"/>
    <m/>
    <m/>
    <m/>
    <m/>
    <m/>
    <m/>
    <m/>
    <n v="1"/>
    <x v="405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1"/>
    <x v="56"/>
  </r>
  <r>
    <n v="39856"/>
    <x v="342"/>
    <s v="Curukcu"/>
    <s v="Bayram"/>
    <x v="1"/>
    <x v="0"/>
    <m/>
    <m/>
    <m/>
    <m/>
    <n v="1"/>
    <m/>
    <m/>
    <m/>
    <m/>
    <m/>
    <m/>
    <m/>
    <n v="1"/>
    <x v="406"/>
    <s v="https://delijn.sharepoint.com/:b:/r/teams/CTM-OTGentStad/Shared%20Documents/General/EAF/CSI(nieuwe%20sharepoint)%202025/5.%20Mei/EAF%205265%20Gent%2013052025.pdf?csf=1&amp;web=1&amp;e=d43suw"/>
    <n v="1"/>
    <m/>
    <x v="0"/>
    <x v="70"/>
  </r>
  <r>
    <n v="39651"/>
    <x v="200"/>
    <s v="Kallenbach"/>
    <s v="Sunny"/>
    <x v="1"/>
    <x v="26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39651%2023052025%2039651.pdf?csf=1&amp;web=1&amp;e=mQcewX"/>
    <n v="1"/>
    <m/>
    <x v="0"/>
    <x v="2"/>
  </r>
  <r>
    <n v="15282"/>
    <x v="11"/>
    <s v="Marinx"/>
    <s v="Kristoff"/>
    <x v="1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26052025.pdf?csf=1&amp;web=1&amp;e=PnI5yR"/>
    <m/>
    <n v="1"/>
    <x v="1"/>
    <x v="143"/>
  </r>
  <r>
    <n v="40856"/>
    <x v="336"/>
    <s v="Neissi"/>
    <s v="Sadegh"/>
    <x v="1"/>
    <x v="0"/>
    <m/>
    <m/>
    <m/>
    <m/>
    <n v="1"/>
    <m/>
    <m/>
    <m/>
    <m/>
    <m/>
    <m/>
    <m/>
    <n v="1"/>
    <x v="407"/>
    <s v="https://delijn.sharepoint.com/:b:/r/teams/CTM-OTGentStad/Shared%20Documents/General/EAF/CSI(nieuwe%20sharepoint)%202025/5.%20Mei/EAF%205630%20Gent%2029052025%2040856.pdf?csf=1&amp;web=1&amp;e=qbBgJn"/>
    <n v="1"/>
    <m/>
    <x v="0"/>
    <x v="19"/>
  </r>
  <r>
    <n v="38481"/>
    <x v="104"/>
    <s v="Sari"/>
    <s v="Devrim"/>
    <x v="1"/>
    <x v="0"/>
    <m/>
    <m/>
    <m/>
    <m/>
    <m/>
    <n v="1"/>
    <m/>
    <m/>
    <m/>
    <m/>
    <m/>
    <m/>
    <n v="1"/>
    <x v="408"/>
    <s v="https://delijn.sharepoint.com/:b:/r/teams/CTM-OTGentStad/Shared%20Documents/General/EAF/CSI(nieuwe%20sharepoint)%202025/6.%20Juni/EAF%20Gent%2004062025%2038481%20Sari%20Devrim.pdf?csf=1&amp;web=1&amp;e=3Hc70Q"/>
    <n v="1"/>
    <m/>
    <x v="0"/>
    <x v="213"/>
  </r>
  <r>
    <n v="37208"/>
    <x v="343"/>
    <s v="Catar"/>
    <s v="Gökhan"/>
    <x v="1"/>
    <x v="0"/>
    <m/>
    <m/>
    <m/>
    <m/>
    <m/>
    <n v="1"/>
    <m/>
    <m/>
    <m/>
    <m/>
    <m/>
    <m/>
    <n v="1"/>
    <x v="409"/>
    <s v="https://delijn.sharepoint.com/:b:/r/teams/CTM-OTGentStad/Shared%20Documents/General/EAF/CSI(nieuwe%20sharepoint)%202025/6.%20Juni/EAF%206329%20Gent%2007062025%2037208%20Catar%20Gohhan.pdf?csf=1&amp;web=1&amp;e=tPaG0w"/>
    <m/>
    <n v="1"/>
    <x v="1"/>
    <x v="2"/>
  </r>
  <r>
    <n v="31150"/>
    <x v="344"/>
    <s v="Oueslati"/>
    <s v="Mohamed Ali"/>
    <x v="1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039%2012062025%2031150%20Ouslati%20Mohamed.pdf?csf=1&amp;web=1&amp;e=oKVgph"/>
    <n v="1"/>
    <m/>
    <x v="0"/>
    <x v="8"/>
  </r>
  <r>
    <n v="41721"/>
    <x v="345"/>
    <s v="Nolf"/>
    <s v="Philippe"/>
    <x v="1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5938%20Gent%2020062025%20Nolf%20Phillipe%2041721.pdf?csf=1&amp;web=1&amp;e=sjXUdI"/>
    <n v="1"/>
    <m/>
    <x v="0"/>
    <x v="160"/>
  </r>
  <r>
    <n v="40362"/>
    <x v="346"/>
    <s v="Kuru"/>
    <s v="Cetin"/>
    <x v="1"/>
    <x v="0"/>
    <m/>
    <m/>
    <m/>
    <m/>
    <m/>
    <n v="1"/>
    <m/>
    <m/>
    <m/>
    <m/>
    <m/>
    <m/>
    <n v="1"/>
    <x v="294"/>
    <s v="https://delijn.sharepoint.com/:b:/r/teams/CTM-OTGentStad/Shared%20Documents/General/EAF/CSI(nieuwe%20sharepoint)%202025/6.%20Juni/EAF%205235%20Gent%2025062025%2040362%20Cetin%20Keru.pdf?csf=1&amp;web=1&amp;e=G2pviC"/>
    <n v="1"/>
    <m/>
    <x v="0"/>
    <x v="155"/>
  </r>
  <r>
    <n v="40939"/>
    <x v="338"/>
    <s v="Cisse"/>
    <s v="Sayon"/>
    <x v="1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5046%2005072025%20Gent%2040939%20Cisse%20Sayon.pdf?csf=1&amp;web=1&amp;e=9wBhrq"/>
    <n v="1"/>
    <m/>
    <x v="0"/>
    <x v="59"/>
  </r>
  <r>
    <n v="37439"/>
    <x v="101"/>
    <s v="Demirkazik"/>
    <s v="Mustafa"/>
    <x v="1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486%2009072025%20Gent%2037439%20Mustafa%20Demirkazik.pdf?csf=1&amp;web=1&amp;e=5VXRjB"/>
    <n v="1"/>
    <m/>
    <x v="0"/>
    <x v="47"/>
  </r>
  <r>
    <n v="40362"/>
    <x v="346"/>
    <s v="Kuru"/>
    <s v="Cetin"/>
    <x v="1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915%2010072025%20Gent%2040362%20Kuru%20Centin.pdf?csf=1&amp;web=1&amp;e=8JdEb2"/>
    <n v="1"/>
    <m/>
    <x v="0"/>
    <x v="75"/>
  </r>
  <r>
    <n v="40856"/>
    <x v="336"/>
    <s v="Neissi"/>
    <s v="Sadegh"/>
    <x v="1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3%2012072025%20Gent%2040856%20Neissi%20Sadegh.pdf?csf=1&amp;web=1&amp;e=wEjUSf"/>
    <n v="1"/>
    <m/>
    <x v="0"/>
    <x v="8"/>
  </r>
  <r>
    <n v="37254"/>
    <x v="244"/>
    <s v="Coulon"/>
    <s v="Rayan"/>
    <x v="1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043%2007082025%20Gent%2037254%20Coulon%20Rayan.pdf?csf=1&amp;web=1&amp;e=4jFWhM"/>
    <n v="1"/>
    <m/>
    <x v="0"/>
    <x v="26"/>
  </r>
  <r>
    <n v="37543"/>
    <x v="25"/>
    <s v="Öztürk"/>
    <s v="Bilgehan"/>
    <x v="1"/>
    <x v="27"/>
    <m/>
    <n v="1"/>
    <m/>
    <m/>
    <m/>
    <m/>
    <m/>
    <m/>
    <m/>
    <m/>
    <m/>
    <m/>
    <n v="1"/>
    <x v="268"/>
    <s v="EAF 2208 Gent 15022025 37543 öztürk Bilehan.pdf"/>
    <n v="1"/>
    <m/>
    <x v="0"/>
    <x v="47"/>
  </r>
  <r>
    <n v="39677"/>
    <x v="347"/>
    <s v="Tacq"/>
    <s v="Joey"/>
    <x v="1"/>
    <x v="28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2197%20Gent%2007042025.pdf?csf=1&amp;web=1&amp;e=g7lPyX"/>
    <n v="1"/>
    <m/>
    <x v="0"/>
    <x v="214"/>
  </r>
  <r>
    <n v="35495"/>
    <x v="348"/>
    <s v="Razzaz"/>
    <s v="Mahmoud"/>
    <x v="1"/>
    <x v="29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6326%20gent%2015032025%2035495%20Mahmoud.pdf?csf=1&amp;web=1&amp;e=hjDdro"/>
    <m/>
    <n v="1"/>
    <x v="1"/>
    <x v="149"/>
  </r>
  <r>
    <n v="10782"/>
    <x v="349"/>
    <s v="De Kee"/>
    <s v="Ina"/>
    <x v="1"/>
    <x v="30"/>
    <m/>
    <m/>
    <m/>
    <m/>
    <m/>
    <m/>
    <m/>
    <m/>
    <m/>
    <m/>
    <m/>
    <m/>
    <n v="1"/>
    <x v="268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15"/>
  </r>
  <r>
    <n v="39654"/>
    <x v="98"/>
    <s v="Camacho Encarnacion"/>
    <s v="Lisandro Javier"/>
    <x v="1"/>
    <x v="0"/>
    <m/>
    <m/>
    <m/>
    <m/>
    <m/>
    <m/>
    <n v="1"/>
    <m/>
    <m/>
    <m/>
    <m/>
    <m/>
    <n v="1"/>
    <x v="39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0"/>
    <x v="59"/>
  </r>
  <r>
    <n v="39651"/>
    <x v="200"/>
    <s v="Kallenbach"/>
    <s v="Sunny"/>
    <x v="1"/>
    <x v="0"/>
    <m/>
    <m/>
    <m/>
    <m/>
    <m/>
    <m/>
    <m/>
    <n v="1"/>
    <m/>
    <m/>
    <m/>
    <m/>
    <n v="1"/>
    <x v="398"/>
    <s v=" https://delijn.sharepoint.com/:b:/r/teams/CTM-OTGentStad/Shared%20Documents/General/EAF/CSI(nieuwe%20sharepoint)%202025/8.%20Augustus/EAF%205052%2022082025%20Gent%2039651%20Sunny%20Kallenbach.pdf?csf=1&amp;web=1&amp;e=hGccC2"/>
    <n v="1"/>
    <m/>
    <x v="0"/>
    <x v="35"/>
  </r>
  <r>
    <n v="40856"/>
    <x v="336"/>
    <s v="Neissi"/>
    <s v="Sadegh"/>
    <x v="1"/>
    <x v="0"/>
    <m/>
    <m/>
    <m/>
    <m/>
    <m/>
    <m/>
    <m/>
    <n v="1"/>
    <m/>
    <m/>
    <m/>
    <m/>
    <n v="1"/>
    <x v="411"/>
    <s v=" https://delijn.sharepoint.com/:b:/r/teams/CTM-OTGentStad/Shared%20Documents/General/EAF/CSI(nieuwe%20sharepoint)%202025/8.%20Augustus/EAF%202193%2029082025%20Gent%2040856.pdf?csf=1&amp;web=1&amp;e=As2ZFk"/>
    <n v="1"/>
    <m/>
    <x v="0"/>
    <x v="56"/>
  </r>
  <r>
    <n v="36428"/>
    <x v="184"/>
    <s v="Abdi Shaiye"/>
    <s v="Rashid"/>
    <x v="6"/>
    <x v="0"/>
    <n v="1"/>
    <m/>
    <m/>
    <m/>
    <m/>
    <m/>
    <m/>
    <m/>
    <m/>
    <m/>
    <m/>
    <m/>
    <n v="1"/>
    <x v="399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0"/>
    <x v="0"/>
  </r>
  <r>
    <n v="8394"/>
    <x v="76"/>
    <s v="Smet"/>
    <s v="Antoon"/>
    <x v="6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57"/>
  </r>
  <r>
    <n v="21581"/>
    <x v="171"/>
    <s v="Vanderstraeten"/>
    <s v="Franky"/>
    <x v="6"/>
    <x v="3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40%20Gent%2020012025.pdf?csf=1&amp;web=1&amp;e=RlKypG"/>
    <n v="1"/>
    <m/>
    <x v="0"/>
    <x v="216"/>
  </r>
  <r>
    <n v="19249"/>
    <x v="152"/>
    <s v="Odaci"/>
    <s v="Kadir"/>
    <x v="6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1"/>
    <x v="159"/>
  </r>
  <r>
    <n v="12514"/>
    <x v="350"/>
    <s v="De Smet"/>
    <s v="Kenneth"/>
    <x v="6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6314%20Gent%2012514%20De%20Smet%20Kenneth%2003022025.pdf?csf=1&amp;web=1&amp;e=sabpIJ"/>
    <m/>
    <n v="1"/>
    <x v="1"/>
    <x v="66"/>
  </r>
  <r>
    <n v="4419"/>
    <x v="260"/>
    <s v="Maelbrancke"/>
    <s v="Eddy"/>
    <x v="6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2195%20Gent%2007022025%204419%20Maelbrancke%20Eddy.pdf?csf=1&amp;web=1&amp;e=EUeWWV"/>
    <n v="1"/>
    <m/>
    <x v="0"/>
    <x v="2"/>
  </r>
  <r>
    <n v="28737"/>
    <x v="351"/>
    <s v="El-Mohamed"/>
    <s v="Mohamed"/>
    <x v="6"/>
    <x v="0"/>
    <m/>
    <n v="1"/>
    <m/>
    <m/>
    <m/>
    <m/>
    <m/>
    <m/>
    <m/>
    <m/>
    <m/>
    <m/>
    <n v="1"/>
    <x v="412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1"/>
    <x v="217"/>
  </r>
  <r>
    <n v="35397"/>
    <x v="352"/>
    <s v="Minbari"/>
    <s v="Ako"/>
    <x v="6"/>
    <x v="0"/>
    <m/>
    <n v="1"/>
    <m/>
    <m/>
    <m/>
    <m/>
    <m/>
    <m/>
    <m/>
    <m/>
    <m/>
    <m/>
    <n v="1"/>
    <x v="413"/>
    <s v="https://delijn.sharepoint.com/:b:/r/teams/CTM-OTGentStad/Shared%20Documents/General/EAF/CSI(nieuwe%20sharepoint)%202025/2.%20Februari/EAF%205914%20Gent%20Stapelplein%2025.02.2025%20Minbari%20Ako.pdf?csf=1&amp;web=1&amp;e=jWNQjt"/>
    <n v="1"/>
    <m/>
    <x v="0"/>
    <x v="176"/>
  </r>
  <r>
    <n v="39829"/>
    <x v="114"/>
    <s v="Demirkaya"/>
    <s v="Serkan"/>
    <x v="6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0"/>
    <x v="56"/>
  </r>
  <r>
    <n v="35216"/>
    <x v="353"/>
    <s v="Coban"/>
    <s v="Mehmet"/>
    <x v="6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5924%20gent%2019032025%2035216%20Coban%20Mehmet.pdf?csf=1&amp;web=1&amp;e=4fakfe"/>
    <n v="1"/>
    <m/>
    <x v="0"/>
    <x v="218"/>
  </r>
  <r>
    <n v="32951"/>
    <x v="75"/>
    <s v="De Bruyne"/>
    <s v="Sonia"/>
    <x v="6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Gent%2004042025%2032951%20Sonia%20De%20Bruyne.pdf?csf=1&amp;web=1&amp;e=APR4gI"/>
    <n v="1"/>
    <m/>
    <x v="0"/>
    <x v="10"/>
  </r>
  <r>
    <n v="38938"/>
    <x v="29"/>
    <s v="Sedighi"/>
    <s v="Hamid"/>
    <x v="6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1"/>
    <x v="180"/>
  </r>
  <r>
    <n v="4608"/>
    <x v="354"/>
    <s v="Steenbrugge"/>
    <s v="Johan"/>
    <x v="6"/>
    <x v="0"/>
    <m/>
    <m/>
    <m/>
    <m/>
    <n v="1"/>
    <m/>
    <m/>
    <m/>
    <m/>
    <m/>
    <m/>
    <m/>
    <n v="1"/>
    <x v="414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0"/>
    <x v="26"/>
  </r>
  <r>
    <n v="31165"/>
    <x v="189"/>
    <s v="Govaerts"/>
    <s v="Sandro"/>
    <x v="6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0"/>
    <x v="193"/>
  </r>
  <r>
    <n v="36428"/>
    <x v="184"/>
    <s v="Abdi Shaiye"/>
    <s v="Rashid"/>
    <x v="6"/>
    <x v="0"/>
    <m/>
    <m/>
    <m/>
    <m/>
    <n v="1"/>
    <m/>
    <m/>
    <m/>
    <m/>
    <m/>
    <m/>
    <m/>
    <n v="1"/>
    <x v="353"/>
    <s v="https://delijn.sharepoint.com/:b:/r/teams/CTM-OTGentStad/Shared%20Documents/General/EAF/CSI(nieuwe%20sharepoint)%202025/5.%20Mei/EAF%206367%20Gent%2015052025%2036428%20Abdi%20Shaiye.pdf?csf=1&amp;web=1&amp;e=qs7FK3"/>
    <m/>
    <n v="1"/>
    <x v="1"/>
    <x v="2"/>
  </r>
  <r>
    <n v="38648"/>
    <x v="72"/>
    <s v="Uckuyulu"/>
    <s v="Muhammet Emin"/>
    <x v="6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6333%20Gent%2021052025%2038648%20%20Emin.pdf?csf=1&amp;web=1&amp;e=FrdmuB"/>
    <m/>
    <n v="1"/>
    <x v="1"/>
    <x v="219"/>
  </r>
  <r>
    <n v="36154"/>
    <x v="355"/>
    <s v="De Clercq"/>
    <s v="Sven"/>
    <x v="6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6356%20Gent%2003062025%2036154%20Sven%20Declercq.pdf?csf=1&amp;web=1&amp;e=JmLfhD"/>
    <m/>
    <n v="1"/>
    <x v="1"/>
    <x v="49"/>
  </r>
  <r>
    <n v="4419"/>
    <x v="260"/>
    <s v="Maelbrancke"/>
    <s v="Eddy"/>
    <x v="6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2195%20Gent%2001072025%204419%20Eddy%20Maelbraecke.pdf?csf=1&amp;web=1&amp;e=MkzgFf"/>
    <n v="1"/>
    <m/>
    <x v="0"/>
    <x v="166"/>
  </r>
  <r>
    <n v="38648"/>
    <x v="72"/>
    <s v="Uckuyulu"/>
    <s v="Muhammet Emin"/>
    <x v="6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8%20Gent%2002072025%2038648%20Emin%20Uckuyulu.pdf?csf=1&amp;web=1&amp;e=ztYK2l"/>
    <m/>
    <n v="1"/>
    <x v="1"/>
    <x v="56"/>
  </r>
  <r>
    <n v="28737"/>
    <x v="351"/>
    <s v="El-Mohamed"/>
    <s v="Mohamed"/>
    <x v="6"/>
    <x v="0"/>
    <m/>
    <m/>
    <m/>
    <m/>
    <m/>
    <m/>
    <n v="1"/>
    <m/>
    <m/>
    <m/>
    <m/>
    <m/>
    <n v="1"/>
    <x v="416"/>
    <s v="https://delijn.sharepoint.com/:b:/r/teams/CTM-OTGentStad/Shared%20Documents/General/EAF/CSI(nieuwe%20sharepoint)%202025/7.%20Juli/EAF%205046%2004072025%20Gent%2028737%20Mohamed%20El%20Mohamed.pdf?csf=1&amp;web=1&amp;e=9pPmNB"/>
    <n v="1"/>
    <m/>
    <x v="0"/>
    <x v="26"/>
  </r>
  <r>
    <n v="36428"/>
    <x v="184"/>
    <s v="Abdi Shaiye"/>
    <s v="Rashid"/>
    <x v="6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763%2013072025%20Gent%2036428%20Rashid%20Abdi%20Shaiye.pdf?csf=1&amp;web=1&amp;e=Ly7On9"/>
    <n v="1"/>
    <m/>
    <x v="0"/>
    <x v="220"/>
  </r>
  <r>
    <n v="35397"/>
    <x v="352"/>
    <s v="Minbari"/>
    <s v="Ako"/>
    <x v="6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1"/>
    <x v="4"/>
  </r>
  <r>
    <n v="37345"/>
    <x v="142"/>
    <s v="Walleyn"/>
    <s v="Renaat"/>
    <x v="6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6372%20Gent%2005-08-2025%20Walleyn%20Renaat.pdf?csf=1&amp;web=1&amp;e=7JItzV"/>
    <n v="1"/>
    <m/>
    <x v="0"/>
    <x v="2"/>
  </r>
  <r>
    <n v="39633"/>
    <x v="71"/>
    <s v="Duyck"/>
    <s v="Kimberly"/>
    <x v="6"/>
    <x v="32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0"/>
    <x v="46"/>
  </r>
  <r>
    <n v="28737"/>
    <x v="351"/>
    <s v="El-Mohamed"/>
    <s v="Mohamed"/>
    <x v="6"/>
    <x v="33"/>
    <m/>
    <n v="1"/>
    <m/>
    <m/>
    <m/>
    <m/>
    <m/>
    <m/>
    <m/>
    <m/>
    <m/>
    <m/>
    <n v="1"/>
    <x v="268"/>
    <s v="EAF 6320 Gent Zonnestraat 27022025 El-Mohamed Mohamed.pdf"/>
    <m/>
    <n v="1"/>
    <x v="1"/>
    <x v="93"/>
  </r>
  <r>
    <n v="19249"/>
    <x v="152"/>
    <s v="Odaci"/>
    <s v="Kadir"/>
    <x v="6"/>
    <x v="34"/>
    <n v="1"/>
    <m/>
    <m/>
    <m/>
    <m/>
    <m/>
    <m/>
    <m/>
    <m/>
    <m/>
    <m/>
    <m/>
    <n v="1"/>
    <x v="268"/>
    <s v="EAF 6337 Gent 17012025.pdf"/>
    <m/>
    <n v="1"/>
    <x v="1"/>
    <x v="74"/>
  </r>
  <r>
    <n v="35588"/>
    <x v="201"/>
    <s v="Smesman"/>
    <s v="Glenn"/>
    <x v="6"/>
    <x v="35"/>
    <n v="1"/>
    <m/>
    <m/>
    <m/>
    <m/>
    <m/>
    <m/>
    <m/>
    <m/>
    <m/>
    <m/>
    <m/>
    <n v="1"/>
    <x v="268"/>
    <s v="EAF 6356 Gentbrugge 18012025.pdf"/>
    <m/>
    <n v="1"/>
    <x v="1"/>
    <x v="1"/>
  </r>
  <r>
    <n v="14625"/>
    <x v="356"/>
    <s v="Rodrigue"/>
    <s v="Vincent"/>
    <x v="6"/>
    <x v="3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209%20Oostakker%2020062025%20Vincent%20Rodrigue.pdf?csf=1&amp;web=1&amp;e=QbeGWm"/>
    <n v="1"/>
    <m/>
    <x v="0"/>
    <x v="21"/>
  </r>
  <r>
    <n v="11120"/>
    <x v="357"/>
    <s v="De Vrieze"/>
    <s v="Ludo"/>
    <x v="6"/>
    <x v="6"/>
    <m/>
    <m/>
    <m/>
    <m/>
    <m/>
    <m/>
    <m/>
    <m/>
    <m/>
    <m/>
    <m/>
    <m/>
    <n v="0"/>
    <x v="268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221"/>
  </r>
  <r>
    <n v="4419"/>
    <x v="260"/>
    <s v="Maelbrancke"/>
    <s v="Eddy"/>
    <x v="6"/>
    <x v="3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3%20EKE%2003072025.pdf?csf=1&amp;web=1&amp;e=r3yMns"/>
    <n v="1"/>
    <m/>
    <x v="0"/>
    <x v="222"/>
  </r>
  <r>
    <n v="36021"/>
    <x v="358"/>
    <s v="Boelaert"/>
    <s v="Frederik"/>
    <x v="6"/>
    <x v="38"/>
    <m/>
    <m/>
    <m/>
    <m/>
    <m/>
    <m/>
    <m/>
    <n v="1"/>
    <m/>
    <m/>
    <m/>
    <m/>
    <n v="1"/>
    <x v="268"/>
    <s v="https://delijn.sharepoint.com/:b:/r/teams/CTM-OTGentStad/Shared%20Documents/General/EAF/CSI(nieuwe%20sharepoint)%202025/8.%20Augustus/EAF%2005082025%20Gent%2036021%20Frederik%20Boelaert.pdf?csf=1&amp;web=1&amp;e=BPGPuk"/>
    <n v="1"/>
    <m/>
    <x v="0"/>
    <x v="155"/>
  </r>
  <r>
    <n v="25487"/>
    <x v="137"/>
    <s v="Devos"/>
    <s v="Stefaan"/>
    <x v="8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14012025_2%205912%20Gent%20Stefaan%20Devos.pdf?csf=1&amp;web=1&amp;e=phoLIt"/>
    <n v="1"/>
    <m/>
    <x v="0"/>
    <x v="197"/>
  </r>
  <r>
    <n v="40969"/>
    <x v="359"/>
    <s v="Kerman"/>
    <s v="Melisa"/>
    <x v="8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14012025%205771%20Gent%20melisa%20kerman.pdf?csf=1&amp;web=1&amp;e=9DGLKj"/>
    <n v="1"/>
    <m/>
    <x v="0"/>
    <x v="9"/>
  </r>
  <r>
    <n v="35395"/>
    <x v="164"/>
    <s v="Limbourg"/>
    <s v="Heidi"/>
    <x v="8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0%20Gentbrugge%2023012025.pdf?csf=1&amp;web=1&amp;e=NJR931"/>
    <m/>
    <n v="1"/>
    <x v="1"/>
    <x v="5"/>
  </r>
  <r>
    <n v="33640"/>
    <x v="360"/>
    <s v="Verschraegen"/>
    <s v="Patrick"/>
    <x v="8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0"/>
    <x v="223"/>
  </r>
  <r>
    <n v="32387"/>
    <x v="178"/>
    <s v="Meersman"/>
    <s v="Herman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23022025%205771%20Gent%20Herman%20Meersman%2032387.pdf?csf=1&amp;web=1&amp;e=UDMuQg"/>
    <n v="1"/>
    <m/>
    <x v="0"/>
    <x v="9"/>
  </r>
  <r>
    <n v="9824"/>
    <x v="361"/>
    <s v="De Meulenaere"/>
    <s v="Eric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6364%20Gent%2023022025%20De%20Meulenaere%20Eric%209824.pdf?csf=1&amp;web=1&amp;e=AkxaRL"/>
    <m/>
    <n v="1"/>
    <x v="1"/>
    <x v="56"/>
  </r>
  <r>
    <n v="26137"/>
    <x v="183"/>
    <s v="Hublau"/>
    <s v="Roland"/>
    <x v="8"/>
    <x v="0"/>
    <m/>
    <m/>
    <n v="1"/>
    <m/>
    <m/>
    <m/>
    <m/>
    <m/>
    <m/>
    <m/>
    <m/>
    <m/>
    <n v="1"/>
    <x v="418"/>
    <s v="https://delijn.sharepoint.com/:b:/r/teams/CTM-OTGentStad/Shared%20Documents/General/EAF/CSI(nieuwe%20sharepoint)%202025/3.%20Maart/EAF%206375%20Ferrelaan%20Gent%2003032025%20Hublau%20Roland%2026137.pdf?csf=1&amp;web=1&amp;e=aUJyEe"/>
    <n v="1"/>
    <m/>
    <x v="0"/>
    <x v="2"/>
  </r>
  <r>
    <n v="16897"/>
    <x v="251"/>
    <s v="VandenDaele"/>
    <s v="Andy"/>
    <x v="8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4%20Gent%2016897%20Andy%20Vandendaele.pdf?csf=1&amp;web=1&amp;e=qHBq9h"/>
    <n v="1"/>
    <m/>
    <x v="0"/>
    <x v="1"/>
  </r>
  <r>
    <n v="25487"/>
    <x v="137"/>
    <s v="Devos"/>
    <s v="Stefaan"/>
    <x v="8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6303%20Gent%2009032025%2025487stefaan%20Devos.pdf?csf=1&amp;web=1&amp;e=jZwHkT"/>
    <m/>
    <n v="1"/>
    <x v="1"/>
    <x v="224"/>
  </r>
  <r>
    <n v="35645"/>
    <x v="232"/>
    <s v="Jalili"/>
    <s v="Yaseeb"/>
    <x v="8"/>
    <x v="0"/>
    <m/>
    <m/>
    <n v="1"/>
    <m/>
    <m/>
    <m/>
    <m/>
    <m/>
    <m/>
    <m/>
    <m/>
    <m/>
    <n v="1"/>
    <x v="419"/>
    <s v="https://delijn.sharepoint.com/:b:/r/teams/CTM-OTGentStad/Shared%20Documents/General/EAF/CSI(nieuwe%20sharepoint)%202025/3.%20Maart/EAF%2010032025%205938%20Gent%2035845%20Yaseeb%20Jalili.pdf?csf=1&amp;web=1&amp;e=ybXXjV"/>
    <n v="1"/>
    <m/>
    <x v="0"/>
    <x v="82"/>
  </r>
  <r>
    <n v="37809"/>
    <x v="220"/>
    <s v="Sturtewagen"/>
    <s v="Kenny"/>
    <x v="8"/>
    <x v="0"/>
    <m/>
    <m/>
    <n v="1"/>
    <m/>
    <m/>
    <m/>
    <m/>
    <m/>
    <m/>
    <m/>
    <m/>
    <m/>
    <n v="1"/>
    <x v="420"/>
    <s v="https://delijn.sharepoint.com/:b:/r/teams/CTM-OTGentStad/Shared%20Documents/General/EAF/CSI(nieuwe%20sharepoint)%202025/3.%20Maart/EAF%205235%20Gent%2024032025%2037809%20Kenny%20Sturtewagen.pdf?csf=1&amp;web=1&amp;e=zHLmQm"/>
    <n v="1"/>
    <m/>
    <x v="0"/>
    <x v="59"/>
  </r>
  <r>
    <n v="35619"/>
    <x v="362"/>
    <s v="El Mezroui"/>
    <s v="Zouheir"/>
    <x v="8"/>
    <x v="0"/>
    <m/>
    <m/>
    <m/>
    <n v="1"/>
    <m/>
    <m/>
    <m/>
    <m/>
    <m/>
    <m/>
    <m/>
    <m/>
    <n v="1"/>
    <x v="421"/>
    <s v="https://delijn.sharepoint.com/:b:/r/teams/CTM-OTGentStad/Shared%20Documents/General/EAF/CSI(nieuwe%20sharepoint)%202025/4.%20April/EAF%2008042025%206306%20Gent%20Zouheir%20El%20Mezroui%2035619.pdf?csf=1&amp;web=1&amp;e=5XbEdT"/>
    <m/>
    <n v="1"/>
    <x v="1"/>
    <x v="71"/>
  </r>
  <r>
    <n v="34325"/>
    <x v="53"/>
    <s v="Eid"/>
    <s v="Mathyn"/>
    <x v="8"/>
    <x v="0"/>
    <m/>
    <m/>
    <m/>
    <n v="1"/>
    <m/>
    <m/>
    <m/>
    <m/>
    <m/>
    <m/>
    <m/>
    <m/>
    <n v="1"/>
    <x v="422"/>
    <s v="https://delijn.sharepoint.com/:b:/r/teams/CTM-OTGentStad/Shared%20Documents/General/EAF/CSI(nieuwe%20sharepoint)%202025/4.%20April/EAF%2010042025%206364%20Gent%20Mathyn%20Eid%2034325.pdf?csf=1&amp;web=1&amp;e=CedThL"/>
    <m/>
    <n v="1"/>
    <x v="1"/>
    <x v="225"/>
  </r>
  <r>
    <n v="35645"/>
    <x v="232"/>
    <s v="Jalili"/>
    <s v="Yaseeb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11042025%205238%20Gent%20%20Jaseeb%20Jalili%2035645.pdf?csf=1&amp;web=1&amp;e=tX3YgF"/>
    <n v="1"/>
    <m/>
    <x v="0"/>
    <x v="0"/>
  </r>
  <r>
    <n v="9158"/>
    <x v="363"/>
    <s v="De Weirdt"/>
    <s v="Ronny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1"/>
    <x v="56"/>
  </r>
  <r>
    <n v="36820"/>
    <x v="364"/>
    <s v="Haché"/>
    <s v="Philip"/>
    <x v="8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12042025%205229%20Gent%20%20Philip%20Hach%C3%A9%2036820.pdf?csf=1&amp;web=1&amp;e=dlplTh"/>
    <n v="1"/>
    <m/>
    <x v="0"/>
    <x v="23"/>
  </r>
  <r>
    <n v="21582"/>
    <x v="52"/>
    <s v="De Grom"/>
    <s v="Patrick"/>
    <x v="8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05%20GENT%2018042025%2021582%20Patrick%20De%20Grom.pdf?csf=1&amp;web=1&amp;e=QSQh2H"/>
    <m/>
    <n v="1"/>
    <x v="1"/>
    <x v="2"/>
  </r>
  <r>
    <n v="36512"/>
    <x v="185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1"/>
    <x v="12"/>
  </r>
  <r>
    <n v="37908"/>
    <x v="365"/>
    <s v="Vandenberghe"/>
    <s v="Michael"/>
    <x v="8"/>
    <x v="0"/>
    <m/>
    <m/>
    <m/>
    <d v="1899-12-31T00:00:00"/>
    <m/>
    <m/>
    <m/>
    <m/>
    <m/>
    <m/>
    <m/>
    <m/>
    <n v="1"/>
    <x v="350"/>
    <s v="https://delijn.sharepoint.com/:b:/r/teams/CTM-OTGentStad/Shared%20Documents/General/EAF/CSI(nieuwe%20sharepoint)%202025/4.%20April/EAF5054%20Rooigemlaan%2030042025%20Michael%20Vandenberghe.pdf?csf=1&amp;web=1&amp;e=nqvJts"/>
    <n v="1"/>
    <m/>
    <x v="0"/>
    <x v="42"/>
  </r>
  <r>
    <n v="27672"/>
    <x v="366"/>
    <s v="Criel"/>
    <s v="Veronique"/>
    <x v="8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10052025%206311%20Gent%20%20Veronique%20Criel%2027672.pdf?csf=1&amp;web=1&amp;e=950cWa"/>
    <m/>
    <n v="1"/>
    <x v="1"/>
    <x v="1"/>
  </r>
  <r>
    <n v="36512"/>
    <x v="185"/>
    <s v="Van Herreweghe"/>
    <s v="Branco"/>
    <x v="8"/>
    <x v="0"/>
    <m/>
    <m/>
    <m/>
    <m/>
    <m/>
    <n v="1"/>
    <m/>
    <m/>
    <m/>
    <m/>
    <m/>
    <m/>
    <n v="1"/>
    <x v="424"/>
    <s v="https://delijn.sharepoint.com/:b:/r/teams/CTM-OTGentStad/Shared%20Documents/General/EAF/CSI(nieuwe%20sharepoint)%202025/6.%20Juni/EAF%2011062025%205934%20Gent%20Branco%20Van%20Herreweghe%2036512.pdf?csf=1&amp;web=1&amp;e=3EdBHe"/>
    <n v="1"/>
    <m/>
    <x v="0"/>
    <x v="185"/>
  </r>
  <r>
    <n v="32528"/>
    <x v="83"/>
    <s v="Benjilali"/>
    <s v="Abdelhak"/>
    <x v="8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01072025%205264%20Gent%2032528%20Abdelhak%20Benjalili.pdf?csf=1&amp;web=1&amp;e=r2qFIj"/>
    <n v="1"/>
    <m/>
    <x v="0"/>
    <x v="6"/>
  </r>
  <r>
    <n v="18987"/>
    <x v="43"/>
    <s v="De Geyter"/>
    <s v="Dolly"/>
    <x v="8"/>
    <x v="0"/>
    <m/>
    <m/>
    <m/>
    <m/>
    <m/>
    <m/>
    <n v="1"/>
    <m/>
    <m/>
    <m/>
    <m/>
    <m/>
    <n v="1"/>
    <x v="425"/>
    <s v="https://delijn.sharepoint.com/:b:/r/teams/CTM-OTGentStad/Shared%20Documents/General/EAF/CSI(nieuwe%20sharepoint)%202025/7.%20Juli/EAF%206313%2008072025%20Gent%2018987%20De%20Geyter%20Dolly.pdf?csf=1&amp;web=1&amp;e=jvHB5m"/>
    <m/>
    <n v="1"/>
    <x v="1"/>
    <x v="39"/>
  </r>
  <r>
    <n v="32002"/>
    <x v="367"/>
    <s v="Hasni"/>
    <s v="Helmi"/>
    <x v="8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6355%2010072025%20Gent%2032002%20Helmi%20Hasni.pdf?csf=1&amp;web=1&amp;e=vaLlvQ"/>
    <m/>
    <n v="1"/>
    <x v="1"/>
    <x v="226"/>
  </r>
  <r>
    <n v="37936"/>
    <x v="153"/>
    <s v="Detaeye"/>
    <s v="Alexander"/>
    <x v="8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911%20Gent%2013072025%2037936%20Detaeye%20Alexander.pdf?csf=1&amp;web=1&amp;e=1kDqga"/>
    <n v="1"/>
    <m/>
    <x v="0"/>
    <x v="227"/>
  </r>
  <r>
    <n v="22202"/>
    <x v="368"/>
    <s v="Pluym"/>
    <s v="Pascal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4082025%205266%20Gent.pdf?csf=1&amp;web=1&amp;e=lRG0mc"/>
    <n v="1"/>
    <m/>
    <x v="0"/>
    <x v="8"/>
  </r>
  <r>
    <n v="35490"/>
    <x v="369"/>
    <s v="Nguetto"/>
    <s v="Brisco Romeo"/>
    <x v="8"/>
    <x v="3"/>
    <m/>
    <n v="1"/>
    <m/>
    <m/>
    <m/>
    <m/>
    <m/>
    <m/>
    <m/>
    <m/>
    <m/>
    <m/>
    <n v="1"/>
    <x v="268"/>
    <s v="EAF 18022025 5912 Gent Brisco Romeo Nguetto 35490.pdf"/>
    <n v="1"/>
    <m/>
    <x v="0"/>
    <x v="67"/>
  </r>
  <r>
    <n v="32002"/>
    <x v="367"/>
    <s v="Hasni"/>
    <s v="Helmi"/>
    <x v="8"/>
    <x v="39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</r>
  <r>
    <n v="25829"/>
    <x v="370"/>
    <s v="Kayim"/>
    <s v="Akin"/>
    <x v="8"/>
    <x v="40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22082025%206307%20Gent.pdf?csf=1&amp;web=1&amp;e=qKZXVA"/>
    <m/>
    <n v="1"/>
    <x v="1"/>
    <x v="149"/>
  </r>
  <r>
    <n v="25487"/>
    <x v="137"/>
    <s v="Devos"/>
    <s v="Stefaan"/>
    <x v="8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18082025%206315%20Gent.pdf?csf=1&amp;web=1&amp;e=TBR6j6"/>
    <m/>
    <n v="1"/>
    <x v="1"/>
    <x v="151"/>
  </r>
  <r>
    <n v="42145"/>
    <x v="371"/>
    <s v="Gys"/>
    <s v="Shayya"/>
    <x v="8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25082025%208137%20Gent.pdf?csf=1&amp;web=1&amp;e=rhSGdw"/>
    <n v="1"/>
    <m/>
    <x v="0"/>
    <x v="228"/>
  </r>
  <r>
    <n v="41090"/>
    <x v="372"/>
    <e v="#N/A"/>
    <e v="#N/A"/>
    <x v="0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9%20Stelplaats%2014012025%20Moez%20El%20Ouni.pdf?csf=1&amp;web=1&amp;e=bu2hE2"/>
    <n v="1"/>
    <m/>
    <x v="0"/>
    <x v="32"/>
  </r>
  <r>
    <n v="13568"/>
    <x v="372"/>
    <e v="#N/A"/>
    <e v="#N/A"/>
    <x v="0"/>
    <x v="0"/>
    <m/>
    <n v="1"/>
    <m/>
    <m/>
    <m/>
    <m/>
    <m/>
    <m/>
    <m/>
    <m/>
    <m/>
    <m/>
    <n v="1"/>
    <x v="271"/>
    <s v="EAf 5916 Wondelgem 13568 Dirk Reynen 03022025.pdf"/>
    <n v="1"/>
    <m/>
    <x v="0"/>
    <x v="229"/>
  </r>
  <r>
    <n v="39818"/>
    <x v="372"/>
    <e v="#N/A"/>
    <e v="#N/A"/>
    <x v="0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929%20Keizer%20Karelstraat%20Gent%2022022025.pdf?csf=1&amp;web=1&amp;e=XmjMb6"/>
    <n v="1"/>
    <m/>
    <x v="0"/>
    <x v="88"/>
  </r>
  <r>
    <n v="9999"/>
    <x v="372"/>
    <e v="#N/A"/>
    <e v="#N/A"/>
    <x v="0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0"/>
    <x v="56"/>
  </r>
  <r>
    <m/>
    <x v="372"/>
    <e v="#N/A"/>
    <e v="#N/A"/>
    <x v="10"/>
    <x v="0"/>
    <m/>
    <m/>
    <m/>
    <m/>
    <m/>
    <m/>
    <m/>
    <m/>
    <m/>
    <m/>
    <m/>
    <m/>
    <n v="0"/>
    <x v="268"/>
    <m/>
    <m/>
    <m/>
    <x v="2"/>
    <x v="15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10" firstHeaderRow="1" firstDataRow="1" firstDataCol="1"/>
  <pivotFields count="28">
    <pivotField showAll="0"/>
    <pivotField axis="axisRow" showAll="0" sortType="descending">
      <items count="588">
        <item m="1" x="571"/>
        <item m="1" x="586"/>
        <item m="1" x="419"/>
        <item x="140"/>
        <item x="45"/>
        <item m="1" x="505"/>
        <item x="349"/>
        <item m="1" x="437"/>
        <item m="1" x="462"/>
        <item x="357"/>
        <item x="274"/>
        <item x="63"/>
        <item x="143"/>
        <item x="119"/>
        <item m="1" x="458"/>
        <item x="100"/>
        <item x="224"/>
        <item x="350"/>
        <item x="242"/>
        <item x="275"/>
        <item m="1" x="426"/>
        <item x="181"/>
        <item x="135"/>
        <item m="1" x="489"/>
        <item m="1" x="445"/>
        <item x="54"/>
        <item x="290"/>
        <item m="1" x="421"/>
        <item m="1" x="427"/>
        <item m="1" x="438"/>
        <item m="1" x="554"/>
        <item m="1" x="522"/>
        <item x="161"/>
        <item m="1" x="506"/>
        <item x="356"/>
        <item x="163"/>
        <item m="1" x="555"/>
        <item x="132"/>
        <item m="1" x="463"/>
        <item m="1" x="400"/>
        <item m="1" x="565"/>
        <item x="11"/>
        <item x="88"/>
        <item x="271"/>
        <item m="1" x="431"/>
        <item x="26"/>
        <item x="233"/>
        <item m="1" x="507"/>
        <item x="131"/>
        <item m="1" x="395"/>
        <item m="1" x="482"/>
        <item m="1" x="464"/>
        <item m="1" x="566"/>
        <item m="1" x="523"/>
        <item x="97"/>
        <item x="230"/>
        <item x="261"/>
        <item m="1" x="534"/>
        <item x="234"/>
        <item x="251"/>
        <item m="1" x="468"/>
        <item m="1" x="508"/>
        <item m="1" x="509"/>
        <item m="1" x="510"/>
        <item x="248"/>
        <item x="9"/>
        <item x="148"/>
        <item x="263"/>
        <item m="1" x="459"/>
        <item x="287"/>
        <item m="1" x="511"/>
        <item m="1" x="454"/>
        <item x="252"/>
        <item m="1" x="401"/>
        <item x="43"/>
        <item m="1" x="535"/>
        <item m="1" x="439"/>
        <item x="147"/>
        <item x="82"/>
        <item m="1" x="490"/>
        <item x="34"/>
        <item x="152"/>
        <item m="1" x="469"/>
        <item x="309"/>
        <item m="1" x="447"/>
        <item m="1" x="470"/>
        <item m="1" x="409"/>
        <item m="1" x="402"/>
        <item m="1" x="413"/>
        <item x="103"/>
        <item x="12"/>
        <item x="180"/>
        <item m="1" x="440"/>
        <item x="229"/>
        <item m="1" x="556"/>
        <item x="23"/>
        <item m="1" x="446"/>
        <item m="1" x="557"/>
        <item m="1" x="448"/>
        <item m="1" x="392"/>
        <item m="1" x="582"/>
        <item x="67"/>
        <item m="1" x="465"/>
        <item m="1" x="536"/>
        <item m="1" x="537"/>
        <item m="1" x="558"/>
        <item x="173"/>
        <item x="120"/>
        <item m="1" x="471"/>
        <item m="1" x="491"/>
        <item x="95"/>
        <item m="1" x="576"/>
        <item x="308"/>
        <item m="1" x="538"/>
        <item m="1" x="472"/>
        <item m="1" x="524"/>
        <item m="1" x="473"/>
        <item m="1" x="449"/>
        <item x="65"/>
        <item x="171"/>
        <item x="52"/>
        <item m="1" x="559"/>
        <item m="1" x="425"/>
        <item x="85"/>
        <item x="258"/>
        <item m="1" x="474"/>
        <item x="223"/>
        <item m="1" x="475"/>
        <item x="318"/>
        <item m="1" x="580"/>
        <item x="368"/>
        <item x="79"/>
        <item x="165"/>
        <item m="1" x="383"/>
        <item x="284"/>
        <item x="121"/>
        <item x="249"/>
        <item m="1" x="441"/>
        <item x="314"/>
        <item m="1" x="424"/>
        <item m="1" x="512"/>
        <item m="1" x="492"/>
        <item m="1" x="525"/>
        <item x="149"/>
        <item x="195"/>
        <item m="1" x="567"/>
        <item m="1" x="434"/>
        <item x="86"/>
        <item x="217"/>
        <item m="1" x="493"/>
        <item x="328"/>
        <item m="1" x="429"/>
        <item x="62"/>
        <item x="196"/>
        <item m="1" x="450"/>
        <item m="1" x="494"/>
        <item x="137"/>
        <item x="276"/>
        <item m="1" x="451"/>
        <item x="326"/>
        <item x="370"/>
        <item m="1" x="396"/>
        <item m="1" x="539"/>
        <item x="84"/>
        <item x="55"/>
        <item x="228"/>
        <item m="1" x="442"/>
        <item x="183"/>
        <item m="1" x="455"/>
        <item x="81"/>
        <item x="324"/>
        <item m="1" x="430"/>
        <item x="213"/>
        <item x="87"/>
        <item m="1" x="540"/>
        <item x="33"/>
        <item m="1" x="541"/>
        <item m="1" x="433"/>
        <item m="1" x="435"/>
        <item m="1" x="452"/>
        <item x="283"/>
        <item m="1" x="526"/>
        <item x="256"/>
        <item m="1" x="568"/>
        <item x="93"/>
        <item x="32"/>
        <item x="70"/>
        <item m="1" x="513"/>
        <item x="40"/>
        <item m="1" x="495"/>
        <item m="1" x="483"/>
        <item x="206"/>
        <item x="366"/>
        <item m="1" x="390"/>
        <item m="1" x="496"/>
        <item x="58"/>
        <item m="1" x="577"/>
        <item m="1" x="550"/>
        <item m="1" x="551"/>
        <item m="1" x="414"/>
        <item m="1" x="542"/>
        <item x="111"/>
        <item x="351"/>
        <item x="176"/>
        <item m="1" x="403"/>
        <item x="174"/>
        <item m="1" x="497"/>
        <item x="265"/>
        <item x="106"/>
        <item m="1" x="404"/>
        <item m="1" x="415"/>
        <item m="1" x="514"/>
        <item x="250"/>
        <item x="155"/>
        <item m="1" x="584"/>
        <item x="226"/>
        <item m="1" x="456"/>
        <item x="306"/>
        <item x="294"/>
        <item x="268"/>
        <item m="1" x="484"/>
        <item m="1" x="545"/>
        <item x="237"/>
        <item x="231"/>
        <item x="28"/>
        <item x="316"/>
        <item m="1" x="546"/>
        <item x="126"/>
        <item m="1" x="569"/>
        <item x="190"/>
        <item x="221"/>
        <item x="125"/>
        <item x="238"/>
        <item m="1" x="391"/>
        <item x="30"/>
        <item x="4"/>
        <item x="311"/>
        <item x="344"/>
        <item x="189"/>
        <item x="89"/>
        <item x="193"/>
        <item m="1" x="543"/>
        <item m="1" x="547"/>
        <item x="332"/>
        <item m="1" x="548"/>
        <item x="102"/>
        <item m="1" x="549"/>
        <item m="1" x="544"/>
        <item x="204"/>
        <item m="1" x="515"/>
        <item x="20"/>
        <item x="156"/>
        <item x="24"/>
        <item x="27"/>
        <item x="302"/>
        <item x="367"/>
        <item x="337"/>
        <item m="1" x="516"/>
        <item x="199"/>
        <item m="1" x="476"/>
        <item x="327"/>
        <item x="57"/>
        <item x="178"/>
        <item m="1" x="560"/>
        <item x="83"/>
        <item x="166"/>
        <item x="339"/>
        <item x="108"/>
        <item x="75"/>
        <item m="1" x="581"/>
        <item x="341"/>
        <item x="99"/>
        <item x="94"/>
        <item x="227"/>
        <item x="127"/>
        <item m="1" x="485"/>
        <item m="1" x="408"/>
        <item x="360"/>
        <item m="1" x="477"/>
        <item m="1" x="393"/>
        <item x="73"/>
        <item m="1" x="416"/>
        <item x="160"/>
        <item x="278"/>
        <item x="118"/>
        <item x="42"/>
        <item x="96"/>
        <item m="1" x="585"/>
        <item x="53"/>
        <item x="1"/>
        <item x="117"/>
        <item x="107"/>
        <item x="22"/>
        <item m="1" x="443"/>
        <item m="1" x="405"/>
        <item m="1" x="406"/>
        <item x="167"/>
        <item m="1" x="394"/>
        <item m="1" x="527"/>
        <item x="49"/>
        <item x="91"/>
        <item x="60"/>
        <item x="145"/>
        <item x="353"/>
        <item m="1" x="528"/>
        <item x="139"/>
        <item m="1" x="578"/>
        <item x="245"/>
        <item x="164"/>
        <item x="352"/>
        <item m="1" x="478"/>
        <item m="1" x="529"/>
        <item x="235"/>
        <item x="202"/>
        <item x="116"/>
        <item x="36"/>
        <item x="369"/>
        <item x="320"/>
        <item x="162"/>
        <item m="1" x="410"/>
        <item x="348"/>
        <item x="201"/>
        <item x="218"/>
        <item x="362"/>
        <item m="1" x="517"/>
        <item x="232"/>
        <item x="64"/>
        <item m="1" x="561"/>
        <item m="1" x="466"/>
        <item x="358"/>
        <item x="355"/>
        <item x="236"/>
        <item x="50"/>
        <item x="46"/>
        <item m="1" x="530"/>
        <item x="179"/>
        <item m="1" x="411"/>
        <item m="1" x="376"/>
        <item x="259"/>
        <item m="1" x="460"/>
        <item m="1" x="386"/>
        <item x="262"/>
        <item x="184"/>
        <item x="113"/>
        <item x="243"/>
        <item x="144"/>
        <item m="1" x="428"/>
        <item m="1" x="444"/>
        <item x="185"/>
        <item x="254"/>
        <item x="207"/>
        <item x="56"/>
        <item x="315"/>
        <item x="151"/>
        <item m="1" x="397"/>
        <item x="13"/>
        <item x="19"/>
        <item x="48"/>
        <item x="288"/>
        <item x="364"/>
        <item m="1" x="423"/>
        <item x="154"/>
        <item x="298"/>
        <item x="172"/>
        <item x="343"/>
        <item x="105"/>
        <item m="1" x="531"/>
        <item m="1" x="417"/>
        <item x="244"/>
        <item m="1" x="412"/>
        <item x="51"/>
        <item x="5"/>
        <item x="142"/>
        <item x="101"/>
        <item x="198"/>
        <item x="203"/>
        <item x="158"/>
        <item x="25"/>
        <item x="39"/>
        <item x="129"/>
        <item x="186"/>
        <item x="212"/>
        <item x="296"/>
        <item x="246"/>
        <item x="6"/>
        <item x="220"/>
        <item m="1" x="552"/>
        <item x="365"/>
        <item x="153"/>
        <item x="133"/>
        <item x="124"/>
        <item x="31"/>
        <item x="266"/>
        <item m="1" x="498"/>
        <item m="1" x="384"/>
        <item m="1" x="479"/>
        <item x="3"/>
        <item x="59"/>
        <item x="104"/>
        <item x="38"/>
        <item m="1" x="499"/>
        <item x="214"/>
        <item m="1" x="563"/>
        <item x="16"/>
        <item x="310"/>
        <item x="194"/>
        <item x="10"/>
        <item x="72"/>
        <item x="138"/>
        <item m="1" x="562"/>
        <item x="280"/>
        <item x="285"/>
        <item x="110"/>
        <item x="37"/>
        <item x="15"/>
        <item x="29"/>
        <item x="66"/>
        <item x="68"/>
        <item x="17"/>
        <item m="1" x="500"/>
        <item m="1" x="385"/>
        <item x="8"/>
        <item x="35"/>
        <item x="7"/>
        <item x="61"/>
        <item m="1" x="418"/>
        <item m="1" x="432"/>
        <item x="277"/>
        <item x="41"/>
        <item x="170"/>
        <item x="146"/>
        <item x="169"/>
        <item x="168"/>
        <item x="77"/>
        <item m="1" x="387"/>
        <item x="2"/>
        <item x="175"/>
        <item x="71"/>
        <item x="200"/>
        <item x="98"/>
        <item x="78"/>
        <item m="1" x="420"/>
        <item x="18"/>
        <item x="347"/>
        <item x="74"/>
        <item m="1" x="570"/>
        <item x="205"/>
        <item x="47"/>
        <item m="1" x="574"/>
        <item x="114"/>
        <item x="317"/>
        <item x="301"/>
        <item x="342"/>
        <item x="192"/>
        <item x="14"/>
        <item x="187"/>
        <item x="123"/>
        <item m="1" x="398"/>
        <item x="150"/>
        <item x="122"/>
        <item x="69"/>
        <item x="112"/>
        <item x="264"/>
        <item m="1" x="399"/>
        <item m="1" x="579"/>
        <item x="255"/>
        <item x="209"/>
        <item x="159"/>
        <item m="1" x="573"/>
        <item x="321"/>
        <item x="134"/>
        <item x="130"/>
        <item x="240"/>
        <item x="239"/>
        <item m="1" x="501"/>
        <item x="80"/>
        <item m="1" x="553"/>
        <item x="136"/>
        <item x="90"/>
        <item m="1" x="502"/>
        <item x="197"/>
        <item x="225"/>
        <item x="247"/>
        <item x="346"/>
        <item x="300"/>
        <item m="1" x="436"/>
        <item x="182"/>
        <item x="257"/>
        <item x="267"/>
        <item x="307"/>
        <item x="177"/>
        <item x="208"/>
        <item x="157"/>
        <item m="1" x="518"/>
        <item x="293"/>
        <item x="216"/>
        <item x="312"/>
        <item x="219"/>
        <item x="191"/>
        <item x="273"/>
        <item x="211"/>
        <item x="336"/>
        <item x="222"/>
        <item x="299"/>
        <item x="338"/>
        <item x="359"/>
        <item x="325"/>
        <item x="319"/>
        <item x="295"/>
        <item m="1" x="572"/>
        <item x="291"/>
        <item x="241"/>
        <item x="289"/>
        <item x="297"/>
        <item x="292"/>
        <item x="253"/>
        <item x="323"/>
        <item x="281"/>
        <item x="270"/>
        <item m="1" x="575"/>
        <item x="279"/>
        <item x="340"/>
        <item m="1" x="422"/>
        <item x="272"/>
        <item x="269"/>
        <item x="313"/>
        <item x="329"/>
        <item x="345"/>
        <item x="333"/>
        <item x="331"/>
        <item m="1" x="503"/>
        <item x="260"/>
        <item m="1" x="453"/>
        <item x="354"/>
        <item x="330"/>
        <item m="1" x="407"/>
        <item m="1" x="583"/>
        <item m="1" x="467"/>
        <item m="1" x="486"/>
        <item x="21"/>
        <item m="1" x="519"/>
        <item m="1" x="564"/>
        <item x="92"/>
        <item x="115"/>
        <item x="215"/>
        <item x="44"/>
        <item m="1" x="461"/>
        <item m="1" x="532"/>
        <item m="1" x="480"/>
        <item x="322"/>
        <item m="1" x="388"/>
        <item x="141"/>
        <item m="1" x="520"/>
        <item x="282"/>
        <item m="1" x="533"/>
        <item x="188"/>
        <item m="1" x="504"/>
        <item x="210"/>
        <item m="1" x="481"/>
        <item x="76"/>
        <item x="109"/>
        <item m="1" x="521"/>
        <item m="1" x="389"/>
        <item m="1" x="487"/>
        <item x="128"/>
        <item x="363"/>
        <item m="1" x="488"/>
        <item x="361"/>
        <item m="1" x="457"/>
        <item h="1" m="1" x="375"/>
        <item h="1" m="1" x="378"/>
        <item h="1" m="1" x="377"/>
        <item h="1" m="1" x="381"/>
        <item h="1" m="1" x="380"/>
        <item h="1" m="1" x="379"/>
        <item h="1" m="1" x="382"/>
        <item h="1" x="372"/>
        <item h="1" x="0"/>
        <item x="334"/>
        <item x="304"/>
        <item x="303"/>
        <item x="305"/>
        <item h="1" m="1" x="373"/>
        <item h="1" m="1" x="374"/>
        <item x="286"/>
        <item x="335"/>
        <item x="37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"/>
  </rowFields>
  <rowItems count="198">
    <i>
      <x v="511"/>
    </i>
    <i>
      <x v="473"/>
    </i>
    <i>
      <x v="512"/>
    </i>
    <i>
      <x v="501"/>
    </i>
    <i>
      <x v="507"/>
    </i>
    <i>
      <x v="497"/>
    </i>
    <i>
      <x v="280"/>
    </i>
    <i>
      <x v="342"/>
    </i>
    <i>
      <x v="504"/>
    </i>
    <i>
      <x v="351"/>
    </i>
    <i>
      <x v="90"/>
    </i>
    <i>
      <x v="514"/>
    </i>
    <i>
      <x v="156"/>
    </i>
    <i>
      <x v="478"/>
    </i>
    <i>
      <x v="358"/>
    </i>
    <i>
      <x v="506"/>
    </i>
    <i>
      <x v="43"/>
    </i>
    <i>
      <x v="435"/>
    </i>
    <i>
      <x v="11"/>
    </i>
    <i>
      <x v="490"/>
    </i>
    <i>
      <x v="112"/>
    </i>
    <i>
      <x v="520"/>
    </i>
    <i>
      <x v="148"/>
    </i>
    <i>
      <x v="440"/>
    </i>
    <i>
      <x v="157"/>
    </i>
    <i>
      <x v="481"/>
    </i>
    <i>
      <x v="202"/>
    </i>
    <i>
      <x v="498"/>
    </i>
    <i>
      <x v="232"/>
    </i>
    <i>
      <x v="510"/>
    </i>
    <i>
      <x v="250"/>
    </i>
    <i>
      <x v="531"/>
    </i>
    <i>
      <x v="18"/>
    </i>
    <i>
      <x v="438"/>
    </i>
    <i>
      <x v="309"/>
    </i>
    <i>
      <x v="442"/>
    </i>
    <i>
      <x v="325"/>
    </i>
    <i>
      <x v="480"/>
    </i>
    <i>
      <x v="348"/>
    </i>
    <i>
      <x v="483"/>
    </i>
    <i>
      <x v="355"/>
    </i>
    <i>
      <x v="494"/>
    </i>
    <i>
      <x v="380"/>
    </i>
    <i>
      <x v="502"/>
    </i>
    <i>
      <x v="397"/>
    </i>
    <i>
      <x v="508"/>
    </i>
    <i>
      <x v="407"/>
    </i>
    <i>
      <x v="513"/>
    </i>
    <i>
      <x v="412"/>
    </i>
    <i>
      <x v="523"/>
    </i>
    <i>
      <x v="428"/>
    </i>
    <i>
      <x v="432"/>
    </i>
    <i>
      <x v="374"/>
    </i>
    <i>
      <x v="526"/>
    </i>
    <i>
      <x v="224"/>
    </i>
    <i>
      <x v="447"/>
    </i>
    <i>
      <x v="260"/>
    </i>
    <i>
      <x v="65"/>
    </i>
    <i>
      <x v="262"/>
    </i>
    <i>
      <x v="173"/>
    </i>
    <i>
      <x v="264"/>
    </i>
    <i>
      <x v="467"/>
    </i>
    <i>
      <x v="266"/>
    </i>
    <i>
      <x v="236"/>
    </i>
    <i>
      <x v="267"/>
    </i>
    <i>
      <x v="516"/>
    </i>
    <i>
      <x v="268"/>
    </i>
    <i>
      <x v="414"/>
    </i>
    <i>
      <x v="270"/>
    </i>
    <i>
      <x v="439"/>
    </i>
    <i>
      <x v="277"/>
    </i>
    <i>
      <x v="459"/>
    </i>
    <i>
      <x v="134"/>
    </i>
    <i>
      <x v="41"/>
    </i>
    <i>
      <x v="282"/>
    </i>
    <i>
      <x v="225"/>
    </i>
    <i>
      <x v="283"/>
    </i>
    <i>
      <x v="503"/>
    </i>
    <i>
      <x v="285"/>
    </i>
    <i>
      <x v="69"/>
    </i>
    <i>
      <x v="288"/>
    </i>
    <i>
      <x v="521"/>
    </i>
    <i>
      <x v="290"/>
    </i>
    <i>
      <x v="533"/>
    </i>
    <i>
      <x v="292"/>
    </i>
    <i>
      <x v="417"/>
    </i>
    <i>
      <x v="303"/>
    </i>
    <i>
      <x v="182"/>
    </i>
    <i>
      <x v="305"/>
    </i>
    <i>
      <x v="120"/>
    </i>
    <i>
      <x v="307"/>
    </i>
    <i>
      <x v="451"/>
    </i>
    <i>
      <x v="308"/>
    </i>
    <i>
      <x v="462"/>
    </i>
    <i>
      <x v="138"/>
    </i>
    <i>
      <x v="471"/>
    </i>
    <i>
      <x v="314"/>
    </i>
    <i>
      <x v="218"/>
    </i>
    <i>
      <x v="317"/>
    </i>
    <i>
      <x v="488"/>
    </i>
    <i>
      <x v="323"/>
    </i>
    <i>
      <x v="496"/>
    </i>
    <i>
      <x v="83"/>
    </i>
    <i>
      <x v="58"/>
    </i>
    <i>
      <x v="330"/>
    </i>
    <i>
      <x v="505"/>
    </i>
    <i>
      <x v="333"/>
    </i>
    <i>
      <x v="240"/>
    </i>
    <i>
      <x v="338"/>
    </i>
    <i>
      <x v="74"/>
    </i>
    <i>
      <x v="341"/>
    </i>
    <i>
      <x v="518"/>
    </i>
    <i>
      <x v="19"/>
    </i>
    <i>
      <x v="524"/>
    </i>
    <i>
      <x v="344"/>
    </i>
    <i>
      <x v="528"/>
    </i>
    <i>
      <x v="150"/>
    </i>
    <i>
      <x v="256"/>
    </i>
    <i>
      <x v="350"/>
    </i>
    <i>
      <x v="415"/>
    </i>
    <i>
      <x v="26"/>
    </i>
    <i>
      <x v="427"/>
    </i>
    <i>
      <x v="352"/>
    </i>
    <i>
      <x v="180"/>
    </i>
    <i>
      <x v="353"/>
    </i>
    <i>
      <x v="184"/>
    </i>
    <i>
      <x v="17"/>
    </i>
    <i>
      <x v="192"/>
    </i>
    <i>
      <x v="356"/>
    </i>
    <i>
      <x v="444"/>
    </i>
    <i>
      <x v="357"/>
    </i>
    <i>
      <x v="449"/>
    </i>
    <i>
      <x v="549"/>
    </i>
    <i>
      <x v="452"/>
    </i>
    <i>
      <x v="553"/>
    </i>
    <i>
      <x v="460"/>
    </i>
    <i>
      <x v="565"/>
    </i>
    <i>
      <x v="465"/>
    </i>
    <i>
      <x v="578"/>
    </i>
    <i>
      <x v="469"/>
    </i>
    <i>
      <x v="580"/>
    </i>
    <i>
      <x v="472"/>
    </i>
    <i>
      <x v="585"/>
    </i>
    <i>
      <x v="207"/>
    </i>
    <i>
      <x v="10"/>
    </i>
    <i>
      <x v="219"/>
    </i>
    <i>
      <x v="373"/>
    </i>
    <i>
      <x v="484"/>
    </i>
    <i>
      <x v="81"/>
    </i>
    <i>
      <x v="489"/>
    </i>
    <i>
      <x v="375"/>
    </i>
    <i>
      <x v="130"/>
    </i>
    <i>
      <x v="376"/>
    </i>
    <i>
      <x v="55"/>
    </i>
    <i>
      <x v="118"/>
    </i>
    <i>
      <x v="499"/>
    </i>
    <i>
      <x v="382"/>
    </i>
    <i>
      <x v="237"/>
    </i>
    <i>
      <x v="385"/>
    </i>
    <i>
      <x v="59"/>
    </i>
    <i>
      <x v="387"/>
    </i>
    <i>
      <x v="238"/>
    </i>
    <i>
      <x v="388"/>
    </i>
    <i>
      <x v="239"/>
    </i>
    <i>
      <x v="389"/>
    </i>
    <i>
      <x v="67"/>
    </i>
    <i>
      <x v="392"/>
    </i>
    <i>
      <x v="243"/>
    </i>
    <i>
      <x v="159"/>
    </i>
    <i>
      <x v="515"/>
    </i>
    <i>
      <x v="398"/>
    </i>
    <i>
      <x v="517"/>
    </i>
    <i>
      <x v="404"/>
    </i>
    <i>
      <x v="131"/>
    </i>
    <i>
      <x v="405"/>
    </i>
    <i>
      <x v="254"/>
    </i>
    <i>
      <x v="406"/>
    </i>
    <i>
      <x v="525"/>
    </i>
    <i>
      <x v="167"/>
    </i>
    <i>
      <x v="527"/>
    </i>
    <i>
      <x v="410"/>
    </i>
    <i>
      <x v="255"/>
    </i>
    <i>
      <x v="411"/>
    </i>
    <i>
      <x v="534"/>
    </i>
    <i>
      <x v="170"/>
    </i>
    <i>
      <x v="413"/>
    </i>
    <i>
      <x v="559"/>
    </i>
    <i>
      <x v="359"/>
    </i>
    <i>
      <x v="567"/>
    </i>
    <i>
      <x v="362"/>
    </i>
    <i>
      <x v="579"/>
    </i>
    <i>
      <x v="363"/>
    </i>
    <i>
      <x v="581"/>
    </i>
    <i>
      <x v="364"/>
    </i>
    <i>
      <x v="586"/>
    </i>
    <i>
      <x v="368"/>
    </i>
    <i>
      <x v="372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K25" firstHeaderRow="1" firstDataRow="2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axis="axisCol" showAll="0">
      <items count="4">
        <item x="0"/>
        <item x="1"/>
        <item x="2"/>
        <item t="default"/>
      </items>
    </pivotField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2">
    <i>
      <x/>
    </i>
    <i>
      <x v="1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2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28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8"/>
        <item x="0"/>
        <item x="10"/>
        <item x="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1">
    <i>
      <x v="5"/>
    </i>
    <i>
      <x v="1"/>
    </i>
    <i>
      <x v="7"/>
    </i>
    <i>
      <x v="3"/>
    </i>
    <i>
      <x v="8"/>
    </i>
    <i>
      <x v="13"/>
    </i>
    <i>
      <x v="6"/>
    </i>
    <i>
      <x v="11"/>
    </i>
    <i>
      <x v="16"/>
    </i>
    <i>
      <x v="14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46" firstHeaderRow="1" firstDataRow="1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axis="axisRow" showAll="0" sortType="descending">
      <items count="233">
        <item m="1" x="231"/>
        <item x="104"/>
        <item x="179"/>
        <item x="188"/>
        <item x="43"/>
        <item x="166"/>
        <item x="185"/>
        <item x="190"/>
        <item x="30"/>
        <item x="161"/>
        <item x="145"/>
        <item x="164"/>
        <item x="57"/>
        <item x="80"/>
        <item x="194"/>
        <item x="114"/>
        <item x="79"/>
        <item x="169"/>
        <item x="146"/>
        <item x="226"/>
        <item x="50"/>
        <item x="73"/>
        <item x="3"/>
        <item x="35"/>
        <item x="196"/>
        <item x="56"/>
        <item x="158"/>
        <item x="120"/>
        <item x="33"/>
        <item x="210"/>
        <item x="71"/>
        <item x="216"/>
        <item x="18"/>
        <item x="162"/>
        <item x="195"/>
        <item x="159"/>
        <item x="108"/>
        <item x="26"/>
        <item x="92"/>
        <item x="84"/>
        <item x="144"/>
        <item x="7"/>
        <item x="10"/>
        <item x="9"/>
        <item x="78"/>
        <item x="143"/>
        <item x="182"/>
        <item x="183"/>
        <item x="123"/>
        <item x="15"/>
        <item x="47"/>
        <item x="76"/>
        <item x="202"/>
        <item x="95"/>
        <item x="19"/>
        <item x="222"/>
        <item x="100"/>
        <item x="96"/>
        <item x="62"/>
        <item x="137"/>
        <item x="17"/>
        <item x="131"/>
        <item x="2"/>
        <item x="8"/>
        <item x="113"/>
        <item x="91"/>
        <item x="6"/>
        <item x="203"/>
        <item x="212"/>
        <item x="103"/>
        <item x="28"/>
        <item x="129"/>
        <item x="127"/>
        <item x="112"/>
        <item x="227"/>
        <item x="140"/>
        <item x="148"/>
        <item x="109"/>
        <item x="163"/>
        <item x="134"/>
        <item x="52"/>
        <item x="89"/>
        <item x="181"/>
        <item x="48"/>
        <item x="209"/>
        <item x="102"/>
        <item x="72"/>
        <item x="157"/>
        <item x="11"/>
        <item x="187"/>
        <item x="1"/>
        <item x="82"/>
        <item x="60"/>
        <item x="58"/>
        <item x="64"/>
        <item x="170"/>
        <item x="98"/>
        <item x="88"/>
        <item x="66"/>
        <item x="118"/>
        <item x="204"/>
        <item x="31"/>
        <item x="46"/>
        <item x="200"/>
        <item x="214"/>
        <item x="85"/>
        <item x="51"/>
        <item x="27"/>
        <item x="201"/>
        <item x="5"/>
        <item x="44"/>
        <item x="186"/>
        <item x="135"/>
        <item x="211"/>
        <item x="124"/>
        <item x="106"/>
        <item x="90"/>
        <item x="136"/>
        <item x="110"/>
        <item x="49"/>
        <item x="63"/>
        <item x="205"/>
        <item x="221"/>
        <item x="193"/>
        <item x="133"/>
        <item x="126"/>
        <item x="65"/>
        <item x="197"/>
        <item x="101"/>
        <item x="173"/>
        <item x="130"/>
        <item x="223"/>
        <item x="67"/>
        <item x="119"/>
        <item x="24"/>
        <item x="174"/>
        <item x="151"/>
        <item x="116"/>
        <item x="86"/>
        <item x="81"/>
        <item x="94"/>
        <item x="165"/>
        <item x="213"/>
        <item x="77"/>
        <item x="177"/>
        <item x="192"/>
        <item x="59"/>
        <item x="155"/>
        <item x="150"/>
        <item x="21"/>
        <item m="1" x="230"/>
        <item x="4"/>
        <item x="121"/>
        <item x="132"/>
        <item x="142"/>
        <item x="154"/>
        <item x="40"/>
        <item x="225"/>
        <item x="138"/>
        <item x="41"/>
        <item x="189"/>
        <item x="54"/>
        <item x="53"/>
        <item x="141"/>
        <item x="61"/>
        <item x="36"/>
        <item x="83"/>
        <item x="97"/>
        <item x="42"/>
        <item x="208"/>
        <item x="219"/>
        <item x="13"/>
        <item x="69"/>
        <item x="152"/>
        <item x="87"/>
        <item x="218"/>
        <item x="217"/>
        <item x="34"/>
        <item x="139"/>
        <item x="105"/>
        <item x="184"/>
        <item x="39"/>
        <item x="128"/>
        <item x="180"/>
        <item x="149"/>
        <item x="68"/>
        <item x="176"/>
        <item x="160"/>
        <item x="23"/>
        <item x="0"/>
        <item x="32"/>
        <item x="122"/>
        <item x="22"/>
        <item x="171"/>
        <item x="156"/>
        <item x="25"/>
        <item x="14"/>
        <item x="74"/>
        <item x="70"/>
        <item x="115"/>
        <item x="199"/>
        <item x="111"/>
        <item x="224"/>
        <item x="178"/>
        <item x="45"/>
        <item x="38"/>
        <item x="147"/>
        <item x="206"/>
        <item x="117"/>
        <item x="29"/>
        <item x="37"/>
        <item x="172"/>
        <item x="220"/>
        <item x="198"/>
        <item x="107"/>
        <item x="229"/>
        <item x="16"/>
        <item x="55"/>
        <item x="75"/>
        <item x="99"/>
        <item x="93"/>
        <item x="20"/>
        <item x="125"/>
        <item x="12"/>
        <item x="153"/>
        <item x="215"/>
        <item x="207"/>
        <item x="191"/>
        <item x="175"/>
        <item x="228"/>
        <item x="167"/>
        <item x="16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34">
    <i>
      <x v="25"/>
    </i>
    <i>
      <x v="62"/>
    </i>
    <i>
      <x v="189"/>
    </i>
    <i>
      <x v="190"/>
    </i>
    <i>
      <x v="63"/>
    </i>
    <i>
      <x v="146"/>
    </i>
    <i>
      <x v="168"/>
    </i>
    <i>
      <x v="43"/>
    </i>
    <i>
      <x v="223"/>
    </i>
    <i>
      <x v="37"/>
    </i>
    <i>
      <x v="188"/>
    </i>
    <i>
      <x v="209"/>
    </i>
    <i>
      <x v="42"/>
    </i>
    <i>
      <x v="91"/>
    </i>
    <i>
      <x v="134"/>
    </i>
    <i>
      <x v="147"/>
    </i>
    <i>
      <x v="196"/>
    </i>
    <i>
      <x v="187"/>
    </i>
    <i>
      <x v="3"/>
    </i>
    <i>
      <x v="144"/>
    </i>
    <i>
      <x v="66"/>
    </i>
    <i>
      <x v="30"/>
    </i>
    <i>
      <x v="90"/>
    </i>
    <i>
      <x v="35"/>
    </i>
    <i>
      <x v="95"/>
    </i>
    <i>
      <x v="119"/>
    </i>
    <i>
      <x v="218"/>
    </i>
    <i>
      <x v="6"/>
    </i>
    <i>
      <x v="183"/>
    </i>
    <i>
      <x v="127"/>
    </i>
    <i>
      <x v="129"/>
    </i>
    <i>
      <x v="224"/>
    </i>
    <i>
      <x v="133"/>
    </i>
    <i>
      <x v="77"/>
    </i>
    <i>
      <x v="17"/>
    </i>
    <i>
      <x v="181"/>
    </i>
    <i>
      <x v="50"/>
    </i>
    <i>
      <x v="186"/>
    </i>
    <i>
      <x v="82"/>
    </i>
    <i>
      <x v="23"/>
    </i>
    <i>
      <x v="26"/>
    </i>
    <i>
      <x v="15"/>
    </i>
    <i>
      <x v="88"/>
    </i>
    <i>
      <x v="201"/>
    </i>
    <i>
      <x v="155"/>
    </i>
    <i>
      <x v="54"/>
    </i>
    <i>
      <x v="222"/>
    </i>
    <i>
      <x v="45"/>
    </i>
    <i>
      <x v="47"/>
    </i>
    <i>
      <x v="137"/>
    </i>
    <i>
      <x v="123"/>
    </i>
    <i>
      <x v="202"/>
    </i>
    <i>
      <x v="68"/>
    </i>
    <i>
      <x v="228"/>
    </i>
    <i>
      <x v="97"/>
    </i>
    <i>
      <x v="193"/>
    </i>
    <i>
      <x v="98"/>
    </i>
    <i>
      <x v="215"/>
    </i>
    <i>
      <x v="99"/>
    </i>
    <i>
      <x v="175"/>
    </i>
    <i>
      <x v="100"/>
    </i>
    <i>
      <x v="79"/>
    </i>
    <i>
      <x v="101"/>
    </i>
    <i>
      <x v="198"/>
    </i>
    <i>
      <x v="103"/>
    </i>
    <i>
      <x v="87"/>
    </i>
    <i>
      <x v="108"/>
    </i>
    <i>
      <x v="24"/>
    </i>
    <i>
      <x v="109"/>
    </i>
    <i>
      <x v="170"/>
    </i>
    <i>
      <x v="111"/>
    </i>
    <i>
      <x v="177"/>
    </i>
    <i>
      <x v="112"/>
    </i>
    <i>
      <x v="19"/>
    </i>
    <i>
      <x v="113"/>
    </i>
    <i>
      <x v="41"/>
    </i>
    <i>
      <x v="14"/>
    </i>
    <i>
      <x v="195"/>
    </i>
    <i>
      <x v="121"/>
    </i>
    <i>
      <x v="200"/>
    </i>
    <i>
      <x v="230"/>
    </i>
    <i>
      <x v="205"/>
    </i>
    <i>
      <x v="231"/>
    </i>
    <i>
      <x v="212"/>
    </i>
    <i>
      <x v="49"/>
    </i>
    <i>
      <x v="9"/>
    </i>
    <i>
      <x v="128"/>
    </i>
    <i>
      <x v="226"/>
    </i>
    <i>
      <x v="29"/>
    </i>
    <i>
      <x v="46"/>
    </i>
    <i>
      <x v="131"/>
    </i>
    <i>
      <x v="173"/>
    </i>
    <i>
      <x v="132"/>
    </i>
    <i>
      <x v="176"/>
    </i>
    <i>
      <x v="52"/>
    </i>
    <i>
      <x v="180"/>
    </i>
    <i>
      <x v="5"/>
    </i>
    <i>
      <x v="74"/>
    </i>
    <i>
      <x v="135"/>
    </i>
    <i>
      <x v="78"/>
    </i>
    <i>
      <x v="136"/>
    </i>
    <i>
      <x v="81"/>
    </i>
    <i>
      <x v="60"/>
    </i>
    <i>
      <x v="192"/>
    </i>
    <i>
      <x v="138"/>
    </i>
    <i>
      <x v="194"/>
    </i>
    <i>
      <x v="142"/>
    </i>
    <i>
      <x v="84"/>
    </i>
    <i>
      <x v="33"/>
    </i>
    <i>
      <x v="199"/>
    </i>
    <i>
      <x v="34"/>
    </i>
    <i>
      <x v="86"/>
    </i>
    <i>
      <x v="65"/>
    </i>
    <i>
      <x v="203"/>
    </i>
    <i>
      <x v="148"/>
    </i>
    <i>
      <x v="207"/>
    </i>
    <i>
      <x v="151"/>
    </i>
    <i>
      <x v="211"/>
    </i>
    <i>
      <x v="7"/>
    </i>
    <i>
      <x v="213"/>
    </i>
    <i>
      <x v="157"/>
    </i>
    <i>
      <x v="216"/>
    </i>
    <i>
      <x v="158"/>
    </i>
    <i>
      <x v="89"/>
    </i>
    <i>
      <x v="160"/>
    </i>
    <i>
      <x v="12"/>
    </i>
    <i>
      <x v="162"/>
    </i>
    <i>
      <x v="227"/>
    </i>
    <i>
      <x v="163"/>
    </i>
    <i>
      <x v="229"/>
    </i>
    <i>
      <x v="67"/>
    </i>
    <i>
      <x v="169"/>
    </i>
    <i>
      <x v="2"/>
    </i>
    <i>
      <x v="126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9" s="1"/>
        <i x="1" s="1"/>
        <i x="6" s="1"/>
        <i x="8" s="1"/>
        <i x="0" s="1"/>
        <i x="16" s="1" nd="1"/>
        <i x="12" s="1" nd="1"/>
        <i x="13" s="1" nd="1"/>
        <i x="15" s="1" nd="1"/>
        <i x="14" s="1" nd="1"/>
        <i x="11" s="1" nd="1"/>
        <i x="10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A860" totalsRowShown="0" headerRowDxfId="10">
  <autoFilter ref="A1:AA860" xr:uid="{2FDE3AF6-1CE1-4F38-BD72-1F03CD30F4FC}">
    <filterColumn colId="26">
      <filters blank="1"/>
    </filterColumn>
  </autoFilter>
  <sortState xmlns:xlrd2="http://schemas.microsoft.com/office/spreadsheetml/2017/richdata2" ref="A2:AA860">
    <sortCondition ref="T1:T860"/>
  </sortState>
  <tableColumns count="27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actief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37" totalsRowShown="0">
  <autoFilter ref="A1:C37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818" Type="http://schemas.openxmlformats.org/officeDocument/2006/relationships/printerSettings" Target="../printerSettings/printerSettings2.bin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table" Target="../tables/table2.xm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drawing" Target="../drawings/drawing2.xm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table" Target="../tables/table3.xm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Relationship Id="rId8" Type="http://schemas.openxmlformats.org/officeDocument/2006/relationships/hyperlink" Target="mailto:7839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12" zoomScale="90" zoomScaleNormal="90" workbookViewId="0">
      <selection activeCell="C31" sqref="C31"/>
    </sheetView>
  </sheetViews>
  <sheetFormatPr defaultColWidth="8.88671875" defaultRowHeight="14.4" x14ac:dyDescent="0.3"/>
  <cols>
    <col min="1" max="1" width="19.5546875" style="30" bestFit="1" customWidth="1"/>
    <col min="2" max="2" width="9.5546875" style="30" bestFit="1" customWidth="1"/>
    <col min="3" max="3" width="39.6640625" style="30" bestFit="1" customWidth="1"/>
    <col min="4" max="4" width="16.33203125" style="30" bestFit="1" customWidth="1"/>
    <col min="5" max="5" width="8.88671875" style="30"/>
    <col min="6" max="6" width="30.109375" style="30" bestFit="1" customWidth="1"/>
    <col min="7" max="7" width="16.33203125" style="30" bestFit="1" customWidth="1"/>
    <col min="8" max="8" width="5.44140625" style="30" bestFit="1" customWidth="1"/>
    <col min="9" max="9" width="19.44140625" style="30" bestFit="1" customWidth="1"/>
    <col min="10" max="10" width="16.33203125" style="30" bestFit="1" customWidth="1"/>
    <col min="11" max="11" width="5.5546875" style="30" bestFit="1" customWidth="1"/>
    <col min="12" max="12" width="10.109375" style="30" bestFit="1" customWidth="1"/>
    <col min="13" max="13" width="18.88671875" style="30" bestFit="1" customWidth="1"/>
    <col min="14" max="16384" width="8.88671875" style="30"/>
  </cols>
  <sheetData>
    <row r="2" spans="3:19" ht="15" customHeight="1" x14ac:dyDescent="0.3">
      <c r="J2" s="32"/>
      <c r="K2" s="33"/>
      <c r="L2" s="33"/>
      <c r="M2" s="33"/>
      <c r="N2" s="33"/>
      <c r="O2" s="33"/>
      <c r="P2" s="33"/>
      <c r="Q2" s="33"/>
      <c r="R2" s="33"/>
      <c r="S2" s="33"/>
    </row>
    <row r="3" spans="3:19" ht="15" customHeight="1" x14ac:dyDescent="0.3">
      <c r="J3" s="33"/>
      <c r="K3" s="33"/>
      <c r="L3" s="33"/>
      <c r="M3" s="33"/>
      <c r="N3" s="33"/>
      <c r="O3" s="33"/>
      <c r="P3" s="33"/>
      <c r="Q3" s="33"/>
      <c r="R3" s="33"/>
      <c r="S3" s="33"/>
    </row>
    <row r="4" spans="3:19" ht="15" customHeight="1" x14ac:dyDescent="0.3">
      <c r="J4" s="33"/>
      <c r="K4" s="33"/>
      <c r="L4" s="33"/>
      <c r="M4" s="33"/>
      <c r="N4" s="33"/>
      <c r="O4" s="33"/>
      <c r="P4" s="33"/>
      <c r="Q4" s="33"/>
      <c r="R4" s="33"/>
      <c r="S4" s="33"/>
    </row>
    <row r="5" spans="3:19" ht="15" customHeight="1" x14ac:dyDescent="0.3">
      <c r="J5" s="33"/>
      <c r="K5" s="33"/>
      <c r="L5" s="33"/>
      <c r="M5" s="33"/>
      <c r="N5" s="33"/>
      <c r="O5" s="33"/>
      <c r="P5" s="33"/>
      <c r="Q5" s="33"/>
      <c r="R5" s="33"/>
      <c r="S5" s="33"/>
    </row>
    <row r="6" spans="3:19" ht="15" customHeight="1" x14ac:dyDescent="0.3">
      <c r="J6" s="33"/>
      <c r="K6" s="33"/>
      <c r="L6" s="33"/>
      <c r="M6" s="33"/>
      <c r="N6" s="33"/>
      <c r="O6" s="33"/>
      <c r="P6" s="33"/>
      <c r="Q6" s="33"/>
      <c r="R6" s="33"/>
      <c r="S6" s="33"/>
    </row>
    <row r="7" spans="3:19" ht="15" customHeight="1" x14ac:dyDescent="0.3">
      <c r="J7" s="33"/>
      <c r="K7" s="33"/>
      <c r="L7" s="33"/>
      <c r="M7" s="33"/>
      <c r="N7" s="33"/>
      <c r="O7" s="33"/>
      <c r="P7" s="33"/>
      <c r="Q7" s="33"/>
      <c r="R7" s="33"/>
      <c r="S7" s="33"/>
    </row>
    <row r="8" spans="3:19" ht="15" customHeight="1" x14ac:dyDescent="0.3">
      <c r="J8" s="33"/>
      <c r="K8" s="33"/>
      <c r="L8" s="33"/>
      <c r="M8" s="33"/>
      <c r="N8" s="33"/>
      <c r="O8" s="33"/>
      <c r="P8" s="33"/>
      <c r="Q8" s="33"/>
      <c r="R8" s="33"/>
      <c r="S8" s="33"/>
    </row>
    <row r="9" spans="3:19" ht="15" customHeight="1" x14ac:dyDescent="0.3">
      <c r="J9" s="33"/>
      <c r="K9" s="33"/>
      <c r="L9" s="33"/>
      <c r="M9" s="33"/>
      <c r="N9" s="33"/>
      <c r="O9" s="33"/>
      <c r="P9" s="33"/>
      <c r="Q9" s="33"/>
      <c r="R9" s="33"/>
      <c r="S9" s="33"/>
    </row>
    <row r="10" spans="3:19" ht="15" customHeight="1" x14ac:dyDescent="0.3">
      <c r="J10" s="33"/>
      <c r="K10" s="33"/>
      <c r="L10" s="33"/>
      <c r="M10" s="33"/>
      <c r="N10" s="33"/>
      <c r="O10" s="33"/>
      <c r="P10" s="33"/>
      <c r="Q10" s="33"/>
      <c r="R10" s="33"/>
      <c r="S10" s="33"/>
    </row>
    <row r="12" spans="3:19" x14ac:dyDescent="0.3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</row>
    <row r="13" spans="3:19" x14ac:dyDescent="0.3">
      <c r="C13" s="35" t="s">
        <v>4</v>
      </c>
      <c r="D13">
        <v>7</v>
      </c>
      <c r="F13" s="2" t="s">
        <v>5</v>
      </c>
      <c r="G13">
        <v>17</v>
      </c>
      <c r="I13" s="1" t="s">
        <v>6</v>
      </c>
      <c r="J13" t="s">
        <v>7</v>
      </c>
      <c r="K13" t="s">
        <v>8</v>
      </c>
    </row>
    <row r="14" spans="3:19" x14ac:dyDescent="0.3">
      <c r="C14" s="35" t="s">
        <v>9</v>
      </c>
      <c r="D14">
        <v>6</v>
      </c>
      <c r="F14" s="2" t="s">
        <v>10</v>
      </c>
      <c r="G14">
        <v>13</v>
      </c>
      <c r="I14" s="2" t="s">
        <v>11</v>
      </c>
      <c r="J14">
        <v>28</v>
      </c>
      <c r="K14">
        <v>11</v>
      </c>
    </row>
    <row r="15" spans="3:19" x14ac:dyDescent="0.3">
      <c r="C15" s="35" t="s">
        <v>12</v>
      </c>
      <c r="D15">
        <v>5</v>
      </c>
      <c r="F15" s="2" t="s">
        <v>13</v>
      </c>
      <c r="G15">
        <v>9</v>
      </c>
      <c r="I15" s="2" t="s">
        <v>14</v>
      </c>
      <c r="J15">
        <v>37</v>
      </c>
      <c r="K15">
        <v>8</v>
      </c>
    </row>
    <row r="16" spans="3:19" x14ac:dyDescent="0.3">
      <c r="C16" s="38" t="s">
        <v>15</v>
      </c>
      <c r="D16">
        <v>4</v>
      </c>
      <c r="F16" s="2" t="s">
        <v>16</v>
      </c>
      <c r="G16">
        <v>9</v>
      </c>
      <c r="I16" s="2" t="s">
        <v>17</v>
      </c>
      <c r="J16">
        <v>33</v>
      </c>
      <c r="K16">
        <v>4</v>
      </c>
    </row>
    <row r="17" spans="2:11" x14ac:dyDescent="0.3">
      <c r="C17" s="38" t="s">
        <v>18</v>
      </c>
      <c r="D17">
        <v>4</v>
      </c>
      <c r="F17" s="2" t="s">
        <v>19</v>
      </c>
      <c r="G17">
        <v>9</v>
      </c>
      <c r="I17" s="2" t="s">
        <v>20</v>
      </c>
      <c r="J17">
        <v>27</v>
      </c>
      <c r="K17">
        <v>12</v>
      </c>
    </row>
    <row r="18" spans="2:11" x14ac:dyDescent="0.3">
      <c r="C18" s="35" t="s">
        <v>21</v>
      </c>
      <c r="D18">
        <v>4</v>
      </c>
      <c r="F18" s="2" t="s">
        <v>22</v>
      </c>
      <c r="G18">
        <v>7</v>
      </c>
      <c r="I18" s="2" t="s">
        <v>23</v>
      </c>
      <c r="J18">
        <v>20</v>
      </c>
      <c r="K18">
        <v>7</v>
      </c>
    </row>
    <row r="19" spans="2:11" x14ac:dyDescent="0.3">
      <c r="C19" s="37" t="s">
        <v>24</v>
      </c>
      <c r="D19">
        <v>3</v>
      </c>
      <c r="F19" s="2" t="s">
        <v>25</v>
      </c>
      <c r="G19">
        <v>7</v>
      </c>
      <c r="I19" s="2" t="s">
        <v>26</v>
      </c>
      <c r="J19">
        <v>25</v>
      </c>
      <c r="K19">
        <v>7</v>
      </c>
    </row>
    <row r="20" spans="2:11" x14ac:dyDescent="0.3">
      <c r="C20" s="38" t="s">
        <v>27</v>
      </c>
      <c r="D20">
        <v>3</v>
      </c>
      <c r="F20" s="2" t="s">
        <v>28</v>
      </c>
      <c r="G20">
        <v>6</v>
      </c>
      <c r="I20" s="2" t="s">
        <v>29</v>
      </c>
      <c r="J20">
        <v>31</v>
      </c>
      <c r="K20">
        <v>8</v>
      </c>
    </row>
    <row r="21" spans="2:11" x14ac:dyDescent="0.3">
      <c r="C21" s="35" t="s">
        <v>30</v>
      </c>
      <c r="D21">
        <v>3</v>
      </c>
      <c r="F21" s="2" t="s">
        <v>31</v>
      </c>
      <c r="G21">
        <v>6</v>
      </c>
      <c r="I21" s="2" t="s">
        <v>32</v>
      </c>
      <c r="J21">
        <v>17</v>
      </c>
      <c r="K21">
        <v>3</v>
      </c>
    </row>
    <row r="22" spans="2:11" x14ac:dyDescent="0.3">
      <c r="C22" s="38" t="s">
        <v>33</v>
      </c>
      <c r="D22">
        <v>3</v>
      </c>
      <c r="F22" s="2" t="s">
        <v>34</v>
      </c>
      <c r="G22">
        <v>6</v>
      </c>
      <c r="I22" s="2" t="s">
        <v>35</v>
      </c>
      <c r="J22"/>
      <c r="K22"/>
    </row>
    <row r="23" spans="2:11" x14ac:dyDescent="0.3">
      <c r="C23" s="36" t="s">
        <v>36</v>
      </c>
      <c r="D23">
        <v>3</v>
      </c>
      <c r="F23" s="2" t="s">
        <v>37</v>
      </c>
      <c r="G23">
        <v>6</v>
      </c>
      <c r="I23" s="2" t="s">
        <v>38</v>
      </c>
      <c r="J23"/>
      <c r="K23"/>
    </row>
    <row r="24" spans="2:11" x14ac:dyDescent="0.3">
      <c r="C24" s="35" t="s">
        <v>39</v>
      </c>
      <c r="D24">
        <v>3</v>
      </c>
      <c r="F24" s="2" t="s">
        <v>40</v>
      </c>
      <c r="G24">
        <v>5</v>
      </c>
      <c r="I24" s="2" t="s">
        <v>41</v>
      </c>
      <c r="J24"/>
      <c r="K24"/>
    </row>
    <row r="25" spans="2:11" x14ac:dyDescent="0.3">
      <c r="C25" s="38" t="s">
        <v>42</v>
      </c>
      <c r="D25">
        <v>3</v>
      </c>
      <c r="F25" s="2" t="s">
        <v>43</v>
      </c>
      <c r="G25">
        <v>5</v>
      </c>
      <c r="I25" s="2" t="s">
        <v>44</v>
      </c>
      <c r="J25"/>
      <c r="K25"/>
    </row>
    <row r="26" spans="2:11" x14ac:dyDescent="0.3">
      <c r="C26" s="35" t="s">
        <v>45</v>
      </c>
      <c r="D26">
        <v>3</v>
      </c>
      <c r="F26" s="2" t="s">
        <v>46</v>
      </c>
      <c r="G26">
        <v>5</v>
      </c>
    </row>
    <row r="27" spans="2:11" x14ac:dyDescent="0.3">
      <c r="C27" s="38" t="s">
        <v>47</v>
      </c>
      <c r="D27">
        <v>3</v>
      </c>
      <c r="F27" s="2" t="s">
        <v>48</v>
      </c>
      <c r="G27">
        <v>4</v>
      </c>
      <c r="I27" s="1" t="s">
        <v>49</v>
      </c>
      <c r="J27" t="s">
        <v>1</v>
      </c>
    </row>
    <row r="28" spans="2:11" x14ac:dyDescent="0.3">
      <c r="C28" s="35" t="s">
        <v>50</v>
      </c>
      <c r="D28">
        <v>2</v>
      </c>
      <c r="F28" s="2" t="s">
        <v>51</v>
      </c>
      <c r="G28">
        <v>3</v>
      </c>
      <c r="I28" s="2" t="s">
        <v>52</v>
      </c>
      <c r="J28">
        <v>53</v>
      </c>
    </row>
    <row r="29" spans="2:11" x14ac:dyDescent="0.3">
      <c r="C29" s="38" t="s">
        <v>53</v>
      </c>
      <c r="D29">
        <v>2</v>
      </c>
      <c r="F29" s="2" t="s">
        <v>54</v>
      </c>
      <c r="G29">
        <v>3</v>
      </c>
      <c r="I29" s="2" t="s">
        <v>55</v>
      </c>
      <c r="J29">
        <v>43</v>
      </c>
    </row>
    <row r="30" spans="2:11" x14ac:dyDescent="0.3">
      <c r="C30" s="35" t="s">
        <v>56</v>
      </c>
      <c r="D30">
        <v>2</v>
      </c>
      <c r="F30" s="2" t="s">
        <v>57</v>
      </c>
      <c r="G30">
        <v>3</v>
      </c>
      <c r="I30" s="2" t="s">
        <v>58</v>
      </c>
      <c r="J30">
        <v>39</v>
      </c>
    </row>
    <row r="31" spans="2:11" x14ac:dyDescent="0.3">
      <c r="B31" s="34">
        <f>AVERAGE(D13:D196)</f>
        <v>1.4347826086956521</v>
      </c>
      <c r="C31" s="2" t="s">
        <v>59</v>
      </c>
      <c r="D31">
        <v>2</v>
      </c>
      <c r="F31" s="2" t="s">
        <v>60</v>
      </c>
      <c r="G31">
        <v>3</v>
      </c>
      <c r="I31" s="2" t="s">
        <v>61</v>
      </c>
      <c r="J31">
        <v>35</v>
      </c>
    </row>
    <row r="32" spans="2:11" x14ac:dyDescent="0.3">
      <c r="C32" s="37" t="s">
        <v>62</v>
      </c>
      <c r="D32">
        <v>2</v>
      </c>
      <c r="F32" s="2" t="s">
        <v>63</v>
      </c>
      <c r="G32">
        <v>3</v>
      </c>
      <c r="I32" s="2" t="s">
        <v>64</v>
      </c>
      <c r="J32">
        <v>30</v>
      </c>
    </row>
    <row r="33" spans="3:15" x14ac:dyDescent="0.3">
      <c r="C33" s="35" t="s">
        <v>65</v>
      </c>
      <c r="D33">
        <v>2</v>
      </c>
      <c r="F33" s="2" t="s">
        <v>66</v>
      </c>
      <c r="G33">
        <v>3</v>
      </c>
      <c r="I33" s="2" t="s">
        <v>67</v>
      </c>
      <c r="J33">
        <v>28</v>
      </c>
    </row>
    <row r="34" spans="3:15" x14ac:dyDescent="0.3">
      <c r="C34" s="35" t="s">
        <v>68</v>
      </c>
      <c r="D34">
        <v>2</v>
      </c>
      <c r="F34" s="2" t="s">
        <v>69</v>
      </c>
      <c r="G34">
        <v>3</v>
      </c>
      <c r="I34" s="2" t="s">
        <v>70</v>
      </c>
      <c r="J34">
        <v>23</v>
      </c>
    </row>
    <row r="35" spans="3:15" x14ac:dyDescent="0.3">
      <c r="C35" s="38" t="s">
        <v>71</v>
      </c>
      <c r="D35">
        <v>2</v>
      </c>
      <c r="F35" s="2" t="s">
        <v>72</v>
      </c>
      <c r="G35">
        <v>3</v>
      </c>
      <c r="I35" s="2" t="s">
        <v>73</v>
      </c>
      <c r="J35">
        <v>22</v>
      </c>
    </row>
    <row r="36" spans="3:15" x14ac:dyDescent="0.3">
      <c r="C36" s="35" t="s">
        <v>74</v>
      </c>
      <c r="D36">
        <v>2</v>
      </c>
      <c r="F36" s="2" t="s">
        <v>75</v>
      </c>
      <c r="G36">
        <v>3</v>
      </c>
      <c r="I36" s="2" t="s">
        <v>76</v>
      </c>
      <c r="J36">
        <v>4</v>
      </c>
    </row>
    <row r="37" spans="3:15" x14ac:dyDescent="0.3">
      <c r="C37" s="35" t="s">
        <v>77</v>
      </c>
      <c r="D37">
        <v>2</v>
      </c>
      <c r="F37" s="2" t="s">
        <v>78</v>
      </c>
      <c r="G37">
        <v>3</v>
      </c>
      <c r="I37" s="2" t="s">
        <v>79</v>
      </c>
      <c r="J37">
        <v>4</v>
      </c>
    </row>
    <row r="38" spans="3:15" x14ac:dyDescent="0.3">
      <c r="C38" s="35" t="s">
        <v>80</v>
      </c>
      <c r="D38">
        <v>2</v>
      </c>
      <c r="F38" s="2" t="s">
        <v>81</v>
      </c>
      <c r="G38">
        <v>3</v>
      </c>
      <c r="I38" s="2" t="s">
        <v>82</v>
      </c>
      <c r="J38">
        <v>281</v>
      </c>
    </row>
    <row r="39" spans="3:15" x14ac:dyDescent="0.3">
      <c r="C39" s="38" t="s">
        <v>83</v>
      </c>
      <c r="D39">
        <v>2</v>
      </c>
      <c r="F39" s="2" t="s">
        <v>84</v>
      </c>
      <c r="G39">
        <v>3</v>
      </c>
      <c r="I39"/>
      <c r="J39"/>
    </row>
    <row r="40" spans="3:15" x14ac:dyDescent="0.3">
      <c r="C40" s="35" t="s">
        <v>85</v>
      </c>
      <c r="D40">
        <v>2</v>
      </c>
      <c r="F40" s="2" t="s">
        <v>86</v>
      </c>
      <c r="G40">
        <v>2</v>
      </c>
    </row>
    <row r="41" spans="3:15" x14ac:dyDescent="0.3">
      <c r="C41" s="38" t="s">
        <v>87</v>
      </c>
      <c r="D41">
        <v>2</v>
      </c>
      <c r="F41" s="2" t="s">
        <v>88</v>
      </c>
      <c r="G41">
        <v>2</v>
      </c>
      <c r="I41" s="40" t="s">
        <v>89</v>
      </c>
      <c r="J41" s="40"/>
      <c r="K41" s="40"/>
      <c r="L41" s="25"/>
      <c r="M41" s="40" t="s">
        <v>90</v>
      </c>
      <c r="N41" s="40"/>
      <c r="O41" s="40"/>
    </row>
    <row r="42" spans="3:15" x14ac:dyDescent="0.3">
      <c r="C42" s="35" t="s">
        <v>91</v>
      </c>
      <c r="D42">
        <v>2</v>
      </c>
      <c r="F42" s="2" t="s">
        <v>92</v>
      </c>
      <c r="G42">
        <v>2</v>
      </c>
      <c r="I42" s="13">
        <f>'[1]Ingeplande per TC'!$A$2</f>
        <v>7</v>
      </c>
      <c r="J42" s="13" t="str">
        <f>'[1]Ingeplande per TC'!$B$2</f>
        <v>Christoff Rotty</v>
      </c>
      <c r="K42" s="13"/>
      <c r="L42" s="25"/>
      <c r="M42" s="13">
        <f>'[1]Ingeplande per TC'!$D$2</f>
        <v>25</v>
      </c>
      <c r="N42" s="13" t="str">
        <f>'[1]Ingeplande per TC'!$B$2</f>
        <v>Christoff Rotty</v>
      </c>
      <c r="O42" s="13"/>
    </row>
    <row r="43" spans="3:15" x14ac:dyDescent="0.3">
      <c r="C43" s="35" t="s">
        <v>93</v>
      </c>
      <c r="D43">
        <v>2</v>
      </c>
      <c r="F43" s="2" t="s">
        <v>94</v>
      </c>
      <c r="G43">
        <v>2</v>
      </c>
      <c r="I43" s="13">
        <f>'[1]Ingeplande per TC'!$A$3</f>
        <v>13</v>
      </c>
      <c r="J43" s="13" t="str">
        <f>'[1]Ingeplande per TC'!$B$3</f>
        <v>Bart Van der Beken</v>
      </c>
      <c r="K43" s="13"/>
      <c r="L43" s="25"/>
      <c r="M43" s="13">
        <f>'[1]Ingeplande per TC'!$D$3</f>
        <v>18</v>
      </c>
      <c r="N43" s="13" t="str">
        <f>'[1]Ingeplande per TC'!$B$3</f>
        <v>Bart Van der Beken</v>
      </c>
      <c r="O43" s="13"/>
    </row>
    <row r="44" spans="3:15" x14ac:dyDescent="0.3">
      <c r="C44" s="38" t="s">
        <v>95</v>
      </c>
      <c r="D44">
        <v>2</v>
      </c>
      <c r="F44" s="2" t="s">
        <v>96</v>
      </c>
      <c r="G44">
        <v>2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21</v>
      </c>
      <c r="N44" s="13" t="str">
        <f>'[1]Ingeplande per TC'!$B$4</f>
        <v>Els Dewulf</v>
      </c>
      <c r="O44" s="13"/>
    </row>
    <row r="45" spans="3:15" x14ac:dyDescent="0.3">
      <c r="C45" s="35" t="s">
        <v>97</v>
      </c>
      <c r="D45">
        <v>2</v>
      </c>
      <c r="F45" s="2" t="s">
        <v>98</v>
      </c>
      <c r="G45">
        <v>2</v>
      </c>
      <c r="I45" s="13">
        <f>'[1]Ingeplande per TC'!$A$5</f>
        <v>13</v>
      </c>
      <c r="J45" s="13" t="str">
        <f>'[1]Ingeplande per TC'!$B$5</f>
        <v>Els Vanhoe</v>
      </c>
      <c r="K45" s="13"/>
      <c r="L45" s="25"/>
      <c r="M45" s="13">
        <f>'[1]Ingeplande per TC'!$D$5</f>
        <v>17</v>
      </c>
      <c r="N45" s="13" t="str">
        <f>'[1]Ingeplande per TC'!$B$5</f>
        <v>Els Vanhoe</v>
      </c>
      <c r="O45" s="13"/>
    </row>
    <row r="46" spans="3:15" x14ac:dyDescent="0.3">
      <c r="C46" s="38" t="s">
        <v>99</v>
      </c>
      <c r="D46">
        <v>2</v>
      </c>
      <c r="F46" s="2" t="s">
        <v>100</v>
      </c>
      <c r="G46">
        <v>2</v>
      </c>
      <c r="I46" s="13">
        <f>'[1]Ingeplande per TC'!$A$6</f>
        <v>13</v>
      </c>
      <c r="J46" s="13" t="str">
        <f>'[1]Ingeplande per TC'!$B$6</f>
        <v>Dominique De Clercq</v>
      </c>
      <c r="K46" s="13"/>
      <c r="L46" s="25"/>
      <c r="M46" s="13">
        <f>'[1]Ingeplande per TC'!$D$6</f>
        <v>27</v>
      </c>
      <c r="N46" s="13" t="str">
        <f>'[1]Ingeplande per TC'!$B$6</f>
        <v>Dominique De Clercq</v>
      </c>
      <c r="O46" s="13"/>
    </row>
    <row r="47" spans="3:15" x14ac:dyDescent="0.3">
      <c r="C47" s="38" t="s">
        <v>101</v>
      </c>
      <c r="D47">
        <v>2</v>
      </c>
      <c r="F47" s="2" t="s">
        <v>102</v>
      </c>
      <c r="G47">
        <v>2</v>
      </c>
      <c r="I47" s="13">
        <f>'[1]Ingeplande per TC'!$A$7</f>
        <v>7</v>
      </c>
      <c r="J47" s="13" t="str">
        <f>'[1]Ingeplande per TC'!$B$7</f>
        <v>Steven Storm</v>
      </c>
      <c r="K47" s="13"/>
      <c r="L47" s="25"/>
      <c r="M47" s="13">
        <f>'[1]Ingeplande per TC'!$D$7</f>
        <v>11</v>
      </c>
      <c r="N47" s="13" t="str">
        <f>'[1]Ingeplande per TC'!$B$7</f>
        <v>Steven Storm</v>
      </c>
      <c r="O47" s="13"/>
    </row>
    <row r="48" spans="3:15" x14ac:dyDescent="0.3">
      <c r="C48" s="38" t="s">
        <v>103</v>
      </c>
      <c r="D48">
        <v>2</v>
      </c>
      <c r="F48" s="2" t="s">
        <v>104</v>
      </c>
      <c r="G48">
        <v>2</v>
      </c>
      <c r="I48" s="13">
        <f>'[1]Ingeplande per TC'!$A$8</f>
        <v>11</v>
      </c>
      <c r="J48" s="13" t="str">
        <f>'[1]Ingeplande per TC'!$B$8</f>
        <v>Lucie Vande Velde</v>
      </c>
      <c r="K48" s="13"/>
      <c r="L48" s="25"/>
      <c r="M48" s="13">
        <f>'[1]Ingeplande per TC'!$D$8</f>
        <v>20</v>
      </c>
      <c r="N48" s="13" t="str">
        <f>'[1]Ingeplande per TC'!$B$8</f>
        <v>Lucie Vande Velde</v>
      </c>
      <c r="O48" s="13"/>
    </row>
    <row r="49" spans="3:15" x14ac:dyDescent="0.3">
      <c r="C49" s="38" t="s">
        <v>105</v>
      </c>
      <c r="D49">
        <v>2</v>
      </c>
      <c r="F49" s="2" t="s">
        <v>106</v>
      </c>
      <c r="G49">
        <v>2</v>
      </c>
      <c r="I49" s="13">
        <f>'[1]Ingeplande per TC'!$A$9</f>
        <v>11</v>
      </c>
      <c r="J49" s="13" t="str">
        <f>'[1]Ingeplande per TC'!$B$9</f>
        <v>Kenneth De Rick</v>
      </c>
      <c r="K49" s="13"/>
      <c r="L49" s="25"/>
      <c r="M49" s="13">
        <f>'[1]Ingeplande per TC'!$D$9</f>
        <v>21</v>
      </c>
      <c r="N49" s="13" t="str">
        <f>'[1]Ingeplande per TC'!$B$9</f>
        <v>Kenneth De Rick</v>
      </c>
      <c r="O49" s="13"/>
    </row>
    <row r="50" spans="3:15" x14ac:dyDescent="0.3">
      <c r="C50" s="35" t="s">
        <v>107</v>
      </c>
      <c r="D50">
        <v>2</v>
      </c>
      <c r="F50" s="2" t="s">
        <v>108</v>
      </c>
      <c r="G50">
        <v>2</v>
      </c>
      <c r="I50" s="14">
        <f>SUM(I42:I49)</f>
        <v>88</v>
      </c>
      <c r="J50" s="14" t="s">
        <v>109</v>
      </c>
      <c r="K50" s="14"/>
      <c r="L50" s="25"/>
      <c r="M50" s="14">
        <f>SUM(M42:M49)</f>
        <v>160</v>
      </c>
      <c r="N50" s="14" t="s">
        <v>109</v>
      </c>
      <c r="O50" s="14"/>
    </row>
    <row r="51" spans="3:15" x14ac:dyDescent="0.3">
      <c r="C51" s="35" t="s">
        <v>110</v>
      </c>
      <c r="D51">
        <v>2</v>
      </c>
      <c r="F51" s="2" t="s">
        <v>111</v>
      </c>
      <c r="G51">
        <v>2</v>
      </c>
    </row>
    <row r="52" spans="3:15" x14ac:dyDescent="0.3">
      <c r="C52" s="38" t="s">
        <v>112</v>
      </c>
      <c r="D52">
        <v>2</v>
      </c>
      <c r="F52" s="2" t="s">
        <v>113</v>
      </c>
      <c r="G52">
        <v>2</v>
      </c>
    </row>
    <row r="53" spans="3:15" x14ac:dyDescent="0.3">
      <c r="C53" s="35" t="s">
        <v>114</v>
      </c>
      <c r="D53">
        <v>2</v>
      </c>
      <c r="F53" s="2" t="s">
        <v>115</v>
      </c>
      <c r="G53">
        <v>2</v>
      </c>
    </row>
    <row r="54" spans="3:15" x14ac:dyDescent="0.3">
      <c r="C54" s="38" t="s">
        <v>116</v>
      </c>
      <c r="D54">
        <v>2</v>
      </c>
      <c r="F54" s="2" t="s">
        <v>117</v>
      </c>
      <c r="G54">
        <v>2</v>
      </c>
    </row>
    <row r="55" spans="3:15" x14ac:dyDescent="0.3">
      <c r="C55" s="38" t="s">
        <v>118</v>
      </c>
      <c r="D55">
        <v>2</v>
      </c>
      <c r="F55" s="2" t="s">
        <v>119</v>
      </c>
      <c r="G55">
        <v>2</v>
      </c>
    </row>
    <row r="56" spans="3:15" x14ac:dyDescent="0.3">
      <c r="C56" s="38" t="s">
        <v>120</v>
      </c>
      <c r="D56">
        <v>2</v>
      </c>
      <c r="F56" s="2" t="s">
        <v>121</v>
      </c>
      <c r="G56">
        <v>2</v>
      </c>
    </row>
    <row r="57" spans="3:15" x14ac:dyDescent="0.3">
      <c r="C57" s="35" t="s">
        <v>122</v>
      </c>
      <c r="D57">
        <v>2</v>
      </c>
      <c r="F57" s="2" t="s">
        <v>123</v>
      </c>
      <c r="G57">
        <v>2</v>
      </c>
    </row>
    <row r="58" spans="3:15" x14ac:dyDescent="0.3">
      <c r="C58" s="35" t="s">
        <v>124</v>
      </c>
      <c r="D58">
        <v>2</v>
      </c>
      <c r="F58" s="2" t="s">
        <v>125</v>
      </c>
      <c r="G58">
        <v>2</v>
      </c>
    </row>
    <row r="59" spans="3:15" x14ac:dyDescent="0.3">
      <c r="C59" s="38" t="s">
        <v>126</v>
      </c>
      <c r="D59">
        <v>2</v>
      </c>
      <c r="F59" s="2" t="s">
        <v>127</v>
      </c>
      <c r="G59">
        <v>2</v>
      </c>
    </row>
    <row r="60" spans="3:15" x14ac:dyDescent="0.3">
      <c r="C60" s="35" t="s">
        <v>128</v>
      </c>
      <c r="D60">
        <v>2</v>
      </c>
      <c r="F60" s="2" t="s">
        <v>129</v>
      </c>
      <c r="G60">
        <v>2</v>
      </c>
    </row>
    <row r="61" spans="3:15" x14ac:dyDescent="0.3">
      <c r="C61" s="35" t="s">
        <v>130</v>
      </c>
      <c r="D61">
        <v>2</v>
      </c>
      <c r="F61" s="2" t="s">
        <v>131</v>
      </c>
      <c r="G61">
        <v>2</v>
      </c>
    </row>
    <row r="62" spans="3:15" x14ac:dyDescent="0.3">
      <c r="C62" s="38" t="s">
        <v>132</v>
      </c>
      <c r="D62">
        <v>2</v>
      </c>
      <c r="F62" s="2" t="s">
        <v>133</v>
      </c>
      <c r="G62">
        <v>2</v>
      </c>
    </row>
    <row r="63" spans="3:15" x14ac:dyDescent="0.3">
      <c r="C63" s="38" t="s">
        <v>134</v>
      </c>
      <c r="D63">
        <v>2</v>
      </c>
      <c r="F63" s="2" t="s">
        <v>135</v>
      </c>
      <c r="G63">
        <v>2</v>
      </c>
    </row>
    <row r="64" spans="3:15" x14ac:dyDescent="0.3">
      <c r="C64" s="35" t="s">
        <v>136</v>
      </c>
      <c r="D64">
        <v>2</v>
      </c>
      <c r="F64" s="2" t="s">
        <v>137</v>
      </c>
      <c r="G64">
        <v>1</v>
      </c>
    </row>
    <row r="65" spans="3:7" x14ac:dyDescent="0.3">
      <c r="C65" s="38" t="s">
        <v>138</v>
      </c>
      <c r="D65">
        <v>2</v>
      </c>
      <c r="F65" s="2" t="s">
        <v>139</v>
      </c>
      <c r="G65">
        <v>1</v>
      </c>
    </row>
    <row r="66" spans="3:7" x14ac:dyDescent="0.3">
      <c r="C66" s="2" t="s">
        <v>140</v>
      </c>
      <c r="D66">
        <v>1</v>
      </c>
      <c r="F66" s="2" t="s">
        <v>141</v>
      </c>
      <c r="G66">
        <v>1</v>
      </c>
    </row>
    <row r="67" spans="3:7" x14ac:dyDescent="0.3">
      <c r="C67" s="2" t="s">
        <v>142</v>
      </c>
      <c r="D67">
        <v>1</v>
      </c>
      <c r="F67" s="2" t="s">
        <v>143</v>
      </c>
      <c r="G67">
        <v>1</v>
      </c>
    </row>
    <row r="68" spans="3:7" x14ac:dyDescent="0.3">
      <c r="C68" s="2" t="s">
        <v>144</v>
      </c>
      <c r="D68">
        <v>1</v>
      </c>
      <c r="F68" s="2" t="s">
        <v>145</v>
      </c>
      <c r="G68">
        <v>1</v>
      </c>
    </row>
    <row r="69" spans="3:7" x14ac:dyDescent="0.3">
      <c r="C69" s="2" t="s">
        <v>146</v>
      </c>
      <c r="D69">
        <v>1</v>
      </c>
      <c r="F69" s="2" t="s">
        <v>147</v>
      </c>
      <c r="G69">
        <v>1</v>
      </c>
    </row>
    <row r="70" spans="3:7" x14ac:dyDescent="0.3">
      <c r="C70" s="2" t="s">
        <v>148</v>
      </c>
      <c r="D70">
        <v>1</v>
      </c>
      <c r="F70" s="2" t="s">
        <v>149</v>
      </c>
      <c r="G70">
        <v>1</v>
      </c>
    </row>
    <row r="71" spans="3:7" x14ac:dyDescent="0.3">
      <c r="C71" s="2" t="s">
        <v>150</v>
      </c>
      <c r="D71">
        <v>1</v>
      </c>
      <c r="F71" s="2" t="s">
        <v>151</v>
      </c>
      <c r="G71">
        <v>1</v>
      </c>
    </row>
    <row r="72" spans="3:7" x14ac:dyDescent="0.3">
      <c r="C72" s="2" t="s">
        <v>152</v>
      </c>
      <c r="D72">
        <v>1</v>
      </c>
      <c r="F72" s="2" t="s">
        <v>153</v>
      </c>
      <c r="G72">
        <v>1</v>
      </c>
    </row>
    <row r="73" spans="3:7" x14ac:dyDescent="0.3">
      <c r="C73" s="2" t="s">
        <v>154</v>
      </c>
      <c r="D73">
        <v>1</v>
      </c>
      <c r="F73" s="2" t="s">
        <v>155</v>
      </c>
      <c r="G73">
        <v>1</v>
      </c>
    </row>
    <row r="74" spans="3:7" x14ac:dyDescent="0.3">
      <c r="C74" s="2" t="s">
        <v>156</v>
      </c>
      <c r="D74">
        <v>1</v>
      </c>
      <c r="F74" s="2" t="s">
        <v>157</v>
      </c>
      <c r="G74">
        <v>1</v>
      </c>
    </row>
    <row r="75" spans="3:7" x14ac:dyDescent="0.3">
      <c r="C75" s="2" t="s">
        <v>158</v>
      </c>
      <c r="D75">
        <v>1</v>
      </c>
      <c r="F75" s="2" t="s">
        <v>159</v>
      </c>
      <c r="G75">
        <v>1</v>
      </c>
    </row>
    <row r="76" spans="3:7" x14ac:dyDescent="0.3">
      <c r="C76" s="2" t="s">
        <v>160</v>
      </c>
      <c r="D76">
        <v>1</v>
      </c>
      <c r="F76" s="2" t="s">
        <v>161</v>
      </c>
      <c r="G76">
        <v>1</v>
      </c>
    </row>
    <row r="77" spans="3:7" x14ac:dyDescent="0.3">
      <c r="C77" s="2" t="s">
        <v>162</v>
      </c>
      <c r="D77">
        <v>1</v>
      </c>
      <c r="F77" s="2" t="s">
        <v>163</v>
      </c>
      <c r="G77">
        <v>1</v>
      </c>
    </row>
    <row r="78" spans="3:7" x14ac:dyDescent="0.3">
      <c r="C78" s="2" t="s">
        <v>164</v>
      </c>
      <c r="D78">
        <v>1</v>
      </c>
      <c r="F78" s="2" t="s">
        <v>165</v>
      </c>
      <c r="G78">
        <v>1</v>
      </c>
    </row>
    <row r="79" spans="3:7" x14ac:dyDescent="0.3">
      <c r="C79" s="2" t="s">
        <v>166</v>
      </c>
      <c r="D79">
        <v>1</v>
      </c>
      <c r="F79" s="2" t="s">
        <v>167</v>
      </c>
      <c r="G79">
        <v>1</v>
      </c>
    </row>
    <row r="80" spans="3:7" x14ac:dyDescent="0.3">
      <c r="C80" s="2" t="s">
        <v>168</v>
      </c>
      <c r="D80">
        <v>1</v>
      </c>
      <c r="F80" s="2" t="s">
        <v>169</v>
      </c>
      <c r="G80">
        <v>1</v>
      </c>
    </row>
    <row r="81" spans="3:7" x14ac:dyDescent="0.3">
      <c r="C81" s="2" t="s">
        <v>170</v>
      </c>
      <c r="D81">
        <v>1</v>
      </c>
      <c r="F81" s="2" t="s">
        <v>171</v>
      </c>
      <c r="G81">
        <v>1</v>
      </c>
    </row>
    <row r="82" spans="3:7" x14ac:dyDescent="0.3">
      <c r="C82" s="2" t="s">
        <v>172</v>
      </c>
      <c r="D82">
        <v>1</v>
      </c>
      <c r="F82" s="2" t="s">
        <v>173</v>
      </c>
      <c r="G82">
        <v>1</v>
      </c>
    </row>
    <row r="83" spans="3:7" x14ac:dyDescent="0.3">
      <c r="C83" s="2" t="s">
        <v>174</v>
      </c>
      <c r="D83">
        <v>1</v>
      </c>
      <c r="F83" s="2" t="s">
        <v>175</v>
      </c>
      <c r="G83">
        <v>1</v>
      </c>
    </row>
    <row r="84" spans="3:7" x14ac:dyDescent="0.3">
      <c r="C84" s="2" t="s">
        <v>176</v>
      </c>
      <c r="D84">
        <v>1</v>
      </c>
      <c r="F84" s="2" t="s">
        <v>177</v>
      </c>
      <c r="G84">
        <v>1</v>
      </c>
    </row>
    <row r="85" spans="3:7" x14ac:dyDescent="0.3">
      <c r="C85" s="2" t="s">
        <v>178</v>
      </c>
      <c r="D85">
        <v>1</v>
      </c>
      <c r="F85" s="2" t="s">
        <v>179</v>
      </c>
      <c r="G85">
        <v>1</v>
      </c>
    </row>
    <row r="86" spans="3:7" x14ac:dyDescent="0.3">
      <c r="C86" s="2" t="s">
        <v>180</v>
      </c>
      <c r="D86">
        <v>1</v>
      </c>
      <c r="F86" s="2" t="s">
        <v>181</v>
      </c>
      <c r="G86">
        <v>1</v>
      </c>
    </row>
    <row r="87" spans="3:7" x14ac:dyDescent="0.3">
      <c r="C87" s="2" t="s">
        <v>182</v>
      </c>
      <c r="D87">
        <v>1</v>
      </c>
      <c r="F87" s="2" t="s">
        <v>183</v>
      </c>
      <c r="G87">
        <v>1</v>
      </c>
    </row>
    <row r="88" spans="3:7" x14ac:dyDescent="0.3">
      <c r="C88" s="2" t="s">
        <v>184</v>
      </c>
      <c r="D88">
        <v>1</v>
      </c>
      <c r="F88" s="2" t="s">
        <v>185</v>
      </c>
      <c r="G88">
        <v>1</v>
      </c>
    </row>
    <row r="89" spans="3:7" x14ac:dyDescent="0.3">
      <c r="C89" s="2" t="s">
        <v>186</v>
      </c>
      <c r="D89">
        <v>1</v>
      </c>
      <c r="F89" s="2" t="s">
        <v>187</v>
      </c>
      <c r="G89">
        <v>1</v>
      </c>
    </row>
    <row r="90" spans="3:7" x14ac:dyDescent="0.3">
      <c r="C90" s="2" t="s">
        <v>188</v>
      </c>
      <c r="D90">
        <v>1</v>
      </c>
      <c r="F90" s="2" t="s">
        <v>189</v>
      </c>
      <c r="G90">
        <v>1</v>
      </c>
    </row>
    <row r="91" spans="3:7" x14ac:dyDescent="0.3">
      <c r="C91" s="2" t="s">
        <v>190</v>
      </c>
      <c r="D91">
        <v>1</v>
      </c>
      <c r="F91" s="2" t="s">
        <v>191</v>
      </c>
      <c r="G91">
        <v>1</v>
      </c>
    </row>
    <row r="92" spans="3:7" x14ac:dyDescent="0.3">
      <c r="C92" s="2" t="s">
        <v>192</v>
      </c>
      <c r="D92">
        <v>1</v>
      </c>
      <c r="F92" s="2" t="s">
        <v>193</v>
      </c>
      <c r="G92">
        <v>1</v>
      </c>
    </row>
    <row r="93" spans="3:7" x14ac:dyDescent="0.3">
      <c r="C93" s="2" t="s">
        <v>194</v>
      </c>
      <c r="D93">
        <v>1</v>
      </c>
      <c r="F93" s="2" t="s">
        <v>195</v>
      </c>
      <c r="G93">
        <v>1</v>
      </c>
    </row>
    <row r="94" spans="3:7" x14ac:dyDescent="0.3">
      <c r="C94" s="2" t="s">
        <v>196</v>
      </c>
      <c r="D94">
        <v>1</v>
      </c>
      <c r="F94" s="2" t="s">
        <v>197</v>
      </c>
      <c r="G94">
        <v>1</v>
      </c>
    </row>
    <row r="95" spans="3:7" x14ac:dyDescent="0.3">
      <c r="C95" s="2" t="s">
        <v>198</v>
      </c>
      <c r="D95">
        <v>1</v>
      </c>
      <c r="F95" s="2" t="s">
        <v>199</v>
      </c>
      <c r="G95">
        <v>1</v>
      </c>
    </row>
    <row r="96" spans="3:7" x14ac:dyDescent="0.3">
      <c r="C96" s="2" t="s">
        <v>200</v>
      </c>
      <c r="D96">
        <v>1</v>
      </c>
      <c r="F96" s="2" t="s">
        <v>201</v>
      </c>
      <c r="G96">
        <v>1</v>
      </c>
    </row>
    <row r="97" spans="3:7" x14ac:dyDescent="0.3">
      <c r="C97" s="2" t="s">
        <v>202</v>
      </c>
      <c r="D97">
        <v>1</v>
      </c>
      <c r="F97" s="2" t="s">
        <v>203</v>
      </c>
      <c r="G97">
        <v>1</v>
      </c>
    </row>
    <row r="98" spans="3:7" x14ac:dyDescent="0.3">
      <c r="C98" s="2" t="s">
        <v>204</v>
      </c>
      <c r="D98">
        <v>1</v>
      </c>
      <c r="F98" s="2" t="s">
        <v>205</v>
      </c>
      <c r="G98">
        <v>1</v>
      </c>
    </row>
    <row r="99" spans="3:7" x14ac:dyDescent="0.3">
      <c r="C99" s="2" t="s">
        <v>206</v>
      </c>
      <c r="D99">
        <v>1</v>
      </c>
      <c r="F99" s="2" t="s">
        <v>207</v>
      </c>
      <c r="G99">
        <v>1</v>
      </c>
    </row>
    <row r="100" spans="3:7" x14ac:dyDescent="0.3">
      <c r="C100" s="2" t="s">
        <v>208</v>
      </c>
      <c r="D100">
        <v>1</v>
      </c>
      <c r="F100" s="2" t="s">
        <v>209</v>
      </c>
      <c r="G100">
        <v>1</v>
      </c>
    </row>
    <row r="101" spans="3:7" x14ac:dyDescent="0.3">
      <c r="C101" s="2" t="s">
        <v>210</v>
      </c>
      <c r="D101">
        <v>1</v>
      </c>
      <c r="F101" s="2" t="s">
        <v>211</v>
      </c>
      <c r="G101">
        <v>1</v>
      </c>
    </row>
    <row r="102" spans="3:7" x14ac:dyDescent="0.3">
      <c r="C102" s="2" t="s">
        <v>212</v>
      </c>
      <c r="D102">
        <v>1</v>
      </c>
      <c r="F102" s="2" t="s">
        <v>213</v>
      </c>
      <c r="G102">
        <v>1</v>
      </c>
    </row>
    <row r="103" spans="3:7" x14ac:dyDescent="0.3">
      <c r="C103" s="2" t="s">
        <v>214</v>
      </c>
      <c r="D103">
        <v>1</v>
      </c>
      <c r="F103" s="2" t="s">
        <v>215</v>
      </c>
      <c r="G103">
        <v>1</v>
      </c>
    </row>
    <row r="104" spans="3:7" x14ac:dyDescent="0.3">
      <c r="C104" s="2" t="s">
        <v>216</v>
      </c>
      <c r="D104">
        <v>1</v>
      </c>
      <c r="F104" s="2" t="s">
        <v>217</v>
      </c>
      <c r="G104">
        <v>1</v>
      </c>
    </row>
    <row r="105" spans="3:7" x14ac:dyDescent="0.3">
      <c r="C105" s="2" t="s">
        <v>218</v>
      </c>
      <c r="D105">
        <v>1</v>
      </c>
      <c r="F105" s="2" t="s">
        <v>219</v>
      </c>
      <c r="G105">
        <v>1</v>
      </c>
    </row>
    <row r="106" spans="3:7" x14ac:dyDescent="0.3">
      <c r="C106" s="2" t="s">
        <v>220</v>
      </c>
      <c r="D106">
        <v>1</v>
      </c>
      <c r="F106" s="2" t="s">
        <v>221</v>
      </c>
      <c r="G106">
        <v>1</v>
      </c>
    </row>
    <row r="107" spans="3:7" x14ac:dyDescent="0.3">
      <c r="C107" s="2" t="s">
        <v>222</v>
      </c>
      <c r="D107">
        <v>1</v>
      </c>
      <c r="F107" s="2" t="s">
        <v>223</v>
      </c>
      <c r="G107">
        <v>1</v>
      </c>
    </row>
    <row r="108" spans="3:7" x14ac:dyDescent="0.3">
      <c r="C108" s="2" t="s">
        <v>224</v>
      </c>
      <c r="D108">
        <v>1</v>
      </c>
      <c r="F108" s="2" t="s">
        <v>225</v>
      </c>
      <c r="G108">
        <v>1</v>
      </c>
    </row>
    <row r="109" spans="3:7" x14ac:dyDescent="0.3">
      <c r="C109" s="2" t="s">
        <v>226</v>
      </c>
      <c r="D109">
        <v>1</v>
      </c>
      <c r="F109" s="2" t="s">
        <v>227</v>
      </c>
      <c r="G109">
        <v>1</v>
      </c>
    </row>
    <row r="110" spans="3:7" x14ac:dyDescent="0.3">
      <c r="C110" s="2" t="s">
        <v>228</v>
      </c>
      <c r="D110">
        <v>1</v>
      </c>
      <c r="F110" s="2" t="s">
        <v>229</v>
      </c>
      <c r="G110">
        <v>1</v>
      </c>
    </row>
    <row r="111" spans="3:7" x14ac:dyDescent="0.3">
      <c r="C111" s="2" t="s">
        <v>230</v>
      </c>
      <c r="D111">
        <v>1</v>
      </c>
      <c r="F111" s="2" t="s">
        <v>231</v>
      </c>
      <c r="G111">
        <v>1</v>
      </c>
    </row>
    <row r="112" spans="3:7" x14ac:dyDescent="0.3">
      <c r="C112" s="2" t="s">
        <v>232</v>
      </c>
      <c r="D112">
        <v>1</v>
      </c>
      <c r="F112" s="2" t="s">
        <v>233</v>
      </c>
      <c r="G112">
        <v>1</v>
      </c>
    </row>
    <row r="113" spans="3:7" x14ac:dyDescent="0.3">
      <c r="C113" s="2" t="s">
        <v>234</v>
      </c>
      <c r="D113">
        <v>1</v>
      </c>
      <c r="F113" s="2" t="s">
        <v>235</v>
      </c>
      <c r="G113">
        <v>1</v>
      </c>
    </row>
    <row r="114" spans="3:7" x14ac:dyDescent="0.3">
      <c r="C114" s="2" t="s">
        <v>236</v>
      </c>
      <c r="D114">
        <v>1</v>
      </c>
      <c r="F114" s="2" t="s">
        <v>237</v>
      </c>
      <c r="G114">
        <v>1</v>
      </c>
    </row>
    <row r="115" spans="3:7" x14ac:dyDescent="0.3">
      <c r="C115" s="2" t="s">
        <v>238</v>
      </c>
      <c r="D115">
        <v>1</v>
      </c>
      <c r="F115" s="2" t="s">
        <v>239</v>
      </c>
      <c r="G115">
        <v>1</v>
      </c>
    </row>
    <row r="116" spans="3:7" x14ac:dyDescent="0.3">
      <c r="C116" s="2" t="s">
        <v>240</v>
      </c>
      <c r="D116">
        <v>1</v>
      </c>
      <c r="F116" s="2" t="s">
        <v>241</v>
      </c>
      <c r="G116">
        <v>1</v>
      </c>
    </row>
    <row r="117" spans="3:7" x14ac:dyDescent="0.3">
      <c r="C117" s="2" t="s">
        <v>242</v>
      </c>
      <c r="D117">
        <v>1</v>
      </c>
      <c r="F117" s="2" t="s">
        <v>243</v>
      </c>
      <c r="G117">
        <v>1</v>
      </c>
    </row>
    <row r="118" spans="3:7" x14ac:dyDescent="0.3">
      <c r="C118" s="2" t="s">
        <v>244</v>
      </c>
      <c r="D118">
        <v>1</v>
      </c>
      <c r="F118" s="2" t="s">
        <v>245</v>
      </c>
      <c r="G118">
        <v>1</v>
      </c>
    </row>
    <row r="119" spans="3:7" x14ac:dyDescent="0.3">
      <c r="C119" s="2" t="s">
        <v>246</v>
      </c>
      <c r="D119">
        <v>1</v>
      </c>
      <c r="F119" s="2" t="s">
        <v>247</v>
      </c>
      <c r="G119">
        <v>1</v>
      </c>
    </row>
    <row r="120" spans="3:7" x14ac:dyDescent="0.3">
      <c r="C120" s="2" t="s">
        <v>248</v>
      </c>
      <c r="D120">
        <v>1</v>
      </c>
      <c r="F120" s="2" t="s">
        <v>249</v>
      </c>
      <c r="G120">
        <v>1</v>
      </c>
    </row>
    <row r="121" spans="3:7" x14ac:dyDescent="0.3">
      <c r="C121" s="2" t="s">
        <v>250</v>
      </c>
      <c r="D121">
        <v>1</v>
      </c>
      <c r="F121" s="2" t="s">
        <v>251</v>
      </c>
      <c r="G121">
        <v>1</v>
      </c>
    </row>
    <row r="122" spans="3:7" x14ac:dyDescent="0.3">
      <c r="C122" s="2" t="s">
        <v>252</v>
      </c>
      <c r="D122">
        <v>1</v>
      </c>
      <c r="F122" s="2" t="s">
        <v>253</v>
      </c>
      <c r="G122">
        <v>1</v>
      </c>
    </row>
    <row r="123" spans="3:7" x14ac:dyDescent="0.3">
      <c r="C123" s="2" t="s">
        <v>254</v>
      </c>
      <c r="D123">
        <v>1</v>
      </c>
      <c r="F123" s="2" t="s">
        <v>255</v>
      </c>
      <c r="G123">
        <v>1</v>
      </c>
    </row>
    <row r="124" spans="3:7" x14ac:dyDescent="0.3">
      <c r="C124" s="2" t="s">
        <v>256</v>
      </c>
      <c r="D124">
        <v>1</v>
      </c>
      <c r="F124" s="2" t="s">
        <v>257</v>
      </c>
      <c r="G124">
        <v>1</v>
      </c>
    </row>
    <row r="125" spans="3:7" x14ac:dyDescent="0.3">
      <c r="C125" s="2" t="s">
        <v>258</v>
      </c>
      <c r="D125">
        <v>1</v>
      </c>
      <c r="F125" s="2" t="s">
        <v>259</v>
      </c>
      <c r="G125">
        <v>1</v>
      </c>
    </row>
    <row r="126" spans="3:7" x14ac:dyDescent="0.3">
      <c r="C126" s="2" t="s">
        <v>260</v>
      </c>
      <c r="D126">
        <v>1</v>
      </c>
      <c r="F126" s="2" t="s">
        <v>261</v>
      </c>
      <c r="G126">
        <v>1</v>
      </c>
    </row>
    <row r="127" spans="3:7" x14ac:dyDescent="0.3">
      <c r="C127" s="2" t="s">
        <v>262</v>
      </c>
      <c r="D127">
        <v>1</v>
      </c>
      <c r="F127" s="2" t="s">
        <v>263</v>
      </c>
      <c r="G127">
        <v>1</v>
      </c>
    </row>
    <row r="128" spans="3:7" x14ac:dyDescent="0.3">
      <c r="C128" s="2" t="s">
        <v>264</v>
      </c>
      <c r="D128">
        <v>1</v>
      </c>
      <c r="F128" s="2" t="s">
        <v>265</v>
      </c>
      <c r="G128">
        <v>1</v>
      </c>
    </row>
    <row r="129" spans="3:7" x14ac:dyDescent="0.3">
      <c r="C129" s="2" t="s">
        <v>266</v>
      </c>
      <c r="D129">
        <v>1</v>
      </c>
      <c r="F129" s="2" t="s">
        <v>267</v>
      </c>
      <c r="G129">
        <v>1</v>
      </c>
    </row>
    <row r="130" spans="3:7" x14ac:dyDescent="0.3">
      <c r="C130" s="2" t="s">
        <v>268</v>
      </c>
      <c r="D130">
        <v>1</v>
      </c>
      <c r="F130" s="2" t="s">
        <v>269</v>
      </c>
      <c r="G130">
        <v>1</v>
      </c>
    </row>
    <row r="131" spans="3:7" x14ac:dyDescent="0.3">
      <c r="C131" s="2" t="s">
        <v>270</v>
      </c>
      <c r="D131">
        <v>1</v>
      </c>
      <c r="F131" s="2" t="s">
        <v>271</v>
      </c>
      <c r="G131">
        <v>1</v>
      </c>
    </row>
    <row r="132" spans="3:7" x14ac:dyDescent="0.3">
      <c r="C132" s="2" t="s">
        <v>272</v>
      </c>
      <c r="D132">
        <v>1</v>
      </c>
      <c r="F132" s="2" t="s">
        <v>273</v>
      </c>
      <c r="G132">
        <v>1</v>
      </c>
    </row>
    <row r="133" spans="3:7" x14ac:dyDescent="0.3">
      <c r="C133" s="2" t="s">
        <v>274</v>
      </c>
      <c r="D133">
        <v>1</v>
      </c>
      <c r="F133" s="2" t="s">
        <v>275</v>
      </c>
      <c r="G133">
        <v>1</v>
      </c>
    </row>
    <row r="134" spans="3:7" x14ac:dyDescent="0.3">
      <c r="C134" s="2" t="s">
        <v>276</v>
      </c>
      <c r="D134">
        <v>1</v>
      </c>
      <c r="F134" s="2" t="s">
        <v>277</v>
      </c>
      <c r="G134">
        <v>1</v>
      </c>
    </row>
    <row r="135" spans="3:7" x14ac:dyDescent="0.3">
      <c r="C135" s="2" t="s">
        <v>278</v>
      </c>
      <c r="D135">
        <v>1</v>
      </c>
      <c r="F135" s="2" t="s">
        <v>279</v>
      </c>
      <c r="G135">
        <v>1</v>
      </c>
    </row>
    <row r="136" spans="3:7" x14ac:dyDescent="0.3">
      <c r="C136" s="2" t="s">
        <v>280</v>
      </c>
      <c r="D136">
        <v>1</v>
      </c>
      <c r="F136" s="2" t="s">
        <v>281</v>
      </c>
      <c r="G136">
        <v>1</v>
      </c>
    </row>
    <row r="137" spans="3:7" x14ac:dyDescent="0.3">
      <c r="C137" s="2" t="s">
        <v>282</v>
      </c>
      <c r="D137">
        <v>1</v>
      </c>
      <c r="F137" s="2" t="s">
        <v>283</v>
      </c>
      <c r="G137">
        <v>1</v>
      </c>
    </row>
    <row r="138" spans="3:7" x14ac:dyDescent="0.3">
      <c r="C138" s="2" t="s">
        <v>284</v>
      </c>
      <c r="D138">
        <v>1</v>
      </c>
      <c r="F138" s="2" t="s">
        <v>285</v>
      </c>
      <c r="G138">
        <v>1</v>
      </c>
    </row>
    <row r="139" spans="3:7" x14ac:dyDescent="0.3">
      <c r="C139" s="2" t="s">
        <v>286</v>
      </c>
      <c r="D139">
        <v>1</v>
      </c>
      <c r="F139" s="2" t="s">
        <v>287</v>
      </c>
      <c r="G139">
        <v>1</v>
      </c>
    </row>
    <row r="140" spans="3:7" x14ac:dyDescent="0.3">
      <c r="C140" s="2" t="s">
        <v>288</v>
      </c>
      <c r="D140">
        <v>1</v>
      </c>
      <c r="F140" s="2" t="s">
        <v>289</v>
      </c>
      <c r="G140">
        <v>1</v>
      </c>
    </row>
    <row r="141" spans="3:7" x14ac:dyDescent="0.3">
      <c r="C141" s="2" t="s">
        <v>290</v>
      </c>
      <c r="D141">
        <v>1</v>
      </c>
      <c r="F141" s="2" t="s">
        <v>291</v>
      </c>
      <c r="G141">
        <v>1</v>
      </c>
    </row>
    <row r="142" spans="3:7" x14ac:dyDescent="0.3">
      <c r="C142" s="2" t="s">
        <v>292</v>
      </c>
      <c r="D142">
        <v>1</v>
      </c>
      <c r="F142" s="2" t="s">
        <v>293</v>
      </c>
      <c r="G142">
        <v>1</v>
      </c>
    </row>
    <row r="143" spans="3:7" x14ac:dyDescent="0.3">
      <c r="C143" s="2" t="s">
        <v>294</v>
      </c>
      <c r="D143">
        <v>1</v>
      </c>
      <c r="F143" s="2" t="s">
        <v>295</v>
      </c>
      <c r="G143">
        <v>1</v>
      </c>
    </row>
    <row r="144" spans="3:7" x14ac:dyDescent="0.3">
      <c r="C144" s="2" t="s">
        <v>296</v>
      </c>
      <c r="D144">
        <v>1</v>
      </c>
      <c r="F144" s="2" t="s">
        <v>297</v>
      </c>
      <c r="G144">
        <v>1</v>
      </c>
    </row>
    <row r="145" spans="3:7" x14ac:dyDescent="0.3">
      <c r="C145" s="2" t="s">
        <v>298</v>
      </c>
      <c r="D145">
        <v>1</v>
      </c>
      <c r="F145" s="2" t="s">
        <v>299</v>
      </c>
      <c r="G145">
        <v>1</v>
      </c>
    </row>
    <row r="146" spans="3:7" x14ac:dyDescent="0.3">
      <c r="C146" s="2" t="s">
        <v>300</v>
      </c>
      <c r="D146">
        <v>1</v>
      </c>
      <c r="F146" s="2" t="s">
        <v>301</v>
      </c>
      <c r="G146">
        <v>1</v>
      </c>
    </row>
    <row r="147" spans="3:7" x14ac:dyDescent="0.3">
      <c r="C147" s="2" t="s">
        <v>302</v>
      </c>
      <c r="D147">
        <v>1</v>
      </c>
      <c r="F147"/>
      <c r="G147"/>
    </row>
    <row r="148" spans="3:7" x14ac:dyDescent="0.3">
      <c r="C148" s="2" t="s">
        <v>303</v>
      </c>
      <c r="D148">
        <v>1</v>
      </c>
      <c r="F148"/>
      <c r="G148"/>
    </row>
    <row r="149" spans="3:7" x14ac:dyDescent="0.3">
      <c r="C149" s="2" t="s">
        <v>304</v>
      </c>
      <c r="D149">
        <v>1</v>
      </c>
      <c r="F149"/>
      <c r="G149"/>
    </row>
    <row r="150" spans="3:7" x14ac:dyDescent="0.3">
      <c r="C150" s="2" t="s">
        <v>305</v>
      </c>
      <c r="D150">
        <v>1</v>
      </c>
      <c r="F150"/>
      <c r="G150"/>
    </row>
    <row r="151" spans="3:7" x14ac:dyDescent="0.3">
      <c r="C151" s="2" t="s">
        <v>306</v>
      </c>
      <c r="D151">
        <v>1</v>
      </c>
      <c r="F151"/>
      <c r="G151"/>
    </row>
    <row r="152" spans="3:7" x14ac:dyDescent="0.3">
      <c r="C152" s="2" t="s">
        <v>307</v>
      </c>
      <c r="D152">
        <v>1</v>
      </c>
      <c r="F152"/>
      <c r="G152"/>
    </row>
    <row r="153" spans="3:7" x14ac:dyDescent="0.3">
      <c r="C153" s="2" t="s">
        <v>308</v>
      </c>
      <c r="D153">
        <v>1</v>
      </c>
      <c r="F153"/>
      <c r="G153"/>
    </row>
    <row r="154" spans="3:7" x14ac:dyDescent="0.3">
      <c r="C154" s="2" t="s">
        <v>309</v>
      </c>
      <c r="D154">
        <v>1</v>
      </c>
      <c r="F154"/>
      <c r="G154"/>
    </row>
    <row r="155" spans="3:7" x14ac:dyDescent="0.3">
      <c r="C155" s="2" t="s">
        <v>310</v>
      </c>
      <c r="D155">
        <v>1</v>
      </c>
      <c r="F155"/>
      <c r="G155"/>
    </row>
    <row r="156" spans="3:7" x14ac:dyDescent="0.3">
      <c r="C156" s="2" t="s">
        <v>311</v>
      </c>
      <c r="D156">
        <v>1</v>
      </c>
      <c r="F156"/>
      <c r="G156"/>
    </row>
    <row r="157" spans="3:7" x14ac:dyDescent="0.3">
      <c r="C157" s="2" t="s">
        <v>312</v>
      </c>
      <c r="D157">
        <v>1</v>
      </c>
      <c r="F157"/>
      <c r="G157"/>
    </row>
    <row r="158" spans="3:7" x14ac:dyDescent="0.3">
      <c r="C158" s="2" t="s">
        <v>313</v>
      </c>
      <c r="D158">
        <v>1</v>
      </c>
      <c r="F158"/>
      <c r="G158"/>
    </row>
    <row r="159" spans="3:7" x14ac:dyDescent="0.3">
      <c r="C159" s="2" t="s">
        <v>314</v>
      </c>
      <c r="D159">
        <v>1</v>
      </c>
      <c r="F159"/>
      <c r="G159"/>
    </row>
    <row r="160" spans="3:7" x14ac:dyDescent="0.3">
      <c r="C160" s="2" t="s">
        <v>315</v>
      </c>
      <c r="D160">
        <v>1</v>
      </c>
      <c r="F160"/>
      <c r="G160"/>
    </row>
    <row r="161" spans="3:7" x14ac:dyDescent="0.3">
      <c r="C161" s="2" t="s">
        <v>316</v>
      </c>
      <c r="D161">
        <v>1</v>
      </c>
      <c r="F161"/>
      <c r="G161"/>
    </row>
    <row r="162" spans="3:7" x14ac:dyDescent="0.3">
      <c r="C162" s="2" t="s">
        <v>317</v>
      </c>
      <c r="D162">
        <v>1</v>
      </c>
      <c r="F162"/>
      <c r="G162"/>
    </row>
    <row r="163" spans="3:7" x14ac:dyDescent="0.3">
      <c r="C163" s="2" t="s">
        <v>318</v>
      </c>
      <c r="D163">
        <v>1</v>
      </c>
      <c r="F163"/>
      <c r="G163"/>
    </row>
    <row r="164" spans="3:7" x14ac:dyDescent="0.3">
      <c r="C164" s="2" t="s">
        <v>319</v>
      </c>
      <c r="D164">
        <v>1</v>
      </c>
      <c r="F164"/>
      <c r="G164"/>
    </row>
    <row r="165" spans="3:7" x14ac:dyDescent="0.3">
      <c r="C165" s="2" t="s">
        <v>320</v>
      </c>
      <c r="D165">
        <v>1</v>
      </c>
      <c r="F165"/>
      <c r="G165"/>
    </row>
    <row r="166" spans="3:7" x14ac:dyDescent="0.3">
      <c r="C166" s="2" t="s">
        <v>321</v>
      </c>
      <c r="D166">
        <v>1</v>
      </c>
      <c r="F166"/>
      <c r="G166"/>
    </row>
    <row r="167" spans="3:7" x14ac:dyDescent="0.3">
      <c r="C167" s="2" t="s">
        <v>322</v>
      </c>
      <c r="D167">
        <v>1</v>
      </c>
      <c r="F167"/>
      <c r="G167"/>
    </row>
    <row r="168" spans="3:7" x14ac:dyDescent="0.3">
      <c r="C168" s="2" t="s">
        <v>323</v>
      </c>
      <c r="D168">
        <v>1</v>
      </c>
      <c r="F168"/>
      <c r="G168"/>
    </row>
    <row r="169" spans="3:7" x14ac:dyDescent="0.3">
      <c r="C169" s="2" t="s">
        <v>324</v>
      </c>
      <c r="D169">
        <v>1</v>
      </c>
      <c r="F169"/>
      <c r="G169"/>
    </row>
    <row r="170" spans="3:7" x14ac:dyDescent="0.3">
      <c r="C170" s="2" t="s">
        <v>325</v>
      </c>
      <c r="D170">
        <v>1</v>
      </c>
      <c r="F170"/>
      <c r="G170"/>
    </row>
    <row r="171" spans="3:7" x14ac:dyDescent="0.3">
      <c r="C171" s="2" t="s">
        <v>326</v>
      </c>
      <c r="D171">
        <v>1</v>
      </c>
      <c r="F171"/>
      <c r="G171"/>
    </row>
    <row r="172" spans="3:7" x14ac:dyDescent="0.3">
      <c r="C172" s="2" t="s">
        <v>327</v>
      </c>
      <c r="D172">
        <v>1</v>
      </c>
      <c r="F172"/>
      <c r="G172"/>
    </row>
    <row r="173" spans="3:7" x14ac:dyDescent="0.3">
      <c r="C173" s="2" t="s">
        <v>328</v>
      </c>
      <c r="D173">
        <v>1</v>
      </c>
      <c r="F173"/>
      <c r="G173"/>
    </row>
    <row r="174" spans="3:7" x14ac:dyDescent="0.3">
      <c r="C174" s="2" t="s">
        <v>329</v>
      </c>
      <c r="D174">
        <v>1</v>
      </c>
      <c r="F174"/>
      <c r="G174"/>
    </row>
    <row r="175" spans="3:7" x14ac:dyDescent="0.3">
      <c r="C175" s="2" t="s">
        <v>330</v>
      </c>
      <c r="D175">
        <v>1</v>
      </c>
      <c r="F175"/>
      <c r="G175"/>
    </row>
    <row r="176" spans="3:7" x14ac:dyDescent="0.3">
      <c r="C176" s="2" t="s">
        <v>331</v>
      </c>
      <c r="D176">
        <v>1</v>
      </c>
      <c r="F176"/>
      <c r="G176"/>
    </row>
    <row r="177" spans="3:7" x14ac:dyDescent="0.3">
      <c r="C177" s="2" t="s">
        <v>332</v>
      </c>
      <c r="D177">
        <v>1</v>
      </c>
      <c r="F177"/>
      <c r="G177"/>
    </row>
    <row r="178" spans="3:7" x14ac:dyDescent="0.3">
      <c r="C178" s="2" t="s">
        <v>333</v>
      </c>
      <c r="D178">
        <v>1</v>
      </c>
      <c r="F178"/>
      <c r="G178"/>
    </row>
    <row r="179" spans="3:7" x14ac:dyDescent="0.3">
      <c r="C179" s="2" t="s">
        <v>334</v>
      </c>
      <c r="D179">
        <v>1</v>
      </c>
      <c r="F179"/>
      <c r="G179"/>
    </row>
    <row r="180" spans="3:7" x14ac:dyDescent="0.3">
      <c r="C180" s="2" t="s">
        <v>335</v>
      </c>
      <c r="D180">
        <v>1</v>
      </c>
      <c r="F180"/>
      <c r="G180"/>
    </row>
    <row r="181" spans="3:7" x14ac:dyDescent="0.3">
      <c r="C181" s="2" t="s">
        <v>336</v>
      </c>
      <c r="D181">
        <v>1</v>
      </c>
      <c r="F181"/>
      <c r="G181"/>
    </row>
    <row r="182" spans="3:7" x14ac:dyDescent="0.3">
      <c r="C182" s="2" t="s">
        <v>337</v>
      </c>
      <c r="D182">
        <v>1</v>
      </c>
      <c r="F182"/>
      <c r="G182"/>
    </row>
    <row r="183" spans="3:7" x14ac:dyDescent="0.3">
      <c r="C183" s="2" t="s">
        <v>338</v>
      </c>
      <c r="D183">
        <v>1</v>
      </c>
      <c r="F183"/>
      <c r="G183"/>
    </row>
    <row r="184" spans="3:7" x14ac:dyDescent="0.3">
      <c r="C184" s="2" t="s">
        <v>339</v>
      </c>
      <c r="D184">
        <v>1</v>
      </c>
      <c r="F184"/>
      <c r="G184"/>
    </row>
    <row r="185" spans="3:7" x14ac:dyDescent="0.3">
      <c r="C185" s="2" t="s">
        <v>340</v>
      </c>
      <c r="D185">
        <v>1</v>
      </c>
      <c r="F185"/>
      <c r="G185"/>
    </row>
    <row r="186" spans="3:7" x14ac:dyDescent="0.3">
      <c r="C186" s="2" t="s">
        <v>341</v>
      </c>
      <c r="D186">
        <v>1</v>
      </c>
      <c r="F186"/>
      <c r="G186"/>
    </row>
    <row r="187" spans="3:7" x14ac:dyDescent="0.3">
      <c r="C187" s="2" t="s">
        <v>342</v>
      </c>
      <c r="D187">
        <v>1</v>
      </c>
      <c r="F187"/>
      <c r="G187"/>
    </row>
    <row r="188" spans="3:7" x14ac:dyDescent="0.3">
      <c r="C188" s="2" t="s">
        <v>343</v>
      </c>
      <c r="D188">
        <v>1</v>
      </c>
      <c r="F188"/>
      <c r="G188"/>
    </row>
    <row r="189" spans="3:7" x14ac:dyDescent="0.3">
      <c r="C189" s="2" t="s">
        <v>344</v>
      </c>
      <c r="D189">
        <v>1</v>
      </c>
      <c r="F189"/>
      <c r="G189"/>
    </row>
    <row r="190" spans="3:7" x14ac:dyDescent="0.3">
      <c r="C190" s="2" t="s">
        <v>345</v>
      </c>
      <c r="D190">
        <v>1</v>
      </c>
      <c r="F190"/>
      <c r="G190"/>
    </row>
    <row r="191" spans="3:7" x14ac:dyDescent="0.3">
      <c r="C191" s="2" t="s">
        <v>346</v>
      </c>
      <c r="D191">
        <v>1</v>
      </c>
      <c r="F191"/>
      <c r="G191"/>
    </row>
    <row r="192" spans="3:7" x14ac:dyDescent="0.3">
      <c r="C192" s="2" t="s">
        <v>347</v>
      </c>
      <c r="D192">
        <v>1</v>
      </c>
      <c r="F192"/>
      <c r="G192"/>
    </row>
    <row r="193" spans="3:7" x14ac:dyDescent="0.3">
      <c r="C193" s="2" t="s">
        <v>348</v>
      </c>
      <c r="D193">
        <v>1</v>
      </c>
      <c r="F193"/>
      <c r="G193"/>
    </row>
    <row r="194" spans="3:7" x14ac:dyDescent="0.3">
      <c r="C194" s="2" t="s">
        <v>349</v>
      </c>
      <c r="D194">
        <v>1</v>
      </c>
      <c r="F194"/>
      <c r="G194"/>
    </row>
    <row r="195" spans="3:7" x14ac:dyDescent="0.3">
      <c r="C195" s="2" t="s">
        <v>350</v>
      </c>
      <c r="D195">
        <v>1</v>
      </c>
      <c r="F195"/>
      <c r="G195"/>
    </row>
    <row r="196" spans="3:7" x14ac:dyDescent="0.3">
      <c r="C196" s="2" t="s">
        <v>351</v>
      </c>
      <c r="D196">
        <v>1</v>
      </c>
      <c r="F196"/>
      <c r="G196"/>
    </row>
    <row r="197" spans="3:7" x14ac:dyDescent="0.3">
      <c r="C197" s="2" t="s">
        <v>352</v>
      </c>
      <c r="D197">
        <v>1</v>
      </c>
      <c r="F197"/>
      <c r="G197"/>
    </row>
    <row r="198" spans="3:7" x14ac:dyDescent="0.3">
      <c r="C198" s="2" t="s">
        <v>353</v>
      </c>
      <c r="D198">
        <v>1</v>
      </c>
      <c r="F198"/>
      <c r="G198"/>
    </row>
    <row r="199" spans="3:7" x14ac:dyDescent="0.3">
      <c r="C199" s="2" t="s">
        <v>354</v>
      </c>
      <c r="D199">
        <v>1</v>
      </c>
      <c r="F199"/>
      <c r="G199"/>
    </row>
    <row r="200" spans="3:7" x14ac:dyDescent="0.3">
      <c r="C200" s="2" t="s">
        <v>355</v>
      </c>
      <c r="D200">
        <v>1</v>
      </c>
      <c r="F200"/>
      <c r="G200"/>
    </row>
    <row r="201" spans="3:7" x14ac:dyDescent="0.3">
      <c r="C201" s="2" t="s">
        <v>356</v>
      </c>
      <c r="D201">
        <v>1</v>
      </c>
      <c r="F201"/>
      <c r="G201"/>
    </row>
    <row r="202" spans="3:7" x14ac:dyDescent="0.3">
      <c r="C202" s="2" t="s">
        <v>357</v>
      </c>
      <c r="D202">
        <v>1</v>
      </c>
      <c r="F202"/>
      <c r="G202"/>
    </row>
    <row r="203" spans="3:7" x14ac:dyDescent="0.3">
      <c r="C203" s="2" t="s">
        <v>358</v>
      </c>
      <c r="D203">
        <v>1</v>
      </c>
      <c r="F203"/>
      <c r="G203"/>
    </row>
    <row r="204" spans="3:7" x14ac:dyDescent="0.3">
      <c r="C204" s="2" t="s">
        <v>359</v>
      </c>
      <c r="D204">
        <v>1</v>
      </c>
      <c r="F204"/>
      <c r="G204"/>
    </row>
    <row r="205" spans="3:7" x14ac:dyDescent="0.3">
      <c r="C205" s="2" t="s">
        <v>360</v>
      </c>
      <c r="D205">
        <v>1</v>
      </c>
      <c r="F205"/>
      <c r="G205"/>
    </row>
    <row r="206" spans="3:7" x14ac:dyDescent="0.3">
      <c r="C206" s="2" t="s">
        <v>361</v>
      </c>
      <c r="D206">
        <v>1</v>
      </c>
      <c r="F206"/>
      <c r="G206"/>
    </row>
    <row r="207" spans="3:7" x14ac:dyDescent="0.3">
      <c r="C207" s="2" t="s">
        <v>362</v>
      </c>
      <c r="D207">
        <v>1</v>
      </c>
      <c r="F207"/>
      <c r="G207"/>
    </row>
    <row r="208" spans="3:7" x14ac:dyDescent="0.3">
      <c r="C208" s="2" t="s">
        <v>363</v>
      </c>
      <c r="D208">
        <v>1</v>
      </c>
      <c r="F208"/>
      <c r="G208"/>
    </row>
    <row r="209" spans="3:7" x14ac:dyDescent="0.3">
      <c r="C209" s="2" t="s">
        <v>364</v>
      </c>
      <c r="D209">
        <v>1</v>
      </c>
      <c r="F209"/>
      <c r="G209"/>
    </row>
    <row r="210" spans="3:7" x14ac:dyDescent="0.3">
      <c r="C210" s="2" t="s">
        <v>82</v>
      </c>
      <c r="D210">
        <v>277</v>
      </c>
      <c r="F210"/>
      <c r="G210"/>
    </row>
    <row r="211" spans="3:7" x14ac:dyDescent="0.3">
      <c r="C211"/>
      <c r="D211"/>
      <c r="F211"/>
      <c r="G211"/>
    </row>
    <row r="212" spans="3:7" x14ac:dyDescent="0.3">
      <c r="C212"/>
      <c r="D212"/>
      <c r="F212"/>
      <c r="G212"/>
    </row>
    <row r="213" spans="3:7" x14ac:dyDescent="0.3">
      <c r="C213"/>
      <c r="D213"/>
      <c r="F213"/>
      <c r="G213"/>
    </row>
    <row r="214" spans="3:7" x14ac:dyDescent="0.3">
      <c r="C214"/>
      <c r="D214"/>
      <c r="F214"/>
      <c r="G214"/>
    </row>
    <row r="215" spans="3:7" x14ac:dyDescent="0.3">
      <c r="C215"/>
      <c r="D215"/>
      <c r="F215"/>
      <c r="G215"/>
    </row>
    <row r="216" spans="3:7" x14ac:dyDescent="0.3">
      <c r="C216"/>
      <c r="D216"/>
      <c r="F216"/>
      <c r="G216"/>
    </row>
    <row r="217" spans="3:7" x14ac:dyDescent="0.3">
      <c r="C217"/>
      <c r="D217"/>
      <c r="F217"/>
      <c r="G217"/>
    </row>
    <row r="218" spans="3:7" x14ac:dyDescent="0.3">
      <c r="C218"/>
      <c r="D218"/>
      <c r="F218"/>
      <c r="G218"/>
    </row>
    <row r="219" spans="3:7" x14ac:dyDescent="0.3">
      <c r="C219"/>
      <c r="D219"/>
      <c r="F219"/>
      <c r="G219"/>
    </row>
    <row r="220" spans="3:7" x14ac:dyDescent="0.3">
      <c r="C220"/>
      <c r="D220"/>
      <c r="F220"/>
      <c r="G220"/>
    </row>
    <row r="221" spans="3:7" x14ac:dyDescent="0.3">
      <c r="C221"/>
      <c r="D221"/>
      <c r="F221"/>
      <c r="G221"/>
    </row>
    <row r="222" spans="3:7" x14ac:dyDescent="0.3">
      <c r="C222"/>
      <c r="D222"/>
      <c r="F222"/>
      <c r="G222"/>
    </row>
    <row r="223" spans="3:7" x14ac:dyDescent="0.3">
      <c r="C223"/>
      <c r="D223"/>
      <c r="F223"/>
      <c r="G223"/>
    </row>
    <row r="224" spans="3:7" x14ac:dyDescent="0.3">
      <c r="C224"/>
      <c r="D224"/>
      <c r="F224"/>
      <c r="G224"/>
    </row>
    <row r="225" spans="3:7" x14ac:dyDescent="0.3">
      <c r="C225"/>
      <c r="D225"/>
      <c r="F225"/>
      <c r="G225"/>
    </row>
    <row r="226" spans="3:7" x14ac:dyDescent="0.3">
      <c r="C226"/>
      <c r="D226"/>
      <c r="F226"/>
      <c r="G226"/>
    </row>
    <row r="227" spans="3:7" x14ac:dyDescent="0.3">
      <c r="C227"/>
      <c r="D227"/>
      <c r="F227"/>
      <c r="G227"/>
    </row>
    <row r="228" spans="3:7" x14ac:dyDescent="0.3">
      <c r="C228"/>
      <c r="D228"/>
      <c r="F228"/>
      <c r="G228"/>
    </row>
    <row r="229" spans="3:7" x14ac:dyDescent="0.3">
      <c r="C229"/>
      <c r="D229"/>
      <c r="F229"/>
      <c r="G229"/>
    </row>
    <row r="230" spans="3:7" x14ac:dyDescent="0.3">
      <c r="C230"/>
      <c r="D230"/>
      <c r="F230"/>
      <c r="G230"/>
    </row>
    <row r="231" spans="3:7" x14ac:dyDescent="0.3">
      <c r="C231"/>
      <c r="D231"/>
      <c r="F231"/>
      <c r="G231"/>
    </row>
    <row r="232" spans="3:7" x14ac:dyDescent="0.3">
      <c r="C232"/>
      <c r="D232"/>
      <c r="F232"/>
      <c r="G232"/>
    </row>
    <row r="233" spans="3:7" x14ac:dyDescent="0.3">
      <c r="C233"/>
      <c r="D233"/>
      <c r="F233"/>
      <c r="G233"/>
    </row>
    <row r="234" spans="3:7" x14ac:dyDescent="0.3">
      <c r="C234"/>
      <c r="D234"/>
      <c r="F234"/>
      <c r="G234"/>
    </row>
    <row r="235" spans="3:7" x14ac:dyDescent="0.3">
      <c r="C235"/>
      <c r="D235"/>
      <c r="F235"/>
      <c r="G235"/>
    </row>
    <row r="236" spans="3:7" x14ac:dyDescent="0.3">
      <c r="C236"/>
      <c r="D236"/>
      <c r="F236"/>
      <c r="G236"/>
    </row>
    <row r="237" spans="3:7" x14ac:dyDescent="0.3">
      <c r="C237"/>
      <c r="D237"/>
      <c r="F237"/>
      <c r="G237"/>
    </row>
    <row r="238" spans="3:7" x14ac:dyDescent="0.3">
      <c r="C238"/>
      <c r="D238"/>
    </row>
    <row r="239" spans="3:7" x14ac:dyDescent="0.3">
      <c r="C239"/>
      <c r="D239"/>
    </row>
    <row r="240" spans="3:7" x14ac:dyDescent="0.3">
      <c r="C240"/>
      <c r="D240"/>
    </row>
    <row r="241" spans="3:4" x14ac:dyDescent="0.3">
      <c r="C241"/>
      <c r="D241"/>
    </row>
    <row r="242" spans="3:4" x14ac:dyDescent="0.3">
      <c r="C242"/>
      <c r="D242"/>
    </row>
    <row r="243" spans="3:4" x14ac:dyDescent="0.3">
      <c r="C243"/>
      <c r="D243"/>
    </row>
    <row r="244" spans="3:4" x14ac:dyDescent="0.3">
      <c r="C244"/>
      <c r="D244"/>
    </row>
    <row r="245" spans="3:4" x14ac:dyDescent="0.3">
      <c r="C245"/>
      <c r="D245"/>
    </row>
    <row r="246" spans="3:4" x14ac:dyDescent="0.3">
      <c r="C246"/>
      <c r="D246"/>
    </row>
    <row r="247" spans="3:4" x14ac:dyDescent="0.3">
      <c r="C247"/>
      <c r="D247"/>
    </row>
    <row r="248" spans="3:4" x14ac:dyDescent="0.3">
      <c r="C248"/>
      <c r="D248"/>
    </row>
    <row r="249" spans="3:4" x14ac:dyDescent="0.3">
      <c r="C249"/>
      <c r="D249"/>
    </row>
    <row r="250" spans="3:4" x14ac:dyDescent="0.3">
      <c r="C250"/>
      <c r="D250"/>
    </row>
    <row r="251" spans="3:4" x14ac:dyDescent="0.3">
      <c r="C251"/>
      <c r="D251"/>
    </row>
    <row r="252" spans="3:4" x14ac:dyDescent="0.3">
      <c r="C252"/>
      <c r="D252"/>
    </row>
    <row r="253" spans="3:4" x14ac:dyDescent="0.3">
      <c r="C253"/>
      <c r="D253"/>
    </row>
    <row r="254" spans="3:4" x14ac:dyDescent="0.3">
      <c r="C254"/>
      <c r="D254"/>
    </row>
    <row r="255" spans="3:4" x14ac:dyDescent="0.3">
      <c r="C255"/>
      <c r="D255"/>
    </row>
    <row r="256" spans="3:4" x14ac:dyDescent="0.3">
      <c r="C256"/>
      <c r="D256"/>
    </row>
    <row r="257" spans="3:4" x14ac:dyDescent="0.3">
      <c r="C257"/>
      <c r="D257"/>
    </row>
    <row r="258" spans="3:4" x14ac:dyDescent="0.3">
      <c r="C258"/>
      <c r="D258"/>
    </row>
    <row r="259" spans="3:4" x14ac:dyDescent="0.3">
      <c r="C259"/>
      <c r="D259"/>
    </row>
    <row r="260" spans="3:4" x14ac:dyDescent="0.3">
      <c r="C260"/>
      <c r="D260"/>
    </row>
    <row r="261" spans="3:4" x14ac:dyDescent="0.3">
      <c r="C261"/>
      <c r="D261"/>
    </row>
    <row r="262" spans="3:4" x14ac:dyDescent="0.3">
      <c r="C262"/>
      <c r="D262"/>
    </row>
    <row r="263" spans="3:4" x14ac:dyDescent="0.3">
      <c r="C263"/>
      <c r="D263"/>
    </row>
    <row r="264" spans="3:4" x14ac:dyDescent="0.3">
      <c r="C264"/>
      <c r="D264"/>
    </row>
    <row r="265" spans="3:4" x14ac:dyDescent="0.3">
      <c r="C265"/>
      <c r="D265"/>
    </row>
    <row r="266" spans="3:4" x14ac:dyDescent="0.3">
      <c r="C266"/>
      <c r="D266"/>
    </row>
    <row r="267" spans="3:4" x14ac:dyDescent="0.3">
      <c r="C267"/>
      <c r="D267"/>
    </row>
    <row r="268" spans="3:4" x14ac:dyDescent="0.3">
      <c r="C268"/>
      <c r="D268"/>
    </row>
    <row r="269" spans="3:4" x14ac:dyDescent="0.3">
      <c r="C269"/>
      <c r="D269"/>
    </row>
    <row r="270" spans="3:4" x14ac:dyDescent="0.3">
      <c r="C270"/>
      <c r="D270"/>
    </row>
    <row r="271" spans="3:4" x14ac:dyDescent="0.3">
      <c r="C271"/>
      <c r="D271"/>
    </row>
    <row r="272" spans="3:4" x14ac:dyDescent="0.3">
      <c r="C272"/>
      <c r="D272"/>
    </row>
    <row r="273" spans="3:4" x14ac:dyDescent="0.3">
      <c r="C273"/>
      <c r="D273"/>
    </row>
    <row r="274" spans="3:4" x14ac:dyDescent="0.3">
      <c r="C274"/>
      <c r="D274"/>
    </row>
    <row r="275" spans="3:4" x14ac:dyDescent="0.3">
      <c r="C275"/>
      <c r="D275"/>
    </row>
    <row r="276" spans="3:4" x14ac:dyDescent="0.3">
      <c r="C276"/>
      <c r="D276"/>
    </row>
    <row r="277" spans="3:4" x14ac:dyDescent="0.3">
      <c r="C277"/>
      <c r="D277"/>
    </row>
    <row r="278" spans="3:4" x14ac:dyDescent="0.3">
      <c r="C278"/>
      <c r="D278"/>
    </row>
    <row r="279" spans="3:4" x14ac:dyDescent="0.3">
      <c r="C279"/>
      <c r="D279"/>
    </row>
    <row r="280" spans="3:4" x14ac:dyDescent="0.3">
      <c r="C280"/>
      <c r="D280"/>
    </row>
    <row r="281" spans="3:4" x14ac:dyDescent="0.3">
      <c r="C281"/>
      <c r="D281"/>
    </row>
    <row r="282" spans="3:4" x14ac:dyDescent="0.3">
      <c r="C282"/>
      <c r="D282"/>
    </row>
    <row r="283" spans="3:4" x14ac:dyDescent="0.3">
      <c r="C283"/>
      <c r="D283"/>
    </row>
    <row r="284" spans="3:4" x14ac:dyDescent="0.3">
      <c r="C284"/>
      <c r="D284"/>
    </row>
    <row r="285" spans="3:4" x14ac:dyDescent="0.3">
      <c r="C285"/>
      <c r="D285"/>
    </row>
    <row r="286" spans="3:4" x14ac:dyDescent="0.3">
      <c r="C286"/>
      <c r="D286"/>
    </row>
    <row r="287" spans="3:4" x14ac:dyDescent="0.3">
      <c r="C287"/>
      <c r="D287"/>
    </row>
    <row r="288" spans="3:4" x14ac:dyDescent="0.3">
      <c r="C288"/>
      <c r="D288"/>
    </row>
    <row r="289" spans="3:4" x14ac:dyDescent="0.3">
      <c r="C289"/>
      <c r="D289"/>
    </row>
    <row r="290" spans="3:4" x14ac:dyDescent="0.3">
      <c r="C290"/>
      <c r="D290"/>
    </row>
    <row r="291" spans="3:4" x14ac:dyDescent="0.3">
      <c r="C291"/>
      <c r="D291"/>
    </row>
    <row r="292" spans="3:4" x14ac:dyDescent="0.3">
      <c r="C292"/>
      <c r="D292"/>
    </row>
    <row r="293" spans="3:4" x14ac:dyDescent="0.3">
      <c r="C293"/>
      <c r="D293"/>
    </row>
    <row r="294" spans="3:4" x14ac:dyDescent="0.3">
      <c r="C294"/>
      <c r="D294"/>
    </row>
    <row r="295" spans="3:4" x14ac:dyDescent="0.3">
      <c r="C295"/>
      <c r="D295"/>
    </row>
    <row r="296" spans="3:4" x14ac:dyDescent="0.3">
      <c r="C296"/>
      <c r="D296"/>
    </row>
    <row r="297" spans="3:4" x14ac:dyDescent="0.3">
      <c r="C297"/>
      <c r="D297"/>
    </row>
    <row r="298" spans="3:4" x14ac:dyDescent="0.3">
      <c r="C298"/>
      <c r="D298"/>
    </row>
    <row r="299" spans="3:4" x14ac:dyDescent="0.3">
      <c r="C299"/>
      <c r="D299"/>
    </row>
    <row r="300" spans="3:4" x14ac:dyDescent="0.3">
      <c r="C300"/>
      <c r="D300"/>
    </row>
    <row r="301" spans="3:4" x14ac:dyDescent="0.3">
      <c r="C301"/>
      <c r="D301"/>
    </row>
    <row r="302" spans="3:4" x14ac:dyDescent="0.3">
      <c r="C302"/>
      <c r="D302"/>
    </row>
    <row r="303" spans="3:4" x14ac:dyDescent="0.3">
      <c r="C303"/>
      <c r="D303"/>
    </row>
    <row r="304" spans="3:4" x14ac:dyDescent="0.3">
      <c r="C304"/>
      <c r="D304"/>
    </row>
    <row r="305" spans="3:4" x14ac:dyDescent="0.3">
      <c r="C305"/>
      <c r="D305"/>
    </row>
    <row r="306" spans="3:4" x14ac:dyDescent="0.3">
      <c r="C306"/>
      <c r="D306"/>
    </row>
    <row r="307" spans="3:4" x14ac:dyDescent="0.3">
      <c r="C307"/>
      <c r="D307"/>
    </row>
    <row r="308" spans="3:4" x14ac:dyDescent="0.3">
      <c r="C308"/>
      <c r="D308"/>
    </row>
    <row r="309" spans="3:4" x14ac:dyDescent="0.3">
      <c r="C309"/>
      <c r="D309"/>
    </row>
    <row r="310" spans="3:4" x14ac:dyDescent="0.3">
      <c r="C310"/>
      <c r="D310"/>
    </row>
    <row r="311" spans="3:4" x14ac:dyDescent="0.3">
      <c r="C311"/>
      <c r="D311"/>
    </row>
    <row r="312" spans="3:4" x14ac:dyDescent="0.3">
      <c r="C312"/>
      <c r="D312"/>
    </row>
    <row r="313" spans="3:4" x14ac:dyDescent="0.3">
      <c r="C313"/>
      <c r="D313"/>
    </row>
    <row r="314" spans="3:4" x14ac:dyDescent="0.3">
      <c r="C314"/>
      <c r="D314"/>
    </row>
    <row r="315" spans="3:4" x14ac:dyDescent="0.3">
      <c r="C315"/>
      <c r="D315"/>
    </row>
    <row r="316" spans="3:4" x14ac:dyDescent="0.3">
      <c r="C316"/>
      <c r="D316"/>
    </row>
    <row r="317" spans="3:4" x14ac:dyDescent="0.3">
      <c r="C317"/>
      <c r="D317"/>
    </row>
    <row r="318" spans="3:4" x14ac:dyDescent="0.3">
      <c r="C318"/>
      <c r="D318"/>
    </row>
    <row r="319" spans="3:4" x14ac:dyDescent="0.3">
      <c r="C319"/>
      <c r="D319"/>
    </row>
    <row r="320" spans="3:4" x14ac:dyDescent="0.3">
      <c r="C320"/>
      <c r="D320"/>
    </row>
    <row r="321" spans="3:4" x14ac:dyDescent="0.3">
      <c r="C321"/>
      <c r="D321"/>
    </row>
    <row r="322" spans="3:4" x14ac:dyDescent="0.3">
      <c r="C322"/>
      <c r="D322"/>
    </row>
    <row r="323" spans="3:4" x14ac:dyDescent="0.3">
      <c r="C323"/>
      <c r="D323"/>
    </row>
    <row r="324" spans="3:4" x14ac:dyDescent="0.3">
      <c r="C324"/>
      <c r="D324"/>
    </row>
    <row r="325" spans="3:4" x14ac:dyDescent="0.3">
      <c r="C325"/>
      <c r="D325"/>
    </row>
    <row r="326" spans="3:4" x14ac:dyDescent="0.3">
      <c r="C326"/>
      <c r="D326"/>
    </row>
    <row r="327" spans="3:4" x14ac:dyDescent="0.3">
      <c r="C327"/>
      <c r="D327"/>
    </row>
    <row r="328" spans="3:4" x14ac:dyDescent="0.3">
      <c r="C328"/>
      <c r="D328"/>
    </row>
    <row r="329" spans="3:4" x14ac:dyDescent="0.3">
      <c r="C329"/>
      <c r="D329"/>
    </row>
    <row r="330" spans="3:4" x14ac:dyDescent="0.3">
      <c r="C330"/>
      <c r="D330"/>
    </row>
    <row r="331" spans="3:4" x14ac:dyDescent="0.3">
      <c r="C331"/>
      <c r="D331"/>
    </row>
    <row r="332" spans="3:4" x14ac:dyDescent="0.3">
      <c r="C332"/>
      <c r="D332"/>
    </row>
    <row r="333" spans="3:4" x14ac:dyDescent="0.3">
      <c r="C333"/>
      <c r="D333"/>
    </row>
    <row r="334" spans="3:4" x14ac:dyDescent="0.3">
      <c r="C334"/>
      <c r="D334"/>
    </row>
    <row r="335" spans="3:4" x14ac:dyDescent="0.3">
      <c r="C335"/>
      <c r="D335"/>
    </row>
    <row r="336" spans="3:4" x14ac:dyDescent="0.3">
      <c r="C336"/>
      <c r="D336"/>
    </row>
    <row r="337" spans="3:4" x14ac:dyDescent="0.3">
      <c r="C337"/>
      <c r="D337"/>
    </row>
    <row r="338" spans="3:4" x14ac:dyDescent="0.3">
      <c r="C338"/>
      <c r="D338"/>
    </row>
    <row r="339" spans="3:4" x14ac:dyDescent="0.3">
      <c r="C339"/>
      <c r="D339"/>
    </row>
    <row r="340" spans="3:4" x14ac:dyDescent="0.3">
      <c r="C340"/>
      <c r="D340"/>
    </row>
    <row r="341" spans="3:4" x14ac:dyDescent="0.3">
      <c r="C341"/>
      <c r="D341"/>
    </row>
    <row r="342" spans="3:4" x14ac:dyDescent="0.3">
      <c r="C342"/>
      <c r="D342"/>
    </row>
    <row r="343" spans="3:4" x14ac:dyDescent="0.3">
      <c r="C343"/>
      <c r="D343"/>
    </row>
    <row r="344" spans="3:4" x14ac:dyDescent="0.3">
      <c r="C344"/>
      <c r="D344"/>
    </row>
    <row r="345" spans="3:4" x14ac:dyDescent="0.3">
      <c r="C345"/>
      <c r="D345"/>
    </row>
    <row r="346" spans="3:4" x14ac:dyDescent="0.3">
      <c r="C346"/>
      <c r="D346"/>
    </row>
    <row r="347" spans="3:4" x14ac:dyDescent="0.3">
      <c r="C347"/>
      <c r="D347"/>
    </row>
    <row r="348" spans="3:4" x14ac:dyDescent="0.3">
      <c r="C348"/>
      <c r="D348"/>
    </row>
    <row r="349" spans="3:4" x14ac:dyDescent="0.3">
      <c r="C349"/>
      <c r="D349"/>
    </row>
    <row r="350" spans="3:4" x14ac:dyDescent="0.3">
      <c r="C350"/>
      <c r="D350"/>
    </row>
    <row r="351" spans="3:4" x14ac:dyDescent="0.3">
      <c r="C351"/>
      <c r="D351"/>
    </row>
    <row r="352" spans="3:4" x14ac:dyDescent="0.3">
      <c r="C352"/>
      <c r="D352"/>
    </row>
    <row r="353" spans="3:4" x14ac:dyDescent="0.3">
      <c r="C353"/>
      <c r="D353"/>
    </row>
    <row r="354" spans="3:4" x14ac:dyDescent="0.3">
      <c r="C354"/>
      <c r="D354"/>
    </row>
    <row r="355" spans="3:4" x14ac:dyDescent="0.3">
      <c r="C355"/>
      <c r="D355"/>
    </row>
    <row r="356" spans="3:4" x14ac:dyDescent="0.3">
      <c r="C356"/>
      <c r="D356"/>
    </row>
    <row r="357" spans="3:4" x14ac:dyDescent="0.3">
      <c r="C357"/>
      <c r="D357"/>
    </row>
    <row r="358" spans="3:4" x14ac:dyDescent="0.3">
      <c r="C358"/>
      <c r="D358"/>
    </row>
    <row r="359" spans="3:4" x14ac:dyDescent="0.3">
      <c r="C359"/>
      <c r="D359"/>
    </row>
    <row r="360" spans="3:4" x14ac:dyDescent="0.3">
      <c r="C360"/>
      <c r="D360"/>
    </row>
    <row r="361" spans="3:4" x14ac:dyDescent="0.3">
      <c r="C361"/>
      <c r="D361"/>
    </row>
    <row r="362" spans="3:4" x14ac:dyDescent="0.3">
      <c r="C362"/>
      <c r="D362"/>
    </row>
    <row r="363" spans="3:4" x14ac:dyDescent="0.3">
      <c r="C363"/>
      <c r="D363"/>
    </row>
    <row r="364" spans="3:4" x14ac:dyDescent="0.3">
      <c r="C364"/>
      <c r="D364"/>
    </row>
    <row r="365" spans="3:4" x14ac:dyDescent="0.3">
      <c r="C365"/>
      <c r="D365"/>
    </row>
    <row r="366" spans="3:4" x14ac:dyDescent="0.3">
      <c r="C366"/>
      <c r="D366"/>
    </row>
    <row r="367" spans="3:4" x14ac:dyDescent="0.3">
      <c r="C367"/>
      <c r="D367"/>
    </row>
    <row r="368" spans="3:4" x14ac:dyDescent="0.3">
      <c r="C368"/>
      <c r="D368"/>
    </row>
    <row r="369" spans="3:4" x14ac:dyDescent="0.3">
      <c r="C369"/>
      <c r="D369"/>
    </row>
    <row r="370" spans="3:4" x14ac:dyDescent="0.3">
      <c r="C370"/>
      <c r="D370"/>
    </row>
    <row r="371" spans="3:4" x14ac:dyDescent="0.3">
      <c r="C371"/>
      <c r="D371"/>
    </row>
    <row r="372" spans="3:4" x14ac:dyDescent="0.3">
      <c r="C372"/>
      <c r="D372"/>
    </row>
    <row r="373" spans="3:4" x14ac:dyDescent="0.3">
      <c r="C373"/>
      <c r="D373"/>
    </row>
    <row r="374" spans="3:4" x14ac:dyDescent="0.3">
      <c r="C374"/>
      <c r="D374"/>
    </row>
    <row r="375" spans="3:4" x14ac:dyDescent="0.3">
      <c r="C375"/>
      <c r="D375"/>
    </row>
    <row r="376" spans="3:4" x14ac:dyDescent="0.3">
      <c r="C376"/>
      <c r="D376"/>
    </row>
    <row r="377" spans="3:4" x14ac:dyDescent="0.3">
      <c r="C377"/>
      <c r="D377"/>
    </row>
    <row r="378" spans="3:4" x14ac:dyDescent="0.3">
      <c r="C378"/>
      <c r="D378"/>
    </row>
    <row r="379" spans="3:4" x14ac:dyDescent="0.3">
      <c r="C379"/>
      <c r="D379"/>
    </row>
    <row r="380" spans="3:4" x14ac:dyDescent="0.3">
      <c r="C380"/>
      <c r="D380"/>
    </row>
    <row r="381" spans="3:4" x14ac:dyDescent="0.3">
      <c r="C381"/>
      <c r="D381"/>
    </row>
    <row r="382" spans="3:4" x14ac:dyDescent="0.3">
      <c r="C382"/>
      <c r="D382"/>
    </row>
    <row r="383" spans="3:4" x14ac:dyDescent="0.3">
      <c r="C383"/>
      <c r="D383"/>
    </row>
    <row r="384" spans="3:4" x14ac:dyDescent="0.3">
      <c r="C384"/>
      <c r="D384"/>
    </row>
    <row r="385" spans="3:4" x14ac:dyDescent="0.3">
      <c r="C385"/>
      <c r="D385"/>
    </row>
    <row r="386" spans="3:4" x14ac:dyDescent="0.3">
      <c r="C386"/>
      <c r="D386"/>
    </row>
    <row r="387" spans="3:4" x14ac:dyDescent="0.3">
      <c r="C387"/>
      <c r="D387"/>
    </row>
    <row r="388" spans="3:4" x14ac:dyDescent="0.3">
      <c r="C388"/>
      <c r="D388"/>
    </row>
    <row r="389" spans="3:4" x14ac:dyDescent="0.3">
      <c r="C389"/>
      <c r="D389"/>
    </row>
    <row r="390" spans="3:4" x14ac:dyDescent="0.3">
      <c r="C390"/>
      <c r="D390"/>
    </row>
    <row r="391" spans="3:4" x14ac:dyDescent="0.3">
      <c r="C391"/>
      <c r="D391"/>
    </row>
    <row r="392" spans="3:4" x14ac:dyDescent="0.3">
      <c r="C392"/>
      <c r="D392"/>
    </row>
    <row r="393" spans="3:4" x14ac:dyDescent="0.3">
      <c r="C393"/>
      <c r="D393"/>
    </row>
    <row r="394" spans="3:4" x14ac:dyDescent="0.3">
      <c r="C394"/>
      <c r="D394"/>
    </row>
    <row r="395" spans="3:4" x14ac:dyDescent="0.3">
      <c r="C395"/>
      <c r="D395"/>
    </row>
    <row r="396" spans="3:4" x14ac:dyDescent="0.3">
      <c r="C396"/>
      <c r="D396"/>
    </row>
    <row r="397" spans="3:4" x14ac:dyDescent="0.3">
      <c r="C397"/>
      <c r="D397"/>
    </row>
    <row r="398" spans="3:4" x14ac:dyDescent="0.3">
      <c r="C398"/>
      <c r="D398"/>
    </row>
    <row r="399" spans="3:4" x14ac:dyDescent="0.3">
      <c r="C399"/>
      <c r="D399"/>
    </row>
    <row r="400" spans="3:4" x14ac:dyDescent="0.3">
      <c r="C400"/>
      <c r="D400"/>
    </row>
    <row r="401" spans="3:4" x14ac:dyDescent="0.3">
      <c r="C401"/>
      <c r="D401"/>
    </row>
    <row r="402" spans="3:4" x14ac:dyDescent="0.3">
      <c r="C402"/>
      <c r="D402"/>
    </row>
    <row r="403" spans="3:4" x14ac:dyDescent="0.3">
      <c r="C403"/>
      <c r="D403"/>
    </row>
    <row r="404" spans="3:4" x14ac:dyDescent="0.3">
      <c r="C404"/>
      <c r="D404"/>
    </row>
    <row r="405" spans="3:4" x14ac:dyDescent="0.3">
      <c r="C405"/>
      <c r="D405"/>
    </row>
    <row r="406" spans="3:4" x14ac:dyDescent="0.3">
      <c r="C406"/>
      <c r="D406"/>
    </row>
    <row r="407" spans="3:4" x14ac:dyDescent="0.3">
      <c r="C407"/>
      <c r="D407"/>
    </row>
    <row r="408" spans="3:4" x14ac:dyDescent="0.3">
      <c r="C408"/>
      <c r="D408"/>
    </row>
    <row r="409" spans="3:4" x14ac:dyDescent="0.3">
      <c r="C409"/>
      <c r="D409"/>
    </row>
    <row r="410" spans="3:4" x14ac:dyDescent="0.3">
      <c r="C410"/>
      <c r="D410"/>
    </row>
    <row r="411" spans="3:4" x14ac:dyDescent="0.3">
      <c r="C411"/>
      <c r="D411"/>
    </row>
    <row r="412" spans="3:4" x14ac:dyDescent="0.3">
      <c r="C412"/>
      <c r="D412"/>
    </row>
    <row r="413" spans="3:4" x14ac:dyDescent="0.3">
      <c r="C413"/>
      <c r="D413"/>
    </row>
    <row r="414" spans="3:4" x14ac:dyDescent="0.3">
      <c r="C414"/>
      <c r="D414"/>
    </row>
    <row r="415" spans="3:4" x14ac:dyDescent="0.3">
      <c r="C415"/>
      <c r="D415"/>
    </row>
    <row r="416" spans="3:4" x14ac:dyDescent="0.3">
      <c r="C416"/>
      <c r="D416"/>
    </row>
    <row r="417" spans="3:4" x14ac:dyDescent="0.3">
      <c r="C417"/>
      <c r="D417"/>
    </row>
    <row r="418" spans="3:4" x14ac:dyDescent="0.3">
      <c r="C418"/>
      <c r="D418"/>
    </row>
    <row r="419" spans="3:4" x14ac:dyDescent="0.3">
      <c r="C419"/>
      <c r="D419"/>
    </row>
    <row r="420" spans="3:4" x14ac:dyDescent="0.3">
      <c r="C420"/>
      <c r="D420"/>
    </row>
    <row r="421" spans="3:4" x14ac:dyDescent="0.3">
      <c r="C421"/>
      <c r="D421"/>
    </row>
    <row r="422" spans="3:4" x14ac:dyDescent="0.3">
      <c r="C422"/>
      <c r="D422"/>
    </row>
    <row r="423" spans="3:4" x14ac:dyDescent="0.3">
      <c r="C423"/>
      <c r="D423"/>
    </row>
    <row r="424" spans="3:4" x14ac:dyDescent="0.3">
      <c r="C424"/>
      <c r="D424"/>
    </row>
    <row r="425" spans="3:4" x14ac:dyDescent="0.3">
      <c r="C425"/>
      <c r="D425"/>
    </row>
    <row r="426" spans="3:4" x14ac:dyDescent="0.3">
      <c r="C426"/>
      <c r="D426"/>
    </row>
    <row r="427" spans="3:4" x14ac:dyDescent="0.3">
      <c r="C427"/>
      <c r="D427"/>
    </row>
    <row r="428" spans="3:4" x14ac:dyDescent="0.3">
      <c r="C428"/>
      <c r="D428"/>
    </row>
    <row r="429" spans="3:4" x14ac:dyDescent="0.3">
      <c r="C429"/>
      <c r="D429"/>
    </row>
    <row r="430" spans="3:4" x14ac:dyDescent="0.3">
      <c r="C430"/>
      <c r="D430"/>
    </row>
    <row r="431" spans="3:4" x14ac:dyDescent="0.3">
      <c r="C431"/>
      <c r="D431"/>
    </row>
    <row r="432" spans="3:4" x14ac:dyDescent="0.3">
      <c r="C432"/>
      <c r="D432"/>
    </row>
    <row r="433" spans="3:4" x14ac:dyDescent="0.3">
      <c r="C433"/>
      <c r="D433"/>
    </row>
    <row r="434" spans="3:4" x14ac:dyDescent="0.3">
      <c r="C434"/>
      <c r="D434"/>
    </row>
    <row r="435" spans="3:4" x14ac:dyDescent="0.3">
      <c r="C435"/>
      <c r="D435"/>
    </row>
    <row r="436" spans="3:4" x14ac:dyDescent="0.3">
      <c r="C436"/>
      <c r="D436"/>
    </row>
    <row r="437" spans="3:4" x14ac:dyDescent="0.3">
      <c r="C437"/>
      <c r="D437"/>
    </row>
    <row r="438" spans="3:4" x14ac:dyDescent="0.3">
      <c r="C438"/>
      <c r="D438"/>
    </row>
    <row r="439" spans="3:4" x14ac:dyDescent="0.3">
      <c r="C439"/>
      <c r="D439"/>
    </row>
    <row r="440" spans="3:4" x14ac:dyDescent="0.3">
      <c r="C440"/>
      <c r="D440"/>
    </row>
    <row r="441" spans="3:4" x14ac:dyDescent="0.3">
      <c r="C441"/>
      <c r="D441"/>
    </row>
    <row r="442" spans="3:4" x14ac:dyDescent="0.3">
      <c r="C442"/>
      <c r="D442"/>
    </row>
    <row r="443" spans="3:4" x14ac:dyDescent="0.3">
      <c r="C443"/>
      <c r="D443"/>
    </row>
    <row r="444" spans="3:4" x14ac:dyDescent="0.3">
      <c r="C444"/>
      <c r="D444"/>
    </row>
    <row r="445" spans="3:4" x14ac:dyDescent="0.3">
      <c r="C445"/>
      <c r="D445"/>
    </row>
    <row r="446" spans="3:4" x14ac:dyDescent="0.3">
      <c r="C446"/>
      <c r="D446"/>
    </row>
    <row r="447" spans="3:4" x14ac:dyDescent="0.3">
      <c r="C447"/>
      <c r="D447"/>
    </row>
    <row r="448" spans="3:4" x14ac:dyDescent="0.3">
      <c r="C448"/>
      <c r="D448"/>
    </row>
    <row r="449" spans="3:4" x14ac:dyDescent="0.3">
      <c r="C449"/>
      <c r="D449"/>
    </row>
    <row r="450" spans="3:4" x14ac:dyDescent="0.3">
      <c r="C450"/>
      <c r="D450"/>
    </row>
    <row r="451" spans="3:4" x14ac:dyDescent="0.3">
      <c r="C451"/>
      <c r="D451"/>
    </row>
    <row r="452" spans="3:4" x14ac:dyDescent="0.3">
      <c r="C452"/>
      <c r="D452"/>
    </row>
    <row r="453" spans="3:4" x14ac:dyDescent="0.3">
      <c r="C453"/>
      <c r="D453"/>
    </row>
    <row r="454" spans="3:4" x14ac:dyDescent="0.3">
      <c r="C454"/>
      <c r="D454"/>
    </row>
    <row r="455" spans="3:4" x14ac:dyDescent="0.3">
      <c r="C455"/>
      <c r="D455"/>
    </row>
    <row r="456" spans="3:4" x14ac:dyDescent="0.3">
      <c r="C456"/>
      <c r="D456"/>
    </row>
    <row r="457" spans="3:4" x14ac:dyDescent="0.3">
      <c r="C457"/>
      <c r="D457"/>
    </row>
    <row r="458" spans="3:4" x14ac:dyDescent="0.3">
      <c r="C458"/>
      <c r="D458"/>
    </row>
    <row r="459" spans="3:4" x14ac:dyDescent="0.3">
      <c r="C459"/>
      <c r="D459"/>
    </row>
    <row r="460" spans="3:4" x14ac:dyDescent="0.3">
      <c r="C460"/>
      <c r="D460"/>
    </row>
    <row r="461" spans="3:4" x14ac:dyDescent="0.3">
      <c r="C461"/>
      <c r="D461"/>
    </row>
    <row r="462" spans="3:4" x14ac:dyDescent="0.3">
      <c r="C462"/>
      <c r="D462"/>
    </row>
    <row r="463" spans="3:4" x14ac:dyDescent="0.3">
      <c r="C463"/>
      <c r="D463"/>
    </row>
    <row r="464" spans="3:4" x14ac:dyDescent="0.3">
      <c r="C464"/>
      <c r="D464"/>
    </row>
    <row r="465" spans="3:4" x14ac:dyDescent="0.3">
      <c r="C465"/>
      <c r="D465"/>
    </row>
    <row r="466" spans="3:4" x14ac:dyDescent="0.3">
      <c r="C466"/>
      <c r="D466"/>
    </row>
    <row r="467" spans="3:4" x14ac:dyDescent="0.3">
      <c r="C467"/>
      <c r="D467"/>
    </row>
    <row r="468" spans="3:4" x14ac:dyDescent="0.3">
      <c r="C468"/>
      <c r="D468"/>
    </row>
    <row r="469" spans="3:4" x14ac:dyDescent="0.3">
      <c r="C469"/>
      <c r="D469"/>
    </row>
    <row r="470" spans="3:4" x14ac:dyDescent="0.3">
      <c r="C470"/>
      <c r="D470"/>
    </row>
    <row r="471" spans="3:4" x14ac:dyDescent="0.3">
      <c r="C471"/>
      <c r="D471"/>
    </row>
    <row r="472" spans="3:4" x14ac:dyDescent="0.3">
      <c r="C472"/>
      <c r="D472"/>
    </row>
    <row r="473" spans="3:4" x14ac:dyDescent="0.3">
      <c r="C473"/>
      <c r="D473"/>
    </row>
    <row r="474" spans="3:4" x14ac:dyDescent="0.3">
      <c r="C474"/>
      <c r="D474"/>
    </row>
    <row r="475" spans="3:4" x14ac:dyDescent="0.3">
      <c r="C475"/>
      <c r="D475"/>
    </row>
    <row r="476" spans="3:4" x14ac:dyDescent="0.3">
      <c r="C476"/>
      <c r="D476"/>
    </row>
    <row r="477" spans="3:4" x14ac:dyDescent="0.3">
      <c r="C477"/>
      <c r="D477"/>
    </row>
    <row r="478" spans="3:4" x14ac:dyDescent="0.3">
      <c r="C478"/>
      <c r="D478"/>
    </row>
    <row r="479" spans="3:4" x14ac:dyDescent="0.3">
      <c r="C479"/>
      <c r="D479"/>
    </row>
    <row r="480" spans="3:4" x14ac:dyDescent="0.3">
      <c r="C480"/>
      <c r="D480"/>
    </row>
    <row r="481" spans="3:4" x14ac:dyDescent="0.3">
      <c r="C481"/>
      <c r="D481"/>
    </row>
    <row r="482" spans="3:4" x14ac:dyDescent="0.3">
      <c r="C482"/>
      <c r="D482"/>
    </row>
    <row r="483" spans="3:4" x14ac:dyDescent="0.3">
      <c r="C483"/>
      <c r="D483"/>
    </row>
    <row r="484" spans="3:4" x14ac:dyDescent="0.3">
      <c r="C484"/>
      <c r="D484"/>
    </row>
    <row r="485" spans="3:4" x14ac:dyDescent="0.3">
      <c r="C485"/>
      <c r="D485"/>
    </row>
    <row r="486" spans="3:4" x14ac:dyDescent="0.3">
      <c r="C486"/>
      <c r="D486"/>
    </row>
    <row r="487" spans="3:4" x14ac:dyDescent="0.3">
      <c r="C487"/>
      <c r="D487"/>
    </row>
    <row r="488" spans="3:4" x14ac:dyDescent="0.3">
      <c r="C488"/>
      <c r="D488"/>
    </row>
    <row r="489" spans="3:4" x14ac:dyDescent="0.3">
      <c r="C489"/>
      <c r="D489"/>
    </row>
    <row r="490" spans="3:4" x14ac:dyDescent="0.3">
      <c r="C490"/>
      <c r="D490"/>
    </row>
    <row r="491" spans="3:4" x14ac:dyDescent="0.3">
      <c r="C491"/>
      <c r="D491"/>
    </row>
    <row r="492" spans="3:4" x14ac:dyDescent="0.3">
      <c r="C492"/>
      <c r="D492"/>
    </row>
    <row r="493" spans="3:4" x14ac:dyDescent="0.3">
      <c r="C493"/>
      <c r="D493"/>
    </row>
    <row r="494" spans="3:4" x14ac:dyDescent="0.3">
      <c r="C494"/>
      <c r="D494"/>
    </row>
    <row r="495" spans="3:4" x14ac:dyDescent="0.3">
      <c r="C495"/>
      <c r="D495"/>
    </row>
    <row r="496" spans="3:4" x14ac:dyDescent="0.3">
      <c r="C496"/>
      <c r="D496"/>
    </row>
    <row r="497" spans="3:4" x14ac:dyDescent="0.3">
      <c r="C497"/>
      <c r="D497"/>
    </row>
    <row r="498" spans="3:4" x14ac:dyDescent="0.3">
      <c r="C498"/>
      <c r="D498"/>
    </row>
    <row r="499" spans="3:4" x14ac:dyDescent="0.3">
      <c r="C499"/>
      <c r="D499"/>
    </row>
    <row r="500" spans="3:4" x14ac:dyDescent="0.3">
      <c r="C500"/>
      <c r="D500"/>
    </row>
    <row r="501" spans="3:4" x14ac:dyDescent="0.3">
      <c r="C501"/>
      <c r="D501"/>
    </row>
    <row r="502" spans="3:4" x14ac:dyDescent="0.3">
      <c r="C502"/>
      <c r="D502"/>
    </row>
    <row r="503" spans="3:4" x14ac:dyDescent="0.3">
      <c r="C503"/>
      <c r="D503"/>
    </row>
    <row r="504" spans="3:4" x14ac:dyDescent="0.3">
      <c r="C504"/>
      <c r="D504"/>
    </row>
    <row r="505" spans="3:4" x14ac:dyDescent="0.3">
      <c r="C505"/>
      <c r="D505"/>
    </row>
    <row r="506" spans="3:4" x14ac:dyDescent="0.3">
      <c r="C506"/>
      <c r="D506"/>
    </row>
    <row r="507" spans="3:4" x14ac:dyDescent="0.3">
      <c r="C507"/>
      <c r="D507"/>
    </row>
    <row r="508" spans="3:4" x14ac:dyDescent="0.3">
      <c r="C508"/>
      <c r="D508"/>
    </row>
    <row r="509" spans="3:4" x14ac:dyDescent="0.3">
      <c r="C509"/>
      <c r="D509"/>
    </row>
    <row r="510" spans="3:4" x14ac:dyDescent="0.3">
      <c r="C510"/>
      <c r="D510"/>
    </row>
    <row r="511" spans="3:4" x14ac:dyDescent="0.3">
      <c r="C511"/>
      <c r="D511"/>
    </row>
    <row r="512" spans="3:4" x14ac:dyDescent="0.3">
      <c r="C512"/>
      <c r="D512"/>
    </row>
    <row r="513" spans="3:4" x14ac:dyDescent="0.3">
      <c r="C513"/>
      <c r="D513"/>
    </row>
    <row r="514" spans="3:4" x14ac:dyDescent="0.3">
      <c r="C514"/>
      <c r="D514"/>
    </row>
    <row r="515" spans="3:4" x14ac:dyDescent="0.3">
      <c r="C515"/>
      <c r="D515"/>
    </row>
    <row r="516" spans="3:4" x14ac:dyDescent="0.3">
      <c r="C516"/>
      <c r="D516"/>
    </row>
    <row r="517" spans="3:4" x14ac:dyDescent="0.3">
      <c r="C517"/>
      <c r="D517"/>
    </row>
    <row r="518" spans="3:4" x14ac:dyDescent="0.3">
      <c r="C518"/>
      <c r="D518"/>
    </row>
    <row r="519" spans="3:4" x14ac:dyDescent="0.3">
      <c r="C519"/>
      <c r="D519"/>
    </row>
    <row r="520" spans="3:4" x14ac:dyDescent="0.3">
      <c r="C520"/>
      <c r="D520"/>
    </row>
    <row r="521" spans="3:4" x14ac:dyDescent="0.3">
      <c r="C521"/>
      <c r="D521"/>
    </row>
    <row r="522" spans="3:4" x14ac:dyDescent="0.3">
      <c r="C522"/>
      <c r="D522"/>
    </row>
    <row r="523" spans="3:4" x14ac:dyDescent="0.3">
      <c r="C523"/>
      <c r="D523"/>
    </row>
    <row r="524" spans="3:4" x14ac:dyDescent="0.3">
      <c r="C524"/>
      <c r="D524"/>
    </row>
    <row r="525" spans="3:4" x14ac:dyDescent="0.3">
      <c r="C525"/>
      <c r="D525"/>
    </row>
    <row r="526" spans="3:4" x14ac:dyDescent="0.3">
      <c r="C526"/>
      <c r="D526"/>
    </row>
    <row r="527" spans="3:4" x14ac:dyDescent="0.3">
      <c r="C527"/>
      <c r="D527"/>
    </row>
    <row r="528" spans="3:4" x14ac:dyDescent="0.3">
      <c r="C528"/>
      <c r="D528"/>
    </row>
    <row r="529" spans="3:4" x14ac:dyDescent="0.3">
      <c r="C529"/>
      <c r="D529"/>
    </row>
    <row r="530" spans="3:4" x14ac:dyDescent="0.3">
      <c r="C530"/>
      <c r="D530"/>
    </row>
    <row r="531" spans="3:4" x14ac:dyDescent="0.3">
      <c r="C531"/>
      <c r="D531"/>
    </row>
    <row r="532" spans="3:4" x14ac:dyDescent="0.3">
      <c r="C532"/>
      <c r="D532"/>
    </row>
    <row r="533" spans="3:4" x14ac:dyDescent="0.3">
      <c r="C533"/>
      <c r="D533"/>
    </row>
    <row r="534" spans="3:4" x14ac:dyDescent="0.3">
      <c r="C534"/>
      <c r="D534"/>
    </row>
    <row r="535" spans="3:4" x14ac:dyDescent="0.3">
      <c r="C535"/>
      <c r="D535"/>
    </row>
    <row r="536" spans="3:4" x14ac:dyDescent="0.3">
      <c r="C536"/>
      <c r="D536"/>
    </row>
    <row r="537" spans="3:4" x14ac:dyDescent="0.3">
      <c r="C537"/>
      <c r="D537"/>
    </row>
    <row r="538" spans="3:4" x14ac:dyDescent="0.3">
      <c r="C538"/>
      <c r="D538"/>
    </row>
    <row r="539" spans="3:4" x14ac:dyDescent="0.3">
      <c r="C539"/>
      <c r="D539"/>
    </row>
    <row r="540" spans="3:4" x14ac:dyDescent="0.3">
      <c r="C540"/>
      <c r="D540"/>
    </row>
    <row r="541" spans="3:4" x14ac:dyDescent="0.3">
      <c r="C541"/>
      <c r="D541"/>
    </row>
    <row r="542" spans="3:4" x14ac:dyDescent="0.3">
      <c r="C542"/>
      <c r="D542"/>
    </row>
    <row r="543" spans="3:4" x14ac:dyDescent="0.3">
      <c r="C543"/>
      <c r="D543"/>
    </row>
    <row r="544" spans="3:4" x14ac:dyDescent="0.3">
      <c r="C544"/>
      <c r="D544"/>
    </row>
    <row r="545" spans="3:4" x14ac:dyDescent="0.3">
      <c r="C545"/>
      <c r="D545"/>
    </row>
    <row r="546" spans="3:4" x14ac:dyDescent="0.3">
      <c r="C546"/>
      <c r="D546"/>
    </row>
    <row r="547" spans="3:4" x14ac:dyDescent="0.3">
      <c r="C547"/>
      <c r="D547"/>
    </row>
    <row r="548" spans="3:4" x14ac:dyDescent="0.3">
      <c r="C548"/>
      <c r="D548"/>
    </row>
    <row r="549" spans="3:4" x14ac:dyDescent="0.3">
      <c r="C549"/>
      <c r="D549"/>
    </row>
    <row r="550" spans="3:4" x14ac:dyDescent="0.3">
      <c r="C550"/>
      <c r="D550"/>
    </row>
    <row r="551" spans="3:4" x14ac:dyDescent="0.3">
      <c r="C551"/>
      <c r="D551"/>
    </row>
    <row r="552" spans="3:4" x14ac:dyDescent="0.3">
      <c r="C552"/>
      <c r="D552"/>
    </row>
    <row r="553" spans="3:4" x14ac:dyDescent="0.3">
      <c r="C553"/>
      <c r="D553"/>
    </row>
    <row r="554" spans="3:4" x14ac:dyDescent="0.3">
      <c r="C554"/>
      <c r="D554"/>
    </row>
    <row r="555" spans="3:4" x14ac:dyDescent="0.3">
      <c r="C555"/>
      <c r="D555"/>
    </row>
    <row r="556" spans="3:4" x14ac:dyDescent="0.3">
      <c r="C556"/>
      <c r="D556"/>
    </row>
    <row r="557" spans="3:4" x14ac:dyDescent="0.3">
      <c r="C557"/>
      <c r="D557"/>
    </row>
    <row r="558" spans="3:4" x14ac:dyDescent="0.3">
      <c r="C558"/>
      <c r="D558"/>
    </row>
    <row r="559" spans="3:4" x14ac:dyDescent="0.3">
      <c r="C559"/>
      <c r="D559"/>
    </row>
    <row r="560" spans="3:4" x14ac:dyDescent="0.3">
      <c r="C560"/>
      <c r="D560"/>
    </row>
    <row r="561" spans="3:4" x14ac:dyDescent="0.3">
      <c r="C561"/>
      <c r="D561"/>
    </row>
    <row r="562" spans="3:4" x14ac:dyDescent="0.3">
      <c r="C562"/>
      <c r="D562"/>
    </row>
    <row r="563" spans="3:4" x14ac:dyDescent="0.3">
      <c r="C563"/>
      <c r="D563"/>
    </row>
    <row r="564" spans="3:4" x14ac:dyDescent="0.3">
      <c r="C564"/>
      <c r="D564"/>
    </row>
    <row r="565" spans="3:4" x14ac:dyDescent="0.3">
      <c r="C565"/>
      <c r="D565"/>
    </row>
    <row r="566" spans="3:4" x14ac:dyDescent="0.3">
      <c r="C566"/>
      <c r="D566"/>
    </row>
    <row r="567" spans="3:4" x14ac:dyDescent="0.3">
      <c r="C567"/>
      <c r="D567"/>
    </row>
    <row r="568" spans="3:4" x14ac:dyDescent="0.3">
      <c r="C568"/>
      <c r="D568"/>
    </row>
    <row r="569" spans="3:4" x14ac:dyDescent="0.3">
      <c r="C569"/>
      <c r="D569"/>
    </row>
    <row r="570" spans="3:4" x14ac:dyDescent="0.3">
      <c r="C570"/>
      <c r="D570"/>
    </row>
    <row r="571" spans="3:4" x14ac:dyDescent="0.3">
      <c r="C571"/>
      <c r="D571"/>
    </row>
    <row r="572" spans="3:4" x14ac:dyDescent="0.3">
      <c r="C572"/>
      <c r="D572"/>
    </row>
    <row r="573" spans="3:4" x14ac:dyDescent="0.3">
      <c r="C573"/>
      <c r="D573"/>
    </row>
    <row r="574" spans="3:4" x14ac:dyDescent="0.3">
      <c r="C574"/>
      <c r="D574"/>
    </row>
    <row r="575" spans="3:4" x14ac:dyDescent="0.3">
      <c r="C575"/>
      <c r="D575"/>
    </row>
    <row r="576" spans="3:4" x14ac:dyDescent="0.3">
      <c r="C576"/>
      <c r="D576"/>
    </row>
    <row r="577" spans="3:4" x14ac:dyDescent="0.3">
      <c r="C577"/>
      <c r="D577"/>
    </row>
    <row r="578" spans="3:4" x14ac:dyDescent="0.3">
      <c r="C578"/>
      <c r="D578"/>
    </row>
    <row r="579" spans="3:4" x14ac:dyDescent="0.3">
      <c r="C579"/>
      <c r="D579"/>
    </row>
    <row r="580" spans="3:4" x14ac:dyDescent="0.3">
      <c r="C580"/>
      <c r="D580"/>
    </row>
    <row r="581" spans="3:4" x14ac:dyDescent="0.3">
      <c r="C581"/>
      <c r="D581"/>
    </row>
    <row r="582" spans="3:4" x14ac:dyDescent="0.3">
      <c r="C582"/>
      <c r="D582"/>
    </row>
    <row r="583" spans="3:4" x14ac:dyDescent="0.3">
      <c r="C583"/>
      <c r="D583"/>
    </row>
    <row r="584" spans="3:4" x14ac:dyDescent="0.3">
      <c r="C584"/>
      <c r="D584"/>
    </row>
    <row r="585" spans="3:4" x14ac:dyDescent="0.3">
      <c r="C585"/>
      <c r="D585"/>
    </row>
    <row r="586" spans="3:4" x14ac:dyDescent="0.3">
      <c r="C586"/>
      <c r="D586"/>
    </row>
    <row r="587" spans="3:4" x14ac:dyDescent="0.3">
      <c r="C587"/>
      <c r="D587"/>
    </row>
    <row r="588" spans="3:4" x14ac:dyDescent="0.3">
      <c r="C588"/>
      <c r="D588"/>
    </row>
    <row r="589" spans="3:4" x14ac:dyDescent="0.3">
      <c r="C589"/>
      <c r="D589"/>
    </row>
    <row r="590" spans="3:4" x14ac:dyDescent="0.3">
      <c r="C590"/>
      <c r="D590"/>
    </row>
    <row r="591" spans="3:4" x14ac:dyDescent="0.3">
      <c r="C591"/>
      <c r="D591"/>
    </row>
    <row r="592" spans="3:4" x14ac:dyDescent="0.3">
      <c r="C592"/>
      <c r="D592"/>
    </row>
    <row r="593" spans="3:4" x14ac:dyDescent="0.3">
      <c r="C593"/>
      <c r="D593"/>
    </row>
    <row r="594" spans="3:4" x14ac:dyDescent="0.3">
      <c r="C594"/>
      <c r="D594"/>
    </row>
    <row r="595" spans="3:4" x14ac:dyDescent="0.3">
      <c r="C595"/>
      <c r="D595"/>
    </row>
    <row r="596" spans="3:4" x14ac:dyDescent="0.3">
      <c r="C596"/>
      <c r="D596"/>
    </row>
    <row r="597" spans="3:4" x14ac:dyDescent="0.3">
      <c r="C597"/>
      <c r="D597"/>
    </row>
    <row r="598" spans="3:4" x14ac:dyDescent="0.3">
      <c r="C598"/>
      <c r="D598"/>
    </row>
    <row r="599" spans="3:4" x14ac:dyDescent="0.3">
      <c r="C599"/>
      <c r="D599"/>
    </row>
    <row r="600" spans="3:4" x14ac:dyDescent="0.3">
      <c r="C600"/>
      <c r="D600"/>
    </row>
    <row r="601" spans="3:4" x14ac:dyDescent="0.3">
      <c r="C601"/>
      <c r="D601"/>
    </row>
    <row r="602" spans="3:4" x14ac:dyDescent="0.3">
      <c r="C602"/>
      <c r="D602"/>
    </row>
    <row r="603" spans="3:4" x14ac:dyDescent="0.3">
      <c r="C603"/>
      <c r="D603"/>
    </row>
    <row r="604" spans="3:4" x14ac:dyDescent="0.3">
      <c r="C604"/>
      <c r="D604"/>
    </row>
    <row r="605" spans="3:4" x14ac:dyDescent="0.3">
      <c r="C605"/>
      <c r="D605"/>
    </row>
    <row r="606" spans="3:4" x14ac:dyDescent="0.3">
      <c r="C606"/>
      <c r="D606"/>
    </row>
    <row r="607" spans="3:4" x14ac:dyDescent="0.3">
      <c r="C607"/>
      <c r="D607"/>
    </row>
    <row r="608" spans="3:4" x14ac:dyDescent="0.3">
      <c r="C608"/>
      <c r="D608"/>
    </row>
    <row r="609" spans="3:4" x14ac:dyDescent="0.3">
      <c r="C609"/>
      <c r="D609"/>
    </row>
    <row r="610" spans="3:4" x14ac:dyDescent="0.3">
      <c r="C610"/>
      <c r="D610"/>
    </row>
    <row r="611" spans="3:4" x14ac:dyDescent="0.3">
      <c r="C611"/>
      <c r="D611"/>
    </row>
    <row r="612" spans="3:4" x14ac:dyDescent="0.3">
      <c r="C612"/>
      <c r="D612"/>
    </row>
    <row r="613" spans="3:4" x14ac:dyDescent="0.3">
      <c r="C613"/>
      <c r="D613"/>
    </row>
    <row r="614" spans="3:4" x14ac:dyDescent="0.3">
      <c r="C614"/>
      <c r="D614"/>
    </row>
    <row r="615" spans="3:4" x14ac:dyDescent="0.3">
      <c r="C615"/>
      <c r="D615"/>
    </row>
    <row r="616" spans="3:4" x14ac:dyDescent="0.3">
      <c r="C616"/>
      <c r="D616"/>
    </row>
    <row r="617" spans="3:4" x14ac:dyDescent="0.3">
      <c r="C617"/>
      <c r="D617"/>
    </row>
    <row r="618" spans="3:4" x14ac:dyDescent="0.3">
      <c r="C618"/>
      <c r="D618"/>
    </row>
    <row r="619" spans="3:4" x14ac:dyDescent="0.3">
      <c r="C619"/>
      <c r="D619"/>
    </row>
    <row r="620" spans="3:4" x14ac:dyDescent="0.3">
      <c r="C620"/>
      <c r="D620"/>
    </row>
    <row r="621" spans="3:4" x14ac:dyDescent="0.3">
      <c r="C621"/>
      <c r="D621"/>
    </row>
    <row r="622" spans="3:4" x14ac:dyDescent="0.3">
      <c r="C622"/>
      <c r="D622"/>
    </row>
    <row r="623" spans="3:4" x14ac:dyDescent="0.3">
      <c r="C623"/>
      <c r="D623"/>
    </row>
    <row r="624" spans="3:4" x14ac:dyDescent="0.3">
      <c r="C624"/>
      <c r="D624"/>
    </row>
    <row r="625" spans="3:4" x14ac:dyDescent="0.3">
      <c r="C625"/>
      <c r="D625"/>
    </row>
    <row r="626" spans="3:4" x14ac:dyDescent="0.3">
      <c r="C626"/>
      <c r="D626"/>
    </row>
    <row r="627" spans="3:4" x14ac:dyDescent="0.3">
      <c r="C627"/>
      <c r="D627"/>
    </row>
    <row r="628" spans="3:4" x14ac:dyDescent="0.3">
      <c r="C628"/>
      <c r="D628"/>
    </row>
    <row r="629" spans="3:4" x14ac:dyDescent="0.3">
      <c r="C629"/>
      <c r="D629"/>
    </row>
    <row r="630" spans="3:4" x14ac:dyDescent="0.3">
      <c r="C630"/>
      <c r="D630"/>
    </row>
    <row r="631" spans="3:4" x14ac:dyDescent="0.3">
      <c r="C631"/>
      <c r="D631"/>
    </row>
    <row r="632" spans="3:4" x14ac:dyDescent="0.3">
      <c r="C632"/>
      <c r="D632"/>
    </row>
    <row r="633" spans="3:4" x14ac:dyDescent="0.3">
      <c r="C633"/>
      <c r="D633"/>
    </row>
    <row r="634" spans="3:4" x14ac:dyDescent="0.3">
      <c r="C634"/>
      <c r="D634"/>
    </row>
    <row r="635" spans="3:4" x14ac:dyDescent="0.3">
      <c r="C635"/>
      <c r="D635"/>
    </row>
    <row r="636" spans="3:4" x14ac:dyDescent="0.3">
      <c r="C636"/>
      <c r="D636"/>
    </row>
    <row r="637" spans="3:4" x14ac:dyDescent="0.3">
      <c r="C637"/>
      <c r="D637"/>
    </row>
    <row r="638" spans="3:4" x14ac:dyDescent="0.3">
      <c r="C638"/>
      <c r="D638"/>
    </row>
    <row r="639" spans="3:4" x14ac:dyDescent="0.3">
      <c r="C639"/>
      <c r="D639"/>
    </row>
    <row r="640" spans="3:4" x14ac:dyDescent="0.3">
      <c r="C640"/>
      <c r="D640"/>
    </row>
    <row r="641" spans="3:4" x14ac:dyDescent="0.3">
      <c r="C641"/>
      <c r="D641"/>
    </row>
    <row r="642" spans="3:4" x14ac:dyDescent="0.3">
      <c r="C642"/>
      <c r="D642"/>
    </row>
    <row r="643" spans="3:4" x14ac:dyDescent="0.3">
      <c r="C643"/>
      <c r="D643"/>
    </row>
    <row r="644" spans="3:4" x14ac:dyDescent="0.3">
      <c r="C644"/>
      <c r="D644"/>
    </row>
    <row r="645" spans="3:4" x14ac:dyDescent="0.3">
      <c r="C645"/>
      <c r="D645"/>
    </row>
    <row r="646" spans="3:4" x14ac:dyDescent="0.3">
      <c r="C646"/>
      <c r="D646"/>
    </row>
    <row r="647" spans="3:4" x14ac:dyDescent="0.3">
      <c r="C647"/>
      <c r="D647"/>
    </row>
    <row r="648" spans="3:4" x14ac:dyDescent="0.3">
      <c r="C648"/>
      <c r="D648"/>
    </row>
    <row r="649" spans="3:4" x14ac:dyDescent="0.3">
      <c r="C649"/>
      <c r="D649"/>
    </row>
    <row r="650" spans="3:4" x14ac:dyDescent="0.3">
      <c r="C650"/>
      <c r="D650"/>
    </row>
    <row r="651" spans="3:4" x14ac:dyDescent="0.3">
      <c r="C651"/>
      <c r="D651"/>
    </row>
    <row r="652" spans="3:4" x14ac:dyDescent="0.3">
      <c r="C652"/>
      <c r="D652"/>
    </row>
    <row r="653" spans="3:4" x14ac:dyDescent="0.3">
      <c r="C653"/>
      <c r="D653"/>
    </row>
    <row r="654" spans="3:4" x14ac:dyDescent="0.3">
      <c r="C654"/>
      <c r="D654"/>
    </row>
    <row r="655" spans="3:4" x14ac:dyDescent="0.3">
      <c r="C655"/>
      <c r="D655"/>
    </row>
    <row r="656" spans="3:4" x14ac:dyDescent="0.3">
      <c r="C656"/>
      <c r="D656"/>
    </row>
    <row r="657" spans="3:4" x14ac:dyDescent="0.3">
      <c r="C657"/>
      <c r="D657"/>
    </row>
    <row r="658" spans="3:4" x14ac:dyDescent="0.3">
      <c r="C658"/>
      <c r="D658"/>
    </row>
    <row r="659" spans="3:4" x14ac:dyDescent="0.3">
      <c r="C659"/>
      <c r="D659"/>
    </row>
    <row r="660" spans="3:4" x14ac:dyDescent="0.3">
      <c r="C660"/>
      <c r="D660"/>
    </row>
    <row r="661" spans="3:4" x14ac:dyDescent="0.3">
      <c r="C661"/>
      <c r="D661"/>
    </row>
    <row r="662" spans="3:4" x14ac:dyDescent="0.3">
      <c r="C662"/>
      <c r="D662"/>
    </row>
    <row r="663" spans="3:4" x14ac:dyDescent="0.3">
      <c r="C663"/>
      <c r="D663"/>
    </row>
    <row r="664" spans="3:4" x14ac:dyDescent="0.3">
      <c r="C664"/>
      <c r="D664"/>
    </row>
    <row r="665" spans="3:4" x14ac:dyDescent="0.3">
      <c r="C665"/>
      <c r="D665"/>
    </row>
    <row r="666" spans="3:4" x14ac:dyDescent="0.3">
      <c r="C666"/>
      <c r="D666"/>
    </row>
    <row r="667" spans="3:4" x14ac:dyDescent="0.3">
      <c r="C667"/>
      <c r="D667"/>
    </row>
    <row r="668" spans="3:4" x14ac:dyDescent="0.3">
      <c r="C668"/>
      <c r="D668"/>
    </row>
    <row r="669" spans="3:4" x14ac:dyDescent="0.3">
      <c r="C669"/>
      <c r="D669"/>
    </row>
    <row r="670" spans="3:4" x14ac:dyDescent="0.3">
      <c r="C670"/>
      <c r="D670"/>
    </row>
    <row r="671" spans="3:4" x14ac:dyDescent="0.3">
      <c r="C671"/>
      <c r="D671"/>
    </row>
    <row r="672" spans="3:4" x14ac:dyDescent="0.3">
      <c r="C672"/>
      <c r="D672"/>
    </row>
    <row r="673" spans="3:4" x14ac:dyDescent="0.3">
      <c r="C673"/>
      <c r="D673"/>
    </row>
    <row r="674" spans="3:4" x14ac:dyDescent="0.3">
      <c r="C674"/>
      <c r="D674"/>
    </row>
    <row r="675" spans="3:4" x14ac:dyDescent="0.3">
      <c r="C675"/>
      <c r="D675"/>
    </row>
    <row r="676" spans="3:4" x14ac:dyDescent="0.3">
      <c r="C676"/>
      <c r="D676"/>
    </row>
    <row r="677" spans="3:4" x14ac:dyDescent="0.3">
      <c r="C677"/>
      <c r="D677"/>
    </row>
    <row r="678" spans="3:4" x14ac:dyDescent="0.3">
      <c r="C678"/>
      <c r="D678"/>
    </row>
    <row r="679" spans="3:4" x14ac:dyDescent="0.3">
      <c r="C679"/>
      <c r="D679"/>
    </row>
    <row r="680" spans="3:4" x14ac:dyDescent="0.3">
      <c r="C680"/>
      <c r="D680"/>
    </row>
    <row r="681" spans="3:4" x14ac:dyDescent="0.3">
      <c r="C681"/>
      <c r="D681"/>
    </row>
    <row r="682" spans="3:4" x14ac:dyDescent="0.3">
      <c r="C682"/>
      <c r="D682"/>
    </row>
    <row r="683" spans="3:4" x14ac:dyDescent="0.3">
      <c r="C683"/>
      <c r="D683"/>
    </row>
    <row r="684" spans="3:4" x14ac:dyDescent="0.3">
      <c r="C684"/>
      <c r="D684"/>
    </row>
    <row r="685" spans="3:4" x14ac:dyDescent="0.3">
      <c r="C685"/>
      <c r="D685"/>
    </row>
    <row r="686" spans="3:4" x14ac:dyDescent="0.3">
      <c r="C686"/>
      <c r="D686"/>
    </row>
    <row r="687" spans="3:4" x14ac:dyDescent="0.3">
      <c r="C687"/>
      <c r="D687"/>
    </row>
    <row r="688" spans="3:4" x14ac:dyDescent="0.3">
      <c r="C688"/>
      <c r="D688"/>
    </row>
    <row r="689" spans="3:4" x14ac:dyDescent="0.3">
      <c r="C689"/>
      <c r="D689"/>
    </row>
    <row r="690" spans="3:4" x14ac:dyDescent="0.3">
      <c r="C690"/>
      <c r="D690"/>
    </row>
    <row r="691" spans="3:4" x14ac:dyDescent="0.3">
      <c r="C691"/>
      <c r="D691"/>
    </row>
    <row r="692" spans="3:4" x14ac:dyDescent="0.3">
      <c r="C692"/>
      <c r="D692"/>
    </row>
    <row r="693" spans="3:4" x14ac:dyDescent="0.3">
      <c r="C693"/>
      <c r="D693"/>
    </row>
    <row r="694" spans="3:4" x14ac:dyDescent="0.3">
      <c r="C694"/>
      <c r="D694"/>
    </row>
    <row r="695" spans="3:4" x14ac:dyDescent="0.3">
      <c r="C695"/>
      <c r="D695"/>
    </row>
    <row r="696" spans="3:4" x14ac:dyDescent="0.3">
      <c r="C696"/>
      <c r="D696"/>
    </row>
    <row r="697" spans="3:4" x14ac:dyDescent="0.3">
      <c r="C697"/>
      <c r="D697"/>
    </row>
    <row r="698" spans="3:4" x14ac:dyDescent="0.3">
      <c r="C698"/>
      <c r="D698"/>
    </row>
    <row r="699" spans="3:4" x14ac:dyDescent="0.3">
      <c r="C699"/>
      <c r="D699"/>
    </row>
    <row r="700" spans="3:4" x14ac:dyDescent="0.3">
      <c r="C700"/>
      <c r="D700"/>
    </row>
    <row r="701" spans="3:4" x14ac:dyDescent="0.3">
      <c r="C701"/>
      <c r="D701"/>
    </row>
    <row r="702" spans="3:4" x14ac:dyDescent="0.3">
      <c r="C702"/>
      <c r="D702"/>
    </row>
    <row r="703" spans="3:4" x14ac:dyDescent="0.3">
      <c r="C703"/>
      <c r="D703"/>
    </row>
    <row r="704" spans="3:4" x14ac:dyDescent="0.3">
      <c r="C704"/>
      <c r="D704"/>
    </row>
    <row r="705" spans="3:4" x14ac:dyDescent="0.3">
      <c r="C705"/>
      <c r="D705"/>
    </row>
    <row r="706" spans="3:4" x14ac:dyDescent="0.3">
      <c r="C706"/>
      <c r="D706"/>
    </row>
    <row r="707" spans="3:4" x14ac:dyDescent="0.3">
      <c r="C707"/>
      <c r="D707"/>
    </row>
    <row r="708" spans="3:4" x14ac:dyDescent="0.3">
      <c r="C708"/>
      <c r="D708"/>
    </row>
    <row r="709" spans="3:4" x14ac:dyDescent="0.3">
      <c r="C709"/>
      <c r="D709"/>
    </row>
    <row r="710" spans="3:4" x14ac:dyDescent="0.3">
      <c r="C710"/>
      <c r="D710"/>
    </row>
    <row r="711" spans="3:4" x14ac:dyDescent="0.3">
      <c r="C711"/>
      <c r="D711"/>
    </row>
    <row r="712" spans="3:4" x14ac:dyDescent="0.3">
      <c r="C712"/>
      <c r="D712"/>
    </row>
    <row r="713" spans="3:4" x14ac:dyDescent="0.3">
      <c r="C713"/>
      <c r="D713"/>
    </row>
    <row r="714" spans="3:4" x14ac:dyDescent="0.3">
      <c r="C714"/>
      <c r="D714"/>
    </row>
    <row r="715" spans="3:4" x14ac:dyDescent="0.3">
      <c r="C715"/>
      <c r="D715"/>
    </row>
    <row r="716" spans="3:4" x14ac:dyDescent="0.3">
      <c r="C716"/>
      <c r="D716"/>
    </row>
    <row r="717" spans="3:4" x14ac:dyDescent="0.3">
      <c r="C717"/>
      <c r="D717"/>
    </row>
    <row r="718" spans="3:4" x14ac:dyDescent="0.3">
      <c r="C718"/>
      <c r="D718"/>
    </row>
    <row r="719" spans="3:4" x14ac:dyDescent="0.3">
      <c r="C719"/>
      <c r="D719"/>
    </row>
    <row r="720" spans="3:4" x14ac:dyDescent="0.3">
      <c r="C720"/>
      <c r="D720"/>
    </row>
    <row r="721" spans="3:4" x14ac:dyDescent="0.3">
      <c r="C721"/>
      <c r="D721"/>
    </row>
    <row r="722" spans="3:4" x14ac:dyDescent="0.3">
      <c r="C722"/>
      <c r="D722"/>
    </row>
    <row r="723" spans="3:4" x14ac:dyDescent="0.3">
      <c r="C723"/>
      <c r="D723"/>
    </row>
    <row r="724" spans="3:4" x14ac:dyDescent="0.3">
      <c r="C724"/>
      <c r="D724"/>
    </row>
    <row r="725" spans="3:4" x14ac:dyDescent="0.3">
      <c r="C725"/>
      <c r="D725"/>
    </row>
    <row r="726" spans="3:4" x14ac:dyDescent="0.3">
      <c r="C726"/>
      <c r="D726"/>
    </row>
    <row r="727" spans="3:4" x14ac:dyDescent="0.3">
      <c r="C727"/>
      <c r="D727"/>
    </row>
    <row r="728" spans="3:4" x14ac:dyDescent="0.3">
      <c r="C728"/>
      <c r="D728"/>
    </row>
    <row r="729" spans="3:4" x14ac:dyDescent="0.3">
      <c r="C729"/>
      <c r="D729"/>
    </row>
    <row r="730" spans="3:4" x14ac:dyDescent="0.3">
      <c r="C730"/>
      <c r="D730"/>
    </row>
    <row r="731" spans="3:4" x14ac:dyDescent="0.3">
      <c r="C731"/>
      <c r="D731"/>
    </row>
    <row r="732" spans="3:4" x14ac:dyDescent="0.3">
      <c r="C732"/>
      <c r="D732"/>
    </row>
    <row r="733" spans="3:4" x14ac:dyDescent="0.3">
      <c r="C733"/>
      <c r="D733"/>
    </row>
    <row r="734" spans="3:4" x14ac:dyDescent="0.3">
      <c r="C734"/>
      <c r="D734"/>
    </row>
    <row r="735" spans="3:4" x14ac:dyDescent="0.3">
      <c r="C735"/>
      <c r="D735"/>
    </row>
    <row r="736" spans="3:4" x14ac:dyDescent="0.3">
      <c r="C736"/>
      <c r="D736"/>
    </row>
    <row r="737" spans="3:4" x14ac:dyDescent="0.3">
      <c r="C737"/>
      <c r="D737"/>
    </row>
    <row r="738" spans="3:4" x14ac:dyDescent="0.3">
      <c r="C738"/>
      <c r="D738"/>
    </row>
    <row r="739" spans="3:4" x14ac:dyDescent="0.3">
      <c r="C739"/>
      <c r="D739"/>
    </row>
    <row r="740" spans="3:4" x14ac:dyDescent="0.3">
      <c r="C740"/>
      <c r="D740"/>
    </row>
    <row r="741" spans="3:4" x14ac:dyDescent="0.3">
      <c r="C741"/>
      <c r="D741"/>
    </row>
    <row r="742" spans="3:4" x14ac:dyDescent="0.3">
      <c r="C742"/>
      <c r="D742"/>
    </row>
    <row r="743" spans="3:4" x14ac:dyDescent="0.3">
      <c r="C743"/>
      <c r="D743"/>
    </row>
    <row r="744" spans="3:4" x14ac:dyDescent="0.3">
      <c r="C744"/>
      <c r="D744"/>
    </row>
    <row r="745" spans="3:4" x14ac:dyDescent="0.3">
      <c r="C745"/>
      <c r="D745"/>
    </row>
    <row r="746" spans="3:4" x14ac:dyDescent="0.3">
      <c r="C746"/>
      <c r="D746"/>
    </row>
    <row r="747" spans="3:4" x14ac:dyDescent="0.3">
      <c r="C747"/>
      <c r="D747"/>
    </row>
    <row r="748" spans="3:4" x14ac:dyDescent="0.3">
      <c r="C748"/>
      <c r="D748"/>
    </row>
    <row r="749" spans="3:4" x14ac:dyDescent="0.3">
      <c r="C749"/>
      <c r="D749"/>
    </row>
    <row r="750" spans="3:4" x14ac:dyDescent="0.3">
      <c r="C750"/>
      <c r="D750"/>
    </row>
    <row r="751" spans="3:4" x14ac:dyDescent="0.3">
      <c r="C751"/>
      <c r="D751"/>
    </row>
    <row r="752" spans="3:4" x14ac:dyDescent="0.3">
      <c r="C752"/>
      <c r="D752"/>
    </row>
    <row r="753" spans="3:4" x14ac:dyDescent="0.3">
      <c r="C753"/>
      <c r="D753"/>
    </row>
    <row r="754" spans="3:4" x14ac:dyDescent="0.3">
      <c r="C754"/>
      <c r="D754"/>
    </row>
    <row r="755" spans="3:4" x14ac:dyDescent="0.3">
      <c r="C755"/>
      <c r="D755"/>
    </row>
    <row r="756" spans="3:4" x14ac:dyDescent="0.3">
      <c r="C756"/>
      <c r="D756"/>
    </row>
    <row r="757" spans="3:4" x14ac:dyDescent="0.3">
      <c r="C757"/>
      <c r="D757"/>
    </row>
    <row r="758" spans="3:4" x14ac:dyDescent="0.3">
      <c r="C758"/>
      <c r="D758"/>
    </row>
    <row r="759" spans="3:4" x14ac:dyDescent="0.3">
      <c r="C759"/>
      <c r="D759"/>
    </row>
    <row r="760" spans="3:4" x14ac:dyDescent="0.3">
      <c r="C760"/>
      <c r="D760"/>
    </row>
    <row r="761" spans="3:4" x14ac:dyDescent="0.3">
      <c r="C761"/>
      <c r="D761"/>
    </row>
    <row r="762" spans="3:4" x14ac:dyDescent="0.3">
      <c r="C762"/>
      <c r="D762"/>
    </row>
    <row r="763" spans="3:4" x14ac:dyDescent="0.3">
      <c r="C763"/>
      <c r="D763"/>
    </row>
    <row r="764" spans="3:4" x14ac:dyDescent="0.3">
      <c r="C764"/>
      <c r="D764"/>
    </row>
    <row r="765" spans="3:4" x14ac:dyDescent="0.3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7620</xdr:colOff>
                    <xdr:row>1</xdr:row>
                    <xdr:rowOff>38100</xdr:rowOff>
                  </from>
                  <to>
                    <xdr:col>6</xdr:col>
                    <xdr:colOff>1097280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4.4" x14ac:dyDescent="0.3"/>
  <cols>
    <col min="1" max="1" width="33.109375" bestFit="1" customWidth="1"/>
    <col min="3" max="3" width="14.6640625" bestFit="1" customWidth="1"/>
    <col min="4" max="5" width="14.6640625" customWidth="1"/>
  </cols>
  <sheetData>
    <row r="1" spans="1:9" x14ac:dyDescent="0.3">
      <c r="A1" t="s">
        <v>109</v>
      </c>
      <c r="B1" t="s">
        <v>365</v>
      </c>
      <c r="C1" t="s">
        <v>366</v>
      </c>
      <c r="D1" t="s">
        <v>367</v>
      </c>
      <c r="E1" t="s">
        <v>368</v>
      </c>
      <c r="F1" t="s">
        <v>369</v>
      </c>
    </row>
    <row r="2" spans="1:9" x14ac:dyDescent="0.3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3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3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3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3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3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3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3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3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3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3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3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3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3">
      <c r="A15" s="2"/>
      <c r="B15" s="2"/>
      <c r="C15" s="2"/>
      <c r="D15" s="2"/>
      <c r="E15" s="2"/>
      <c r="I15" s="2"/>
    </row>
    <row r="16" spans="1:9" x14ac:dyDescent="0.3">
      <c r="A16" s="2"/>
      <c r="B16" s="2"/>
      <c r="C16" s="2"/>
      <c r="D16" s="2"/>
      <c r="E16" s="2"/>
      <c r="I16" s="2"/>
    </row>
    <row r="17" spans="1:9" x14ac:dyDescent="0.3">
      <c r="A17" s="2"/>
      <c r="B17" s="2"/>
      <c r="C17" s="2"/>
      <c r="D17" s="2"/>
      <c r="E17" s="2"/>
      <c r="I17" s="2"/>
    </row>
    <row r="18" spans="1:9" x14ac:dyDescent="0.3">
      <c r="A18" s="2"/>
      <c r="B18" s="2"/>
      <c r="C18" s="2"/>
      <c r="D18" s="2"/>
      <c r="E18" s="2"/>
      <c r="I18" s="2"/>
    </row>
    <row r="19" spans="1:9" x14ac:dyDescent="0.3">
      <c r="A19" s="2"/>
      <c r="B19" s="2"/>
      <c r="C19" s="2"/>
      <c r="D19" s="2"/>
      <c r="E19" s="2"/>
      <c r="I19" s="2"/>
    </row>
    <row r="20" spans="1:9" x14ac:dyDescent="0.3">
      <c r="A20" s="2"/>
      <c r="B20" s="2"/>
      <c r="C20" s="2"/>
      <c r="D20" s="2"/>
      <c r="E20" s="2"/>
      <c r="I20" s="2"/>
    </row>
    <row r="21" spans="1:9" x14ac:dyDescent="0.3">
      <c r="A21" s="2"/>
      <c r="B21" s="2"/>
      <c r="C21" s="2"/>
      <c r="D21" s="2"/>
      <c r="E21" s="2"/>
      <c r="I21" s="2"/>
    </row>
    <row r="22" spans="1:9" x14ac:dyDescent="0.3">
      <c r="A22" s="2"/>
      <c r="B22" s="2"/>
      <c r="C22" s="2"/>
      <c r="D22" s="2"/>
      <c r="E22" s="2"/>
      <c r="I22" s="2"/>
    </row>
    <row r="23" spans="1:9" x14ac:dyDescent="0.3">
      <c r="A23" s="2"/>
      <c r="B23" s="2"/>
      <c r="C23" s="2"/>
      <c r="D23" s="2"/>
      <c r="E23" s="2"/>
      <c r="I23" s="2"/>
    </row>
    <row r="24" spans="1:9" x14ac:dyDescent="0.3">
      <c r="A24" s="2"/>
      <c r="B24" s="2"/>
      <c r="C24" s="2"/>
      <c r="D24" s="2"/>
      <c r="E24" s="2"/>
      <c r="I24" s="2"/>
    </row>
    <row r="25" spans="1:9" x14ac:dyDescent="0.3">
      <c r="A25" s="2"/>
      <c r="B25" s="2"/>
      <c r="C25" s="2"/>
      <c r="D25" s="2"/>
      <c r="E25" s="2"/>
    </row>
    <row r="26" spans="1:9" x14ac:dyDescent="0.3">
      <c r="A26" s="2"/>
      <c r="B26" s="2"/>
      <c r="C26" s="2"/>
      <c r="D26" s="2"/>
      <c r="E26" s="2"/>
    </row>
    <row r="27" spans="1:9" x14ac:dyDescent="0.3">
      <c r="A27" s="2"/>
      <c r="B27" s="2"/>
      <c r="C27" s="2"/>
      <c r="D27" s="2"/>
      <c r="E27" s="2"/>
    </row>
    <row r="28" spans="1:9" x14ac:dyDescent="0.3">
      <c r="A28" s="2"/>
      <c r="B28" s="2"/>
      <c r="C28" s="2"/>
      <c r="D28" s="2"/>
      <c r="E28" s="2"/>
    </row>
    <row r="29" spans="1:9" x14ac:dyDescent="0.3">
      <c r="A29" s="2"/>
      <c r="B29" s="2"/>
      <c r="C29" s="2"/>
      <c r="D29" s="2"/>
      <c r="E29" s="2"/>
    </row>
    <row r="30" spans="1:9" x14ac:dyDescent="0.3">
      <c r="A30" s="2"/>
      <c r="B30" s="2"/>
      <c r="C30" s="2"/>
      <c r="D30" s="2"/>
      <c r="E30" s="2"/>
    </row>
    <row r="31" spans="1:9" x14ac:dyDescent="0.3">
      <c r="A31" s="2"/>
      <c r="B31" s="2"/>
      <c r="C31" s="2"/>
      <c r="D31" s="2"/>
      <c r="E31" s="2"/>
    </row>
    <row r="32" spans="1:9" x14ac:dyDescent="0.3">
      <c r="A32" s="2"/>
      <c r="B32" s="2"/>
      <c r="C32" s="2"/>
      <c r="D32" s="2"/>
      <c r="E32" s="2"/>
    </row>
    <row r="33" spans="1:5" x14ac:dyDescent="0.3">
      <c r="A33" s="2"/>
      <c r="B33" s="2"/>
      <c r="C33" s="2"/>
      <c r="D33" s="2"/>
      <c r="E33" s="2"/>
    </row>
    <row r="34" spans="1:5" x14ac:dyDescent="0.3">
      <c r="A34" s="2"/>
      <c r="B34" s="2"/>
      <c r="C34" s="2"/>
      <c r="D34" s="2"/>
      <c r="E34" s="2"/>
    </row>
    <row r="35" spans="1:5" x14ac:dyDescent="0.3">
      <c r="A35" s="2"/>
      <c r="B35" s="2"/>
      <c r="C35" s="2"/>
      <c r="D35" s="2"/>
      <c r="E35" s="2"/>
    </row>
    <row r="36" spans="1:5" x14ac:dyDescent="0.3">
      <c r="A36" s="2"/>
      <c r="B36" s="2"/>
      <c r="C36" s="2"/>
      <c r="D36" s="2"/>
      <c r="E36" s="2"/>
    </row>
    <row r="37" spans="1:5" x14ac:dyDescent="0.3">
      <c r="A37" s="2"/>
      <c r="B37" s="2"/>
      <c r="C37" s="2"/>
      <c r="D37" s="2"/>
      <c r="E37" s="2"/>
    </row>
    <row r="38" spans="1:5" x14ac:dyDescent="0.3">
      <c r="A38" s="2"/>
      <c r="B38" s="2"/>
      <c r="C38" s="2"/>
      <c r="D38" s="2"/>
      <c r="E38" s="2"/>
    </row>
    <row r="39" spans="1:5" x14ac:dyDescent="0.3">
      <c r="A39" s="2"/>
      <c r="B39" s="2"/>
      <c r="C39" s="2"/>
      <c r="D39" s="2"/>
      <c r="E39" s="2"/>
    </row>
    <row r="40" spans="1:5" x14ac:dyDescent="0.3">
      <c r="A40" s="2"/>
      <c r="B40" s="2"/>
      <c r="C40" s="2"/>
      <c r="D40" s="2"/>
      <c r="E40" s="2"/>
    </row>
    <row r="41" spans="1:5" x14ac:dyDescent="0.3">
      <c r="A41" s="2"/>
      <c r="B41" s="2"/>
      <c r="C41" s="2"/>
      <c r="D41" s="2"/>
      <c r="E41" s="2"/>
    </row>
    <row r="42" spans="1:5" x14ac:dyDescent="0.3">
      <c r="A42" s="2"/>
      <c r="B42" s="2"/>
      <c r="C42" s="2"/>
      <c r="D42" s="2"/>
      <c r="E42" s="2"/>
    </row>
    <row r="43" spans="1:5" x14ac:dyDescent="0.3">
      <c r="A43" s="2"/>
      <c r="B43" s="2"/>
      <c r="C43" s="2"/>
      <c r="D43" s="2"/>
      <c r="E43" s="2"/>
    </row>
    <row r="44" spans="1:5" x14ac:dyDescent="0.3">
      <c r="A44" s="2"/>
      <c r="B44" s="2"/>
      <c r="C44" s="2"/>
      <c r="D44" s="2"/>
      <c r="E44" s="2"/>
    </row>
    <row r="45" spans="1:5" x14ac:dyDescent="0.3">
      <c r="A45" s="2"/>
      <c r="B45" s="2"/>
      <c r="C45" s="2"/>
      <c r="D45" s="2"/>
      <c r="E45" s="2"/>
    </row>
    <row r="46" spans="1:5" x14ac:dyDescent="0.3">
      <c r="A46" s="2"/>
      <c r="B46" s="2"/>
      <c r="C46" s="2"/>
      <c r="D46" s="2"/>
      <c r="E46" s="2"/>
    </row>
    <row r="47" spans="1:5" x14ac:dyDescent="0.3">
      <c r="A47" s="2"/>
      <c r="B47" s="2"/>
      <c r="C47" s="2"/>
      <c r="D47" s="2"/>
      <c r="E47" s="2"/>
    </row>
    <row r="48" spans="1:5" x14ac:dyDescent="0.3">
      <c r="A48" s="2"/>
      <c r="B48" s="2"/>
      <c r="C48" s="2"/>
      <c r="D48" s="2"/>
      <c r="E48" s="2"/>
    </row>
    <row r="49" spans="1:5" x14ac:dyDescent="0.3">
      <c r="A49" s="2"/>
      <c r="B49" s="2"/>
      <c r="C49" s="2"/>
      <c r="D49" s="2"/>
      <c r="E49" s="2"/>
    </row>
    <row r="50" spans="1:5" x14ac:dyDescent="0.3">
      <c r="A50" s="2"/>
      <c r="B50" s="2"/>
      <c r="C50" s="2"/>
      <c r="D50" s="2"/>
      <c r="E50" s="2"/>
    </row>
    <row r="51" spans="1:5" x14ac:dyDescent="0.3">
      <c r="A51" s="2"/>
      <c r="B51" s="2"/>
      <c r="C51" s="2"/>
      <c r="D51" s="2"/>
      <c r="E51" s="2"/>
    </row>
    <row r="52" spans="1:5" x14ac:dyDescent="0.3">
      <c r="A52" s="2"/>
      <c r="B52" s="2"/>
      <c r="C52" s="2"/>
      <c r="D52" s="2"/>
      <c r="E52" s="2"/>
    </row>
    <row r="53" spans="1:5" x14ac:dyDescent="0.3">
      <c r="A53" s="2"/>
      <c r="B53" s="2"/>
      <c r="C53" s="2"/>
      <c r="D53" s="2"/>
      <c r="E53" s="2"/>
    </row>
    <row r="54" spans="1:5" x14ac:dyDescent="0.3">
      <c r="A54" s="2"/>
      <c r="B54" s="2"/>
      <c r="C54" s="2"/>
      <c r="D54" s="2"/>
      <c r="E54" s="2"/>
    </row>
    <row r="55" spans="1:5" x14ac:dyDescent="0.3">
      <c r="A55" s="2"/>
      <c r="B55" s="2"/>
      <c r="C55" s="2"/>
      <c r="D55" s="2"/>
      <c r="E55" s="2"/>
    </row>
    <row r="56" spans="1:5" x14ac:dyDescent="0.3">
      <c r="A56" s="2"/>
      <c r="B56" s="2"/>
      <c r="C56" s="2"/>
      <c r="D56" s="2"/>
      <c r="E56" s="2"/>
    </row>
    <row r="57" spans="1:5" x14ac:dyDescent="0.3">
      <c r="A57" s="2"/>
      <c r="B57" s="2"/>
      <c r="C57" s="2"/>
      <c r="D57" s="2"/>
      <c r="E57" s="2"/>
    </row>
    <row r="58" spans="1:5" x14ac:dyDescent="0.3">
      <c r="A58" s="2"/>
      <c r="B58" s="2"/>
      <c r="C58" s="2"/>
      <c r="D58" s="2"/>
      <c r="E58" s="2"/>
    </row>
    <row r="59" spans="1:5" x14ac:dyDescent="0.3">
      <c r="A59" s="2"/>
      <c r="B59" s="2"/>
      <c r="C59" s="2"/>
      <c r="D59" s="2"/>
      <c r="E59" s="2"/>
    </row>
    <row r="60" spans="1:5" x14ac:dyDescent="0.3">
      <c r="A60" s="2"/>
      <c r="B60" s="2"/>
      <c r="C60" s="2"/>
      <c r="D60" s="2"/>
      <c r="E60" s="2"/>
    </row>
    <row r="61" spans="1:5" x14ac:dyDescent="0.3">
      <c r="A61" s="2"/>
      <c r="B61" s="2"/>
      <c r="C61" s="2"/>
      <c r="D61" s="2"/>
      <c r="E61" s="2"/>
    </row>
    <row r="62" spans="1:5" x14ac:dyDescent="0.3">
      <c r="A62" s="2"/>
      <c r="B62" s="2"/>
      <c r="C62" s="2"/>
      <c r="D62" s="2"/>
      <c r="E62" s="2"/>
    </row>
    <row r="63" spans="1:5" x14ac:dyDescent="0.3">
      <c r="A63" s="2"/>
      <c r="B63" s="2"/>
      <c r="C63" s="2"/>
      <c r="D63" s="2"/>
      <c r="E63" s="2"/>
    </row>
    <row r="64" spans="1:5" x14ac:dyDescent="0.3">
      <c r="A64" s="2"/>
      <c r="B64" s="2"/>
      <c r="C64" s="2"/>
      <c r="D64" s="2"/>
      <c r="E64" s="2"/>
    </row>
    <row r="65" spans="1:5" x14ac:dyDescent="0.3">
      <c r="A65" s="2"/>
      <c r="B65" s="2"/>
      <c r="C65" s="2"/>
      <c r="D65" s="2"/>
      <c r="E65" s="2"/>
    </row>
    <row r="66" spans="1:5" x14ac:dyDescent="0.3">
      <c r="A66" s="2"/>
      <c r="B66" s="2"/>
      <c r="C66" s="2"/>
      <c r="D66" s="2"/>
      <c r="E66" s="2"/>
    </row>
    <row r="67" spans="1:5" x14ac:dyDescent="0.3">
      <c r="A67" s="2"/>
      <c r="B67" s="2"/>
      <c r="C67" s="2"/>
      <c r="D67" s="2"/>
      <c r="E67" s="2"/>
    </row>
    <row r="68" spans="1:5" x14ac:dyDescent="0.3">
      <c r="A68" s="2"/>
      <c r="B68" s="2"/>
      <c r="C68" s="2"/>
      <c r="D68" s="2"/>
      <c r="E68" s="2"/>
    </row>
    <row r="69" spans="1:5" x14ac:dyDescent="0.3">
      <c r="A69" s="2"/>
      <c r="B69" s="2"/>
      <c r="C69" s="2"/>
      <c r="D69" s="2"/>
      <c r="E69" s="2"/>
    </row>
    <row r="70" spans="1:5" x14ac:dyDescent="0.3">
      <c r="A70" s="2"/>
      <c r="B70" s="2"/>
      <c r="C70" s="2"/>
      <c r="D70" s="2"/>
      <c r="E70" s="2"/>
    </row>
    <row r="71" spans="1:5" x14ac:dyDescent="0.3">
      <c r="A71" s="2"/>
      <c r="B71" s="2"/>
      <c r="C71" s="2"/>
      <c r="D71" s="2"/>
      <c r="E71" s="2"/>
    </row>
    <row r="72" spans="1:5" x14ac:dyDescent="0.3">
      <c r="A72" s="2"/>
      <c r="B72" s="2"/>
      <c r="C72" s="2"/>
      <c r="D72" s="2"/>
      <c r="E72" s="2"/>
    </row>
    <row r="73" spans="1:5" x14ac:dyDescent="0.3">
      <c r="A73" s="2"/>
      <c r="B73" s="2"/>
      <c r="C73" s="2"/>
      <c r="D73" s="2"/>
      <c r="E73" s="2"/>
    </row>
    <row r="74" spans="1:5" x14ac:dyDescent="0.3">
      <c r="A74" s="2"/>
      <c r="B74" s="2"/>
      <c r="C74" s="2"/>
      <c r="D74" s="2"/>
      <c r="E74" s="2"/>
    </row>
    <row r="75" spans="1:5" x14ac:dyDescent="0.3">
      <c r="A75" s="2"/>
      <c r="B75" s="2"/>
      <c r="C75" s="2"/>
      <c r="D75" s="2"/>
      <c r="E75" s="2"/>
    </row>
    <row r="76" spans="1:5" x14ac:dyDescent="0.3">
      <c r="A76" s="2"/>
      <c r="B76" s="2"/>
      <c r="C76" s="2"/>
      <c r="D76" s="2"/>
      <c r="E76" s="2"/>
    </row>
    <row r="77" spans="1:5" x14ac:dyDescent="0.3">
      <c r="A77" s="2"/>
      <c r="B77" s="2"/>
      <c r="C77" s="2"/>
      <c r="D77" s="2"/>
      <c r="E77" s="2"/>
    </row>
    <row r="78" spans="1:5" x14ac:dyDescent="0.3">
      <c r="A78" s="2"/>
      <c r="B78" s="2"/>
      <c r="C78" s="2"/>
      <c r="D78" s="2"/>
      <c r="E78" s="2"/>
    </row>
    <row r="79" spans="1:5" x14ac:dyDescent="0.3">
      <c r="A79" s="2"/>
      <c r="B79" s="2"/>
      <c r="C79" s="2"/>
      <c r="D79" s="2"/>
      <c r="E79" s="2"/>
    </row>
    <row r="80" spans="1:5" x14ac:dyDescent="0.3">
      <c r="A80" s="2"/>
      <c r="B80" s="2"/>
      <c r="C80" s="2"/>
      <c r="D80" s="2"/>
      <c r="E80" s="2"/>
    </row>
    <row r="81" spans="1:5" x14ac:dyDescent="0.3">
      <c r="A81" s="2"/>
      <c r="B81" s="2"/>
      <c r="C81" s="2"/>
      <c r="D81" s="2"/>
      <c r="E81" s="2"/>
    </row>
    <row r="82" spans="1:5" x14ac:dyDescent="0.3">
      <c r="A82" s="2"/>
      <c r="B82" s="2"/>
      <c r="C82" s="2"/>
      <c r="D82" s="2"/>
      <c r="E82" s="2"/>
    </row>
    <row r="83" spans="1:5" x14ac:dyDescent="0.3">
      <c r="A83" s="2"/>
      <c r="B83" s="2"/>
      <c r="C83" s="2"/>
      <c r="D83" s="2"/>
      <c r="E83" s="2"/>
    </row>
    <row r="84" spans="1:5" x14ac:dyDescent="0.3">
      <c r="A84" s="2"/>
      <c r="B84" s="2"/>
      <c r="C84" s="2"/>
      <c r="D84" s="2"/>
      <c r="E84" s="2"/>
    </row>
    <row r="85" spans="1:5" x14ac:dyDescent="0.3">
      <c r="A85" s="2"/>
      <c r="B85" s="2"/>
      <c r="C85" s="2"/>
      <c r="D85" s="2"/>
      <c r="E85" s="2"/>
    </row>
    <row r="86" spans="1:5" x14ac:dyDescent="0.3">
      <c r="A86" s="2"/>
      <c r="B86" s="2"/>
      <c r="C86" s="2"/>
      <c r="D86" s="2"/>
      <c r="E86" s="2"/>
    </row>
    <row r="87" spans="1:5" x14ac:dyDescent="0.3">
      <c r="A87" s="2"/>
      <c r="B87" s="2"/>
      <c r="C87" s="2"/>
      <c r="D87" s="2"/>
      <c r="E87" s="2"/>
    </row>
    <row r="88" spans="1:5" x14ac:dyDescent="0.3">
      <c r="A88" s="2"/>
      <c r="B88" s="2"/>
      <c r="C88" s="2"/>
      <c r="D88" s="2"/>
      <c r="E88" s="2"/>
    </row>
    <row r="89" spans="1:5" x14ac:dyDescent="0.3">
      <c r="A89" s="2"/>
      <c r="B89" s="2"/>
      <c r="C89" s="2"/>
      <c r="D89" s="2"/>
      <c r="E89" s="2"/>
    </row>
    <row r="90" spans="1:5" x14ac:dyDescent="0.3">
      <c r="A90" s="2"/>
      <c r="B90" s="2"/>
      <c r="C90" s="2"/>
      <c r="D90" s="2"/>
      <c r="E90" s="2"/>
    </row>
    <row r="91" spans="1:5" x14ac:dyDescent="0.3">
      <c r="A91" s="2"/>
      <c r="B91" s="2"/>
      <c r="C91" s="2"/>
      <c r="D91" s="2"/>
      <c r="E91" s="2"/>
    </row>
    <row r="92" spans="1:5" x14ac:dyDescent="0.3">
      <c r="A92" s="2"/>
      <c r="B92" s="2"/>
      <c r="C92" s="2"/>
      <c r="D92" s="2"/>
      <c r="E92" s="2"/>
    </row>
    <row r="93" spans="1:5" x14ac:dyDescent="0.3">
      <c r="A93" s="2"/>
      <c r="B93" s="2"/>
      <c r="C93" s="2"/>
      <c r="D93" s="2"/>
      <c r="E93" s="2"/>
    </row>
    <row r="94" spans="1:5" x14ac:dyDescent="0.3">
      <c r="A94" s="2"/>
      <c r="B94" s="2"/>
      <c r="C94" s="2"/>
      <c r="D94" s="2"/>
      <c r="E94" s="2"/>
    </row>
    <row r="95" spans="1:5" x14ac:dyDescent="0.3">
      <c r="A95" s="2"/>
      <c r="B95" s="2"/>
      <c r="C95" s="2"/>
      <c r="D95" s="2"/>
      <c r="E95" s="2"/>
    </row>
    <row r="96" spans="1:5" x14ac:dyDescent="0.3">
      <c r="A96" s="2"/>
      <c r="B96" s="2"/>
      <c r="C96" s="2"/>
      <c r="D96" s="2"/>
      <c r="E96" s="2"/>
    </row>
    <row r="97" spans="1:5" x14ac:dyDescent="0.3">
      <c r="A97" s="2"/>
      <c r="B97" s="2"/>
      <c r="C97" s="2"/>
      <c r="D97" s="2"/>
      <c r="E97" s="2"/>
    </row>
    <row r="98" spans="1:5" x14ac:dyDescent="0.3">
      <c r="A98" s="2"/>
      <c r="B98" s="2"/>
      <c r="C98" s="2"/>
      <c r="D98" s="2"/>
      <c r="E98" s="2"/>
    </row>
    <row r="99" spans="1:5" x14ac:dyDescent="0.3">
      <c r="A99" s="2"/>
      <c r="B99" s="2"/>
      <c r="C99" s="2"/>
      <c r="D99" s="2"/>
      <c r="E99" s="2"/>
    </row>
    <row r="100" spans="1:5" x14ac:dyDescent="0.3">
      <c r="A100" s="2"/>
      <c r="B100" s="2"/>
      <c r="C100" s="2"/>
      <c r="D100" s="2"/>
      <c r="E100" s="2"/>
    </row>
    <row r="101" spans="1:5" x14ac:dyDescent="0.3">
      <c r="A101" s="2"/>
      <c r="B101" s="2"/>
      <c r="C101" s="2"/>
      <c r="D101" s="2"/>
      <c r="E101" s="2"/>
    </row>
    <row r="102" spans="1:5" x14ac:dyDescent="0.3">
      <c r="A102" s="2"/>
      <c r="B102" s="2"/>
      <c r="C102" s="2"/>
      <c r="D102" s="2"/>
      <c r="E102" s="2"/>
    </row>
    <row r="103" spans="1:5" x14ac:dyDescent="0.3">
      <c r="A103" s="2"/>
      <c r="B103" s="2"/>
      <c r="C103" s="2"/>
      <c r="D103" s="2"/>
      <c r="E103" s="2"/>
    </row>
    <row r="104" spans="1:5" x14ac:dyDescent="0.3">
      <c r="A104" s="2"/>
      <c r="B104" s="2"/>
      <c r="C104" s="2"/>
      <c r="D104" s="2"/>
      <c r="E104" s="2"/>
    </row>
    <row r="105" spans="1:5" x14ac:dyDescent="0.3">
      <c r="A105" s="2"/>
      <c r="B105" s="2"/>
      <c r="C105" s="2"/>
      <c r="D105" s="2"/>
      <c r="E105" s="2"/>
    </row>
    <row r="106" spans="1:5" x14ac:dyDescent="0.3">
      <c r="A106" s="2"/>
      <c r="B106" s="2"/>
      <c r="C106" s="2"/>
      <c r="D106" s="2"/>
      <c r="E106" s="2"/>
    </row>
    <row r="107" spans="1:5" x14ac:dyDescent="0.3">
      <c r="A107" s="2"/>
      <c r="B107" s="2"/>
      <c r="C107" s="2"/>
      <c r="D107" s="2"/>
      <c r="E107" s="2"/>
    </row>
    <row r="108" spans="1:5" x14ac:dyDescent="0.3">
      <c r="A108" s="2"/>
      <c r="B108" s="2"/>
      <c r="C108" s="2"/>
      <c r="D108" s="2"/>
      <c r="E108" s="2"/>
    </row>
    <row r="109" spans="1:5" x14ac:dyDescent="0.3">
      <c r="A109" s="2"/>
      <c r="B109" s="2"/>
      <c r="C109" s="2"/>
      <c r="D109" s="2"/>
      <c r="E109" s="2"/>
    </row>
    <row r="110" spans="1:5" x14ac:dyDescent="0.3">
      <c r="A110" s="2"/>
      <c r="B110" s="2"/>
      <c r="C110" s="2"/>
      <c r="D110" s="2"/>
      <c r="E110" s="2"/>
    </row>
    <row r="111" spans="1:5" x14ac:dyDescent="0.3">
      <c r="A111" s="2"/>
      <c r="B111" s="2"/>
      <c r="C111" s="2"/>
      <c r="D111" s="2"/>
      <c r="E111" s="2"/>
    </row>
    <row r="112" spans="1:5" x14ac:dyDescent="0.3">
      <c r="A112" s="2"/>
      <c r="B112" s="2"/>
      <c r="C112" s="2"/>
      <c r="D112" s="2"/>
      <c r="E112" s="2"/>
    </row>
    <row r="113" spans="1:5" x14ac:dyDescent="0.3">
      <c r="A113" s="2"/>
      <c r="B113" s="2"/>
      <c r="C113" s="2"/>
      <c r="D113" s="2"/>
      <c r="E113" s="2"/>
    </row>
    <row r="114" spans="1:5" x14ac:dyDescent="0.3">
      <c r="A114" s="2"/>
      <c r="B114" s="2"/>
      <c r="C114" s="2"/>
      <c r="D114" s="2"/>
      <c r="E114" s="2"/>
    </row>
    <row r="115" spans="1:5" x14ac:dyDescent="0.3">
      <c r="A115" s="2"/>
      <c r="B115" s="2"/>
      <c r="C115" s="2"/>
      <c r="D115" s="2"/>
      <c r="E115" s="2"/>
    </row>
    <row r="116" spans="1:5" x14ac:dyDescent="0.3">
      <c r="A116" s="2"/>
      <c r="B116" s="2"/>
      <c r="C116" s="2"/>
      <c r="D116" s="2"/>
      <c r="E116" s="2"/>
    </row>
    <row r="117" spans="1:5" x14ac:dyDescent="0.3">
      <c r="A117" s="2"/>
      <c r="B117" s="2"/>
      <c r="C117" s="2"/>
      <c r="D117" s="2"/>
      <c r="E117" s="2"/>
    </row>
    <row r="118" spans="1:5" x14ac:dyDescent="0.3">
      <c r="A118" s="2"/>
      <c r="B118" s="2"/>
      <c r="C118" s="2"/>
      <c r="D118" s="2"/>
      <c r="E118" s="2"/>
    </row>
    <row r="119" spans="1:5" x14ac:dyDescent="0.3">
      <c r="A119" s="2"/>
      <c r="B119" s="2"/>
      <c r="C119" s="2"/>
      <c r="D119" s="2"/>
      <c r="E119" s="2"/>
    </row>
    <row r="120" spans="1:5" x14ac:dyDescent="0.3">
      <c r="A120" s="2"/>
      <c r="B120" s="2"/>
      <c r="C120" s="2"/>
      <c r="D120" s="2"/>
      <c r="E120" s="2"/>
    </row>
    <row r="121" spans="1:5" x14ac:dyDescent="0.3">
      <c r="A121" s="2"/>
      <c r="B121" s="2"/>
      <c r="C121" s="2"/>
      <c r="D121" s="2"/>
      <c r="E121" s="2"/>
    </row>
    <row r="122" spans="1:5" x14ac:dyDescent="0.3">
      <c r="A122" s="2"/>
      <c r="B122" s="2"/>
      <c r="C122" s="2"/>
      <c r="D122" s="2"/>
      <c r="E122" s="2"/>
    </row>
    <row r="123" spans="1:5" x14ac:dyDescent="0.3">
      <c r="A123" s="2"/>
      <c r="B123" s="2"/>
      <c r="C123" s="2"/>
      <c r="D123" s="2"/>
      <c r="E123" s="2"/>
    </row>
    <row r="124" spans="1:5" x14ac:dyDescent="0.3">
      <c r="A124" s="2"/>
      <c r="B124" s="2"/>
      <c r="C124" s="2"/>
      <c r="D124" s="2"/>
      <c r="E124" s="2"/>
    </row>
    <row r="125" spans="1:5" x14ac:dyDescent="0.3">
      <c r="A125" s="2"/>
      <c r="B125" s="2"/>
      <c r="C125" s="2"/>
      <c r="D125" s="2"/>
      <c r="E125" s="2"/>
    </row>
    <row r="126" spans="1:5" x14ac:dyDescent="0.3">
      <c r="A126" s="2"/>
      <c r="B126" s="2"/>
      <c r="C126" s="2"/>
      <c r="D126" s="2"/>
      <c r="E126" s="2"/>
    </row>
    <row r="127" spans="1:5" x14ac:dyDescent="0.3">
      <c r="A127" s="2"/>
      <c r="B127" s="2"/>
      <c r="C127" s="2"/>
      <c r="D127" s="2"/>
      <c r="E127" s="2"/>
    </row>
    <row r="128" spans="1:5" x14ac:dyDescent="0.3">
      <c r="A128" s="2"/>
      <c r="B128" s="2"/>
      <c r="C128" s="2"/>
      <c r="D128" s="2"/>
      <c r="E128" s="2"/>
    </row>
    <row r="129" spans="1:5" x14ac:dyDescent="0.3">
      <c r="A129" s="2"/>
      <c r="B129" s="2"/>
      <c r="C129" s="2"/>
      <c r="D129" s="2"/>
      <c r="E129" s="2"/>
    </row>
    <row r="130" spans="1:5" x14ac:dyDescent="0.3">
      <c r="A130" s="2"/>
      <c r="B130" s="2"/>
      <c r="C130" s="2"/>
      <c r="D130" s="2"/>
      <c r="E130" s="2"/>
    </row>
    <row r="131" spans="1:5" x14ac:dyDescent="0.3">
      <c r="A131" s="2"/>
      <c r="B131" s="2"/>
      <c r="C131" s="2"/>
      <c r="D131" s="2"/>
      <c r="E131" s="2"/>
    </row>
    <row r="132" spans="1:5" x14ac:dyDescent="0.3">
      <c r="A132" s="2"/>
      <c r="B132" s="2"/>
      <c r="C132" s="2"/>
      <c r="D132" s="2"/>
      <c r="E132" s="2"/>
    </row>
    <row r="133" spans="1:5" x14ac:dyDescent="0.3">
      <c r="A133" s="2"/>
      <c r="B133" s="2"/>
      <c r="C133" s="2"/>
      <c r="D133" s="2"/>
      <c r="E133" s="2"/>
    </row>
    <row r="134" spans="1:5" x14ac:dyDescent="0.3">
      <c r="A134" s="2"/>
      <c r="B134" s="2"/>
      <c r="C134" s="2"/>
      <c r="D134" s="2"/>
      <c r="E134" s="2"/>
    </row>
    <row r="135" spans="1:5" x14ac:dyDescent="0.3">
      <c r="A135" s="2"/>
      <c r="B135" s="2"/>
      <c r="C135" s="2"/>
      <c r="D135" s="2"/>
      <c r="E135" s="2"/>
    </row>
    <row r="136" spans="1:5" x14ac:dyDescent="0.3">
      <c r="A136" s="2"/>
      <c r="B136" s="2"/>
      <c r="C136" s="2"/>
      <c r="D136" s="2"/>
      <c r="E136" s="2"/>
    </row>
    <row r="137" spans="1:5" x14ac:dyDescent="0.3">
      <c r="A137" s="2"/>
      <c r="B137" s="2"/>
      <c r="C137" s="2"/>
      <c r="D137" s="2"/>
      <c r="E137" s="2"/>
    </row>
    <row r="138" spans="1:5" x14ac:dyDescent="0.3">
      <c r="A138" s="2"/>
      <c r="B138" s="2"/>
      <c r="C138" s="2"/>
      <c r="D138" s="2"/>
      <c r="E138" s="2"/>
    </row>
    <row r="139" spans="1:5" x14ac:dyDescent="0.3">
      <c r="A139" s="2"/>
      <c r="B139" s="2"/>
      <c r="C139" s="2"/>
      <c r="D139" s="2"/>
      <c r="E139" s="2"/>
    </row>
    <row r="140" spans="1:5" x14ac:dyDescent="0.3">
      <c r="A140" s="2"/>
      <c r="B140" s="2"/>
      <c r="C140" s="2"/>
      <c r="D140" s="2"/>
      <c r="E140" s="2"/>
    </row>
    <row r="141" spans="1:5" x14ac:dyDescent="0.3">
      <c r="A141" s="2"/>
      <c r="B141" s="2"/>
      <c r="C141" s="2"/>
      <c r="D141" s="2"/>
      <c r="E141" s="2"/>
    </row>
    <row r="142" spans="1:5" x14ac:dyDescent="0.3">
      <c r="A142" s="2"/>
      <c r="B142" s="2"/>
      <c r="C142" s="2"/>
      <c r="D142" s="2"/>
      <c r="E142" s="2"/>
    </row>
    <row r="143" spans="1:5" x14ac:dyDescent="0.3">
      <c r="A143" s="2"/>
      <c r="B143" s="2"/>
      <c r="C143" s="2"/>
      <c r="D143" s="2"/>
      <c r="E143" s="2"/>
    </row>
    <row r="144" spans="1:5" x14ac:dyDescent="0.3">
      <c r="A144" s="2"/>
      <c r="B144" s="2"/>
      <c r="C144" s="2"/>
      <c r="D144" s="2"/>
      <c r="E144" s="2"/>
    </row>
    <row r="145" spans="1:5" x14ac:dyDescent="0.3">
      <c r="A145" s="2"/>
      <c r="B145" s="2"/>
      <c r="C145" s="2"/>
      <c r="D145" s="2"/>
      <c r="E145" s="2"/>
    </row>
    <row r="146" spans="1:5" x14ac:dyDescent="0.3">
      <c r="A146" s="2"/>
      <c r="B146" s="2"/>
      <c r="C146" s="2"/>
      <c r="D146" s="2"/>
      <c r="E146" s="2"/>
    </row>
    <row r="147" spans="1:5" x14ac:dyDescent="0.3">
      <c r="A147" s="2"/>
      <c r="B147" s="2"/>
      <c r="C147" s="2"/>
      <c r="D147" s="2"/>
      <c r="E147" s="2"/>
    </row>
    <row r="148" spans="1:5" x14ac:dyDescent="0.3">
      <c r="A148" s="2"/>
      <c r="B148" s="2"/>
      <c r="C148" s="2"/>
      <c r="D148" s="2"/>
      <c r="E148" s="2"/>
    </row>
    <row r="149" spans="1:5" x14ac:dyDescent="0.3">
      <c r="A149" s="2"/>
      <c r="B149" s="2"/>
      <c r="C149" s="2"/>
      <c r="D149" s="2"/>
      <c r="E149" s="2"/>
    </row>
    <row r="150" spans="1:5" x14ac:dyDescent="0.3">
      <c r="A150" s="2"/>
      <c r="B150" s="2"/>
      <c r="C150" s="2"/>
      <c r="D150" s="2"/>
      <c r="E150" s="2"/>
    </row>
    <row r="151" spans="1:5" x14ac:dyDescent="0.3">
      <c r="A151" s="2"/>
      <c r="B151" s="2"/>
      <c r="C151" s="2"/>
      <c r="D151" s="2"/>
      <c r="E151" s="2"/>
    </row>
    <row r="152" spans="1:5" x14ac:dyDescent="0.3">
      <c r="A152" s="2"/>
      <c r="B152" s="2"/>
      <c r="C152" s="2"/>
      <c r="D152" s="2"/>
      <c r="E152" s="2"/>
    </row>
    <row r="153" spans="1:5" x14ac:dyDescent="0.3">
      <c r="A153" s="2"/>
      <c r="B153" s="2"/>
      <c r="C153" s="2"/>
      <c r="D153" s="2"/>
      <c r="E153" s="2"/>
    </row>
    <row r="154" spans="1:5" x14ac:dyDescent="0.3">
      <c r="A154" s="2"/>
      <c r="B154" s="2"/>
      <c r="C154" s="2"/>
      <c r="D154" s="2"/>
      <c r="E154" s="2"/>
    </row>
    <row r="155" spans="1:5" x14ac:dyDescent="0.3">
      <c r="A155" s="2"/>
      <c r="B155" s="2"/>
      <c r="C155" s="2"/>
      <c r="D155" s="2"/>
      <c r="E155" s="2"/>
    </row>
    <row r="156" spans="1:5" x14ac:dyDescent="0.3">
      <c r="A156" s="2"/>
      <c r="B156" s="2"/>
      <c r="C156" s="2"/>
      <c r="D156" s="2"/>
      <c r="E156" s="2"/>
    </row>
    <row r="157" spans="1:5" x14ac:dyDescent="0.3">
      <c r="A157" s="2"/>
      <c r="B157" s="2"/>
      <c r="C157" s="2"/>
      <c r="D157" s="2"/>
      <c r="E157" s="2"/>
    </row>
    <row r="158" spans="1:5" x14ac:dyDescent="0.3">
      <c r="A158" s="2"/>
      <c r="B158" s="2"/>
      <c r="C158" s="2"/>
      <c r="D158" s="2"/>
      <c r="E158" s="2"/>
    </row>
    <row r="159" spans="1:5" x14ac:dyDescent="0.3">
      <c r="A159" s="2"/>
      <c r="B159" s="2"/>
      <c r="C159" s="2"/>
      <c r="D159" s="2"/>
      <c r="E159" s="2"/>
    </row>
    <row r="160" spans="1:5" x14ac:dyDescent="0.3">
      <c r="A160" s="2"/>
      <c r="B160" s="2"/>
      <c r="C160" s="2"/>
      <c r="D160" s="2"/>
      <c r="E160" s="2"/>
    </row>
    <row r="161" spans="1:5" x14ac:dyDescent="0.3">
      <c r="A161" s="2"/>
      <c r="B161" s="2"/>
      <c r="C161" s="2"/>
      <c r="D161" s="2"/>
      <c r="E161" s="2"/>
    </row>
    <row r="162" spans="1:5" x14ac:dyDescent="0.3">
      <c r="A162" s="2"/>
      <c r="B162" s="2"/>
      <c r="C162" s="2"/>
      <c r="D162" s="2"/>
      <c r="E162" s="2"/>
    </row>
    <row r="163" spans="1:5" x14ac:dyDescent="0.3">
      <c r="A163" s="2"/>
      <c r="B163" s="2"/>
      <c r="C163" s="2"/>
      <c r="D163" s="2"/>
      <c r="E163" s="2"/>
    </row>
    <row r="164" spans="1:5" x14ac:dyDescent="0.3">
      <c r="A164" s="2"/>
      <c r="B164" s="2"/>
      <c r="C164" s="2"/>
      <c r="D164" s="2"/>
      <c r="E164" s="2"/>
    </row>
    <row r="165" spans="1:5" x14ac:dyDescent="0.3">
      <c r="A165" s="2"/>
      <c r="B165" s="2"/>
      <c r="C165" s="2"/>
      <c r="D165" s="2"/>
      <c r="E165" s="2"/>
    </row>
    <row r="166" spans="1:5" x14ac:dyDescent="0.3">
      <c r="A166" s="2"/>
      <c r="B166" s="2"/>
      <c r="C166" s="2"/>
      <c r="D166" s="2"/>
      <c r="E166" s="2"/>
    </row>
    <row r="167" spans="1:5" x14ac:dyDescent="0.3">
      <c r="A167" s="2"/>
      <c r="B167" s="2"/>
      <c r="C167" s="2"/>
      <c r="D167" s="2"/>
      <c r="E167" s="2"/>
    </row>
    <row r="168" spans="1:5" x14ac:dyDescent="0.3">
      <c r="A168" s="2"/>
      <c r="B168" s="2"/>
      <c r="C168" s="2"/>
      <c r="D168" s="2"/>
      <c r="E168" s="2"/>
    </row>
    <row r="169" spans="1:5" x14ac:dyDescent="0.3">
      <c r="A169" s="2"/>
      <c r="B169" s="2"/>
      <c r="C169" s="2"/>
      <c r="D169" s="2"/>
      <c r="E169" s="2"/>
    </row>
    <row r="170" spans="1:5" x14ac:dyDescent="0.3">
      <c r="A170" s="2"/>
      <c r="B170" s="2"/>
      <c r="C170" s="2"/>
      <c r="D170" s="2"/>
      <c r="E170" s="2"/>
    </row>
    <row r="171" spans="1:5" x14ac:dyDescent="0.3">
      <c r="A171" s="2"/>
      <c r="B171" s="2"/>
      <c r="C171" s="2"/>
      <c r="D171" s="2"/>
      <c r="E171" s="2"/>
    </row>
    <row r="172" spans="1:5" x14ac:dyDescent="0.3">
      <c r="A172" s="2"/>
      <c r="B172" s="2"/>
      <c r="C172" s="2"/>
      <c r="D172" s="2"/>
      <c r="E172" s="2"/>
    </row>
    <row r="173" spans="1:5" x14ac:dyDescent="0.3">
      <c r="A173" s="2"/>
      <c r="B173" s="2"/>
      <c r="C173" s="2"/>
      <c r="D173" s="2"/>
      <c r="E173" s="2"/>
    </row>
    <row r="174" spans="1:5" x14ac:dyDescent="0.3">
      <c r="A174" s="2"/>
      <c r="B174" s="2"/>
      <c r="C174" s="2"/>
      <c r="D174" s="2"/>
      <c r="E174" s="2"/>
    </row>
    <row r="175" spans="1:5" x14ac:dyDescent="0.3">
      <c r="A175" s="2"/>
      <c r="B175" s="2"/>
      <c r="C175" s="2"/>
      <c r="D175" s="2"/>
      <c r="E175" s="2"/>
    </row>
    <row r="176" spans="1:5" x14ac:dyDescent="0.3">
      <c r="A176" s="2"/>
      <c r="B176" s="2"/>
      <c r="C176" s="2"/>
      <c r="D176" s="2"/>
      <c r="E176" s="2"/>
    </row>
    <row r="177" spans="1:5" x14ac:dyDescent="0.3">
      <c r="A177" s="2"/>
      <c r="B177" s="2"/>
      <c r="C177" s="2"/>
      <c r="D177" s="2"/>
      <c r="E177" s="2"/>
    </row>
    <row r="178" spans="1:5" x14ac:dyDescent="0.3">
      <c r="A178" s="2"/>
      <c r="B178" s="2"/>
      <c r="C178" s="2"/>
      <c r="D178" s="2"/>
      <c r="E178" s="2"/>
    </row>
    <row r="179" spans="1:5" x14ac:dyDescent="0.3">
      <c r="A179" s="2"/>
      <c r="B179" s="2"/>
      <c r="C179" s="2"/>
      <c r="D179" s="2"/>
      <c r="E179" s="2"/>
    </row>
    <row r="180" spans="1:5" x14ac:dyDescent="0.3">
      <c r="A180" s="2"/>
      <c r="B180" s="2"/>
      <c r="C180" s="2"/>
      <c r="D180" s="2"/>
      <c r="E180" s="2"/>
    </row>
    <row r="181" spans="1:5" x14ac:dyDescent="0.3">
      <c r="A181" s="2"/>
      <c r="B181" s="2"/>
      <c r="C181" s="2"/>
      <c r="D181" s="2"/>
      <c r="E181" s="2"/>
    </row>
    <row r="182" spans="1:5" x14ac:dyDescent="0.3">
      <c r="A182" s="2"/>
      <c r="B182" s="2"/>
      <c r="C182" s="2"/>
      <c r="D182" s="2"/>
      <c r="E182" s="2"/>
    </row>
    <row r="183" spans="1:5" x14ac:dyDescent="0.3">
      <c r="A183" s="2"/>
      <c r="B183" s="2"/>
      <c r="C183" s="2"/>
      <c r="D183" s="2"/>
      <c r="E183" s="2"/>
    </row>
    <row r="184" spans="1:5" x14ac:dyDescent="0.3">
      <c r="A184" s="2"/>
      <c r="B184" s="2"/>
      <c r="C184" s="2"/>
      <c r="D184" s="2"/>
      <c r="E184" s="2"/>
    </row>
    <row r="185" spans="1:5" x14ac:dyDescent="0.3">
      <c r="A185" s="2"/>
      <c r="B185" s="2"/>
      <c r="C185" s="2"/>
      <c r="D185" s="2"/>
      <c r="E185" s="2"/>
    </row>
    <row r="186" spans="1:5" x14ac:dyDescent="0.3">
      <c r="A186" s="2"/>
      <c r="B186" s="2"/>
      <c r="C186" s="2"/>
      <c r="D186" s="2"/>
      <c r="E186" s="2"/>
    </row>
    <row r="187" spans="1:5" x14ac:dyDescent="0.3">
      <c r="C187" s="2"/>
      <c r="D187" s="2"/>
      <c r="E187" s="2"/>
    </row>
    <row r="188" spans="1:5" x14ac:dyDescent="0.3">
      <c r="C188" s="2"/>
      <c r="D188" s="2"/>
      <c r="E188" s="2"/>
    </row>
    <row r="189" spans="1:5" x14ac:dyDescent="0.3">
      <c r="C189" s="2"/>
      <c r="D189" s="2"/>
      <c r="E189" s="2"/>
    </row>
    <row r="190" spans="1:5" x14ac:dyDescent="0.3">
      <c r="C190" s="2"/>
      <c r="D190" s="2"/>
      <c r="E190" s="2"/>
    </row>
    <row r="191" spans="1:5" x14ac:dyDescent="0.3">
      <c r="C191" s="2"/>
      <c r="D191" s="2"/>
      <c r="E191" s="2"/>
    </row>
    <row r="192" spans="1:5" x14ac:dyDescent="0.3">
      <c r="C192" s="2"/>
      <c r="D192" s="2"/>
      <c r="E192" s="2"/>
    </row>
    <row r="193" spans="3:5" x14ac:dyDescent="0.3">
      <c r="C193" s="2"/>
      <c r="D193" s="2"/>
      <c r="E193" s="2"/>
    </row>
    <row r="194" spans="3:5" x14ac:dyDescent="0.3">
      <c r="C194" s="2"/>
      <c r="D194" s="2"/>
      <c r="E194" s="2"/>
    </row>
    <row r="195" spans="3:5" x14ac:dyDescent="0.3">
      <c r="C195" s="2"/>
      <c r="D195" s="2"/>
      <c r="E195" s="2"/>
    </row>
    <row r="196" spans="3:5" x14ac:dyDescent="0.3">
      <c r="C196" s="2"/>
      <c r="D196" s="2"/>
      <c r="E196" s="2"/>
    </row>
    <row r="197" spans="3:5" x14ac:dyDescent="0.3">
      <c r="C197" s="2"/>
      <c r="D197" s="2"/>
      <c r="E197" s="2"/>
    </row>
    <row r="198" spans="3:5" x14ac:dyDescent="0.3">
      <c r="C198" s="2"/>
      <c r="D198" s="2"/>
      <c r="E198" s="2"/>
    </row>
    <row r="199" spans="3:5" x14ac:dyDescent="0.3">
      <c r="C199" s="2"/>
      <c r="D199" s="2"/>
      <c r="E199" s="2"/>
    </row>
    <row r="200" spans="3:5" x14ac:dyDescent="0.3">
      <c r="C200" s="2"/>
      <c r="D200" s="2"/>
      <c r="E200" s="2"/>
    </row>
    <row r="201" spans="3:5" x14ac:dyDescent="0.3">
      <c r="C201" s="2"/>
      <c r="D201" s="2"/>
      <c r="E201" s="2"/>
    </row>
    <row r="202" spans="3:5" x14ac:dyDescent="0.3">
      <c r="C202" s="2"/>
      <c r="D202" s="2"/>
      <c r="E202" s="2"/>
    </row>
    <row r="203" spans="3:5" x14ac:dyDescent="0.3">
      <c r="C203" s="2"/>
      <c r="D203" s="2"/>
      <c r="E203" s="2"/>
    </row>
    <row r="204" spans="3:5" x14ac:dyDescent="0.3">
      <c r="C204" s="2"/>
      <c r="D204" s="2"/>
      <c r="E204" s="2"/>
    </row>
    <row r="205" spans="3:5" x14ac:dyDescent="0.3">
      <c r="C205" s="2"/>
      <c r="D205" s="2"/>
      <c r="E205" s="2"/>
    </row>
    <row r="206" spans="3:5" x14ac:dyDescent="0.3">
      <c r="C206" s="2"/>
      <c r="D206" s="2"/>
      <c r="E206" s="2"/>
    </row>
    <row r="207" spans="3:5" x14ac:dyDescent="0.3">
      <c r="C207" s="2"/>
      <c r="D207" s="2"/>
      <c r="E207" s="2"/>
    </row>
    <row r="208" spans="3:5" x14ac:dyDescent="0.3">
      <c r="C208" s="2"/>
      <c r="D208" s="2"/>
      <c r="E208" s="2"/>
    </row>
    <row r="209" spans="3:5" x14ac:dyDescent="0.3">
      <c r="C209" s="2"/>
      <c r="D209" s="2"/>
      <c r="E209" s="2"/>
    </row>
    <row r="210" spans="3:5" x14ac:dyDescent="0.3">
      <c r="C210" s="2"/>
      <c r="D210" s="2"/>
      <c r="E210" s="2"/>
    </row>
    <row r="211" spans="3:5" x14ac:dyDescent="0.3">
      <c r="C211" s="2"/>
      <c r="D211" s="2"/>
      <c r="E211" s="2"/>
    </row>
    <row r="212" spans="3:5" x14ac:dyDescent="0.3">
      <c r="C212" s="2"/>
      <c r="D212" s="2"/>
      <c r="E212" s="2"/>
    </row>
    <row r="213" spans="3:5" x14ac:dyDescent="0.3">
      <c r="C213" s="2"/>
      <c r="D213" s="2"/>
      <c r="E213" s="2"/>
    </row>
    <row r="214" spans="3:5" x14ac:dyDescent="0.3">
      <c r="C214" s="2"/>
      <c r="D214" s="2"/>
      <c r="E214" s="2"/>
    </row>
    <row r="215" spans="3:5" x14ac:dyDescent="0.3">
      <c r="C215" s="2"/>
      <c r="D215" s="2"/>
      <c r="E215" s="2"/>
    </row>
    <row r="216" spans="3:5" x14ac:dyDescent="0.3">
      <c r="C216" s="2"/>
      <c r="D216" s="2"/>
      <c r="E216" s="2"/>
    </row>
    <row r="217" spans="3:5" x14ac:dyDescent="0.3">
      <c r="C217" s="2"/>
      <c r="D217" s="2"/>
      <c r="E217" s="2"/>
    </row>
    <row r="218" spans="3:5" x14ac:dyDescent="0.3">
      <c r="C218" s="2"/>
      <c r="D218" s="2"/>
      <c r="E218" s="2"/>
    </row>
    <row r="219" spans="3:5" x14ac:dyDescent="0.3">
      <c r="C219" s="2"/>
      <c r="D219" s="2"/>
      <c r="E219" s="2"/>
    </row>
    <row r="220" spans="3:5" x14ac:dyDescent="0.3">
      <c r="C220" s="2"/>
      <c r="D220" s="2"/>
      <c r="E220" s="2"/>
    </row>
    <row r="221" spans="3:5" x14ac:dyDescent="0.3">
      <c r="C221" s="2"/>
      <c r="D221" s="2"/>
      <c r="E221" s="2"/>
    </row>
    <row r="222" spans="3:5" x14ac:dyDescent="0.3">
      <c r="C222" s="2"/>
      <c r="D222" s="2"/>
      <c r="E222" s="2"/>
    </row>
    <row r="223" spans="3:5" x14ac:dyDescent="0.3">
      <c r="C223" s="2"/>
      <c r="D223" s="2"/>
      <c r="E223" s="2"/>
    </row>
    <row r="224" spans="3:5" x14ac:dyDescent="0.3">
      <c r="C224" s="2"/>
      <c r="D224" s="2"/>
      <c r="E224" s="2"/>
    </row>
    <row r="225" spans="3:5" x14ac:dyDescent="0.3">
      <c r="C225" s="2"/>
      <c r="D225" s="2"/>
      <c r="E225" s="2"/>
    </row>
    <row r="226" spans="3:5" x14ac:dyDescent="0.3">
      <c r="C226" s="2"/>
      <c r="D226" s="2"/>
      <c r="E226" s="2"/>
    </row>
    <row r="227" spans="3:5" x14ac:dyDescent="0.3">
      <c r="C227" s="2"/>
      <c r="D227" s="2"/>
      <c r="E227" s="2"/>
    </row>
    <row r="228" spans="3:5" x14ac:dyDescent="0.3">
      <c r="C228" s="2"/>
      <c r="D228" s="2"/>
      <c r="E228" s="2"/>
    </row>
    <row r="229" spans="3:5" x14ac:dyDescent="0.3">
      <c r="C229" s="2"/>
      <c r="D229" s="2"/>
      <c r="E229" s="2"/>
    </row>
    <row r="230" spans="3:5" x14ac:dyDescent="0.3">
      <c r="C230" s="2"/>
      <c r="D230" s="2"/>
      <c r="E230" s="2"/>
    </row>
    <row r="231" spans="3:5" x14ac:dyDescent="0.3">
      <c r="C231" s="2"/>
      <c r="D231" s="2"/>
      <c r="E231" s="2"/>
    </row>
    <row r="232" spans="3:5" x14ac:dyDescent="0.3">
      <c r="C232" s="2"/>
      <c r="D232" s="2"/>
      <c r="E232" s="2"/>
    </row>
    <row r="233" spans="3:5" x14ac:dyDescent="0.3">
      <c r="C233" s="2"/>
      <c r="D233" s="2"/>
      <c r="E233" s="2"/>
    </row>
    <row r="234" spans="3:5" x14ac:dyDescent="0.3">
      <c r="C234" s="2"/>
      <c r="D234" s="2"/>
      <c r="E234" s="2"/>
    </row>
    <row r="235" spans="3:5" x14ac:dyDescent="0.3">
      <c r="C235" s="2"/>
      <c r="D235" s="2"/>
      <c r="E235" s="2"/>
    </row>
    <row r="236" spans="3:5" x14ac:dyDescent="0.3">
      <c r="C236" s="2"/>
      <c r="D236" s="2"/>
      <c r="E236" s="2"/>
    </row>
    <row r="237" spans="3:5" x14ac:dyDescent="0.3">
      <c r="C237" s="2"/>
      <c r="D237" s="2"/>
      <c r="E237" s="2"/>
    </row>
    <row r="238" spans="3:5" x14ac:dyDescent="0.3">
      <c r="C238" s="2"/>
      <c r="D238" s="2"/>
      <c r="E238" s="2"/>
    </row>
    <row r="239" spans="3:5" x14ac:dyDescent="0.3">
      <c r="C239" s="2"/>
      <c r="D239" s="2"/>
      <c r="E239" s="2"/>
    </row>
    <row r="240" spans="3:5" x14ac:dyDescent="0.3">
      <c r="C240" s="2"/>
      <c r="D240" s="2"/>
      <c r="E240" s="2"/>
    </row>
    <row r="241" spans="3:5" x14ac:dyDescent="0.3">
      <c r="C241" s="2"/>
      <c r="D241" s="2"/>
      <c r="E241" s="2"/>
    </row>
    <row r="242" spans="3:5" x14ac:dyDescent="0.3">
      <c r="C242" s="2"/>
      <c r="D242" s="2"/>
      <c r="E242" s="2"/>
    </row>
    <row r="243" spans="3:5" x14ac:dyDescent="0.3">
      <c r="C243" s="2"/>
      <c r="D243" s="2"/>
      <c r="E243" s="2"/>
    </row>
    <row r="244" spans="3:5" x14ac:dyDescent="0.3">
      <c r="C244" s="2"/>
      <c r="D244" s="2"/>
      <c r="E244" s="2"/>
    </row>
    <row r="245" spans="3:5" x14ac:dyDescent="0.3">
      <c r="C245" s="2"/>
      <c r="D245" s="2"/>
      <c r="E245" s="2"/>
    </row>
    <row r="246" spans="3:5" x14ac:dyDescent="0.3">
      <c r="C246" s="2"/>
      <c r="D246" s="2"/>
      <c r="E246" s="2"/>
    </row>
    <row r="247" spans="3:5" x14ac:dyDescent="0.3">
      <c r="C247" s="2"/>
      <c r="D247" s="2"/>
      <c r="E247" s="2"/>
    </row>
    <row r="248" spans="3:5" x14ac:dyDescent="0.3">
      <c r="C248" s="2"/>
      <c r="D248" s="2"/>
      <c r="E248" s="2"/>
    </row>
    <row r="249" spans="3:5" x14ac:dyDescent="0.3">
      <c r="C249" s="2"/>
      <c r="D249" s="2"/>
      <c r="E249" s="2"/>
    </row>
    <row r="250" spans="3:5" x14ac:dyDescent="0.3">
      <c r="C250" s="2"/>
      <c r="D250" s="2"/>
      <c r="E250" s="2"/>
    </row>
    <row r="251" spans="3:5" x14ac:dyDescent="0.3">
      <c r="C251" s="2"/>
      <c r="D251" s="2"/>
      <c r="E251" s="2"/>
    </row>
    <row r="252" spans="3:5" x14ac:dyDescent="0.3">
      <c r="C252" s="2"/>
      <c r="D252" s="2"/>
      <c r="E252" s="2"/>
    </row>
    <row r="253" spans="3:5" x14ac:dyDescent="0.3">
      <c r="C253" s="2"/>
      <c r="D253" s="2"/>
      <c r="E253" s="2"/>
    </row>
    <row r="254" spans="3:5" x14ac:dyDescent="0.3">
      <c r="C254" s="2"/>
      <c r="D254" s="2"/>
      <c r="E254" s="2"/>
    </row>
    <row r="255" spans="3:5" x14ac:dyDescent="0.3">
      <c r="C255" s="2"/>
      <c r="D255" s="2"/>
      <c r="E255" s="2"/>
    </row>
    <row r="256" spans="3:5" x14ac:dyDescent="0.3">
      <c r="C256" s="2"/>
      <c r="D256" s="2"/>
      <c r="E256" s="2"/>
    </row>
    <row r="257" spans="3:5" x14ac:dyDescent="0.3">
      <c r="C257" s="2"/>
      <c r="D257" s="2"/>
      <c r="E257" s="2"/>
    </row>
    <row r="258" spans="3:5" x14ac:dyDescent="0.3">
      <c r="C258" s="2"/>
      <c r="D258" s="2"/>
      <c r="E258" s="2"/>
    </row>
    <row r="259" spans="3:5" x14ac:dyDescent="0.3">
      <c r="C259" s="2"/>
      <c r="D259" s="2"/>
      <c r="E259" s="2"/>
    </row>
    <row r="260" spans="3:5" x14ac:dyDescent="0.3">
      <c r="C260" s="2"/>
      <c r="D260" s="2"/>
      <c r="E260" s="2"/>
    </row>
    <row r="261" spans="3:5" x14ac:dyDescent="0.3">
      <c r="C261" s="2"/>
      <c r="D261" s="2"/>
      <c r="E261" s="2"/>
    </row>
    <row r="262" spans="3:5" x14ac:dyDescent="0.3">
      <c r="C262" s="2"/>
      <c r="D262" s="2"/>
      <c r="E262" s="2"/>
    </row>
    <row r="263" spans="3:5" x14ac:dyDescent="0.3">
      <c r="C263" s="2"/>
      <c r="D263" s="2"/>
      <c r="E263" s="2"/>
    </row>
    <row r="264" spans="3:5" x14ac:dyDescent="0.3">
      <c r="C264" s="2"/>
      <c r="D264" s="2"/>
      <c r="E264" s="2"/>
    </row>
    <row r="265" spans="3:5" x14ac:dyDescent="0.3">
      <c r="C265" s="2"/>
      <c r="D265" s="2"/>
      <c r="E265" s="2"/>
    </row>
    <row r="266" spans="3:5" x14ac:dyDescent="0.3">
      <c r="C266" s="2"/>
      <c r="D266" s="2"/>
      <c r="E266" s="2"/>
    </row>
    <row r="267" spans="3:5" x14ac:dyDescent="0.3">
      <c r="C267" s="2"/>
      <c r="D267" s="2"/>
      <c r="E267" s="2"/>
    </row>
    <row r="268" spans="3:5" x14ac:dyDescent="0.3">
      <c r="C268" s="2"/>
      <c r="D268" s="2"/>
      <c r="E268" s="2"/>
    </row>
    <row r="269" spans="3:5" x14ac:dyDescent="0.3">
      <c r="C269" s="2"/>
      <c r="D269" s="2"/>
      <c r="E269" s="2"/>
    </row>
    <row r="270" spans="3:5" x14ac:dyDescent="0.3">
      <c r="C270" s="2"/>
      <c r="D270" s="2"/>
      <c r="E270" s="2"/>
    </row>
    <row r="271" spans="3:5" x14ac:dyDescent="0.3">
      <c r="C271" s="2"/>
      <c r="D271" s="2"/>
      <c r="E271" s="2"/>
    </row>
    <row r="272" spans="3:5" x14ac:dyDescent="0.3">
      <c r="C272" s="2"/>
      <c r="D272" s="2"/>
      <c r="E272" s="2"/>
    </row>
    <row r="273" spans="3:5" x14ac:dyDescent="0.3">
      <c r="C273" s="2"/>
      <c r="D273" s="2"/>
      <c r="E273" s="2"/>
    </row>
    <row r="274" spans="3:5" x14ac:dyDescent="0.3">
      <c r="C274" s="2"/>
      <c r="D274" s="2"/>
      <c r="E274" s="2"/>
    </row>
    <row r="275" spans="3:5" x14ac:dyDescent="0.3">
      <c r="C275" s="2"/>
      <c r="D275" s="2"/>
      <c r="E275" s="2"/>
    </row>
    <row r="276" spans="3:5" x14ac:dyDescent="0.3">
      <c r="C276" s="2"/>
      <c r="D276" s="2"/>
      <c r="E276" s="2"/>
    </row>
    <row r="277" spans="3:5" x14ac:dyDescent="0.3">
      <c r="C277" s="2"/>
      <c r="D277" s="2"/>
      <c r="E277" s="2"/>
    </row>
    <row r="278" spans="3:5" x14ac:dyDescent="0.3">
      <c r="C278" s="2"/>
      <c r="D278" s="2"/>
      <c r="E278" s="2"/>
    </row>
    <row r="279" spans="3:5" x14ac:dyDescent="0.3">
      <c r="C279" s="2"/>
      <c r="D279" s="2"/>
      <c r="E279" s="2"/>
    </row>
    <row r="280" spans="3:5" x14ac:dyDescent="0.3">
      <c r="C280" s="2"/>
      <c r="D280" s="2"/>
      <c r="E280" s="2"/>
    </row>
    <row r="281" spans="3:5" x14ac:dyDescent="0.3">
      <c r="C281" s="2"/>
      <c r="D281" s="2"/>
      <c r="E281" s="2"/>
    </row>
    <row r="282" spans="3:5" x14ac:dyDescent="0.3">
      <c r="C282" s="2"/>
      <c r="D282" s="2"/>
      <c r="E282" s="2"/>
    </row>
    <row r="283" spans="3:5" x14ac:dyDescent="0.3">
      <c r="C283" s="2"/>
      <c r="D283" s="2"/>
      <c r="E283" s="2"/>
    </row>
    <row r="284" spans="3:5" x14ac:dyDescent="0.3">
      <c r="C284" s="2"/>
      <c r="D284" s="2"/>
      <c r="E284" s="2"/>
    </row>
    <row r="285" spans="3:5" x14ac:dyDescent="0.3">
      <c r="C285" s="2"/>
      <c r="D285" s="2"/>
      <c r="E285" s="2"/>
    </row>
    <row r="286" spans="3:5" x14ac:dyDescent="0.3">
      <c r="C286" s="2"/>
      <c r="D286" s="2"/>
      <c r="E286" s="2"/>
    </row>
    <row r="287" spans="3:5" x14ac:dyDescent="0.3">
      <c r="C287" s="2"/>
      <c r="D287" s="2"/>
      <c r="E287" s="2"/>
    </row>
    <row r="288" spans="3:5" x14ac:dyDescent="0.3">
      <c r="C288" s="2"/>
      <c r="D288" s="2"/>
      <c r="E288" s="2"/>
    </row>
    <row r="289" spans="3:5" x14ac:dyDescent="0.3">
      <c r="C289" s="2"/>
      <c r="D289" s="2"/>
      <c r="E289" s="2"/>
    </row>
    <row r="290" spans="3:5" x14ac:dyDescent="0.3">
      <c r="C290" s="2"/>
      <c r="D290" s="2"/>
      <c r="E290" s="2"/>
    </row>
    <row r="291" spans="3:5" x14ac:dyDescent="0.3">
      <c r="C291" s="2"/>
      <c r="D291" s="2"/>
      <c r="E291" s="2"/>
    </row>
    <row r="292" spans="3:5" x14ac:dyDescent="0.3">
      <c r="C292" s="2"/>
      <c r="D292" s="2"/>
      <c r="E292" s="2"/>
    </row>
    <row r="293" spans="3:5" x14ac:dyDescent="0.3">
      <c r="C293" s="2"/>
      <c r="D293" s="2"/>
      <c r="E293" s="2"/>
    </row>
    <row r="294" spans="3:5" x14ac:dyDescent="0.3">
      <c r="C294" s="2"/>
      <c r="D294" s="2"/>
      <c r="E294" s="2"/>
    </row>
    <row r="295" spans="3:5" x14ac:dyDescent="0.3">
      <c r="C295" s="2"/>
      <c r="D295" s="2"/>
      <c r="E295" s="2"/>
    </row>
    <row r="296" spans="3:5" x14ac:dyDescent="0.3">
      <c r="C296" s="2"/>
      <c r="D296" s="2"/>
      <c r="E296" s="2"/>
    </row>
    <row r="297" spans="3:5" x14ac:dyDescent="0.3">
      <c r="C297" s="2"/>
      <c r="D297" s="2"/>
      <c r="E297" s="2"/>
    </row>
    <row r="298" spans="3:5" x14ac:dyDescent="0.3">
      <c r="C298" s="2"/>
      <c r="D298" s="2"/>
      <c r="E298" s="2"/>
    </row>
    <row r="299" spans="3:5" x14ac:dyDescent="0.3">
      <c r="C299" s="2"/>
      <c r="D299" s="2"/>
      <c r="E299" s="2"/>
    </row>
    <row r="300" spans="3:5" x14ac:dyDescent="0.3">
      <c r="C300" s="2"/>
      <c r="D300" s="2"/>
      <c r="E300" s="2"/>
    </row>
    <row r="301" spans="3:5" x14ac:dyDescent="0.3">
      <c r="C301" s="2"/>
      <c r="D301" s="2"/>
      <c r="E301" s="2"/>
    </row>
    <row r="302" spans="3:5" x14ac:dyDescent="0.3">
      <c r="C302" s="2"/>
      <c r="D302" s="2"/>
      <c r="E302" s="2"/>
    </row>
    <row r="303" spans="3:5" x14ac:dyDescent="0.3">
      <c r="C303" s="2"/>
      <c r="D303" s="2"/>
      <c r="E303" s="2"/>
    </row>
    <row r="304" spans="3:5" x14ac:dyDescent="0.3">
      <c r="C304" s="2"/>
      <c r="D304" s="2"/>
      <c r="E304" s="2"/>
    </row>
    <row r="305" spans="3:5" x14ac:dyDescent="0.3">
      <c r="C305" s="2"/>
      <c r="D305" s="2"/>
      <c r="E305" s="2"/>
    </row>
    <row r="306" spans="3:5" x14ac:dyDescent="0.3">
      <c r="C306" s="2"/>
      <c r="D306" s="2"/>
      <c r="E306" s="2"/>
    </row>
    <row r="307" spans="3:5" x14ac:dyDescent="0.3">
      <c r="C307" s="2"/>
      <c r="D307" s="2"/>
      <c r="E307" s="2"/>
    </row>
    <row r="308" spans="3:5" x14ac:dyDescent="0.3">
      <c r="C308" s="2"/>
      <c r="D308" s="2"/>
      <c r="E308" s="2"/>
    </row>
    <row r="309" spans="3:5" x14ac:dyDescent="0.3">
      <c r="C309" s="2"/>
      <c r="D309" s="2"/>
      <c r="E309" s="2"/>
    </row>
    <row r="310" spans="3:5" x14ac:dyDescent="0.3">
      <c r="C310" s="2"/>
      <c r="D310" s="2"/>
      <c r="E310" s="2"/>
    </row>
    <row r="311" spans="3:5" x14ac:dyDescent="0.3">
      <c r="C311" s="2"/>
      <c r="D311" s="2"/>
      <c r="E311" s="2"/>
    </row>
    <row r="312" spans="3:5" x14ac:dyDescent="0.3">
      <c r="C312" s="2"/>
      <c r="D312" s="2"/>
      <c r="E312" s="2"/>
    </row>
    <row r="313" spans="3:5" x14ac:dyDescent="0.3">
      <c r="C313" s="2"/>
      <c r="D313" s="2"/>
      <c r="E313" s="2"/>
    </row>
    <row r="314" spans="3:5" x14ac:dyDescent="0.3">
      <c r="C314" s="2"/>
      <c r="D314" s="2"/>
      <c r="E314" s="2"/>
    </row>
    <row r="315" spans="3:5" x14ac:dyDescent="0.3">
      <c r="C315" s="2"/>
      <c r="D315" s="2"/>
      <c r="E315" s="2"/>
    </row>
    <row r="316" spans="3:5" x14ac:dyDescent="0.3">
      <c r="C316" s="2"/>
      <c r="D316" s="2"/>
      <c r="E316" s="2"/>
    </row>
    <row r="317" spans="3:5" x14ac:dyDescent="0.3">
      <c r="C317" s="2"/>
      <c r="D317" s="2"/>
      <c r="E317" s="2"/>
    </row>
    <row r="318" spans="3:5" x14ac:dyDescent="0.3">
      <c r="C318" s="2"/>
      <c r="D318" s="2"/>
      <c r="E318" s="2"/>
    </row>
    <row r="319" spans="3:5" x14ac:dyDescent="0.3">
      <c r="C319" s="2"/>
      <c r="D319" s="2"/>
      <c r="E319" s="2"/>
    </row>
    <row r="320" spans="3:5" x14ac:dyDescent="0.3">
      <c r="C320" s="2"/>
      <c r="D320" s="2"/>
      <c r="E320" s="2"/>
    </row>
    <row r="321" spans="3:5" x14ac:dyDescent="0.3">
      <c r="C321" s="2"/>
      <c r="D321" s="2"/>
      <c r="E321" s="2"/>
    </row>
    <row r="322" spans="3:5" x14ac:dyDescent="0.3">
      <c r="C322" s="2"/>
      <c r="D322" s="2"/>
      <c r="E322" s="2"/>
    </row>
    <row r="323" spans="3:5" x14ac:dyDescent="0.3">
      <c r="C323" s="2"/>
      <c r="D323" s="2"/>
      <c r="E323" s="2"/>
    </row>
    <row r="324" spans="3:5" x14ac:dyDescent="0.3">
      <c r="C324" s="2"/>
      <c r="D324" s="2"/>
      <c r="E324" s="2"/>
    </row>
    <row r="325" spans="3:5" x14ac:dyDescent="0.3">
      <c r="C325" s="2"/>
      <c r="D325" s="2"/>
      <c r="E325" s="2"/>
    </row>
    <row r="326" spans="3:5" x14ac:dyDescent="0.3">
      <c r="C326" s="2"/>
      <c r="D326" s="2"/>
      <c r="E326" s="2"/>
    </row>
    <row r="327" spans="3:5" x14ac:dyDescent="0.3">
      <c r="C327" s="2"/>
      <c r="D327" s="2"/>
      <c r="E327" s="2"/>
    </row>
    <row r="328" spans="3:5" x14ac:dyDescent="0.3">
      <c r="C328" s="2"/>
      <c r="D328" s="2"/>
      <c r="E328" s="2"/>
    </row>
    <row r="329" spans="3:5" x14ac:dyDescent="0.3">
      <c r="C329" s="2"/>
      <c r="D329" s="2"/>
      <c r="E329" s="2"/>
    </row>
    <row r="330" spans="3:5" x14ac:dyDescent="0.3">
      <c r="C330" s="2"/>
      <c r="D330" s="2"/>
      <c r="E330" s="2"/>
    </row>
    <row r="331" spans="3:5" x14ac:dyDescent="0.3">
      <c r="C331" s="2"/>
      <c r="D331" s="2"/>
      <c r="E331" s="2"/>
    </row>
    <row r="332" spans="3:5" x14ac:dyDescent="0.3">
      <c r="C332" s="2"/>
      <c r="D332" s="2"/>
      <c r="E332" s="2"/>
    </row>
    <row r="333" spans="3:5" x14ac:dyDescent="0.3">
      <c r="C333" s="2"/>
      <c r="D333" s="2"/>
      <c r="E333" s="2"/>
    </row>
    <row r="334" spans="3:5" x14ac:dyDescent="0.3">
      <c r="C334" s="2"/>
      <c r="D334" s="2"/>
      <c r="E334" s="2"/>
    </row>
    <row r="335" spans="3:5" x14ac:dyDescent="0.3">
      <c r="C335" s="2"/>
      <c r="D335" s="2"/>
      <c r="E335" s="2"/>
    </row>
    <row r="336" spans="3:5" x14ac:dyDescent="0.3">
      <c r="C336" s="2"/>
      <c r="D336" s="2"/>
      <c r="E336" s="2"/>
    </row>
    <row r="337" spans="3:5" x14ac:dyDescent="0.3">
      <c r="C337" s="2"/>
      <c r="D337" s="2"/>
      <c r="E337" s="2"/>
    </row>
    <row r="338" spans="3:5" x14ac:dyDescent="0.3">
      <c r="C338" s="2"/>
      <c r="D338" s="2"/>
      <c r="E338" s="2"/>
    </row>
    <row r="339" spans="3:5" x14ac:dyDescent="0.3">
      <c r="C339" s="2"/>
      <c r="D339" s="2"/>
      <c r="E339" s="2"/>
    </row>
    <row r="340" spans="3:5" x14ac:dyDescent="0.3">
      <c r="C340" s="2"/>
      <c r="D340" s="2"/>
      <c r="E340" s="2"/>
    </row>
    <row r="341" spans="3:5" x14ac:dyDescent="0.3">
      <c r="C341" s="2"/>
      <c r="D341" s="2"/>
      <c r="E341" s="2"/>
    </row>
    <row r="342" spans="3:5" x14ac:dyDescent="0.3">
      <c r="C342" s="2"/>
      <c r="D342" s="2"/>
      <c r="E342" s="2"/>
    </row>
    <row r="343" spans="3:5" x14ac:dyDescent="0.3">
      <c r="C343" s="2"/>
      <c r="D343" s="2"/>
      <c r="E343" s="2"/>
    </row>
    <row r="344" spans="3:5" x14ac:dyDescent="0.3">
      <c r="C344" s="2"/>
      <c r="D344" s="2"/>
      <c r="E344" s="2"/>
    </row>
    <row r="345" spans="3:5" x14ac:dyDescent="0.3">
      <c r="C345" s="2"/>
      <c r="D345" s="2"/>
      <c r="E345" s="2"/>
    </row>
    <row r="346" spans="3:5" x14ac:dyDescent="0.3">
      <c r="C346" s="2"/>
      <c r="D346" s="2"/>
      <c r="E346" s="2"/>
    </row>
    <row r="347" spans="3:5" x14ac:dyDescent="0.3">
      <c r="C347" s="2"/>
      <c r="D347" s="2"/>
      <c r="E347" s="2"/>
    </row>
    <row r="348" spans="3:5" x14ac:dyDescent="0.3">
      <c r="C348" s="2"/>
      <c r="D348" s="2"/>
      <c r="E348" s="2"/>
    </row>
    <row r="349" spans="3:5" x14ac:dyDescent="0.3">
      <c r="C349" s="2"/>
      <c r="D349" s="2"/>
      <c r="E349" s="2"/>
    </row>
    <row r="350" spans="3:5" x14ac:dyDescent="0.3">
      <c r="C350" s="2"/>
      <c r="D350" s="2"/>
      <c r="E350" s="2"/>
    </row>
    <row r="351" spans="3:5" x14ac:dyDescent="0.3">
      <c r="C351" s="2"/>
      <c r="D351" s="2"/>
      <c r="E351" s="2"/>
    </row>
    <row r="352" spans="3:5" x14ac:dyDescent="0.3">
      <c r="C352" s="2"/>
      <c r="D352" s="2"/>
      <c r="E352" s="2"/>
    </row>
    <row r="353" spans="3:5" x14ac:dyDescent="0.3">
      <c r="C353" s="2"/>
      <c r="D353" s="2"/>
      <c r="E353" s="2"/>
    </row>
    <row r="354" spans="3:5" x14ac:dyDescent="0.3">
      <c r="C354" s="2"/>
      <c r="D354" s="2"/>
      <c r="E354" s="2"/>
    </row>
    <row r="355" spans="3:5" x14ac:dyDescent="0.3">
      <c r="C355" s="2"/>
      <c r="D355" s="2"/>
      <c r="E355" s="2"/>
    </row>
    <row r="356" spans="3:5" x14ac:dyDescent="0.3">
      <c r="C356" s="2"/>
      <c r="D356" s="2"/>
      <c r="E356" s="2"/>
    </row>
    <row r="357" spans="3:5" x14ac:dyDescent="0.3">
      <c r="C357" s="2"/>
      <c r="D357" s="2"/>
      <c r="E357" s="2"/>
    </row>
    <row r="358" spans="3:5" x14ac:dyDescent="0.3">
      <c r="C358" s="2"/>
      <c r="D358" s="2"/>
      <c r="E358" s="2"/>
    </row>
    <row r="359" spans="3:5" x14ac:dyDescent="0.3">
      <c r="C359" s="2"/>
      <c r="D359" s="2"/>
      <c r="E359" s="2"/>
    </row>
    <row r="360" spans="3:5" x14ac:dyDescent="0.3">
      <c r="C360" s="2"/>
      <c r="D360" s="2"/>
      <c r="E360" s="2"/>
    </row>
    <row r="361" spans="3:5" x14ac:dyDescent="0.3">
      <c r="C361" s="2"/>
      <c r="D361" s="2"/>
      <c r="E361" s="2"/>
    </row>
    <row r="362" spans="3:5" x14ac:dyDescent="0.3">
      <c r="C362" s="2"/>
      <c r="D362" s="2"/>
      <c r="E362" s="2"/>
    </row>
    <row r="363" spans="3:5" x14ac:dyDescent="0.3">
      <c r="C363" s="2"/>
      <c r="D363" s="2"/>
      <c r="E363" s="2"/>
    </row>
    <row r="364" spans="3:5" x14ac:dyDescent="0.3">
      <c r="C364" s="2"/>
      <c r="D364" s="2"/>
      <c r="E364" s="2"/>
    </row>
    <row r="365" spans="3:5" x14ac:dyDescent="0.3">
      <c r="C365" s="2"/>
      <c r="D365" s="2"/>
      <c r="E365" s="2"/>
    </row>
    <row r="366" spans="3:5" x14ac:dyDescent="0.3">
      <c r="C366" s="2"/>
      <c r="D366" s="2"/>
      <c r="E366" s="2"/>
    </row>
    <row r="367" spans="3:5" x14ac:dyDescent="0.3">
      <c r="C367" s="2"/>
      <c r="D367" s="2"/>
      <c r="E367" s="2"/>
    </row>
    <row r="368" spans="3:5" x14ac:dyDescent="0.3">
      <c r="C368" s="2"/>
      <c r="D368" s="2"/>
      <c r="E368" s="2"/>
    </row>
    <row r="369" spans="3:5" x14ac:dyDescent="0.3">
      <c r="C369" s="2"/>
      <c r="D369" s="2"/>
      <c r="E369" s="2"/>
    </row>
    <row r="370" spans="3:5" x14ac:dyDescent="0.3">
      <c r="C370" s="2"/>
      <c r="D370" s="2"/>
      <c r="E370" s="2"/>
    </row>
    <row r="371" spans="3:5" x14ac:dyDescent="0.3">
      <c r="C371" s="2"/>
      <c r="D371" s="2"/>
      <c r="E371" s="2"/>
    </row>
    <row r="372" spans="3:5" x14ac:dyDescent="0.3">
      <c r="C372" s="2"/>
      <c r="D372" s="2"/>
      <c r="E372" s="2"/>
    </row>
    <row r="373" spans="3:5" x14ac:dyDescent="0.3">
      <c r="C373" s="2"/>
      <c r="D373" s="2"/>
      <c r="E373" s="2"/>
    </row>
    <row r="374" spans="3:5" x14ac:dyDescent="0.3">
      <c r="C374" s="2"/>
      <c r="D374" s="2"/>
      <c r="E374" s="2"/>
    </row>
    <row r="375" spans="3:5" x14ac:dyDescent="0.3">
      <c r="C375" s="2"/>
      <c r="D375" s="2"/>
      <c r="E375" s="2"/>
    </row>
    <row r="376" spans="3:5" x14ac:dyDescent="0.3">
      <c r="C376" s="2"/>
      <c r="D376" s="2"/>
      <c r="E376" s="2"/>
    </row>
    <row r="377" spans="3:5" x14ac:dyDescent="0.3">
      <c r="C377" s="2"/>
      <c r="D377" s="2"/>
      <c r="E377" s="2"/>
    </row>
    <row r="378" spans="3:5" x14ac:dyDescent="0.3">
      <c r="C378" s="2"/>
      <c r="D378" s="2"/>
      <c r="E378" s="2"/>
    </row>
    <row r="379" spans="3:5" x14ac:dyDescent="0.3">
      <c r="C379" s="2"/>
      <c r="D379" s="2"/>
      <c r="E379" s="2"/>
    </row>
    <row r="380" spans="3:5" x14ac:dyDescent="0.3">
      <c r="C380" s="2"/>
      <c r="D380" s="2"/>
      <c r="E380" s="2"/>
    </row>
    <row r="381" spans="3:5" x14ac:dyDescent="0.3">
      <c r="C381" s="2"/>
      <c r="D381" s="2"/>
      <c r="E381" s="2"/>
    </row>
    <row r="382" spans="3:5" x14ac:dyDescent="0.3">
      <c r="C382" s="2"/>
      <c r="D382" s="2"/>
      <c r="E382" s="2"/>
    </row>
    <row r="383" spans="3:5" x14ac:dyDescent="0.3">
      <c r="C383" s="2"/>
      <c r="D383" s="2"/>
      <c r="E383" s="2"/>
    </row>
    <row r="384" spans="3:5" x14ac:dyDescent="0.3">
      <c r="C384" s="2"/>
      <c r="D384" s="2"/>
      <c r="E384" s="2"/>
    </row>
    <row r="385" spans="3:5" x14ac:dyDescent="0.3">
      <c r="C385" s="2"/>
      <c r="D385" s="2"/>
      <c r="E385" s="2"/>
    </row>
    <row r="386" spans="3:5" x14ac:dyDescent="0.3">
      <c r="C386" s="2"/>
      <c r="D386" s="2"/>
      <c r="E386" s="2"/>
    </row>
    <row r="387" spans="3:5" x14ac:dyDescent="0.3">
      <c r="C387" s="2"/>
      <c r="D387" s="2"/>
      <c r="E387" s="2"/>
    </row>
    <row r="388" spans="3:5" x14ac:dyDescent="0.3">
      <c r="C388" s="2"/>
      <c r="D388" s="2"/>
      <c r="E388" s="2"/>
    </row>
    <row r="389" spans="3:5" x14ac:dyDescent="0.3">
      <c r="C389" s="2"/>
      <c r="D389" s="2"/>
      <c r="E389" s="2"/>
    </row>
    <row r="390" spans="3:5" x14ac:dyDescent="0.3">
      <c r="C390" s="2"/>
      <c r="D390" s="2"/>
      <c r="E390" s="2"/>
    </row>
    <row r="391" spans="3:5" x14ac:dyDescent="0.3">
      <c r="C391" s="2"/>
      <c r="D391" s="2"/>
      <c r="E391" s="2"/>
    </row>
    <row r="392" spans="3:5" x14ac:dyDescent="0.3">
      <c r="C392" s="2"/>
      <c r="D392" s="2"/>
      <c r="E392" s="2"/>
    </row>
    <row r="393" spans="3:5" x14ac:dyDescent="0.3">
      <c r="C393" s="2"/>
      <c r="D393" s="2"/>
      <c r="E393" s="2"/>
    </row>
    <row r="394" spans="3:5" x14ac:dyDescent="0.3">
      <c r="C394" s="2"/>
      <c r="D394" s="2"/>
      <c r="E394" s="2"/>
    </row>
    <row r="395" spans="3:5" x14ac:dyDescent="0.3">
      <c r="C395" s="2"/>
      <c r="D395" s="2"/>
      <c r="E395" s="2"/>
    </row>
    <row r="396" spans="3:5" x14ac:dyDescent="0.3">
      <c r="C396" s="2"/>
      <c r="D396" s="2"/>
      <c r="E396" s="2"/>
    </row>
    <row r="397" spans="3:5" x14ac:dyDescent="0.3">
      <c r="C397" s="2"/>
      <c r="D397" s="2"/>
      <c r="E397" s="2"/>
    </row>
    <row r="398" spans="3:5" x14ac:dyDescent="0.3">
      <c r="C398" s="2"/>
      <c r="D398" s="2"/>
      <c r="E398" s="2"/>
    </row>
    <row r="399" spans="3:5" x14ac:dyDescent="0.3">
      <c r="C399" s="2"/>
      <c r="D399" s="2"/>
      <c r="E399" s="2"/>
    </row>
    <row r="400" spans="3:5" x14ac:dyDescent="0.3">
      <c r="C400" s="2"/>
      <c r="D400" s="2"/>
      <c r="E400" s="2"/>
    </row>
    <row r="401" spans="3:5" x14ac:dyDescent="0.3">
      <c r="C401" s="2"/>
      <c r="D401" s="2"/>
      <c r="E401" s="2"/>
    </row>
    <row r="402" spans="3:5" x14ac:dyDescent="0.3">
      <c r="C402" s="2"/>
      <c r="D402" s="2"/>
      <c r="E402" s="2"/>
    </row>
    <row r="403" spans="3:5" x14ac:dyDescent="0.3">
      <c r="C403" s="2"/>
      <c r="D403" s="2"/>
      <c r="E403" s="2"/>
    </row>
    <row r="404" spans="3:5" x14ac:dyDescent="0.3">
      <c r="C404" s="2"/>
      <c r="D404" s="2"/>
      <c r="E404" s="2"/>
    </row>
    <row r="405" spans="3:5" x14ac:dyDescent="0.3">
      <c r="C405" s="2"/>
      <c r="D405" s="2"/>
      <c r="E405" s="2"/>
    </row>
    <row r="406" spans="3:5" x14ac:dyDescent="0.3">
      <c r="C406" s="2"/>
      <c r="D406" s="2"/>
      <c r="E406" s="2"/>
    </row>
    <row r="407" spans="3:5" x14ac:dyDescent="0.3">
      <c r="C407" s="2"/>
      <c r="D407" s="2"/>
      <c r="E407" s="2"/>
    </row>
    <row r="408" spans="3:5" x14ac:dyDescent="0.3">
      <c r="C408" s="2"/>
      <c r="D408" s="2"/>
      <c r="E408" s="2"/>
    </row>
    <row r="409" spans="3:5" x14ac:dyDescent="0.3">
      <c r="C409" s="2"/>
      <c r="D409" s="2"/>
      <c r="E409" s="2"/>
    </row>
    <row r="410" spans="3:5" x14ac:dyDescent="0.3">
      <c r="C410" s="2"/>
      <c r="D410" s="2"/>
      <c r="E410" s="2"/>
    </row>
    <row r="411" spans="3:5" x14ac:dyDescent="0.3">
      <c r="C411" s="2"/>
      <c r="D411" s="2"/>
      <c r="E411" s="2"/>
    </row>
    <row r="412" spans="3:5" x14ac:dyDescent="0.3">
      <c r="C412" s="2"/>
      <c r="D412" s="2"/>
      <c r="E412" s="2"/>
    </row>
    <row r="413" spans="3:5" x14ac:dyDescent="0.3">
      <c r="C413" s="2"/>
      <c r="D413" s="2"/>
      <c r="E413" s="2"/>
    </row>
    <row r="414" spans="3:5" x14ac:dyDescent="0.3">
      <c r="C414" s="2"/>
      <c r="D414" s="2"/>
      <c r="E414" s="2"/>
    </row>
    <row r="415" spans="3:5" x14ac:dyDescent="0.3">
      <c r="C415" s="2"/>
      <c r="D415" s="2"/>
      <c r="E415" s="2"/>
    </row>
    <row r="416" spans="3:5" x14ac:dyDescent="0.3">
      <c r="C416" s="2"/>
      <c r="D416" s="2"/>
      <c r="E416" s="2"/>
    </row>
    <row r="417" spans="3:5" x14ac:dyDescent="0.3">
      <c r="C417" s="2"/>
      <c r="D417" s="2"/>
      <c r="E417" s="2"/>
    </row>
    <row r="418" spans="3:5" x14ac:dyDescent="0.3">
      <c r="C418" s="2"/>
      <c r="D418" s="2"/>
      <c r="E418" s="2"/>
    </row>
    <row r="419" spans="3:5" x14ac:dyDescent="0.3">
      <c r="C419" s="2"/>
      <c r="D419" s="2"/>
      <c r="E419" s="2"/>
    </row>
    <row r="420" spans="3:5" x14ac:dyDescent="0.3">
      <c r="C420" s="2"/>
      <c r="D420" s="2"/>
      <c r="E420" s="2"/>
    </row>
    <row r="421" spans="3:5" x14ac:dyDescent="0.3">
      <c r="C421" s="2"/>
      <c r="D421" s="2"/>
      <c r="E421" s="2"/>
    </row>
    <row r="422" spans="3:5" x14ac:dyDescent="0.3">
      <c r="C422" s="2"/>
      <c r="D422" s="2"/>
      <c r="E422" s="2"/>
    </row>
    <row r="423" spans="3:5" x14ac:dyDescent="0.3">
      <c r="C423" s="2"/>
      <c r="D423" s="2"/>
      <c r="E423" s="2"/>
    </row>
    <row r="424" spans="3:5" x14ac:dyDescent="0.3">
      <c r="C424" s="2"/>
      <c r="D424" s="2"/>
      <c r="E424" s="2"/>
    </row>
    <row r="425" spans="3:5" x14ac:dyDescent="0.3">
      <c r="C425" s="2"/>
      <c r="D425" s="2"/>
      <c r="E425" s="2"/>
    </row>
    <row r="426" spans="3:5" x14ac:dyDescent="0.3">
      <c r="C426" s="2"/>
      <c r="D426" s="2"/>
      <c r="E426" s="2"/>
    </row>
    <row r="427" spans="3:5" x14ac:dyDescent="0.3">
      <c r="C427" s="2"/>
      <c r="D427" s="2"/>
      <c r="E427" s="2"/>
    </row>
    <row r="428" spans="3:5" x14ac:dyDescent="0.3">
      <c r="C428" s="2"/>
      <c r="D428" s="2"/>
      <c r="E428" s="2"/>
    </row>
    <row r="429" spans="3:5" x14ac:dyDescent="0.3">
      <c r="C429" s="2"/>
      <c r="D429" s="2"/>
      <c r="E429" s="2"/>
    </row>
    <row r="430" spans="3:5" x14ac:dyDescent="0.3">
      <c r="C430" s="2"/>
      <c r="D430" s="2"/>
      <c r="E430" s="2"/>
    </row>
    <row r="431" spans="3:5" x14ac:dyDescent="0.3">
      <c r="C431" s="2"/>
      <c r="D431" s="2"/>
      <c r="E431" s="2"/>
    </row>
    <row r="432" spans="3:5" x14ac:dyDescent="0.3">
      <c r="C432" s="2"/>
      <c r="D432" s="2"/>
      <c r="E432" s="2"/>
    </row>
    <row r="433" spans="3:5" x14ac:dyDescent="0.3">
      <c r="C433" s="2"/>
      <c r="D433" s="2"/>
      <c r="E433" s="2"/>
    </row>
    <row r="434" spans="3:5" x14ac:dyDescent="0.3">
      <c r="C434" s="2"/>
      <c r="D434" s="2"/>
      <c r="E434" s="2"/>
    </row>
    <row r="435" spans="3:5" x14ac:dyDescent="0.3">
      <c r="C435" s="2"/>
      <c r="D435" s="2"/>
      <c r="E435" s="2"/>
    </row>
    <row r="436" spans="3:5" x14ac:dyDescent="0.3">
      <c r="C436" s="2"/>
      <c r="D436" s="2"/>
      <c r="E436" s="2"/>
    </row>
    <row r="437" spans="3:5" x14ac:dyDescent="0.3">
      <c r="C437" s="2"/>
      <c r="D437" s="2"/>
      <c r="E437" s="2"/>
    </row>
    <row r="438" spans="3:5" x14ac:dyDescent="0.3">
      <c r="C438" s="2"/>
      <c r="D438" s="2"/>
      <c r="E438" s="2"/>
    </row>
    <row r="439" spans="3:5" x14ac:dyDescent="0.3">
      <c r="C439" s="2"/>
      <c r="D439" s="2"/>
      <c r="E439" s="2"/>
    </row>
    <row r="440" spans="3:5" x14ac:dyDescent="0.3">
      <c r="C440" s="2"/>
      <c r="D440" s="2"/>
      <c r="E440" s="2"/>
    </row>
    <row r="441" spans="3:5" x14ac:dyDescent="0.3">
      <c r="C441" s="2"/>
      <c r="D441" s="2"/>
      <c r="E441" s="2"/>
    </row>
    <row r="442" spans="3:5" x14ac:dyDescent="0.3">
      <c r="C442" s="2"/>
      <c r="D442" s="2"/>
      <c r="E442" s="2"/>
    </row>
    <row r="443" spans="3:5" x14ac:dyDescent="0.3">
      <c r="C443" s="2"/>
      <c r="D443" s="2"/>
      <c r="E443" s="2"/>
    </row>
    <row r="444" spans="3:5" x14ac:dyDescent="0.3">
      <c r="C444" s="2"/>
      <c r="D444" s="2"/>
      <c r="E444" s="2"/>
    </row>
    <row r="445" spans="3:5" x14ac:dyDescent="0.3">
      <c r="C445" s="2"/>
      <c r="D445" s="2"/>
      <c r="E445" s="2"/>
    </row>
    <row r="446" spans="3:5" x14ac:dyDescent="0.3">
      <c r="C446" s="2"/>
      <c r="D446" s="2"/>
      <c r="E446" s="2"/>
    </row>
    <row r="447" spans="3:5" x14ac:dyDescent="0.3">
      <c r="C447" s="2"/>
      <c r="D447" s="2"/>
      <c r="E447" s="2"/>
    </row>
    <row r="448" spans="3:5" x14ac:dyDescent="0.3">
      <c r="C448" s="2"/>
      <c r="D448" s="2"/>
      <c r="E448" s="2"/>
    </row>
    <row r="449" spans="3:5" x14ac:dyDescent="0.3">
      <c r="C449" s="2"/>
      <c r="D449" s="2"/>
      <c r="E449" s="2"/>
    </row>
    <row r="450" spans="3:5" x14ac:dyDescent="0.3">
      <c r="C450" s="2"/>
      <c r="D450" s="2"/>
      <c r="E450" s="2"/>
    </row>
    <row r="451" spans="3:5" x14ac:dyDescent="0.3">
      <c r="C451" s="2"/>
      <c r="D451" s="2"/>
      <c r="E451" s="2"/>
    </row>
    <row r="452" spans="3:5" x14ac:dyDescent="0.3">
      <c r="C452" s="2"/>
      <c r="D452" s="2"/>
      <c r="E452" s="2"/>
    </row>
    <row r="453" spans="3:5" x14ac:dyDescent="0.3">
      <c r="C453" s="2"/>
      <c r="D453" s="2"/>
      <c r="E453" s="2"/>
    </row>
    <row r="454" spans="3:5" x14ac:dyDescent="0.3">
      <c r="C454" s="2"/>
      <c r="D454" s="2"/>
      <c r="E454" s="2"/>
    </row>
    <row r="455" spans="3:5" x14ac:dyDescent="0.3">
      <c r="C455" s="2"/>
      <c r="D455" s="2"/>
      <c r="E455" s="2"/>
    </row>
    <row r="456" spans="3:5" x14ac:dyDescent="0.3">
      <c r="C456" s="2"/>
      <c r="D456" s="2"/>
      <c r="E456" s="2"/>
    </row>
    <row r="457" spans="3:5" x14ac:dyDescent="0.3">
      <c r="C457" s="2"/>
      <c r="D457" s="2"/>
      <c r="E457" s="2"/>
    </row>
    <row r="458" spans="3:5" x14ac:dyDescent="0.3">
      <c r="C458" s="2"/>
      <c r="D458" s="2"/>
      <c r="E458" s="2"/>
    </row>
    <row r="459" spans="3:5" x14ac:dyDescent="0.3">
      <c r="C459" s="2"/>
      <c r="D459" s="2"/>
      <c r="E459" s="2"/>
    </row>
    <row r="460" spans="3:5" x14ac:dyDescent="0.3">
      <c r="C460" s="2"/>
      <c r="D460" s="2"/>
      <c r="E460" s="2"/>
    </row>
    <row r="461" spans="3:5" x14ac:dyDescent="0.3">
      <c r="C461" s="2"/>
      <c r="D461" s="2"/>
      <c r="E461" s="2"/>
    </row>
    <row r="462" spans="3:5" x14ac:dyDescent="0.3">
      <c r="C462" s="2"/>
      <c r="D462" s="2"/>
      <c r="E462" s="2"/>
    </row>
    <row r="463" spans="3:5" x14ac:dyDescent="0.3">
      <c r="C463" s="2"/>
      <c r="D463" s="2"/>
      <c r="E463" s="2"/>
    </row>
    <row r="464" spans="3:5" x14ac:dyDescent="0.3">
      <c r="C464" s="2"/>
      <c r="D464" s="2"/>
      <c r="E464" s="2"/>
    </row>
    <row r="465" spans="3:5" x14ac:dyDescent="0.3">
      <c r="C465" s="2"/>
      <c r="D465" s="2"/>
      <c r="E465" s="2"/>
    </row>
    <row r="466" spans="3:5" x14ac:dyDescent="0.3">
      <c r="C466" s="2"/>
      <c r="D466" s="2"/>
      <c r="E466" s="2"/>
    </row>
    <row r="467" spans="3:5" x14ac:dyDescent="0.3">
      <c r="C467" s="2"/>
      <c r="D467" s="2"/>
      <c r="E467" s="2"/>
    </row>
    <row r="468" spans="3:5" x14ac:dyDescent="0.3">
      <c r="C468" s="2"/>
      <c r="D468" s="2"/>
      <c r="E468" s="2"/>
    </row>
    <row r="469" spans="3:5" x14ac:dyDescent="0.3">
      <c r="C469" s="2"/>
      <c r="D469" s="2"/>
      <c r="E469" s="2"/>
    </row>
    <row r="470" spans="3:5" x14ac:dyDescent="0.3">
      <c r="C470" s="2"/>
      <c r="D470" s="2"/>
      <c r="E470" s="2"/>
    </row>
    <row r="471" spans="3:5" x14ac:dyDescent="0.3">
      <c r="C471" s="2"/>
      <c r="D471" s="2"/>
      <c r="E471" s="2"/>
    </row>
    <row r="472" spans="3:5" x14ac:dyDescent="0.3">
      <c r="C472" s="2"/>
      <c r="D472" s="2"/>
      <c r="E472" s="2"/>
    </row>
    <row r="473" spans="3:5" x14ac:dyDescent="0.3">
      <c r="C473" s="2"/>
      <c r="D473" s="2"/>
      <c r="E473" s="2"/>
    </row>
    <row r="474" spans="3:5" x14ac:dyDescent="0.3">
      <c r="C474" s="2"/>
      <c r="D474" s="2"/>
      <c r="E474" s="2"/>
    </row>
    <row r="475" spans="3:5" x14ac:dyDescent="0.3">
      <c r="C475" s="2"/>
      <c r="D475" s="2"/>
      <c r="E475" s="2"/>
    </row>
    <row r="476" spans="3:5" x14ac:dyDescent="0.3">
      <c r="C476" s="2"/>
      <c r="D476" s="2"/>
      <c r="E476" s="2"/>
    </row>
    <row r="477" spans="3:5" x14ac:dyDescent="0.3">
      <c r="C477" s="2"/>
      <c r="D477" s="2"/>
      <c r="E477" s="2"/>
    </row>
    <row r="478" spans="3:5" x14ac:dyDescent="0.3">
      <c r="C478" s="2"/>
      <c r="D478" s="2"/>
      <c r="E478" s="2"/>
    </row>
    <row r="479" spans="3:5" x14ac:dyDescent="0.3">
      <c r="C479" s="2"/>
      <c r="D479" s="2"/>
      <c r="E479" s="2"/>
    </row>
    <row r="480" spans="3:5" x14ac:dyDescent="0.3">
      <c r="C480" s="2"/>
      <c r="D480" s="2"/>
      <c r="E480" s="2"/>
    </row>
    <row r="481" spans="3:5" x14ac:dyDescent="0.3">
      <c r="C481" s="2"/>
      <c r="D481" s="2"/>
      <c r="E481" s="2"/>
    </row>
    <row r="482" spans="3:5" x14ac:dyDescent="0.3">
      <c r="C482" s="2"/>
      <c r="D482" s="2"/>
      <c r="E482" s="2"/>
    </row>
    <row r="483" spans="3:5" x14ac:dyDescent="0.3">
      <c r="C483" s="2"/>
      <c r="D483" s="2"/>
      <c r="E483" s="2"/>
    </row>
    <row r="484" spans="3:5" x14ac:dyDescent="0.3">
      <c r="C484" s="2"/>
      <c r="D484" s="2"/>
      <c r="E484" s="2"/>
    </row>
    <row r="485" spans="3:5" x14ac:dyDescent="0.3">
      <c r="C485" s="2"/>
      <c r="D485" s="2"/>
      <c r="E485" s="2"/>
    </row>
    <row r="486" spans="3:5" x14ac:dyDescent="0.3">
      <c r="C486" s="2"/>
      <c r="D486" s="2"/>
      <c r="E486" s="2"/>
    </row>
    <row r="487" spans="3:5" x14ac:dyDescent="0.3">
      <c r="C487" s="2"/>
      <c r="D487" s="2"/>
      <c r="E487" s="2"/>
    </row>
    <row r="488" spans="3:5" x14ac:dyDescent="0.3">
      <c r="C488" s="2"/>
      <c r="D488" s="2"/>
      <c r="E488" s="2"/>
    </row>
    <row r="489" spans="3:5" x14ac:dyDescent="0.3">
      <c r="C489" s="2"/>
      <c r="D489" s="2"/>
      <c r="E489" s="2"/>
    </row>
    <row r="490" spans="3:5" x14ac:dyDescent="0.3">
      <c r="C490" s="2"/>
      <c r="D490" s="2"/>
      <c r="E490" s="2"/>
    </row>
    <row r="491" spans="3:5" x14ac:dyDescent="0.3">
      <c r="C491" s="2"/>
      <c r="D491" s="2"/>
      <c r="E491" s="2"/>
    </row>
    <row r="492" spans="3:5" x14ac:dyDescent="0.3">
      <c r="C492" s="2"/>
      <c r="D492" s="2"/>
      <c r="E492" s="2"/>
    </row>
    <row r="493" spans="3:5" x14ac:dyDescent="0.3">
      <c r="C493" s="2"/>
      <c r="D493" s="2"/>
      <c r="E493" s="2"/>
    </row>
    <row r="494" spans="3:5" x14ac:dyDescent="0.3">
      <c r="C494" s="2"/>
      <c r="D494" s="2"/>
      <c r="E494" s="2"/>
    </row>
    <row r="495" spans="3:5" x14ac:dyDescent="0.3">
      <c r="C495" s="2"/>
      <c r="D495" s="2"/>
      <c r="E495" s="2"/>
    </row>
    <row r="496" spans="3:5" x14ac:dyDescent="0.3">
      <c r="C496" s="2"/>
      <c r="D496" s="2"/>
      <c r="E496" s="2"/>
    </row>
    <row r="497" spans="3:5" x14ac:dyDescent="0.3">
      <c r="C497" s="2"/>
      <c r="D497" s="2"/>
      <c r="E497" s="2"/>
    </row>
    <row r="498" spans="3:5" x14ac:dyDescent="0.3">
      <c r="C498" s="2"/>
      <c r="D498" s="2"/>
      <c r="E498" s="2"/>
    </row>
    <row r="499" spans="3:5" x14ac:dyDescent="0.3">
      <c r="C499" s="2"/>
      <c r="D499" s="2"/>
      <c r="E499" s="2"/>
    </row>
    <row r="500" spans="3:5" x14ac:dyDescent="0.3">
      <c r="C500" s="2"/>
      <c r="D500" s="2"/>
      <c r="E500" s="2"/>
    </row>
    <row r="501" spans="3:5" x14ac:dyDescent="0.3">
      <c r="C501" s="2"/>
      <c r="D501" s="2"/>
      <c r="E501" s="2"/>
    </row>
    <row r="502" spans="3:5" x14ac:dyDescent="0.3">
      <c r="C502" s="2"/>
      <c r="D502" s="2"/>
      <c r="E502" s="2"/>
    </row>
    <row r="503" spans="3:5" x14ac:dyDescent="0.3">
      <c r="C503" s="2"/>
      <c r="D503" s="2"/>
      <c r="E503" s="2"/>
    </row>
    <row r="504" spans="3:5" x14ac:dyDescent="0.3">
      <c r="C504" s="2"/>
      <c r="D504" s="2"/>
      <c r="E504" s="2"/>
    </row>
    <row r="505" spans="3:5" x14ac:dyDescent="0.3">
      <c r="C505" s="2"/>
      <c r="D505" s="2"/>
      <c r="E505" s="2"/>
    </row>
    <row r="506" spans="3:5" x14ac:dyDescent="0.3">
      <c r="C506" s="2"/>
      <c r="D506" s="2"/>
      <c r="E506" s="2"/>
    </row>
    <row r="507" spans="3:5" x14ac:dyDescent="0.3">
      <c r="C507" s="2"/>
      <c r="D507" s="2"/>
      <c r="E507" s="2"/>
    </row>
    <row r="508" spans="3:5" x14ac:dyDescent="0.3">
      <c r="C508" s="2"/>
      <c r="D508" s="2"/>
      <c r="E508" s="2"/>
    </row>
    <row r="509" spans="3:5" x14ac:dyDescent="0.3">
      <c r="C509" s="2"/>
      <c r="D509" s="2"/>
      <c r="E509" s="2"/>
    </row>
    <row r="510" spans="3:5" x14ac:dyDescent="0.3">
      <c r="C510" s="2"/>
      <c r="D510" s="2"/>
      <c r="E510" s="2"/>
    </row>
    <row r="511" spans="3:5" x14ac:dyDescent="0.3">
      <c r="C511" s="2"/>
      <c r="D511" s="2"/>
      <c r="E511" s="2"/>
    </row>
    <row r="512" spans="3:5" x14ac:dyDescent="0.3">
      <c r="C512" s="2"/>
      <c r="D512" s="2"/>
      <c r="E512" s="2"/>
    </row>
    <row r="513" spans="3:5" x14ac:dyDescent="0.3">
      <c r="C513" s="2"/>
      <c r="D513" s="2"/>
      <c r="E513" s="2"/>
    </row>
    <row r="514" spans="3:5" x14ac:dyDescent="0.3">
      <c r="C514" s="2"/>
      <c r="D514" s="2"/>
      <c r="E514" s="2"/>
    </row>
    <row r="515" spans="3:5" x14ac:dyDescent="0.3">
      <c r="C515" s="2"/>
      <c r="D515" s="2"/>
      <c r="E515" s="2"/>
    </row>
    <row r="516" spans="3:5" x14ac:dyDescent="0.3">
      <c r="C516" s="2"/>
      <c r="D516" s="2"/>
      <c r="E516" s="2"/>
    </row>
    <row r="517" spans="3:5" x14ac:dyDescent="0.3">
      <c r="C517" s="2"/>
      <c r="D517" s="2"/>
      <c r="E517" s="2"/>
    </row>
    <row r="518" spans="3:5" x14ac:dyDescent="0.3">
      <c r="C518" s="2"/>
      <c r="D518" s="2"/>
      <c r="E518" s="2"/>
    </row>
    <row r="519" spans="3:5" x14ac:dyDescent="0.3">
      <c r="C519" s="2"/>
      <c r="D519" s="2"/>
      <c r="E519" s="2"/>
    </row>
    <row r="520" spans="3:5" x14ac:dyDescent="0.3">
      <c r="C520" s="2"/>
      <c r="D520" s="2"/>
      <c r="E520" s="2"/>
    </row>
    <row r="521" spans="3:5" x14ac:dyDescent="0.3">
      <c r="C521" s="2"/>
      <c r="D521" s="2"/>
      <c r="E521" s="2"/>
    </row>
    <row r="522" spans="3:5" x14ac:dyDescent="0.3">
      <c r="C522" s="2"/>
      <c r="D522" s="2"/>
      <c r="E522" s="2"/>
    </row>
    <row r="523" spans="3:5" x14ac:dyDescent="0.3">
      <c r="C523" s="2"/>
      <c r="D523" s="2"/>
      <c r="E523" s="2"/>
    </row>
    <row r="524" spans="3:5" x14ac:dyDescent="0.3">
      <c r="C524" s="2"/>
      <c r="D524" s="2"/>
      <c r="E524" s="2"/>
    </row>
    <row r="525" spans="3:5" x14ac:dyDescent="0.3">
      <c r="C525" s="2"/>
      <c r="D525" s="2"/>
      <c r="E525" s="2"/>
    </row>
    <row r="526" spans="3:5" x14ac:dyDescent="0.3">
      <c r="C526" s="2"/>
      <c r="D526" s="2"/>
      <c r="E526" s="2"/>
    </row>
    <row r="527" spans="3:5" x14ac:dyDescent="0.3">
      <c r="C527" s="2"/>
      <c r="D527" s="2"/>
      <c r="E527" s="2"/>
    </row>
    <row r="528" spans="3:5" x14ac:dyDescent="0.3">
      <c r="C528" s="2"/>
      <c r="D528" s="2"/>
      <c r="E528" s="2"/>
    </row>
    <row r="529" spans="3:5" x14ac:dyDescent="0.3">
      <c r="C529" s="2"/>
      <c r="D529" s="2"/>
      <c r="E529" s="2"/>
    </row>
    <row r="530" spans="3:5" x14ac:dyDescent="0.3">
      <c r="C530" s="2"/>
      <c r="D530" s="2"/>
      <c r="E530" s="2"/>
    </row>
    <row r="531" spans="3:5" x14ac:dyDescent="0.3">
      <c r="C531" s="2"/>
      <c r="D531" s="2"/>
      <c r="E531" s="2"/>
    </row>
    <row r="532" spans="3:5" x14ac:dyDescent="0.3">
      <c r="C532" s="2"/>
      <c r="D532" s="2"/>
      <c r="E532" s="2"/>
    </row>
    <row r="533" spans="3:5" x14ac:dyDescent="0.3">
      <c r="C533" s="2"/>
      <c r="D533" s="2"/>
      <c r="E533" s="2"/>
    </row>
    <row r="534" spans="3:5" x14ac:dyDescent="0.3">
      <c r="C534" s="2"/>
      <c r="D534" s="2"/>
      <c r="E534" s="2"/>
    </row>
    <row r="535" spans="3:5" x14ac:dyDescent="0.3">
      <c r="C535" s="2"/>
      <c r="D535" s="2"/>
      <c r="E535" s="2"/>
    </row>
    <row r="536" spans="3:5" x14ac:dyDescent="0.3">
      <c r="C536" s="2"/>
      <c r="D536" s="2"/>
      <c r="E536" s="2"/>
    </row>
    <row r="537" spans="3:5" x14ac:dyDescent="0.3">
      <c r="C537" s="2"/>
      <c r="D537" s="2"/>
      <c r="E537" s="2"/>
    </row>
    <row r="538" spans="3:5" x14ac:dyDescent="0.3">
      <c r="C538" s="2"/>
      <c r="D538" s="2"/>
      <c r="E538" s="2"/>
    </row>
    <row r="539" spans="3:5" x14ac:dyDescent="0.3">
      <c r="C539" s="2"/>
      <c r="D539" s="2"/>
      <c r="E539" s="2"/>
    </row>
    <row r="540" spans="3:5" x14ac:dyDescent="0.3">
      <c r="C540" s="2"/>
      <c r="D540" s="2"/>
      <c r="E540" s="2"/>
    </row>
    <row r="541" spans="3:5" x14ac:dyDescent="0.3">
      <c r="C541" s="2"/>
      <c r="D541" s="2"/>
      <c r="E541" s="2"/>
    </row>
    <row r="542" spans="3:5" x14ac:dyDescent="0.3">
      <c r="C542" s="2"/>
      <c r="D542" s="2"/>
      <c r="E542" s="2"/>
    </row>
    <row r="543" spans="3:5" x14ac:dyDescent="0.3">
      <c r="C543" s="2"/>
      <c r="D543" s="2"/>
      <c r="E543" s="2"/>
    </row>
    <row r="544" spans="3:5" x14ac:dyDescent="0.3">
      <c r="C544" s="2"/>
      <c r="D544" s="2"/>
      <c r="E544" s="2"/>
    </row>
    <row r="545" spans="3:5" x14ac:dyDescent="0.3">
      <c r="C545" s="2"/>
      <c r="D545" s="2"/>
      <c r="E545" s="2"/>
    </row>
    <row r="546" spans="3:5" x14ac:dyDescent="0.3">
      <c r="C546" s="2"/>
      <c r="D546" s="2"/>
      <c r="E546" s="2"/>
    </row>
    <row r="547" spans="3:5" x14ac:dyDescent="0.3">
      <c r="C547" s="2"/>
      <c r="D547" s="2"/>
      <c r="E547" s="2"/>
    </row>
    <row r="548" spans="3:5" x14ac:dyDescent="0.3">
      <c r="C548" s="2"/>
      <c r="D548" s="2"/>
      <c r="E548" s="2"/>
    </row>
    <row r="549" spans="3:5" x14ac:dyDescent="0.3">
      <c r="C549" s="2"/>
      <c r="D549" s="2"/>
      <c r="E549" s="2"/>
    </row>
    <row r="550" spans="3:5" x14ac:dyDescent="0.3">
      <c r="C550" s="2"/>
      <c r="D550" s="2"/>
      <c r="E550" s="2"/>
    </row>
    <row r="551" spans="3:5" x14ac:dyDescent="0.3">
      <c r="C551" s="2"/>
      <c r="D551" s="2"/>
      <c r="E551" s="2"/>
    </row>
    <row r="552" spans="3:5" x14ac:dyDescent="0.3">
      <c r="C552" s="2"/>
      <c r="D552" s="2"/>
      <c r="E552" s="2"/>
    </row>
    <row r="553" spans="3:5" x14ac:dyDescent="0.3">
      <c r="C553" s="2"/>
      <c r="D553" s="2"/>
      <c r="E553" s="2"/>
    </row>
    <row r="554" spans="3:5" x14ac:dyDescent="0.3">
      <c r="C554" s="2"/>
      <c r="D554" s="2"/>
      <c r="E554" s="2"/>
    </row>
    <row r="555" spans="3:5" x14ac:dyDescent="0.3">
      <c r="C555" s="2"/>
      <c r="D555" s="2"/>
      <c r="E555" s="2"/>
    </row>
    <row r="556" spans="3:5" x14ac:dyDescent="0.3">
      <c r="C556" s="2"/>
      <c r="D556" s="2"/>
      <c r="E556" s="2"/>
    </row>
    <row r="557" spans="3:5" x14ac:dyDescent="0.3">
      <c r="C557" s="2"/>
      <c r="D557" s="2"/>
      <c r="E557" s="2"/>
    </row>
    <row r="558" spans="3:5" x14ac:dyDescent="0.3">
      <c r="C558" s="2"/>
      <c r="D558" s="2"/>
      <c r="E558" s="2"/>
    </row>
    <row r="559" spans="3:5" x14ac:dyDescent="0.3">
      <c r="C559" s="2"/>
      <c r="D559" s="2"/>
      <c r="E559" s="2"/>
    </row>
    <row r="560" spans="3:5" x14ac:dyDescent="0.3">
      <c r="C560" s="2"/>
      <c r="D560" s="2"/>
      <c r="E560" s="2"/>
    </row>
    <row r="561" spans="3:5" x14ac:dyDescent="0.3">
      <c r="C561" s="2"/>
      <c r="D561" s="2"/>
      <c r="E561" s="2"/>
    </row>
    <row r="562" spans="3:5" x14ac:dyDescent="0.3">
      <c r="C562" s="2"/>
      <c r="D562" s="2"/>
      <c r="E562" s="2"/>
    </row>
    <row r="563" spans="3:5" x14ac:dyDescent="0.3">
      <c r="C563" s="2"/>
      <c r="D563" s="2"/>
      <c r="E563" s="2"/>
    </row>
    <row r="564" spans="3:5" x14ac:dyDescent="0.3">
      <c r="C564" s="2"/>
      <c r="D564" s="2"/>
      <c r="E564" s="2"/>
    </row>
    <row r="565" spans="3:5" x14ac:dyDescent="0.3">
      <c r="C565" s="2"/>
      <c r="D565" s="2"/>
      <c r="E565" s="2"/>
    </row>
    <row r="566" spans="3:5" x14ac:dyDescent="0.3">
      <c r="C566" s="2"/>
      <c r="D566" s="2"/>
      <c r="E566" s="2"/>
    </row>
    <row r="567" spans="3:5" x14ac:dyDescent="0.3">
      <c r="C567" s="2"/>
      <c r="D567" s="2"/>
      <c r="E567" s="2"/>
    </row>
    <row r="568" spans="3:5" x14ac:dyDescent="0.3">
      <c r="C568" s="2"/>
      <c r="D568" s="2"/>
      <c r="E568" s="2"/>
    </row>
    <row r="569" spans="3:5" x14ac:dyDescent="0.3">
      <c r="C569" s="2"/>
      <c r="D569" s="2"/>
      <c r="E569" s="2"/>
    </row>
    <row r="570" spans="3:5" x14ac:dyDescent="0.3">
      <c r="C570" s="2"/>
      <c r="D570" s="2"/>
      <c r="E570" s="2"/>
    </row>
    <row r="571" spans="3:5" x14ac:dyDescent="0.3">
      <c r="C571" s="2"/>
      <c r="D571" s="2"/>
      <c r="E571" s="2"/>
    </row>
    <row r="572" spans="3:5" x14ac:dyDescent="0.3">
      <c r="C572" s="2"/>
      <c r="D572" s="2"/>
      <c r="E572" s="2"/>
    </row>
    <row r="573" spans="3:5" x14ac:dyDescent="0.3">
      <c r="C573" s="2"/>
      <c r="D573" s="2"/>
      <c r="E573" s="2"/>
    </row>
    <row r="574" spans="3:5" x14ac:dyDescent="0.3">
      <c r="C574" s="2"/>
      <c r="D574" s="2"/>
      <c r="E574" s="2"/>
    </row>
    <row r="575" spans="3:5" x14ac:dyDescent="0.3">
      <c r="C575" s="2"/>
      <c r="D575" s="2"/>
      <c r="E575" s="2"/>
    </row>
    <row r="576" spans="3:5" x14ac:dyDescent="0.3">
      <c r="C576" s="2"/>
      <c r="D576" s="2"/>
      <c r="E576" s="2"/>
    </row>
    <row r="577" spans="3:5" x14ac:dyDescent="0.3">
      <c r="C577" s="2"/>
      <c r="D577" s="2"/>
      <c r="E577" s="2"/>
    </row>
    <row r="578" spans="3:5" x14ac:dyDescent="0.3">
      <c r="C578" s="2"/>
      <c r="D578" s="2"/>
      <c r="E578" s="2"/>
    </row>
    <row r="579" spans="3:5" x14ac:dyDescent="0.3">
      <c r="C579" s="2"/>
      <c r="D579" s="2"/>
      <c r="E579" s="2"/>
    </row>
    <row r="580" spans="3:5" x14ac:dyDescent="0.3">
      <c r="C580" s="2"/>
      <c r="D580" s="2"/>
      <c r="E580" s="2"/>
    </row>
    <row r="581" spans="3:5" x14ac:dyDescent="0.3">
      <c r="C581" s="2"/>
      <c r="D581" s="2"/>
      <c r="E581" s="2"/>
    </row>
    <row r="582" spans="3:5" x14ac:dyDescent="0.3">
      <c r="C582" s="2"/>
      <c r="D582" s="2"/>
      <c r="E582" s="2"/>
    </row>
    <row r="583" spans="3:5" x14ac:dyDescent="0.3">
      <c r="C583" s="2"/>
      <c r="D583" s="2"/>
      <c r="E583" s="2"/>
    </row>
    <row r="584" spans="3:5" x14ac:dyDescent="0.3">
      <c r="C584" s="2"/>
      <c r="D584" s="2"/>
      <c r="E584" s="2"/>
    </row>
    <row r="585" spans="3:5" x14ac:dyDescent="0.3">
      <c r="C585" s="2"/>
      <c r="D585" s="2"/>
      <c r="E585" s="2"/>
    </row>
    <row r="586" spans="3:5" x14ac:dyDescent="0.3">
      <c r="C586" s="2"/>
      <c r="D586" s="2"/>
      <c r="E586" s="2"/>
    </row>
    <row r="587" spans="3:5" x14ac:dyDescent="0.3">
      <c r="C587" s="2"/>
      <c r="D587" s="2"/>
      <c r="E587" s="2"/>
    </row>
    <row r="588" spans="3:5" x14ac:dyDescent="0.3">
      <c r="C588" s="2"/>
      <c r="D588" s="2"/>
      <c r="E588" s="2"/>
    </row>
    <row r="589" spans="3:5" x14ac:dyDescent="0.3">
      <c r="C589" s="2"/>
      <c r="D589" s="2"/>
      <c r="E589" s="2"/>
    </row>
    <row r="590" spans="3:5" x14ac:dyDescent="0.3">
      <c r="C590" s="2"/>
      <c r="D590" s="2"/>
      <c r="E590" s="2"/>
    </row>
    <row r="591" spans="3:5" x14ac:dyDescent="0.3">
      <c r="C591" s="2"/>
      <c r="D591" s="2"/>
      <c r="E591" s="2"/>
    </row>
    <row r="592" spans="3:5" x14ac:dyDescent="0.3">
      <c r="C592" s="2"/>
      <c r="D592" s="2"/>
      <c r="E592" s="2"/>
    </row>
    <row r="593" spans="3:5" x14ac:dyDescent="0.3">
      <c r="C593" s="2"/>
      <c r="D593" s="2"/>
      <c r="E593" s="2"/>
    </row>
    <row r="594" spans="3:5" x14ac:dyDescent="0.3">
      <c r="C594" s="2"/>
      <c r="D594" s="2"/>
      <c r="E594" s="2"/>
    </row>
    <row r="595" spans="3:5" x14ac:dyDescent="0.3">
      <c r="C595" s="2"/>
      <c r="D595" s="2"/>
      <c r="E595" s="2"/>
    </row>
    <row r="596" spans="3:5" x14ac:dyDescent="0.3">
      <c r="C596" s="2"/>
      <c r="D596" s="2"/>
      <c r="E596" s="2"/>
    </row>
    <row r="597" spans="3:5" x14ac:dyDescent="0.3">
      <c r="C597" s="2"/>
      <c r="D597" s="2"/>
      <c r="E597" s="2"/>
    </row>
    <row r="598" spans="3:5" x14ac:dyDescent="0.3">
      <c r="C598" s="2"/>
      <c r="D598" s="2"/>
      <c r="E598" s="2"/>
    </row>
    <row r="599" spans="3:5" x14ac:dyDescent="0.3">
      <c r="C599" s="2"/>
      <c r="D599" s="2"/>
      <c r="E599" s="2"/>
    </row>
    <row r="600" spans="3:5" x14ac:dyDescent="0.3">
      <c r="C600" s="2"/>
      <c r="D600" s="2"/>
      <c r="E600" s="2"/>
    </row>
    <row r="601" spans="3:5" x14ac:dyDescent="0.3">
      <c r="C601" s="2"/>
      <c r="D601" s="2"/>
      <c r="E601" s="2"/>
    </row>
    <row r="602" spans="3:5" x14ac:dyDescent="0.3">
      <c r="C602" s="2"/>
      <c r="D602" s="2"/>
      <c r="E602" s="2"/>
    </row>
    <row r="603" spans="3:5" x14ac:dyDescent="0.3">
      <c r="C603" s="2"/>
      <c r="D603" s="2"/>
      <c r="E603" s="2"/>
    </row>
    <row r="604" spans="3:5" x14ac:dyDescent="0.3">
      <c r="C604" s="2"/>
      <c r="D604" s="2"/>
      <c r="E604" s="2"/>
    </row>
    <row r="605" spans="3:5" x14ac:dyDescent="0.3">
      <c r="C605" s="2"/>
      <c r="D605" s="2"/>
      <c r="E605" s="2"/>
    </row>
    <row r="606" spans="3:5" x14ac:dyDescent="0.3">
      <c r="C606" s="2"/>
      <c r="D606" s="2"/>
      <c r="E606" s="2"/>
    </row>
    <row r="607" spans="3:5" x14ac:dyDescent="0.3">
      <c r="C607" s="2"/>
      <c r="D607" s="2"/>
      <c r="E607" s="2"/>
    </row>
    <row r="608" spans="3:5" x14ac:dyDescent="0.3">
      <c r="C608" s="2"/>
      <c r="D608" s="2"/>
      <c r="E608" s="2"/>
    </row>
    <row r="609" spans="3:5" x14ac:dyDescent="0.3">
      <c r="C609" s="2"/>
      <c r="D609" s="2"/>
      <c r="E609" s="2"/>
    </row>
    <row r="610" spans="3:5" x14ac:dyDescent="0.3">
      <c r="C610" s="2"/>
      <c r="D610" s="2"/>
      <c r="E610" s="2"/>
    </row>
    <row r="611" spans="3:5" x14ac:dyDescent="0.3">
      <c r="C611" s="2"/>
      <c r="D611" s="2"/>
      <c r="E611" s="2"/>
    </row>
    <row r="612" spans="3:5" x14ac:dyDescent="0.3">
      <c r="C612" s="2"/>
      <c r="D612" s="2"/>
      <c r="E612" s="2"/>
    </row>
    <row r="613" spans="3:5" x14ac:dyDescent="0.3">
      <c r="C613" s="2"/>
      <c r="D613" s="2"/>
      <c r="E613" s="2"/>
    </row>
    <row r="614" spans="3:5" x14ac:dyDescent="0.3">
      <c r="C614" s="2"/>
      <c r="D614" s="2"/>
      <c r="E614" s="2"/>
    </row>
    <row r="615" spans="3:5" x14ac:dyDescent="0.3">
      <c r="C615" s="2"/>
      <c r="D615" s="2"/>
      <c r="E615" s="2"/>
    </row>
    <row r="616" spans="3:5" x14ac:dyDescent="0.3">
      <c r="C616" s="2"/>
      <c r="D616" s="2"/>
      <c r="E616" s="2"/>
    </row>
    <row r="617" spans="3:5" x14ac:dyDescent="0.3">
      <c r="C617" s="2"/>
      <c r="D617" s="2"/>
      <c r="E617" s="2"/>
    </row>
    <row r="618" spans="3:5" x14ac:dyDescent="0.3">
      <c r="C618" s="2"/>
      <c r="D618" s="2"/>
      <c r="E618" s="2"/>
    </row>
    <row r="619" spans="3:5" x14ac:dyDescent="0.3">
      <c r="C619" s="2"/>
      <c r="D619" s="2"/>
      <c r="E619" s="2"/>
    </row>
    <row r="620" spans="3:5" x14ac:dyDescent="0.3">
      <c r="C620" s="2"/>
      <c r="D620" s="2"/>
      <c r="E620" s="2"/>
    </row>
    <row r="621" spans="3:5" x14ac:dyDescent="0.3">
      <c r="C621" s="2"/>
      <c r="D621" s="2"/>
      <c r="E621" s="2"/>
    </row>
    <row r="622" spans="3:5" x14ac:dyDescent="0.3">
      <c r="C622" s="2"/>
      <c r="D622" s="2"/>
      <c r="E622" s="2"/>
    </row>
    <row r="623" spans="3:5" x14ac:dyDescent="0.3">
      <c r="C623" s="2"/>
      <c r="D623" s="2"/>
      <c r="E623" s="2"/>
    </row>
    <row r="624" spans="3:5" x14ac:dyDescent="0.3">
      <c r="C624" s="2"/>
      <c r="D624" s="2"/>
      <c r="E624" s="2"/>
    </row>
    <row r="625" spans="3:5" x14ac:dyDescent="0.3">
      <c r="C625" s="2"/>
      <c r="D625" s="2"/>
      <c r="E625" s="2"/>
    </row>
    <row r="626" spans="3:5" x14ac:dyDescent="0.3">
      <c r="C626" s="2"/>
      <c r="D626" s="2"/>
      <c r="E626" s="2"/>
    </row>
    <row r="627" spans="3:5" x14ac:dyDescent="0.3">
      <c r="C627" s="2"/>
      <c r="D627" s="2"/>
      <c r="E627" s="2"/>
    </row>
    <row r="628" spans="3:5" x14ac:dyDescent="0.3">
      <c r="C628" s="2"/>
      <c r="D628" s="2"/>
      <c r="E628" s="2"/>
    </row>
    <row r="629" spans="3:5" x14ac:dyDescent="0.3">
      <c r="C629" s="2"/>
      <c r="D629" s="2"/>
      <c r="E629" s="2"/>
    </row>
    <row r="630" spans="3:5" x14ac:dyDescent="0.3">
      <c r="C630" s="2"/>
      <c r="D630" s="2"/>
      <c r="E630" s="2"/>
    </row>
    <row r="631" spans="3:5" x14ac:dyDescent="0.3">
      <c r="C631" s="2"/>
      <c r="D631" s="2"/>
      <c r="E631" s="2"/>
    </row>
    <row r="632" spans="3:5" x14ac:dyDescent="0.3">
      <c r="C632" s="2"/>
      <c r="D632" s="2"/>
      <c r="E632" s="2"/>
    </row>
    <row r="633" spans="3:5" x14ac:dyDescent="0.3">
      <c r="C633" s="2"/>
      <c r="D633" s="2"/>
      <c r="E633" s="2"/>
    </row>
    <row r="634" spans="3:5" x14ac:dyDescent="0.3">
      <c r="C634" s="2"/>
      <c r="D634" s="2"/>
      <c r="E634" s="2"/>
    </row>
    <row r="635" spans="3:5" x14ac:dyDescent="0.3">
      <c r="C635" s="2"/>
      <c r="D635" s="2"/>
      <c r="E635" s="2"/>
    </row>
    <row r="636" spans="3:5" x14ac:dyDescent="0.3">
      <c r="C636" s="2"/>
      <c r="D636" s="2"/>
      <c r="E636" s="2"/>
    </row>
    <row r="637" spans="3:5" x14ac:dyDescent="0.3">
      <c r="C637" s="2"/>
      <c r="D637" s="2"/>
      <c r="E637" s="2"/>
    </row>
    <row r="638" spans="3:5" x14ac:dyDescent="0.3">
      <c r="C638" s="2"/>
      <c r="D638" s="2"/>
      <c r="E638" s="2"/>
    </row>
    <row r="639" spans="3:5" x14ac:dyDescent="0.3">
      <c r="C639" s="2"/>
      <c r="D639" s="2"/>
      <c r="E639" s="2"/>
    </row>
    <row r="640" spans="3:5" x14ac:dyDescent="0.3">
      <c r="C640" s="2"/>
      <c r="D640" s="2"/>
      <c r="E640" s="2"/>
    </row>
    <row r="641" spans="3:5" x14ac:dyDescent="0.3">
      <c r="C641" s="2"/>
      <c r="D641" s="2"/>
      <c r="E641" s="2"/>
    </row>
    <row r="642" spans="3:5" x14ac:dyDescent="0.3">
      <c r="C642" s="2"/>
      <c r="D642" s="2"/>
      <c r="E642" s="2"/>
    </row>
    <row r="643" spans="3:5" x14ac:dyDescent="0.3">
      <c r="C643" s="2"/>
      <c r="D643" s="2"/>
      <c r="E643" s="2"/>
    </row>
    <row r="644" spans="3:5" x14ac:dyDescent="0.3">
      <c r="C644" s="2"/>
      <c r="D644" s="2"/>
      <c r="E644" s="2"/>
    </row>
    <row r="645" spans="3:5" x14ac:dyDescent="0.3">
      <c r="C645" s="2"/>
      <c r="D645" s="2"/>
      <c r="E645" s="2"/>
    </row>
    <row r="646" spans="3:5" x14ac:dyDescent="0.3">
      <c r="C646" s="2"/>
      <c r="D646" s="2"/>
      <c r="E646" s="2"/>
    </row>
    <row r="647" spans="3:5" x14ac:dyDescent="0.3">
      <c r="C647" s="2"/>
      <c r="D647" s="2"/>
      <c r="E647" s="2"/>
    </row>
    <row r="648" spans="3:5" x14ac:dyDescent="0.3">
      <c r="C648" s="2"/>
      <c r="D648" s="2"/>
      <c r="E648" s="2"/>
    </row>
    <row r="649" spans="3:5" x14ac:dyDescent="0.3">
      <c r="C649" s="2"/>
      <c r="D649" s="2"/>
      <c r="E649" s="2"/>
    </row>
    <row r="650" spans="3:5" x14ac:dyDescent="0.3">
      <c r="C650" s="2"/>
      <c r="D650" s="2"/>
      <c r="E650" s="2"/>
    </row>
    <row r="651" spans="3:5" x14ac:dyDescent="0.3">
      <c r="C651" s="2"/>
      <c r="D651" s="2"/>
      <c r="E651" s="2"/>
    </row>
    <row r="652" spans="3:5" x14ac:dyDescent="0.3">
      <c r="C652" s="2"/>
      <c r="D652" s="2"/>
      <c r="E652" s="2"/>
    </row>
    <row r="653" spans="3:5" x14ac:dyDescent="0.3">
      <c r="C653" s="2"/>
      <c r="D653" s="2"/>
      <c r="E653" s="2"/>
    </row>
    <row r="654" spans="3:5" x14ac:dyDescent="0.3">
      <c r="C654" s="2"/>
      <c r="D654" s="2"/>
      <c r="E654" s="2"/>
    </row>
    <row r="655" spans="3:5" x14ac:dyDescent="0.3">
      <c r="C655" s="2"/>
      <c r="D655" s="2"/>
      <c r="E655" s="2"/>
    </row>
    <row r="656" spans="3:5" x14ac:dyDescent="0.3">
      <c r="C656" s="2"/>
      <c r="D656" s="2"/>
      <c r="E656" s="2"/>
    </row>
    <row r="657" spans="3:5" x14ac:dyDescent="0.3">
      <c r="C657" s="2"/>
      <c r="D657" s="2"/>
      <c r="E657" s="2"/>
    </row>
    <row r="658" spans="3:5" x14ac:dyDescent="0.3">
      <c r="C658" s="2"/>
      <c r="D658" s="2"/>
      <c r="E658" s="2"/>
    </row>
    <row r="659" spans="3:5" x14ac:dyDescent="0.3">
      <c r="C659" s="2"/>
      <c r="D659" s="2"/>
      <c r="E659" s="2"/>
    </row>
    <row r="660" spans="3:5" x14ac:dyDescent="0.3">
      <c r="C660" s="2"/>
      <c r="D660" s="2"/>
      <c r="E660" s="2"/>
    </row>
    <row r="661" spans="3:5" x14ac:dyDescent="0.3">
      <c r="C661" s="2"/>
      <c r="D661" s="2"/>
      <c r="E661" s="2"/>
    </row>
    <row r="662" spans="3:5" x14ac:dyDescent="0.3">
      <c r="C662" s="2"/>
      <c r="D662" s="2"/>
      <c r="E662" s="2"/>
    </row>
    <row r="663" spans="3:5" x14ac:dyDescent="0.3">
      <c r="C663" s="2"/>
      <c r="D663" s="2"/>
      <c r="E663" s="2"/>
    </row>
    <row r="664" spans="3:5" x14ac:dyDescent="0.3">
      <c r="C664" s="2"/>
      <c r="D664" s="2"/>
      <c r="E664" s="2"/>
    </row>
    <row r="665" spans="3:5" x14ac:dyDescent="0.3">
      <c r="C665" s="2"/>
      <c r="D665" s="2"/>
      <c r="E665" s="2"/>
    </row>
    <row r="666" spans="3:5" x14ac:dyDescent="0.3">
      <c r="C666" s="2"/>
      <c r="D666" s="2"/>
      <c r="E666" s="2"/>
    </row>
    <row r="667" spans="3:5" x14ac:dyDescent="0.3">
      <c r="C667" s="2"/>
      <c r="D667" s="2"/>
      <c r="E667" s="2"/>
    </row>
    <row r="668" spans="3:5" x14ac:dyDescent="0.3">
      <c r="C668" s="2"/>
      <c r="D668" s="2"/>
      <c r="E668" s="2"/>
    </row>
    <row r="669" spans="3:5" x14ac:dyDescent="0.3">
      <c r="C669" s="2"/>
      <c r="D669" s="2"/>
      <c r="E669" s="2"/>
    </row>
    <row r="670" spans="3:5" x14ac:dyDescent="0.3">
      <c r="C670" s="2"/>
      <c r="D670" s="2"/>
      <c r="E670" s="2"/>
    </row>
    <row r="671" spans="3:5" x14ac:dyDescent="0.3">
      <c r="C671" s="2"/>
      <c r="D671" s="2"/>
      <c r="E671" s="2"/>
    </row>
    <row r="672" spans="3:5" x14ac:dyDescent="0.3">
      <c r="C672" s="2"/>
      <c r="D672" s="2"/>
      <c r="E672" s="2"/>
    </row>
    <row r="673" spans="3:5" x14ac:dyDescent="0.3">
      <c r="C673" s="2"/>
      <c r="D673" s="2"/>
      <c r="E673" s="2"/>
    </row>
    <row r="674" spans="3:5" x14ac:dyDescent="0.3">
      <c r="C674" s="2"/>
      <c r="D674" s="2"/>
      <c r="E674" s="2"/>
    </row>
    <row r="675" spans="3:5" x14ac:dyDescent="0.3">
      <c r="C675" s="2"/>
      <c r="D675" s="2"/>
      <c r="E675" s="2"/>
    </row>
    <row r="676" spans="3:5" x14ac:dyDescent="0.3">
      <c r="C676" s="2"/>
      <c r="D676" s="2"/>
      <c r="E676" s="2"/>
    </row>
    <row r="677" spans="3:5" x14ac:dyDescent="0.3">
      <c r="C677" s="2"/>
      <c r="D677" s="2"/>
      <c r="E677" s="2"/>
    </row>
    <row r="678" spans="3:5" x14ac:dyDescent="0.3">
      <c r="C678" s="2"/>
      <c r="D678" s="2"/>
      <c r="E678" s="2"/>
    </row>
    <row r="679" spans="3:5" x14ac:dyDescent="0.3">
      <c r="C679" s="2"/>
      <c r="D679" s="2"/>
      <c r="E679" s="2"/>
    </row>
    <row r="680" spans="3:5" x14ac:dyDescent="0.3">
      <c r="C680" s="2"/>
      <c r="D680" s="2"/>
      <c r="E680" s="2"/>
    </row>
    <row r="681" spans="3:5" x14ac:dyDescent="0.3">
      <c r="C681" s="2"/>
      <c r="D681" s="2"/>
      <c r="E681" s="2"/>
    </row>
    <row r="682" spans="3:5" x14ac:dyDescent="0.3">
      <c r="C682" s="2"/>
      <c r="D682" s="2"/>
      <c r="E682" s="2"/>
    </row>
    <row r="683" spans="3:5" x14ac:dyDescent="0.3">
      <c r="C683" s="2"/>
      <c r="D683" s="2"/>
      <c r="E683" s="2"/>
    </row>
    <row r="684" spans="3:5" x14ac:dyDescent="0.3">
      <c r="C684" s="2"/>
      <c r="D684" s="2"/>
      <c r="E684" s="2"/>
    </row>
    <row r="685" spans="3:5" x14ac:dyDescent="0.3">
      <c r="C685" s="2"/>
      <c r="D685" s="2"/>
      <c r="E685" s="2"/>
    </row>
    <row r="686" spans="3:5" x14ac:dyDescent="0.3">
      <c r="C686" s="2"/>
      <c r="D686" s="2"/>
      <c r="E686" s="2"/>
    </row>
    <row r="687" spans="3:5" x14ac:dyDescent="0.3">
      <c r="C687" s="2"/>
      <c r="D687" s="2"/>
      <c r="E687" s="2"/>
    </row>
    <row r="688" spans="3:5" x14ac:dyDescent="0.3">
      <c r="C688" s="2"/>
      <c r="D688" s="2"/>
      <c r="E688" s="2"/>
    </row>
    <row r="689" spans="3:5" x14ac:dyDescent="0.3">
      <c r="C689" s="2"/>
      <c r="D689" s="2"/>
      <c r="E689" s="2"/>
    </row>
    <row r="690" spans="3:5" x14ac:dyDescent="0.3">
      <c r="C690" s="2"/>
      <c r="D690" s="2"/>
      <c r="E690" s="2"/>
    </row>
    <row r="691" spans="3:5" x14ac:dyDescent="0.3">
      <c r="C691" s="2"/>
      <c r="D691" s="2"/>
      <c r="E691" s="2"/>
    </row>
    <row r="692" spans="3:5" x14ac:dyDescent="0.3">
      <c r="C692" s="2"/>
      <c r="D692" s="2"/>
      <c r="E692" s="2"/>
    </row>
    <row r="693" spans="3:5" x14ac:dyDescent="0.3">
      <c r="C693" s="2"/>
      <c r="D693" s="2"/>
      <c r="E693" s="2"/>
    </row>
    <row r="694" spans="3:5" x14ac:dyDescent="0.3">
      <c r="C694" s="2"/>
      <c r="D694" s="2"/>
      <c r="E694" s="2"/>
    </row>
    <row r="695" spans="3:5" x14ac:dyDescent="0.3">
      <c r="C695" s="2"/>
      <c r="D695" s="2"/>
      <c r="E695" s="2"/>
    </row>
    <row r="696" spans="3:5" x14ac:dyDescent="0.3">
      <c r="C696" s="2"/>
      <c r="D696" s="2"/>
      <c r="E696" s="2"/>
    </row>
    <row r="697" spans="3:5" x14ac:dyDescent="0.3">
      <c r="C697" s="2"/>
      <c r="D697" s="2"/>
      <c r="E697" s="2"/>
    </row>
    <row r="698" spans="3:5" x14ac:dyDescent="0.3">
      <c r="C698" s="2"/>
      <c r="D698" s="2"/>
      <c r="E698" s="2"/>
    </row>
    <row r="699" spans="3:5" x14ac:dyDescent="0.3">
      <c r="C699" s="2"/>
      <c r="D699" s="2"/>
      <c r="E699" s="2"/>
    </row>
    <row r="700" spans="3:5" x14ac:dyDescent="0.3">
      <c r="C700" s="2"/>
      <c r="D700" s="2"/>
      <c r="E700" s="2"/>
    </row>
    <row r="701" spans="3:5" x14ac:dyDescent="0.3">
      <c r="C701" s="2"/>
      <c r="D701" s="2"/>
      <c r="E701" s="2"/>
    </row>
    <row r="702" spans="3:5" x14ac:dyDescent="0.3">
      <c r="C702" s="2"/>
      <c r="D702" s="2"/>
      <c r="E702" s="2"/>
    </row>
    <row r="703" spans="3:5" x14ac:dyDescent="0.3">
      <c r="C703" s="2"/>
      <c r="D703" s="2"/>
      <c r="E703" s="2"/>
    </row>
    <row r="704" spans="3:5" x14ac:dyDescent="0.3">
      <c r="C704" s="2"/>
      <c r="D704" s="2"/>
      <c r="E704" s="2"/>
    </row>
    <row r="705" spans="3:5" x14ac:dyDescent="0.3">
      <c r="C705" s="2"/>
      <c r="D705" s="2"/>
      <c r="E705" s="2"/>
    </row>
    <row r="706" spans="3:5" x14ac:dyDescent="0.3">
      <c r="C706" s="2"/>
      <c r="D706" s="2"/>
      <c r="E706" s="2"/>
    </row>
    <row r="707" spans="3:5" x14ac:dyDescent="0.3">
      <c r="C707" s="2"/>
      <c r="D707" s="2"/>
      <c r="E707" s="2"/>
    </row>
    <row r="708" spans="3:5" x14ac:dyDescent="0.3">
      <c r="C708" s="2"/>
      <c r="D708" s="2"/>
      <c r="E708" s="2"/>
    </row>
    <row r="709" spans="3:5" x14ac:dyDescent="0.3">
      <c r="C709" s="2"/>
      <c r="D709" s="2"/>
      <c r="E709" s="2"/>
    </row>
    <row r="710" spans="3:5" x14ac:dyDescent="0.3">
      <c r="C710" s="2"/>
      <c r="D710" s="2"/>
      <c r="E710" s="2"/>
    </row>
    <row r="711" spans="3:5" x14ac:dyDescent="0.3">
      <c r="C711" s="2"/>
      <c r="D711" s="2"/>
      <c r="E711" s="2"/>
    </row>
    <row r="712" spans="3:5" x14ac:dyDescent="0.3">
      <c r="C712" s="2"/>
      <c r="D712" s="2"/>
      <c r="E712" s="2"/>
    </row>
    <row r="713" spans="3:5" x14ac:dyDescent="0.3">
      <c r="C713" s="2"/>
      <c r="D713" s="2"/>
      <c r="E713" s="2"/>
    </row>
    <row r="714" spans="3:5" x14ac:dyDescent="0.3">
      <c r="C714" s="2"/>
      <c r="D714" s="2"/>
      <c r="E714" s="2"/>
    </row>
    <row r="715" spans="3:5" x14ac:dyDescent="0.3">
      <c r="C715" s="2"/>
      <c r="D715" s="2"/>
      <c r="E715" s="2"/>
    </row>
    <row r="716" spans="3:5" x14ac:dyDescent="0.3">
      <c r="C716" s="2"/>
      <c r="D716" s="2"/>
      <c r="E716" s="2"/>
    </row>
    <row r="717" spans="3:5" x14ac:dyDescent="0.3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860"/>
  <sheetViews>
    <sheetView tabSelected="1" zoomScale="85" zoomScaleNormal="85" workbookViewId="0">
      <pane ySplit="1" topLeftCell="A481" activePane="bottomLeft" state="frozen"/>
      <selection activeCell="F1" sqref="F1"/>
      <selection pane="bottomLeft" activeCell="AA860" sqref="AA860"/>
    </sheetView>
  </sheetViews>
  <sheetFormatPr defaultRowHeight="14.4" x14ac:dyDescent="0.3"/>
  <cols>
    <col min="1" max="1" width="15" customWidth="1"/>
    <col min="2" max="2" width="37.5546875" customWidth="1"/>
    <col min="3" max="3" width="13.6640625" hidden="1" customWidth="1"/>
    <col min="4" max="4" width="20.44140625" hidden="1" customWidth="1"/>
    <col min="5" max="5" width="19.5546875" bestFit="1" customWidth="1"/>
    <col min="6" max="6" width="20.33203125" style="3" bestFit="1" customWidth="1"/>
    <col min="7" max="7" width="11.5546875" style="5" hidden="1" customWidth="1"/>
    <col min="8" max="8" width="14.5546875" style="5" hidden="1" customWidth="1"/>
    <col min="9" max="9" width="9.5546875" style="5" hidden="1" customWidth="1"/>
    <col min="10" max="10" width="8.33203125" style="5" hidden="1" customWidth="1"/>
    <col min="11" max="11" width="10.88671875" style="5" hidden="1" customWidth="1"/>
    <col min="12" max="13" width="9.109375" style="5" hidden="1" customWidth="1"/>
    <col min="14" max="14" width="11.44140625" style="5" customWidth="1"/>
    <col min="15" max="15" width="13" style="5" customWidth="1"/>
    <col min="16" max="16" width="10.44140625" style="5" hidden="1" customWidth="1"/>
    <col min="17" max="18" width="12.5546875" style="5" hidden="1" customWidth="1"/>
    <col min="19" max="19" width="12.5546875" style="5" customWidth="1"/>
    <col min="20" max="20" width="11.88671875" style="9" bestFit="1" customWidth="1"/>
    <col min="21" max="21" width="42.88671875" style="5" customWidth="1"/>
    <col min="22" max="22" width="9.33203125" style="5" bestFit="1" customWidth="1"/>
    <col min="23" max="23" width="9.33203125" style="5" customWidth="1"/>
    <col min="25" max="25" width="31.5546875" bestFit="1" customWidth="1"/>
    <col min="27" max="27" width="9.109375" style="39"/>
  </cols>
  <sheetData>
    <row r="1" spans="1:28" x14ac:dyDescent="0.3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s="3" t="s">
        <v>373</v>
      </c>
      <c r="G1" s="26" t="s">
        <v>374</v>
      </c>
      <c r="H1" s="26" t="s">
        <v>375</v>
      </c>
      <c r="I1" s="26" t="s">
        <v>376</v>
      </c>
      <c r="J1" s="27" t="s">
        <v>377</v>
      </c>
      <c r="K1" s="28" t="s">
        <v>378</v>
      </c>
      <c r="L1" s="29" t="s">
        <v>379</v>
      </c>
      <c r="M1" s="27" t="s">
        <v>380</v>
      </c>
      <c r="N1" s="28" t="s">
        <v>381</v>
      </c>
      <c r="O1" s="29" t="s">
        <v>382</v>
      </c>
      <c r="P1" s="27" t="s">
        <v>383</v>
      </c>
      <c r="Q1" s="28" t="s">
        <v>384</v>
      </c>
      <c r="R1" s="28" t="s">
        <v>385</v>
      </c>
      <c r="S1" s="28" t="s">
        <v>386</v>
      </c>
      <c r="T1" s="31" t="s">
        <v>387</v>
      </c>
      <c r="U1" s="29" t="s">
        <v>388</v>
      </c>
      <c r="V1" s="29" t="s">
        <v>7</v>
      </c>
      <c r="W1" s="29" t="s">
        <v>8</v>
      </c>
      <c r="X1" t="s">
        <v>389</v>
      </c>
      <c r="Y1" t="s">
        <v>390</v>
      </c>
      <c r="Z1" t="s">
        <v>3587</v>
      </c>
      <c r="AA1" s="39" t="s">
        <v>3591</v>
      </c>
    </row>
    <row r="2" spans="1:28" s="15" customFormat="1" x14ac:dyDescent="0.3">
      <c r="A2">
        <v>9999</v>
      </c>
      <c r="B2" t="str">
        <f>_xlfn.CONCAT(bron[[#This Row],[personeelsnr]]," ",bron[[#This Row],[achternaam]]," ",bron[[#This Row],[voornaam]])</f>
        <v>9999 - -</v>
      </c>
      <c r="C2" t="s">
        <v>391</v>
      </c>
      <c r="D2" t="s">
        <v>391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392</v>
      </c>
      <c r="V2" s="8">
        <v>1</v>
      </c>
      <c r="W2" s="8"/>
      <c r="X2" t="s">
        <v>7</v>
      </c>
      <c r="Y2" t="s">
        <v>13</v>
      </c>
      <c r="Z2"/>
      <c r="AA2"/>
      <c r="AB2"/>
    </row>
    <row r="3" spans="1:28" s="15" customFormat="1" x14ac:dyDescent="0.3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393</v>
      </c>
      <c r="V3" s="8"/>
      <c r="W3" s="8">
        <v>1</v>
      </c>
      <c r="X3" t="s">
        <v>8</v>
      </c>
      <c r="Y3" t="s">
        <v>72</v>
      </c>
      <c r="Z3"/>
      <c r="AA3"/>
      <c r="AB3"/>
    </row>
    <row r="4" spans="1:28" x14ac:dyDescent="0.3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S4" s="5">
        <f>SUM(bron[[#This Row],[Januari]:[December]])</f>
        <v>1</v>
      </c>
      <c r="T4" s="9">
        <v>45296</v>
      </c>
      <c r="U4" s="8" t="s">
        <v>394</v>
      </c>
      <c r="V4" s="8">
        <v>1</v>
      </c>
      <c r="W4" s="8"/>
      <c r="X4" t="s">
        <v>7</v>
      </c>
      <c r="Y4" t="s">
        <v>10</v>
      </c>
      <c r="AA4"/>
    </row>
    <row r="5" spans="1:28" x14ac:dyDescent="0.3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S5" s="5">
        <f>SUM(bron[[#This Row],[Januari]:[December]])</f>
        <v>1</v>
      </c>
      <c r="T5" s="9">
        <v>45297</v>
      </c>
      <c r="U5" s="8" t="s">
        <v>395</v>
      </c>
      <c r="V5" s="8">
        <v>1</v>
      </c>
      <c r="W5" s="8"/>
      <c r="X5" t="s">
        <v>7</v>
      </c>
      <c r="Y5" t="s">
        <v>10</v>
      </c>
      <c r="AA5"/>
    </row>
    <row r="6" spans="1:28" x14ac:dyDescent="0.3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S6" s="5">
        <f>SUM(bron[[#This Row],[Januari]:[December]])</f>
        <v>1</v>
      </c>
      <c r="T6" s="9">
        <v>45299</v>
      </c>
      <c r="U6" s="8" t="s">
        <v>396</v>
      </c>
      <c r="V6" s="8">
        <v>1</v>
      </c>
      <c r="W6" s="8"/>
      <c r="X6" t="s">
        <v>7</v>
      </c>
      <c r="Y6" t="s">
        <v>10</v>
      </c>
      <c r="AA6"/>
    </row>
    <row r="7" spans="1:28" x14ac:dyDescent="0.3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S7" s="5">
        <f>SUM(bron[[#This Row],[Januari]:[December]])</f>
        <v>1</v>
      </c>
      <c r="T7" s="9">
        <v>45299</v>
      </c>
      <c r="U7" s="8" t="s">
        <v>397</v>
      </c>
      <c r="V7" s="8"/>
      <c r="W7" s="8">
        <v>1</v>
      </c>
      <c r="X7" t="s">
        <v>8</v>
      </c>
      <c r="Y7" t="s">
        <v>10</v>
      </c>
      <c r="AA7"/>
    </row>
    <row r="8" spans="1:28" x14ac:dyDescent="0.3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S8" s="5">
        <f>SUM(bron[[#This Row],[Januari]:[December]])</f>
        <v>1</v>
      </c>
      <c r="T8" s="9">
        <v>45301</v>
      </c>
      <c r="U8" s="8" t="s">
        <v>398</v>
      </c>
      <c r="V8" s="8">
        <v>1</v>
      </c>
      <c r="W8" s="8"/>
      <c r="X8" t="s">
        <v>7</v>
      </c>
      <c r="Y8" t="s">
        <v>399</v>
      </c>
      <c r="AA8"/>
    </row>
    <row r="9" spans="1:28" x14ac:dyDescent="0.3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S9" s="5">
        <f>SUM(bron[[#This Row],[Januari]:[December]])</f>
        <v>1</v>
      </c>
      <c r="T9" s="9">
        <v>45301</v>
      </c>
      <c r="U9" s="8" t="s">
        <v>400</v>
      </c>
      <c r="V9" s="8">
        <v>1</v>
      </c>
      <c r="W9" s="8"/>
      <c r="X9" t="s">
        <v>7</v>
      </c>
      <c r="Y9" t="s">
        <v>399</v>
      </c>
      <c r="AA9"/>
    </row>
    <row r="10" spans="1:28" x14ac:dyDescent="0.3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S10" s="5">
        <f>SUM(bron[[#This Row],[Januari]:[December]])</f>
        <v>1</v>
      </c>
      <c r="T10" s="9">
        <v>45302</v>
      </c>
      <c r="U10" s="8" t="s">
        <v>401</v>
      </c>
      <c r="V10" s="8">
        <v>1</v>
      </c>
      <c r="W10" s="8"/>
      <c r="X10" t="s">
        <v>7</v>
      </c>
      <c r="Y10" t="s">
        <v>267</v>
      </c>
      <c r="AA10"/>
    </row>
    <row r="11" spans="1:28" x14ac:dyDescent="0.3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S11" s="5">
        <f>SUM(bron[[#This Row],[Januari]:[December]])</f>
        <v>1</v>
      </c>
      <c r="T11" s="9">
        <v>45302</v>
      </c>
      <c r="U11" s="8" t="s">
        <v>402</v>
      </c>
      <c r="V11" s="8"/>
      <c r="W11" s="8">
        <v>1</v>
      </c>
      <c r="X11" t="s">
        <v>8</v>
      </c>
      <c r="Y11" t="s">
        <v>171</v>
      </c>
      <c r="AA11"/>
    </row>
    <row r="12" spans="1:28" x14ac:dyDescent="0.3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S12" s="5">
        <f>SUM(bron[[#This Row],[Januari]:[December]])</f>
        <v>1</v>
      </c>
      <c r="T12" s="9">
        <v>45302</v>
      </c>
      <c r="U12" s="8" t="s">
        <v>403</v>
      </c>
      <c r="V12" s="8">
        <v>1</v>
      </c>
      <c r="W12" s="8"/>
      <c r="X12" t="s">
        <v>7</v>
      </c>
      <c r="Y12" t="s">
        <v>399</v>
      </c>
      <c r="AA12"/>
    </row>
    <row r="13" spans="1:28" x14ac:dyDescent="0.3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S13" s="5">
        <f>SUM(bron[[#This Row],[Januari]:[December]])</f>
        <v>1</v>
      </c>
      <c r="T13" s="9">
        <v>45303</v>
      </c>
      <c r="U13" s="8" t="s">
        <v>404</v>
      </c>
      <c r="V13" s="8">
        <v>1</v>
      </c>
      <c r="W13" s="8"/>
      <c r="X13" t="s">
        <v>7</v>
      </c>
      <c r="Y13" t="s">
        <v>10</v>
      </c>
      <c r="AA13"/>
    </row>
    <row r="14" spans="1:28" x14ac:dyDescent="0.3">
      <c r="A14">
        <v>9999</v>
      </c>
      <c r="B14" t="str">
        <f>_xlfn.CONCAT(bron[[#This Row],[personeelsnr]]," ",bron[[#This Row],[achternaam]]," ",bron[[#This Row],[voornaam]])</f>
        <v>9999 - -</v>
      </c>
      <c r="C14" t="s">
        <v>391</v>
      </c>
      <c r="D14" t="s">
        <v>391</v>
      </c>
      <c r="E14" t="s">
        <v>79</v>
      </c>
      <c r="F14" s="10"/>
      <c r="G14" s="7">
        <v>1</v>
      </c>
      <c r="H14" s="7"/>
      <c r="I14" s="7"/>
      <c r="S14" s="5">
        <f>SUM(bron[[#This Row],[Januari]:[December]])</f>
        <v>1</v>
      </c>
      <c r="T14" s="9">
        <v>45303</v>
      </c>
      <c r="U14" s="8" t="s">
        <v>405</v>
      </c>
      <c r="V14" s="8">
        <v>1</v>
      </c>
      <c r="W14" s="8"/>
      <c r="X14" t="s">
        <v>7</v>
      </c>
      <c r="Y14" t="s">
        <v>66</v>
      </c>
      <c r="AA14"/>
    </row>
    <row r="15" spans="1:28" x14ac:dyDescent="0.3">
      <c r="A15">
        <v>9999</v>
      </c>
      <c r="B15" t="str">
        <f>_xlfn.CONCAT(bron[[#This Row],[personeelsnr]]," ",bron[[#This Row],[achternaam]]," ",bron[[#This Row],[voornaam]])</f>
        <v>9999 - -</v>
      </c>
      <c r="C15" t="s">
        <v>391</v>
      </c>
      <c r="D15" t="s">
        <v>391</v>
      </c>
      <c r="E15" t="s">
        <v>79</v>
      </c>
      <c r="F15" s="10"/>
      <c r="G15" s="7">
        <v>1</v>
      </c>
      <c r="H15" s="7"/>
      <c r="I15" s="7"/>
      <c r="S15" s="5">
        <f>SUM(bron[[#This Row],[Januari]:[December]])</f>
        <v>1</v>
      </c>
      <c r="T15" s="9">
        <v>45303</v>
      </c>
      <c r="U15" s="8" t="s">
        <v>406</v>
      </c>
      <c r="V15" s="8"/>
      <c r="W15" s="8">
        <v>1</v>
      </c>
      <c r="X15" t="s">
        <v>8</v>
      </c>
      <c r="Y15" t="s">
        <v>185</v>
      </c>
      <c r="AA15"/>
    </row>
    <row r="16" spans="1:28" x14ac:dyDescent="0.3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S16" s="5">
        <f>SUM(bron[[#This Row],[Januari]:[December]])</f>
        <v>1</v>
      </c>
      <c r="T16" s="9">
        <v>45303</v>
      </c>
      <c r="U16" s="8" t="s">
        <v>407</v>
      </c>
      <c r="V16" s="8">
        <v>1</v>
      </c>
      <c r="W16" s="8"/>
      <c r="X16" t="s">
        <v>7</v>
      </c>
      <c r="Y16" t="s">
        <v>19</v>
      </c>
      <c r="AA16"/>
    </row>
    <row r="17" spans="1:27" x14ac:dyDescent="0.3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S17" s="5">
        <f>SUM(bron[[#This Row],[Januari]:[December]])</f>
        <v>1</v>
      </c>
      <c r="T17" s="9">
        <v>45306</v>
      </c>
      <c r="U17" s="8" t="s">
        <v>408</v>
      </c>
      <c r="V17" s="8">
        <v>1</v>
      </c>
      <c r="W17" s="8"/>
      <c r="X17" t="s">
        <v>7</v>
      </c>
      <c r="Y17" t="s">
        <v>10</v>
      </c>
      <c r="AA17"/>
    </row>
    <row r="18" spans="1:27" x14ac:dyDescent="0.3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S18" s="5">
        <f>SUM(bron[[#This Row],[Januari]:[December]])</f>
        <v>1</v>
      </c>
      <c r="T18" s="9">
        <v>45306</v>
      </c>
      <c r="U18" s="8" t="s">
        <v>409</v>
      </c>
      <c r="V18" s="8">
        <v>1</v>
      </c>
      <c r="W18" s="8"/>
      <c r="X18" t="s">
        <v>7</v>
      </c>
      <c r="Y18" t="s">
        <v>28</v>
      </c>
      <c r="AA18"/>
    </row>
    <row r="19" spans="1:27" x14ac:dyDescent="0.3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S19" s="5">
        <f>SUM(bron[[#This Row],[Januari]:[December]])</f>
        <v>1</v>
      </c>
      <c r="T19" s="9">
        <v>45306</v>
      </c>
      <c r="U19" s="8" t="s">
        <v>410</v>
      </c>
      <c r="V19" s="8">
        <v>1</v>
      </c>
      <c r="W19" s="8"/>
      <c r="X19" t="s">
        <v>7</v>
      </c>
      <c r="Y19" t="s">
        <v>43</v>
      </c>
      <c r="AA19"/>
    </row>
    <row r="20" spans="1:27" x14ac:dyDescent="0.3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S20" s="5">
        <f>SUM(bron[[#This Row],[Januari]:[December]])</f>
        <v>1</v>
      </c>
      <c r="T20" s="9">
        <v>45308</v>
      </c>
      <c r="U20" s="8" t="s">
        <v>411</v>
      </c>
      <c r="V20" s="8">
        <v>1</v>
      </c>
      <c r="W20" s="8"/>
      <c r="X20" t="s">
        <v>7</v>
      </c>
      <c r="Y20" t="s">
        <v>171</v>
      </c>
      <c r="AA20"/>
    </row>
    <row r="21" spans="1:27" x14ac:dyDescent="0.3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S21" s="5">
        <f>SUM(bron[[#This Row],[Januari]:[December]])</f>
        <v>1</v>
      </c>
      <c r="T21" s="9">
        <v>45308</v>
      </c>
      <c r="U21" s="8" t="s">
        <v>412</v>
      </c>
      <c r="V21" s="8">
        <v>1</v>
      </c>
      <c r="W21" s="8"/>
      <c r="X21" t="s">
        <v>7</v>
      </c>
      <c r="Y21" t="s">
        <v>119</v>
      </c>
      <c r="AA21"/>
    </row>
    <row r="22" spans="1:27" x14ac:dyDescent="0.3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S22" s="5">
        <f>SUM(bron[[#This Row],[Januari]:[December]])</f>
        <v>1</v>
      </c>
      <c r="T22" s="9">
        <v>45308</v>
      </c>
      <c r="U22" s="8" t="s">
        <v>413</v>
      </c>
      <c r="V22" s="8">
        <v>1</v>
      </c>
      <c r="W22" s="8"/>
      <c r="X22" t="s">
        <v>7</v>
      </c>
      <c r="Y22" t="s">
        <v>31</v>
      </c>
      <c r="AA22"/>
    </row>
    <row r="23" spans="1:27" x14ac:dyDescent="0.3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S23" s="5">
        <f>SUM(bron[[#This Row],[Januari]:[December]])</f>
        <v>1</v>
      </c>
      <c r="T23" s="9">
        <v>45309</v>
      </c>
      <c r="U23" s="8" t="s">
        <v>414</v>
      </c>
      <c r="V23" s="8">
        <v>1</v>
      </c>
      <c r="W23" s="8"/>
      <c r="X23" t="s">
        <v>7</v>
      </c>
      <c r="Y23" t="s">
        <v>415</v>
      </c>
      <c r="AA23"/>
    </row>
    <row r="24" spans="1:27" x14ac:dyDescent="0.3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S24" s="5">
        <f>SUM(bron[[#This Row],[Januari]:[December]])</f>
        <v>1</v>
      </c>
      <c r="T24" s="9">
        <v>45310</v>
      </c>
      <c r="U24" s="8" t="s">
        <v>416</v>
      </c>
      <c r="V24" s="8">
        <v>1</v>
      </c>
      <c r="W24" s="8"/>
      <c r="X24" t="s">
        <v>7</v>
      </c>
      <c r="Y24" t="s">
        <v>54</v>
      </c>
      <c r="AA24"/>
    </row>
    <row r="25" spans="1:27" x14ac:dyDescent="0.3">
      <c r="A25">
        <v>9999</v>
      </c>
      <c r="B25" t="str">
        <f>_xlfn.CONCAT(bron[[#This Row],[personeelsnr]]," ",bron[[#This Row],[achternaam]]," ",bron[[#This Row],[voornaam]])</f>
        <v>9999 - -</v>
      </c>
      <c r="C25" t="s">
        <v>391</v>
      </c>
      <c r="D25" t="s">
        <v>391</v>
      </c>
      <c r="E25" t="s">
        <v>79</v>
      </c>
      <c r="F25" s="10"/>
      <c r="G25" s="7">
        <v>1</v>
      </c>
      <c r="H25" s="7"/>
      <c r="I25" s="7"/>
      <c r="S25" s="5">
        <f>SUM(bron[[#This Row],[Januari]:[December]])</f>
        <v>1</v>
      </c>
      <c r="T25" s="9">
        <v>45311</v>
      </c>
      <c r="U25" s="8" t="s">
        <v>417</v>
      </c>
      <c r="V25" s="8">
        <v>1</v>
      </c>
      <c r="W25" s="8"/>
      <c r="X25" t="s">
        <v>7</v>
      </c>
      <c r="Y25" t="s">
        <v>203</v>
      </c>
      <c r="AA25"/>
    </row>
    <row r="26" spans="1:27" x14ac:dyDescent="0.3">
      <c r="A26">
        <v>9999</v>
      </c>
      <c r="B26" t="str">
        <f>_xlfn.CONCAT(bron[[#This Row],[personeelsnr]]," ",bron[[#This Row],[achternaam]]," ",bron[[#This Row],[voornaam]])</f>
        <v>9999 - -</v>
      </c>
      <c r="C26" t="s">
        <v>391</v>
      </c>
      <c r="D26" t="s">
        <v>391</v>
      </c>
      <c r="E26" t="s">
        <v>79</v>
      </c>
      <c r="F26" s="10"/>
      <c r="G26" s="7">
        <v>1</v>
      </c>
      <c r="H26" s="7"/>
      <c r="I26" s="7"/>
      <c r="S26" s="5">
        <f>SUM(bron[[#This Row],[Januari]:[December]])</f>
        <v>1</v>
      </c>
      <c r="T26" s="9">
        <v>45311</v>
      </c>
      <c r="U26" s="8" t="s">
        <v>418</v>
      </c>
      <c r="V26" s="8">
        <v>1</v>
      </c>
      <c r="W26" s="8"/>
      <c r="X26" t="s">
        <v>7</v>
      </c>
      <c r="Y26" t="s">
        <v>277</v>
      </c>
      <c r="AA26"/>
    </row>
    <row r="27" spans="1:27" x14ac:dyDescent="0.3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S27" s="5">
        <f>SUM(bron[[#This Row],[Januari]:[December]])</f>
        <v>1</v>
      </c>
      <c r="T27" s="9">
        <v>45312</v>
      </c>
      <c r="U27" s="8" t="s">
        <v>419</v>
      </c>
      <c r="V27" s="8"/>
      <c r="W27" s="8">
        <v>1</v>
      </c>
      <c r="X27" t="s">
        <v>8</v>
      </c>
      <c r="Y27" t="s">
        <v>239</v>
      </c>
      <c r="AA27"/>
    </row>
    <row r="28" spans="1:27" x14ac:dyDescent="0.3">
      <c r="A28">
        <v>9999</v>
      </c>
      <c r="B28" t="str">
        <f>_xlfn.CONCAT(bron[[#This Row],[personeelsnr]]," ",bron[[#This Row],[achternaam]]," ",bron[[#This Row],[voornaam]])</f>
        <v>9999 - -</v>
      </c>
      <c r="C28" t="s">
        <v>391</v>
      </c>
      <c r="D28" t="s">
        <v>391</v>
      </c>
      <c r="E28" t="s">
        <v>79</v>
      </c>
      <c r="F28" s="10"/>
      <c r="G28" s="7">
        <v>1</v>
      </c>
      <c r="H28" s="7"/>
      <c r="I28" s="7"/>
      <c r="S28" s="5">
        <f>SUM(bron[[#This Row],[Januari]:[December]])</f>
        <v>1</v>
      </c>
      <c r="T28" s="9">
        <v>45313</v>
      </c>
      <c r="U28" s="8" t="s">
        <v>420</v>
      </c>
      <c r="V28" s="8">
        <v>1</v>
      </c>
      <c r="W28" s="8"/>
      <c r="X28" t="s">
        <v>7</v>
      </c>
      <c r="Y28" t="s">
        <v>421</v>
      </c>
      <c r="AA28"/>
    </row>
    <row r="29" spans="1:27" x14ac:dyDescent="0.3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S29" s="5">
        <f>SUM(bron[[#This Row],[Januari]:[December]])</f>
        <v>1</v>
      </c>
      <c r="T29" s="9">
        <v>45314</v>
      </c>
      <c r="U29" s="8" t="s">
        <v>422</v>
      </c>
      <c r="V29" s="8">
        <v>1</v>
      </c>
      <c r="W29" s="8"/>
      <c r="X29" t="s">
        <v>7</v>
      </c>
      <c r="Y29" t="s">
        <v>10</v>
      </c>
      <c r="AA29"/>
    </row>
    <row r="30" spans="1:27" x14ac:dyDescent="0.3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S30" s="5">
        <f>SUM(bron[[#This Row],[Januari]:[December]])</f>
        <v>1</v>
      </c>
      <c r="T30" s="9">
        <v>45314</v>
      </c>
      <c r="U30" s="8" t="s">
        <v>423</v>
      </c>
      <c r="V30" s="8">
        <v>1</v>
      </c>
      <c r="W30" s="8"/>
      <c r="X30" t="s">
        <v>7</v>
      </c>
      <c r="Y30" t="s">
        <v>125</v>
      </c>
      <c r="AA30"/>
    </row>
    <row r="31" spans="1:27" x14ac:dyDescent="0.3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S31" s="5">
        <f>SUM(bron[[#This Row],[Januari]:[December]])</f>
        <v>1</v>
      </c>
      <c r="T31" s="9">
        <v>45315</v>
      </c>
      <c r="U31" s="8" t="s">
        <v>424</v>
      </c>
      <c r="V31" s="8">
        <v>1</v>
      </c>
      <c r="W31" s="8"/>
      <c r="X31" t="s">
        <v>7</v>
      </c>
      <c r="Y31" t="s">
        <v>425</v>
      </c>
      <c r="AA31"/>
    </row>
    <row r="32" spans="1:27" x14ac:dyDescent="0.3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S32" s="5">
        <f>SUM(bron[[#This Row],[Januari]:[December]])</f>
        <v>1</v>
      </c>
      <c r="T32" s="9">
        <v>45316</v>
      </c>
      <c r="U32" s="8" t="s">
        <v>426</v>
      </c>
      <c r="V32" s="8">
        <v>1</v>
      </c>
      <c r="W32" s="8"/>
      <c r="X32" t="s">
        <v>7</v>
      </c>
      <c r="Y32" t="s">
        <v>427</v>
      </c>
      <c r="AA32"/>
    </row>
    <row r="33" spans="1:27" x14ac:dyDescent="0.3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S33" s="5">
        <f>SUM(bron[[#This Row],[Januari]:[December]])</f>
        <v>1</v>
      </c>
      <c r="T33" s="9">
        <v>45316</v>
      </c>
      <c r="U33" s="8" t="s">
        <v>428</v>
      </c>
      <c r="V33" s="8">
        <v>1</v>
      </c>
      <c r="W33" s="8"/>
      <c r="X33" t="s">
        <v>7</v>
      </c>
      <c r="Y33" t="s">
        <v>241</v>
      </c>
      <c r="AA33"/>
    </row>
    <row r="34" spans="1:27" x14ac:dyDescent="0.3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S34" s="5">
        <f>SUM(bron[[#This Row],[Januari]:[December]])</f>
        <v>1</v>
      </c>
      <c r="T34" s="9">
        <v>45317</v>
      </c>
      <c r="U34" s="8" t="s">
        <v>429</v>
      </c>
      <c r="V34" s="8">
        <v>1</v>
      </c>
      <c r="W34" s="8"/>
      <c r="X34" t="s">
        <v>7</v>
      </c>
      <c r="Y34" t="s">
        <v>37</v>
      </c>
      <c r="AA34"/>
    </row>
    <row r="35" spans="1:27" x14ac:dyDescent="0.3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S35" s="5">
        <f>SUM(bron[[#This Row],[Januari]:[December]])</f>
        <v>1</v>
      </c>
      <c r="T35" s="9">
        <v>45319</v>
      </c>
      <c r="U35" s="8" t="s">
        <v>430</v>
      </c>
      <c r="V35" s="8">
        <v>1</v>
      </c>
      <c r="W35" s="8"/>
      <c r="X35" t="s">
        <v>7</v>
      </c>
      <c r="Y35" t="s">
        <v>10</v>
      </c>
      <c r="AA35"/>
    </row>
    <row r="36" spans="1:27" x14ac:dyDescent="0.3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S36" s="5">
        <f>SUM(bron[[#This Row],[Januari]:[December]])</f>
        <v>1</v>
      </c>
      <c r="T36" s="9">
        <v>45320</v>
      </c>
      <c r="U36" s="8" t="s">
        <v>431</v>
      </c>
      <c r="V36" s="8">
        <v>1</v>
      </c>
      <c r="W36" s="8"/>
      <c r="X36" t="s">
        <v>7</v>
      </c>
      <c r="Y36" t="s">
        <v>48</v>
      </c>
      <c r="AA36"/>
    </row>
    <row r="37" spans="1:27" x14ac:dyDescent="0.3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S37" s="5">
        <f>SUM(bron[[#This Row],[Januari]:[December]])</f>
        <v>1</v>
      </c>
      <c r="T37" s="9">
        <v>45321</v>
      </c>
      <c r="U37" s="8" t="s">
        <v>432</v>
      </c>
      <c r="V37" s="8">
        <v>1</v>
      </c>
      <c r="W37" s="8"/>
      <c r="X37" t="s">
        <v>7</v>
      </c>
      <c r="Y37" t="s">
        <v>399</v>
      </c>
      <c r="AA37"/>
    </row>
    <row r="38" spans="1:27" x14ac:dyDescent="0.3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S38" s="5">
        <f>SUM(bron[[#This Row],[Januari]:[December]])</f>
        <v>1</v>
      </c>
      <c r="T38" s="9">
        <v>45322</v>
      </c>
      <c r="U38" s="8" t="s">
        <v>433</v>
      </c>
      <c r="V38" s="8">
        <v>1</v>
      </c>
      <c r="W38" s="8"/>
      <c r="X38" t="s">
        <v>7</v>
      </c>
      <c r="Y38" t="s">
        <v>66</v>
      </c>
      <c r="AA38"/>
    </row>
    <row r="39" spans="1:27" x14ac:dyDescent="0.3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S39" s="5">
        <f>SUM(bron[[#This Row],[Januari]:[December]])</f>
        <v>1</v>
      </c>
      <c r="T39" s="9">
        <v>45322</v>
      </c>
      <c r="U39" s="8" t="s">
        <v>434</v>
      </c>
      <c r="V39" s="8">
        <v>1</v>
      </c>
      <c r="W39" s="8"/>
      <c r="X39" t="s">
        <v>7</v>
      </c>
      <c r="Y39" t="s">
        <v>10</v>
      </c>
      <c r="AA39"/>
    </row>
    <row r="40" spans="1:27" x14ac:dyDescent="0.3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S40" s="5">
        <f>SUM(bron[[#This Row],[Januari]:[December]])</f>
        <v>1</v>
      </c>
      <c r="T40" s="9">
        <v>45322</v>
      </c>
      <c r="U40" s="8" t="s">
        <v>435</v>
      </c>
      <c r="V40" s="8">
        <v>1</v>
      </c>
      <c r="W40" s="8"/>
      <c r="X40" t="s">
        <v>7</v>
      </c>
      <c r="Y40" t="s">
        <v>10</v>
      </c>
      <c r="AA40"/>
    </row>
    <row r="41" spans="1:27" x14ac:dyDescent="0.3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S41" s="5">
        <f>SUM(bron[[#This Row],[Januari]:[December]])</f>
        <v>1</v>
      </c>
      <c r="T41" s="9">
        <v>45322</v>
      </c>
      <c r="U41" s="8" t="s">
        <v>436</v>
      </c>
      <c r="V41" s="8">
        <v>1</v>
      </c>
      <c r="W41" s="8"/>
      <c r="X41" t="s">
        <v>7</v>
      </c>
      <c r="Y41" t="s">
        <v>10</v>
      </c>
      <c r="AA41"/>
    </row>
    <row r="42" spans="1:27" x14ac:dyDescent="0.3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S42" s="5">
        <f>SUM(bron[[#This Row],[Januari]:[December]])</f>
        <v>1</v>
      </c>
      <c r="T42" s="9">
        <v>45323</v>
      </c>
      <c r="U42" s="8" t="s">
        <v>437</v>
      </c>
      <c r="V42" s="8">
        <v>1</v>
      </c>
      <c r="W42" s="8"/>
      <c r="X42" t="s">
        <v>7</v>
      </c>
      <c r="Y42" t="s">
        <v>189</v>
      </c>
      <c r="AA42"/>
    </row>
    <row r="43" spans="1:27" x14ac:dyDescent="0.3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S43" s="5">
        <f>SUM(bron[[#This Row],[Januari]:[December]])</f>
        <v>1</v>
      </c>
      <c r="T43" s="9">
        <v>45324</v>
      </c>
      <c r="U43" s="8" t="s">
        <v>438</v>
      </c>
      <c r="V43" s="8">
        <v>1</v>
      </c>
      <c r="W43" s="8"/>
      <c r="X43" t="s">
        <v>7</v>
      </c>
      <c r="Y43" t="s">
        <v>399</v>
      </c>
      <c r="AA43"/>
    </row>
    <row r="44" spans="1:27" x14ac:dyDescent="0.3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S44" s="5">
        <f>SUM(bron[[#This Row],[Januari]:[December]])</f>
        <v>1</v>
      </c>
      <c r="T44" s="9">
        <v>45324</v>
      </c>
      <c r="U44" s="8" t="s">
        <v>439</v>
      </c>
      <c r="V44" s="8">
        <v>1</v>
      </c>
      <c r="W44" s="8"/>
      <c r="X44" t="s">
        <v>7</v>
      </c>
      <c r="Y44" t="s">
        <v>399</v>
      </c>
      <c r="AA44"/>
    </row>
    <row r="45" spans="1:27" x14ac:dyDescent="0.3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S45" s="5">
        <f>SUM(bron[[#This Row],[Januari]:[December]])</f>
        <v>1</v>
      </c>
      <c r="T45" s="9">
        <v>45325</v>
      </c>
      <c r="U45" s="8" t="s">
        <v>440</v>
      </c>
      <c r="V45" s="8">
        <v>1</v>
      </c>
      <c r="W45" s="8"/>
      <c r="X45" t="s">
        <v>7</v>
      </c>
      <c r="Y45" t="s">
        <v>34</v>
      </c>
      <c r="AA45"/>
    </row>
    <row r="46" spans="1:27" x14ac:dyDescent="0.3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S46" s="5">
        <f>SUM(bron[[#This Row],[Januari]:[December]])</f>
        <v>1</v>
      </c>
      <c r="T46" s="9">
        <v>45325</v>
      </c>
      <c r="U46" s="8" t="s">
        <v>441</v>
      </c>
      <c r="V46" s="8">
        <v>1</v>
      </c>
      <c r="W46" s="8"/>
      <c r="X46" t="s">
        <v>7</v>
      </c>
      <c r="Y46" t="s">
        <v>442</v>
      </c>
      <c r="AA46"/>
    </row>
    <row r="47" spans="1:27" x14ac:dyDescent="0.3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S47" s="5">
        <f>SUM(bron[[#This Row],[Januari]:[December]])</f>
        <v>1</v>
      </c>
      <c r="T47" s="9">
        <v>45326</v>
      </c>
      <c r="U47" s="8" t="s">
        <v>443</v>
      </c>
      <c r="V47" s="8">
        <v>1</v>
      </c>
      <c r="W47" s="8"/>
      <c r="X47" t="s">
        <v>7</v>
      </c>
      <c r="Y47" t="s">
        <v>171</v>
      </c>
      <c r="AA47"/>
    </row>
    <row r="48" spans="1:27" x14ac:dyDescent="0.3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S48" s="5">
        <f>SUM(bron[[#This Row],[Januari]:[December]])</f>
        <v>1</v>
      </c>
      <c r="T48" s="9">
        <v>45326</v>
      </c>
      <c r="U48" s="8" t="s">
        <v>444</v>
      </c>
      <c r="V48" s="8">
        <v>1</v>
      </c>
      <c r="W48" s="8"/>
      <c r="X48" t="s">
        <v>7</v>
      </c>
      <c r="Y48" t="s">
        <v>54</v>
      </c>
      <c r="AA48"/>
    </row>
    <row r="49" spans="1:27" x14ac:dyDescent="0.3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S49" s="5">
        <f>SUM(bron[[#This Row],[Januari]:[December]])</f>
        <v>1</v>
      </c>
      <c r="T49" s="9">
        <v>45326</v>
      </c>
      <c r="U49" s="8" t="s">
        <v>445</v>
      </c>
      <c r="V49" s="8">
        <v>1</v>
      </c>
      <c r="W49" s="8"/>
      <c r="X49" t="s">
        <v>7</v>
      </c>
      <c r="Y49" t="s">
        <v>446</v>
      </c>
      <c r="AA49"/>
    </row>
    <row r="50" spans="1:27" x14ac:dyDescent="0.3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S50" s="5">
        <f>SUM(bron[[#This Row],[Januari]:[December]])</f>
        <v>1</v>
      </c>
      <c r="T50" s="9">
        <v>45326</v>
      </c>
      <c r="U50" s="8" t="s">
        <v>447</v>
      </c>
      <c r="V50" s="8"/>
      <c r="W50" s="8">
        <v>1</v>
      </c>
      <c r="X50" t="s">
        <v>8</v>
      </c>
      <c r="Y50" t="s">
        <v>171</v>
      </c>
      <c r="AA50"/>
    </row>
    <row r="51" spans="1:27" x14ac:dyDescent="0.3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S51" s="5">
        <f>SUM(bron[[#This Row],[Januari]:[December]])</f>
        <v>1</v>
      </c>
      <c r="T51" s="9">
        <v>45327</v>
      </c>
      <c r="U51" s="8" t="s">
        <v>448</v>
      </c>
      <c r="V51" s="8">
        <v>1</v>
      </c>
      <c r="W51" s="8"/>
      <c r="X51" t="s">
        <v>7</v>
      </c>
      <c r="Y51" t="s">
        <v>40</v>
      </c>
      <c r="AA51"/>
    </row>
    <row r="52" spans="1:27" x14ac:dyDescent="0.3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S52" s="5">
        <f>SUM(bron[[#This Row],[Januari]:[December]])</f>
        <v>1</v>
      </c>
      <c r="T52" s="9">
        <v>45328</v>
      </c>
      <c r="U52" s="8" t="s">
        <v>449</v>
      </c>
      <c r="V52" s="8">
        <v>1</v>
      </c>
      <c r="W52" s="8"/>
      <c r="X52" t="s">
        <v>7</v>
      </c>
      <c r="Y52" t="s">
        <v>10</v>
      </c>
      <c r="AA52"/>
    </row>
    <row r="53" spans="1:27" x14ac:dyDescent="0.3">
      <c r="A53">
        <v>18987</v>
      </c>
      <c r="B53" t="str">
        <f>_xlfn.CONCAT(bron[[#This Row],[personeelsnr]]," ",bron[[#This Row],[achternaam]]," ",bron[[#This Row],[voornaam]])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 s="10"/>
      <c r="G53" s="7"/>
      <c r="H53" s="7">
        <v>1</v>
      </c>
      <c r="I53" s="7"/>
      <c r="S53" s="5">
        <f>SUM(bron[[#This Row],[Januari]:[December]])</f>
        <v>1</v>
      </c>
      <c r="T53" s="9">
        <v>45329</v>
      </c>
      <c r="U53" s="8" t="s">
        <v>450</v>
      </c>
      <c r="V53" s="8">
        <v>1</v>
      </c>
      <c r="W53" s="8"/>
      <c r="X53" t="s">
        <v>7</v>
      </c>
      <c r="Y53" t="s">
        <v>451</v>
      </c>
      <c r="AA53"/>
    </row>
    <row r="54" spans="1:27" x14ac:dyDescent="0.3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S54" s="5">
        <f>SUM(bron[[#This Row],[Januari]:[December]])</f>
        <v>1</v>
      </c>
      <c r="T54" s="9">
        <v>45329</v>
      </c>
      <c r="U54" s="8" t="s">
        <v>452</v>
      </c>
      <c r="V54" s="8"/>
      <c r="W54" s="8">
        <v>1</v>
      </c>
      <c r="X54" t="s">
        <v>8</v>
      </c>
      <c r="Y54" t="s">
        <v>159</v>
      </c>
      <c r="AA54"/>
    </row>
    <row r="55" spans="1:27" x14ac:dyDescent="0.3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S55" s="5">
        <f>SUM(bron[[#This Row],[Januari]:[December]])</f>
        <v>1</v>
      </c>
      <c r="T55" s="9">
        <v>45330</v>
      </c>
      <c r="U55" s="8" t="s">
        <v>453</v>
      </c>
      <c r="V55" s="8">
        <v>1</v>
      </c>
      <c r="W55" s="8"/>
      <c r="X55" t="s">
        <v>7</v>
      </c>
      <c r="Y55" t="s">
        <v>10</v>
      </c>
      <c r="AA55"/>
    </row>
    <row r="56" spans="1:27" x14ac:dyDescent="0.3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S56" s="5">
        <f>SUM(bron[[#This Row],[Januari]:[December]])</f>
        <v>1</v>
      </c>
      <c r="T56" s="9">
        <v>45330</v>
      </c>
      <c r="U56" s="8" t="s">
        <v>454</v>
      </c>
      <c r="V56" s="8"/>
      <c r="W56" s="8">
        <v>1</v>
      </c>
      <c r="X56" t="s">
        <v>8</v>
      </c>
      <c r="Y56" t="s">
        <v>10</v>
      </c>
      <c r="AA56"/>
    </row>
    <row r="57" spans="1:27" x14ac:dyDescent="0.3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S57" s="5">
        <f>SUM(bron[[#This Row],[Januari]:[December]])</f>
        <v>1</v>
      </c>
      <c r="T57" s="9">
        <v>45331</v>
      </c>
      <c r="U57" s="8" t="s">
        <v>455</v>
      </c>
      <c r="V57" s="8">
        <v>1</v>
      </c>
      <c r="W57" s="8"/>
      <c r="X57" t="s">
        <v>7</v>
      </c>
      <c r="Y57" t="s">
        <v>16</v>
      </c>
      <c r="AA57"/>
    </row>
    <row r="58" spans="1:27" x14ac:dyDescent="0.3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S58" s="5">
        <f>SUM(bron[[#This Row],[Januari]:[December]])</f>
        <v>1</v>
      </c>
      <c r="T58" s="9">
        <v>45335</v>
      </c>
      <c r="U58" s="8" t="s">
        <v>456</v>
      </c>
      <c r="V58" s="8">
        <v>1</v>
      </c>
      <c r="W58" s="8"/>
      <c r="X58" t="s">
        <v>7</v>
      </c>
      <c r="Y58" t="s">
        <v>10</v>
      </c>
      <c r="AA58"/>
    </row>
    <row r="59" spans="1:27" x14ac:dyDescent="0.3">
      <c r="A59">
        <v>9999</v>
      </c>
      <c r="B59" t="str">
        <f>_xlfn.CONCAT(bron[[#This Row],[personeelsnr]]," ",bron[[#This Row],[achternaam]]," ",bron[[#This Row],[voornaam]])</f>
        <v>9999 - -</v>
      </c>
      <c r="C59" t="s">
        <v>391</v>
      </c>
      <c r="D59" t="s">
        <v>391</v>
      </c>
      <c r="E59" t="s">
        <v>79</v>
      </c>
      <c r="F59" s="10"/>
      <c r="G59" s="7"/>
      <c r="H59" s="7">
        <v>1</v>
      </c>
      <c r="I59" s="7"/>
      <c r="S59" s="5">
        <f>SUM(bron[[#This Row],[Januari]:[December]])</f>
        <v>1</v>
      </c>
      <c r="T59" s="9">
        <v>45336</v>
      </c>
      <c r="U59" s="8" t="s">
        <v>457</v>
      </c>
      <c r="V59" s="8">
        <v>1</v>
      </c>
      <c r="W59" s="8"/>
      <c r="X59" t="s">
        <v>7</v>
      </c>
      <c r="Y59" t="s">
        <v>458</v>
      </c>
      <c r="AA59"/>
    </row>
    <row r="60" spans="1:27" x14ac:dyDescent="0.3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S60" s="5">
        <f>SUM(bron[[#This Row],[Januari]:[December]])</f>
        <v>1</v>
      </c>
      <c r="T60" s="9">
        <v>45337</v>
      </c>
      <c r="U60" s="8" t="s">
        <v>459</v>
      </c>
      <c r="V60" s="8">
        <v>1</v>
      </c>
      <c r="W60" s="8"/>
      <c r="X60" t="s">
        <v>7</v>
      </c>
      <c r="Y60" t="s">
        <v>177</v>
      </c>
      <c r="AA60"/>
    </row>
    <row r="61" spans="1:27" x14ac:dyDescent="0.3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S61" s="5">
        <f>SUM(bron[[#This Row],[Januari]:[December]])</f>
        <v>1</v>
      </c>
      <c r="T61" s="9">
        <v>45337</v>
      </c>
      <c r="U61" s="8" t="s">
        <v>460</v>
      </c>
      <c r="V61" s="8">
        <v>1</v>
      </c>
      <c r="W61" s="8"/>
      <c r="X61" t="s">
        <v>7</v>
      </c>
      <c r="Y61" t="s">
        <v>113</v>
      </c>
      <c r="AA61"/>
    </row>
    <row r="62" spans="1:27" x14ac:dyDescent="0.3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S62" s="5">
        <f>SUM(bron[[#This Row],[Januari]:[December]])</f>
        <v>1</v>
      </c>
      <c r="T62" s="9">
        <v>45338</v>
      </c>
      <c r="U62" s="8" t="s">
        <v>461</v>
      </c>
      <c r="V62" s="8">
        <v>1</v>
      </c>
      <c r="W62" s="8"/>
      <c r="X62" t="s">
        <v>7</v>
      </c>
      <c r="Y62" t="s">
        <v>10</v>
      </c>
      <c r="AA62"/>
    </row>
    <row r="63" spans="1:27" x14ac:dyDescent="0.3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S63" s="5">
        <f>SUM(bron[[#This Row],[Januari]:[December]])</f>
        <v>1</v>
      </c>
      <c r="T63" s="9">
        <v>45339</v>
      </c>
      <c r="U63" s="8" t="s">
        <v>462</v>
      </c>
      <c r="V63" s="8">
        <v>1</v>
      </c>
      <c r="W63" s="8"/>
      <c r="X63" t="s">
        <v>7</v>
      </c>
      <c r="Y63" t="s">
        <v>463</v>
      </c>
      <c r="AA63"/>
    </row>
    <row r="64" spans="1:27" x14ac:dyDescent="0.3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S64" s="5">
        <f>SUM(bron[[#This Row],[Januari]:[December]])</f>
        <v>1</v>
      </c>
      <c r="T64" s="9">
        <v>45339</v>
      </c>
      <c r="U64" s="8" t="s">
        <v>464</v>
      </c>
      <c r="V64" s="8">
        <v>1</v>
      </c>
      <c r="W64" s="8"/>
      <c r="X64" t="s">
        <v>7</v>
      </c>
      <c r="Y64" t="s">
        <v>465</v>
      </c>
      <c r="AA64"/>
    </row>
    <row r="65" spans="1:27" x14ac:dyDescent="0.3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S65" s="5">
        <f>SUM(bron[[#This Row],[Januari]:[December]])</f>
        <v>1</v>
      </c>
      <c r="T65" s="9">
        <v>45339</v>
      </c>
      <c r="U65" s="8" t="s">
        <v>466</v>
      </c>
      <c r="V65" s="8">
        <v>1</v>
      </c>
      <c r="W65" s="8"/>
      <c r="X65" t="s">
        <v>7</v>
      </c>
      <c r="Y65" t="s">
        <v>197</v>
      </c>
      <c r="AA65"/>
    </row>
    <row r="66" spans="1:27" x14ac:dyDescent="0.3">
      <c r="A66">
        <v>21582</v>
      </c>
      <c r="B66" t="str">
        <f>_xlfn.CONCAT(bron[[#This Row],[personeelsnr]]," ",bron[[#This Row],[achternaam]]," ",bron[[#This Row],[voornaam]])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 s="10"/>
      <c r="G66" s="7"/>
      <c r="H66" s="7">
        <v>1</v>
      </c>
      <c r="I66" s="7"/>
      <c r="S66" s="5">
        <f>SUM(bron[[#This Row],[Januari]:[December]])</f>
        <v>1</v>
      </c>
      <c r="T66" s="9">
        <v>45341</v>
      </c>
      <c r="U66" s="8" t="s">
        <v>467</v>
      </c>
      <c r="V66" s="8"/>
      <c r="W66" s="8">
        <v>1</v>
      </c>
      <c r="X66" t="s">
        <v>8</v>
      </c>
      <c r="Y66" t="s">
        <v>104</v>
      </c>
      <c r="AA66"/>
    </row>
    <row r="67" spans="1:27" x14ac:dyDescent="0.3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S67" s="5">
        <f>SUM(bron[[#This Row],[Januari]:[December]])</f>
        <v>1</v>
      </c>
      <c r="T67" s="9">
        <v>45341</v>
      </c>
      <c r="U67" s="8" t="s">
        <v>468</v>
      </c>
      <c r="V67" s="8"/>
      <c r="W67" s="8">
        <v>1</v>
      </c>
      <c r="X67" t="s">
        <v>8</v>
      </c>
      <c r="Y67" t="s">
        <v>469</v>
      </c>
      <c r="AA67"/>
    </row>
    <row r="68" spans="1:27" x14ac:dyDescent="0.3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S68" s="5">
        <f>SUM(bron[[#This Row],[Januari]:[December]])</f>
        <v>1</v>
      </c>
      <c r="T68" s="9">
        <v>45342</v>
      </c>
      <c r="U68" s="8" t="s">
        <v>470</v>
      </c>
      <c r="V68" s="8">
        <v>1</v>
      </c>
      <c r="W68" s="8"/>
      <c r="X68" t="s">
        <v>7</v>
      </c>
      <c r="Y68" t="s">
        <v>119</v>
      </c>
      <c r="AA68"/>
    </row>
    <row r="69" spans="1:27" x14ac:dyDescent="0.3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S69" s="5">
        <f>SUM(bron[[#This Row],[Januari]:[December]])</f>
        <v>1</v>
      </c>
      <c r="T69" s="9">
        <v>45342</v>
      </c>
      <c r="U69" s="8" t="s">
        <v>471</v>
      </c>
      <c r="V69" s="8">
        <v>1</v>
      </c>
      <c r="W69" s="8"/>
      <c r="X69" t="s">
        <v>7</v>
      </c>
      <c r="Y69" t="s">
        <v>28</v>
      </c>
      <c r="AA69"/>
    </row>
    <row r="70" spans="1:27" x14ac:dyDescent="0.3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S70" s="5">
        <f>SUM(bron[[#This Row],[Januari]:[December]])</f>
        <v>1</v>
      </c>
      <c r="T70" s="9">
        <v>45343</v>
      </c>
      <c r="U70" s="8" t="s">
        <v>472</v>
      </c>
      <c r="V70" s="8">
        <v>1</v>
      </c>
      <c r="W70" s="8"/>
      <c r="X70" t="s">
        <v>7</v>
      </c>
      <c r="Y70" t="s">
        <v>458</v>
      </c>
      <c r="AA70"/>
    </row>
    <row r="71" spans="1:27" x14ac:dyDescent="0.3">
      <c r="A71">
        <v>36569</v>
      </c>
      <c r="B71" t="str">
        <f>_xlfn.CONCAT(bron[[#This Row],[personeelsnr]]," ",bron[[#This Row],[achternaam]]," ",bron[[#This Row],[voornaam]])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 s="10"/>
      <c r="G71" s="7"/>
      <c r="H71" s="7">
        <v>1</v>
      </c>
      <c r="I71" s="7"/>
      <c r="S71" s="5">
        <f>SUM(bron[[#This Row],[Januari]:[December]])</f>
        <v>1</v>
      </c>
      <c r="T71" s="9">
        <v>45344</v>
      </c>
      <c r="U71" s="8" t="s">
        <v>473</v>
      </c>
      <c r="V71" s="8">
        <v>1</v>
      </c>
      <c r="W71" s="8"/>
      <c r="X71" t="s">
        <v>7</v>
      </c>
      <c r="Y71" t="s">
        <v>171</v>
      </c>
      <c r="AA71"/>
    </row>
    <row r="72" spans="1:27" x14ac:dyDescent="0.3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S72" s="5">
        <f>SUM(bron[[#This Row],[Januari]:[December]])</f>
        <v>1</v>
      </c>
      <c r="T72" s="9">
        <v>45344</v>
      </c>
      <c r="U72" s="8" t="s">
        <v>474</v>
      </c>
      <c r="V72" s="8">
        <v>1</v>
      </c>
      <c r="W72" s="8"/>
      <c r="X72" t="s">
        <v>7</v>
      </c>
      <c r="Y72" t="s">
        <v>13</v>
      </c>
      <c r="AA72"/>
    </row>
    <row r="73" spans="1:27" x14ac:dyDescent="0.3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S73" s="5">
        <f>SUM(bron[[#This Row],[Januari]:[December]])</f>
        <v>1</v>
      </c>
      <c r="T73" s="9">
        <v>45344</v>
      </c>
      <c r="U73" s="8" t="s">
        <v>475</v>
      </c>
      <c r="V73" s="8"/>
      <c r="W73" s="8">
        <v>1</v>
      </c>
      <c r="X73" t="s">
        <v>8</v>
      </c>
      <c r="Y73" t="s">
        <v>185</v>
      </c>
      <c r="AA73"/>
    </row>
    <row r="74" spans="1:27" x14ac:dyDescent="0.3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S74" s="5">
        <f>SUM(bron[[#This Row],[Januari]:[December]])</f>
        <v>1</v>
      </c>
      <c r="T74" s="9">
        <v>45345</v>
      </c>
      <c r="U74" s="8" t="s">
        <v>476</v>
      </c>
      <c r="V74" s="8">
        <v>1</v>
      </c>
      <c r="W74" s="8"/>
      <c r="X74" t="s">
        <v>7</v>
      </c>
      <c r="Y74" t="s">
        <v>399</v>
      </c>
      <c r="AA74"/>
    </row>
    <row r="75" spans="1:27" x14ac:dyDescent="0.3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S75" s="5">
        <f>SUM(bron[[#This Row],[Januari]:[December]])</f>
        <v>1</v>
      </c>
      <c r="T75" s="9">
        <v>45349</v>
      </c>
      <c r="U75" s="8" t="s">
        <v>477</v>
      </c>
      <c r="V75" s="8">
        <v>1</v>
      </c>
      <c r="W75" s="8"/>
      <c r="X75" t="s">
        <v>7</v>
      </c>
      <c r="Y75" t="s">
        <v>10</v>
      </c>
      <c r="AA75"/>
    </row>
    <row r="76" spans="1:27" x14ac:dyDescent="0.3">
      <c r="A76">
        <v>9999</v>
      </c>
      <c r="B76" t="str">
        <f>_xlfn.CONCAT(bron[[#This Row],[personeelsnr]]," ",bron[[#This Row],[achternaam]]," ",bron[[#This Row],[voornaam]])</f>
        <v>9999 - -</v>
      </c>
      <c r="C76" t="s">
        <v>391</v>
      </c>
      <c r="D76" t="s">
        <v>391</v>
      </c>
      <c r="E76" t="s">
        <v>79</v>
      </c>
      <c r="F76" s="10"/>
      <c r="G76" s="7"/>
      <c r="H76" s="7">
        <v>1</v>
      </c>
      <c r="I76" s="7"/>
      <c r="S76" s="5">
        <f>SUM(bron[[#This Row],[Januari]:[December]])</f>
        <v>1</v>
      </c>
      <c r="T76" s="9">
        <v>45350</v>
      </c>
      <c r="U76" s="8" t="s">
        <v>478</v>
      </c>
      <c r="V76" s="8">
        <v>1</v>
      </c>
      <c r="W76" s="8"/>
      <c r="X76" t="s">
        <v>7</v>
      </c>
      <c r="Y76" t="s">
        <v>479</v>
      </c>
      <c r="AA76"/>
    </row>
    <row r="77" spans="1:27" x14ac:dyDescent="0.3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S77" s="5">
        <f>SUM(bron[[#This Row],[Januari]:[December]])</f>
        <v>1</v>
      </c>
      <c r="T77" s="9">
        <v>45350</v>
      </c>
      <c r="U77" s="8" t="s">
        <v>480</v>
      </c>
      <c r="V77" s="8">
        <v>1</v>
      </c>
      <c r="W77" s="8"/>
      <c r="X77" t="s">
        <v>7</v>
      </c>
      <c r="Y77" t="s">
        <v>427</v>
      </c>
      <c r="AA77"/>
    </row>
    <row r="78" spans="1:27" x14ac:dyDescent="0.3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S78" s="5">
        <f>SUM(bron[[#This Row],[Januari]:[December]])</f>
        <v>1</v>
      </c>
      <c r="T78" s="9">
        <v>45350</v>
      </c>
      <c r="U78" s="8" t="s">
        <v>481</v>
      </c>
      <c r="V78" s="8">
        <v>1</v>
      </c>
      <c r="W78" s="8"/>
      <c r="X78" t="s">
        <v>7</v>
      </c>
      <c r="Y78" t="s">
        <v>25</v>
      </c>
      <c r="AA78"/>
    </row>
    <row r="79" spans="1:27" x14ac:dyDescent="0.3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S79" s="5">
        <f>SUM(bron[[#This Row],[Januari]:[December]])</f>
        <v>1</v>
      </c>
      <c r="T79" s="9">
        <v>45351</v>
      </c>
      <c r="U79" s="8" t="s">
        <v>482</v>
      </c>
      <c r="V79" s="8">
        <v>1</v>
      </c>
      <c r="W79" s="8"/>
      <c r="X79" t="s">
        <v>7</v>
      </c>
      <c r="Y79" t="s">
        <v>483</v>
      </c>
      <c r="AA79"/>
    </row>
    <row r="80" spans="1:27" x14ac:dyDescent="0.3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S80" s="5">
        <f>SUM(bron[[#This Row],[Januari]:[December]])</f>
        <v>1</v>
      </c>
      <c r="T80" s="9">
        <v>45351</v>
      </c>
      <c r="U80" s="8" t="s">
        <v>484</v>
      </c>
      <c r="V80" s="8">
        <v>1</v>
      </c>
      <c r="W80" s="8"/>
      <c r="X80" t="s">
        <v>7</v>
      </c>
      <c r="Y80" t="s">
        <v>485</v>
      </c>
      <c r="AA80"/>
    </row>
    <row r="81" spans="1:27" x14ac:dyDescent="0.3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S81" s="5">
        <f>SUM(bron[[#This Row],[Januari]:[December]])</f>
        <v>1</v>
      </c>
      <c r="T81" s="9">
        <v>45351</v>
      </c>
      <c r="U81" s="8" t="s">
        <v>486</v>
      </c>
      <c r="V81" s="8">
        <v>1</v>
      </c>
      <c r="W81" s="8"/>
      <c r="X81" t="s">
        <v>7</v>
      </c>
      <c r="Y81" t="s">
        <v>487</v>
      </c>
      <c r="AA81"/>
    </row>
    <row r="82" spans="1:27" x14ac:dyDescent="0.3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S82" s="5">
        <f>SUM(bron[[#This Row],[Januari]:[December]])</f>
        <v>1</v>
      </c>
      <c r="T82" s="9">
        <v>45351</v>
      </c>
      <c r="U82" s="8" t="s">
        <v>488</v>
      </c>
      <c r="V82" s="8"/>
      <c r="W82" s="8">
        <v>1</v>
      </c>
      <c r="X82" t="s">
        <v>8</v>
      </c>
      <c r="Y82" t="s">
        <v>489</v>
      </c>
      <c r="AA82"/>
    </row>
    <row r="83" spans="1:27" x14ac:dyDescent="0.3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S83" s="5">
        <f>SUM(bron[[#This Row],[Januari]:[December]])</f>
        <v>1</v>
      </c>
      <c r="T83" s="9">
        <v>45352</v>
      </c>
      <c r="U83" s="8" t="s">
        <v>490</v>
      </c>
      <c r="V83" s="8">
        <v>1</v>
      </c>
      <c r="W83" s="8"/>
      <c r="X83" t="s">
        <v>7</v>
      </c>
      <c r="Y83" t="s">
        <v>399</v>
      </c>
      <c r="AA83"/>
    </row>
    <row r="84" spans="1:27" x14ac:dyDescent="0.3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S84" s="5">
        <f>SUM(bron[[#This Row],[Januari]:[December]])</f>
        <v>1</v>
      </c>
      <c r="T84" s="9">
        <v>45352</v>
      </c>
      <c r="U84" s="8" t="s">
        <v>491</v>
      </c>
      <c r="V84" s="8">
        <v>1</v>
      </c>
      <c r="W84" s="8"/>
      <c r="X84" t="s">
        <v>7</v>
      </c>
      <c r="Y84" t="s">
        <v>106</v>
      </c>
      <c r="AA84"/>
    </row>
    <row r="85" spans="1:27" x14ac:dyDescent="0.3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S85" s="5">
        <f>SUM(bron[[#This Row],[Januari]:[December]])</f>
        <v>1</v>
      </c>
      <c r="T85" s="9">
        <v>45352</v>
      </c>
      <c r="U85" s="8" t="s">
        <v>492</v>
      </c>
      <c r="V85" s="8">
        <v>1</v>
      </c>
      <c r="W85" s="8"/>
      <c r="X85" t="s">
        <v>7</v>
      </c>
      <c r="Y85" t="s">
        <v>10</v>
      </c>
      <c r="AA85"/>
    </row>
    <row r="86" spans="1:27" x14ac:dyDescent="0.3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S86" s="5">
        <f>SUM(bron[[#This Row],[Januari]:[December]])</f>
        <v>1</v>
      </c>
      <c r="T86" s="9">
        <v>45352</v>
      </c>
      <c r="U86" s="8" t="s">
        <v>493</v>
      </c>
      <c r="V86" s="8">
        <v>1</v>
      </c>
      <c r="W86" s="8"/>
      <c r="X86" t="s">
        <v>7</v>
      </c>
      <c r="Y86" t="s">
        <v>485</v>
      </c>
      <c r="AA86"/>
    </row>
    <row r="87" spans="1:27" x14ac:dyDescent="0.3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S87" s="5">
        <f>SUM(bron[[#This Row],[Januari]:[December]])</f>
        <v>1</v>
      </c>
      <c r="T87" s="9">
        <v>45352</v>
      </c>
      <c r="U87" s="8" t="s">
        <v>494</v>
      </c>
      <c r="V87" s="8">
        <v>1</v>
      </c>
      <c r="W87" s="8"/>
      <c r="X87" t="s">
        <v>7</v>
      </c>
      <c r="Y87" t="s">
        <v>495</v>
      </c>
      <c r="AA87"/>
    </row>
    <row r="88" spans="1:27" x14ac:dyDescent="0.3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S88" s="5">
        <f>SUM(bron[[#This Row],[Januari]:[December]])</f>
        <v>1</v>
      </c>
      <c r="T88" s="9">
        <v>45353</v>
      </c>
      <c r="U88" s="8" t="s">
        <v>496</v>
      </c>
      <c r="V88" s="8">
        <v>1</v>
      </c>
      <c r="W88" s="8"/>
      <c r="X88" t="s">
        <v>7</v>
      </c>
      <c r="Y88" t="s">
        <v>442</v>
      </c>
      <c r="AA88"/>
    </row>
    <row r="89" spans="1:27" x14ac:dyDescent="0.3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S89" s="5">
        <f>SUM(bron[[#This Row],[Januari]:[December]])</f>
        <v>1</v>
      </c>
      <c r="T89" s="9">
        <v>45353</v>
      </c>
      <c r="U89" s="8" t="s">
        <v>497</v>
      </c>
      <c r="V89" s="8">
        <v>1</v>
      </c>
      <c r="W89" s="8"/>
      <c r="X89" t="s">
        <v>7</v>
      </c>
      <c r="Y89" t="s">
        <v>10</v>
      </c>
      <c r="AA89"/>
    </row>
    <row r="90" spans="1:27" x14ac:dyDescent="0.3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S90" s="5">
        <f>SUM(bron[[#This Row],[Januari]:[December]])</f>
        <v>1</v>
      </c>
      <c r="T90" s="9">
        <v>45356</v>
      </c>
      <c r="U90" s="8" t="s">
        <v>498</v>
      </c>
      <c r="V90" s="8">
        <v>1</v>
      </c>
      <c r="W90" s="8"/>
      <c r="X90" t="s">
        <v>7</v>
      </c>
      <c r="Y90" t="s">
        <v>442</v>
      </c>
      <c r="AA90"/>
    </row>
    <row r="91" spans="1:27" x14ac:dyDescent="0.3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S91" s="5">
        <f>SUM(bron[[#This Row],[Januari]:[December]])</f>
        <v>1</v>
      </c>
      <c r="T91" s="9">
        <v>45356</v>
      </c>
      <c r="U91" s="8" t="s">
        <v>499</v>
      </c>
      <c r="V91" s="8">
        <v>1</v>
      </c>
      <c r="W91" s="8"/>
      <c r="X91" t="s">
        <v>7</v>
      </c>
      <c r="Y91" t="s">
        <v>185</v>
      </c>
      <c r="AA91"/>
    </row>
    <row r="92" spans="1:27" x14ac:dyDescent="0.3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S92" s="5">
        <f>SUM(bron[[#This Row],[Januari]:[December]])</f>
        <v>1</v>
      </c>
      <c r="T92" s="9">
        <v>45356</v>
      </c>
      <c r="U92" s="8" t="s">
        <v>500</v>
      </c>
      <c r="V92" s="8">
        <v>1</v>
      </c>
      <c r="W92" s="8"/>
      <c r="X92" t="s">
        <v>7</v>
      </c>
      <c r="Y92" t="s">
        <v>25</v>
      </c>
      <c r="AA92"/>
    </row>
    <row r="93" spans="1:27" x14ac:dyDescent="0.3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S93" s="5">
        <f>SUM(bron[[#This Row],[Januari]:[December]])</f>
        <v>1</v>
      </c>
      <c r="T93" s="9">
        <v>45356</v>
      </c>
      <c r="U93" s="8" t="s">
        <v>501</v>
      </c>
      <c r="V93" s="8">
        <v>1</v>
      </c>
      <c r="W93" s="8"/>
      <c r="X93" t="s">
        <v>7</v>
      </c>
      <c r="Y93" t="s">
        <v>81</v>
      </c>
      <c r="AA93"/>
    </row>
    <row r="94" spans="1:27" x14ac:dyDescent="0.3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S94" s="5">
        <f>SUM(bron[[#This Row],[Januari]:[December]])</f>
        <v>1</v>
      </c>
      <c r="T94" s="9">
        <v>45356</v>
      </c>
      <c r="U94" s="8" t="s">
        <v>502</v>
      </c>
      <c r="V94" s="8">
        <v>1</v>
      </c>
      <c r="W94" s="8"/>
      <c r="X94" t="s">
        <v>7</v>
      </c>
      <c r="Y94" t="s">
        <v>66</v>
      </c>
      <c r="AA94"/>
    </row>
    <row r="95" spans="1:27" x14ac:dyDescent="0.3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S95" s="5">
        <f>SUM(bron[[#This Row],[Januari]:[December]])</f>
        <v>1</v>
      </c>
      <c r="T95" s="9">
        <v>45356</v>
      </c>
      <c r="U95" s="8" t="s">
        <v>503</v>
      </c>
      <c r="V95" s="8">
        <v>1</v>
      </c>
      <c r="W95" s="8"/>
      <c r="X95" t="s">
        <v>7</v>
      </c>
      <c r="Y95" t="s">
        <v>504</v>
      </c>
      <c r="AA95"/>
    </row>
    <row r="96" spans="1:27" x14ac:dyDescent="0.3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S96" s="5">
        <f>SUM(bron[[#This Row],[Januari]:[December]])</f>
        <v>1</v>
      </c>
      <c r="T96" s="9">
        <v>45357</v>
      </c>
      <c r="U96" s="8" t="s">
        <v>505</v>
      </c>
      <c r="V96" s="8"/>
      <c r="W96" s="8">
        <v>1</v>
      </c>
      <c r="X96" t="s">
        <v>8</v>
      </c>
      <c r="Y96" t="s">
        <v>72</v>
      </c>
      <c r="AA96"/>
    </row>
    <row r="97" spans="1:27" x14ac:dyDescent="0.3">
      <c r="A97">
        <v>9999</v>
      </c>
      <c r="B97" t="str">
        <f>_xlfn.CONCAT(bron[[#This Row],[personeelsnr]]," ",bron[[#This Row],[achternaam]]," ",bron[[#This Row],[voornaam]])</f>
        <v>9999 - -</v>
      </c>
      <c r="C97" t="s">
        <v>391</v>
      </c>
      <c r="D97" t="s">
        <v>391</v>
      </c>
      <c r="E97" t="s">
        <v>79</v>
      </c>
      <c r="F97" s="10"/>
      <c r="G97" s="7"/>
      <c r="H97" s="7"/>
      <c r="I97" s="7">
        <v>1</v>
      </c>
      <c r="S97" s="5">
        <f>SUM(bron[[#This Row],[Januari]:[December]])</f>
        <v>1</v>
      </c>
      <c r="T97" s="9">
        <v>45357</v>
      </c>
      <c r="U97" s="8" t="s">
        <v>506</v>
      </c>
      <c r="V97" s="8"/>
      <c r="W97" s="8">
        <v>1</v>
      </c>
      <c r="X97" t="s">
        <v>8</v>
      </c>
      <c r="Y97" t="s">
        <v>72</v>
      </c>
      <c r="AA97"/>
    </row>
    <row r="98" spans="1:27" x14ac:dyDescent="0.3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S98" s="5">
        <f>SUM(bron[[#This Row],[Januari]:[December]])</f>
        <v>1</v>
      </c>
      <c r="T98" s="9">
        <v>45359</v>
      </c>
      <c r="U98" s="8" t="s">
        <v>507</v>
      </c>
      <c r="V98" s="8">
        <v>1</v>
      </c>
      <c r="W98" s="8"/>
      <c r="X98" t="s">
        <v>7</v>
      </c>
      <c r="Y98" t="s">
        <v>508</v>
      </c>
      <c r="AA98"/>
    </row>
    <row r="99" spans="1:27" x14ac:dyDescent="0.3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S99" s="5">
        <f>SUM(bron[[#This Row],[Januari]:[December]])</f>
        <v>1</v>
      </c>
      <c r="T99" s="9">
        <v>45359</v>
      </c>
      <c r="U99" s="8" t="s">
        <v>509</v>
      </c>
      <c r="V99" s="8">
        <v>1</v>
      </c>
      <c r="W99" s="8"/>
      <c r="X99" t="s">
        <v>7</v>
      </c>
      <c r="Y99" t="s">
        <v>510</v>
      </c>
      <c r="AA99"/>
    </row>
    <row r="100" spans="1:27" x14ac:dyDescent="0.3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S100" s="5">
        <f>SUM(bron[[#This Row],[Januari]:[December]])</f>
        <v>1</v>
      </c>
      <c r="T100" s="9">
        <v>45359</v>
      </c>
      <c r="U100" s="8" t="s">
        <v>511</v>
      </c>
      <c r="V100" s="8">
        <v>1</v>
      </c>
      <c r="W100" s="8"/>
      <c r="X100" t="s">
        <v>7</v>
      </c>
      <c r="Y100" t="s">
        <v>19</v>
      </c>
      <c r="AA100"/>
    </row>
    <row r="101" spans="1:27" x14ac:dyDescent="0.3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S101" s="5">
        <f>SUM(bron[[#This Row],[Januari]:[December]])</f>
        <v>1</v>
      </c>
      <c r="T101" s="9">
        <v>45360</v>
      </c>
      <c r="U101" s="8" t="s">
        <v>512</v>
      </c>
      <c r="V101" s="8">
        <v>1</v>
      </c>
      <c r="W101" s="8"/>
      <c r="X101" t="s">
        <v>7</v>
      </c>
      <c r="Y101" t="s">
        <v>287</v>
      </c>
      <c r="AA101"/>
    </row>
    <row r="102" spans="1:27" x14ac:dyDescent="0.3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S102" s="5">
        <f>SUM(bron[[#This Row],[Januari]:[December]])</f>
        <v>1</v>
      </c>
      <c r="T102" s="9">
        <v>45363</v>
      </c>
      <c r="U102" s="8" t="s">
        <v>513</v>
      </c>
      <c r="V102" s="8">
        <v>1</v>
      </c>
      <c r="W102" s="8"/>
      <c r="X102" t="s">
        <v>7</v>
      </c>
      <c r="Y102" t="s">
        <v>514</v>
      </c>
      <c r="AA102"/>
    </row>
    <row r="103" spans="1:27" x14ac:dyDescent="0.3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391</v>
      </c>
      <c r="D103" t="s">
        <v>391</v>
      </c>
      <c r="E103" t="s">
        <v>79</v>
      </c>
      <c r="F103" s="10"/>
      <c r="G103" s="7"/>
      <c r="H103" s="7"/>
      <c r="I103" s="7">
        <v>1</v>
      </c>
      <c r="S103" s="5">
        <f>SUM(bron[[#This Row],[Januari]:[December]])</f>
        <v>1</v>
      </c>
      <c r="T103" s="9">
        <v>45363</v>
      </c>
      <c r="U103" s="8" t="s">
        <v>515</v>
      </c>
      <c r="V103" s="8">
        <v>1</v>
      </c>
      <c r="W103" s="8"/>
      <c r="X103" t="s">
        <v>7</v>
      </c>
      <c r="Y103" t="s">
        <v>516</v>
      </c>
      <c r="AA103"/>
    </row>
    <row r="104" spans="1:27" x14ac:dyDescent="0.3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S104" s="5">
        <f>SUM(bron[[#This Row],[Januari]:[December]])</f>
        <v>1</v>
      </c>
      <c r="T104" s="9">
        <v>45364</v>
      </c>
      <c r="U104" s="8" t="s">
        <v>517</v>
      </c>
      <c r="V104" s="8">
        <v>1</v>
      </c>
      <c r="W104" s="8"/>
      <c r="X104" t="s">
        <v>7</v>
      </c>
      <c r="Y104" t="s">
        <v>34</v>
      </c>
      <c r="AA104"/>
    </row>
    <row r="105" spans="1:27" x14ac:dyDescent="0.3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S105" s="5">
        <f>SUM(bron[[#This Row],[Januari]:[December]])</f>
        <v>1</v>
      </c>
      <c r="T105" s="9">
        <v>45364</v>
      </c>
      <c r="U105" s="8" t="s">
        <v>518</v>
      </c>
      <c r="V105" s="8">
        <v>1</v>
      </c>
      <c r="W105" s="8"/>
      <c r="X105" t="s">
        <v>7</v>
      </c>
      <c r="Y105" t="s">
        <v>519</v>
      </c>
      <c r="AA105"/>
    </row>
    <row r="106" spans="1:27" x14ac:dyDescent="0.3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S106" s="5">
        <f>SUM(bron[[#This Row],[Januari]:[December]])</f>
        <v>1</v>
      </c>
      <c r="T106" s="9">
        <v>45364</v>
      </c>
      <c r="U106" s="8" t="s">
        <v>520</v>
      </c>
      <c r="V106" s="8"/>
      <c r="W106" s="8">
        <v>1</v>
      </c>
      <c r="X106" t="s">
        <v>8</v>
      </c>
      <c r="Y106" t="s">
        <v>171</v>
      </c>
      <c r="AA106"/>
    </row>
    <row r="107" spans="1:27" x14ac:dyDescent="0.3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S107" s="5">
        <f>SUM(bron[[#This Row],[Januari]:[December]])</f>
        <v>1</v>
      </c>
      <c r="T107" s="9">
        <v>45364</v>
      </c>
      <c r="U107" s="8" t="s">
        <v>521</v>
      </c>
      <c r="V107" s="8"/>
      <c r="W107" s="8">
        <v>1</v>
      </c>
      <c r="X107" t="s">
        <v>8</v>
      </c>
      <c r="Y107" t="s">
        <v>5</v>
      </c>
      <c r="AA107"/>
    </row>
    <row r="108" spans="1:27" x14ac:dyDescent="0.3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S108" s="5">
        <f>SUM(bron[[#This Row],[Januari]:[December]])</f>
        <v>1</v>
      </c>
      <c r="T108" s="9">
        <v>45364</v>
      </c>
      <c r="U108" s="8" t="s">
        <v>522</v>
      </c>
      <c r="V108" s="8">
        <v>1</v>
      </c>
      <c r="W108" s="8"/>
      <c r="X108" t="s">
        <v>7</v>
      </c>
      <c r="Y108" t="s">
        <v>285</v>
      </c>
      <c r="AA108"/>
    </row>
    <row r="109" spans="1:27" x14ac:dyDescent="0.3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S109" s="5">
        <f>SUM(bron[[#This Row],[Januari]:[December]])</f>
        <v>1</v>
      </c>
      <c r="T109" s="9">
        <v>45365</v>
      </c>
      <c r="U109" s="8" t="s">
        <v>523</v>
      </c>
      <c r="V109" s="8">
        <v>1</v>
      </c>
      <c r="W109" s="8"/>
      <c r="X109" t="s">
        <v>7</v>
      </c>
      <c r="Y109" t="s">
        <v>524</v>
      </c>
      <c r="AA109"/>
    </row>
    <row r="110" spans="1:27" x14ac:dyDescent="0.3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S110" s="5">
        <f>SUM(bron[[#This Row],[Januari]:[December]])</f>
        <v>1</v>
      </c>
      <c r="T110" s="9">
        <v>45367</v>
      </c>
      <c r="U110" s="8" t="s">
        <v>525</v>
      </c>
      <c r="V110" s="8">
        <v>1</v>
      </c>
      <c r="W110" s="8"/>
      <c r="X110" t="s">
        <v>7</v>
      </c>
      <c r="Y110" t="s">
        <v>13</v>
      </c>
      <c r="AA110"/>
    </row>
    <row r="111" spans="1:27" x14ac:dyDescent="0.3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S111" s="5">
        <f>SUM(bron[[#This Row],[Januari]:[December]])</f>
        <v>1</v>
      </c>
      <c r="T111" s="9">
        <v>45369</v>
      </c>
      <c r="U111" s="8" t="s">
        <v>526</v>
      </c>
      <c r="V111" s="8">
        <v>1</v>
      </c>
      <c r="W111" s="8"/>
      <c r="X111" t="s">
        <v>7</v>
      </c>
      <c r="Y111" t="s">
        <v>22</v>
      </c>
      <c r="AA111"/>
    </row>
    <row r="112" spans="1:27" x14ac:dyDescent="0.3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S112" s="5">
        <f>SUM(bron[[#This Row],[Januari]:[December]])</f>
        <v>1</v>
      </c>
      <c r="T112" s="9">
        <v>45369</v>
      </c>
      <c r="U112" s="8" t="s">
        <v>527</v>
      </c>
      <c r="V112" s="8">
        <v>1</v>
      </c>
      <c r="W112" s="8"/>
      <c r="X112" t="s">
        <v>7</v>
      </c>
      <c r="Y112" t="s">
        <v>10</v>
      </c>
      <c r="AA112"/>
    </row>
    <row r="113" spans="1:27" x14ac:dyDescent="0.3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S113" s="5">
        <f>SUM(bron[[#This Row],[Januari]:[December]])</f>
        <v>1</v>
      </c>
      <c r="T113" s="9">
        <v>45370</v>
      </c>
      <c r="U113" s="8" t="s">
        <v>528</v>
      </c>
      <c r="V113" s="8">
        <v>1</v>
      </c>
      <c r="W113" s="8"/>
      <c r="X113" t="s">
        <v>7</v>
      </c>
      <c r="Y113" t="s">
        <v>113</v>
      </c>
      <c r="AA113"/>
    </row>
    <row r="114" spans="1:27" x14ac:dyDescent="0.3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S114" s="5">
        <f>SUM(bron[[#This Row],[Januari]:[December]])</f>
        <v>1</v>
      </c>
      <c r="T114" s="9">
        <v>45370</v>
      </c>
      <c r="U114" s="8" t="s">
        <v>529</v>
      </c>
      <c r="V114" s="8"/>
      <c r="W114" s="8">
        <v>1</v>
      </c>
      <c r="X114" t="s">
        <v>8</v>
      </c>
      <c r="Y114" t="s">
        <v>489</v>
      </c>
      <c r="AA114"/>
    </row>
    <row r="115" spans="1:27" x14ac:dyDescent="0.3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S115" s="5">
        <f>SUM(bron[[#This Row],[Januari]:[December]])</f>
        <v>1</v>
      </c>
      <c r="T115" s="9">
        <v>45371</v>
      </c>
      <c r="U115" s="8" t="s">
        <v>530</v>
      </c>
      <c r="V115" s="8">
        <v>1</v>
      </c>
      <c r="W115" s="8"/>
      <c r="X115" t="s">
        <v>7</v>
      </c>
      <c r="Y115" t="s">
        <v>531</v>
      </c>
      <c r="AA115"/>
    </row>
    <row r="116" spans="1:27" x14ac:dyDescent="0.3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S116" s="5">
        <f>SUM(bron[[#This Row],[Januari]:[December]])</f>
        <v>1</v>
      </c>
      <c r="T116" s="9">
        <v>45371</v>
      </c>
      <c r="U116" s="8" t="s">
        <v>532</v>
      </c>
      <c r="V116" s="8"/>
      <c r="W116" s="8">
        <v>1</v>
      </c>
      <c r="X116" t="s">
        <v>8</v>
      </c>
      <c r="Y116" t="s">
        <v>533</v>
      </c>
      <c r="AA116"/>
    </row>
    <row r="117" spans="1:27" x14ac:dyDescent="0.3">
      <c r="A117">
        <v>23880</v>
      </c>
      <c r="B117" t="str">
        <f>_xlfn.CONCAT(bron[[#This Row],[personeelsnr]]," ",bron[[#This Row],[achternaam]]," ",bron[[#This Row],[voornaam]])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 s="10"/>
      <c r="G117" s="7"/>
      <c r="H117" s="7"/>
      <c r="I117" s="7">
        <v>1</v>
      </c>
      <c r="S117" s="5">
        <f>SUM(bron[[#This Row],[Januari]:[December]])</f>
        <v>1</v>
      </c>
      <c r="T117" s="9">
        <v>45371</v>
      </c>
      <c r="U117" s="8" t="s">
        <v>534</v>
      </c>
      <c r="V117" s="8"/>
      <c r="W117" s="8">
        <v>1</v>
      </c>
      <c r="X117" t="s">
        <v>8</v>
      </c>
      <c r="Y117" t="s">
        <v>535</v>
      </c>
      <c r="AA117"/>
    </row>
    <row r="118" spans="1:27" x14ac:dyDescent="0.3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S118" s="5">
        <f>SUM(bron[[#This Row],[Januari]:[December]])</f>
        <v>1</v>
      </c>
      <c r="T118" s="9">
        <v>45371</v>
      </c>
      <c r="U118" s="8" t="s">
        <v>536</v>
      </c>
      <c r="V118" s="8">
        <v>1</v>
      </c>
      <c r="W118" s="8"/>
      <c r="X118" t="s">
        <v>7</v>
      </c>
      <c r="Y118" t="s">
        <v>537</v>
      </c>
      <c r="AA118"/>
    </row>
    <row r="119" spans="1:27" x14ac:dyDescent="0.3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S119" s="5">
        <f>SUM(bron[[#This Row],[Januari]:[December]])</f>
        <v>1</v>
      </c>
      <c r="T119" s="9">
        <v>45372</v>
      </c>
      <c r="U119" s="8" t="s">
        <v>538</v>
      </c>
      <c r="V119" s="8">
        <v>1</v>
      </c>
      <c r="W119" s="8"/>
      <c r="X119" t="s">
        <v>7</v>
      </c>
      <c r="Y119" t="s">
        <v>171</v>
      </c>
      <c r="AA119"/>
    </row>
    <row r="120" spans="1:27" x14ac:dyDescent="0.3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S120" s="5">
        <f>SUM(bron[[#This Row],[Januari]:[December]])</f>
        <v>1</v>
      </c>
      <c r="T120" s="9">
        <v>45373</v>
      </c>
      <c r="U120" s="8" t="s">
        <v>539</v>
      </c>
      <c r="V120" s="8">
        <v>1</v>
      </c>
      <c r="W120" s="8"/>
      <c r="X120" t="s">
        <v>7</v>
      </c>
      <c r="Y120" t="s">
        <v>113</v>
      </c>
      <c r="AA120"/>
    </row>
    <row r="121" spans="1:27" x14ac:dyDescent="0.3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S121" s="5">
        <f>SUM(bron[[#This Row],[Januari]:[December]])</f>
        <v>1</v>
      </c>
      <c r="T121" s="9">
        <v>45373</v>
      </c>
      <c r="U121" s="8" t="s">
        <v>540</v>
      </c>
      <c r="V121" s="8">
        <v>1</v>
      </c>
      <c r="W121" s="8"/>
      <c r="X121" t="s">
        <v>7</v>
      </c>
      <c r="Y121" t="s">
        <v>22</v>
      </c>
      <c r="AA121"/>
    </row>
    <row r="122" spans="1:27" x14ac:dyDescent="0.3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S122" s="5">
        <f>SUM(bron[[#This Row],[Januari]:[December]])</f>
        <v>1</v>
      </c>
      <c r="T122" s="9">
        <v>45373</v>
      </c>
      <c r="U122" s="8" t="s">
        <v>541</v>
      </c>
      <c r="V122" s="8"/>
      <c r="W122" s="8">
        <v>1</v>
      </c>
      <c r="X122" t="s">
        <v>8</v>
      </c>
      <c r="Y122" t="s">
        <v>542</v>
      </c>
      <c r="AA122"/>
    </row>
    <row r="123" spans="1:27" x14ac:dyDescent="0.3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S123" s="5">
        <f>SUM(bron[[#This Row],[Januari]:[December]])</f>
        <v>1</v>
      </c>
      <c r="T123" s="9">
        <v>45373</v>
      </c>
      <c r="U123" s="8" t="s">
        <v>543</v>
      </c>
      <c r="V123" s="8"/>
      <c r="W123" s="8">
        <v>1</v>
      </c>
      <c r="X123" t="s">
        <v>8</v>
      </c>
      <c r="Y123" t="s">
        <v>10</v>
      </c>
      <c r="AA123"/>
    </row>
    <row r="124" spans="1:27" x14ac:dyDescent="0.3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S124" s="5">
        <f>SUM(bron[[#This Row],[Januari]:[December]])</f>
        <v>1</v>
      </c>
      <c r="T124" s="9">
        <v>45373</v>
      </c>
      <c r="U124" s="8" t="s">
        <v>544</v>
      </c>
      <c r="V124" s="8">
        <v>1</v>
      </c>
      <c r="W124" s="8"/>
      <c r="X124" t="s">
        <v>7</v>
      </c>
      <c r="Y124" t="s">
        <v>22</v>
      </c>
      <c r="AA124"/>
    </row>
    <row r="125" spans="1:27" x14ac:dyDescent="0.3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391</v>
      </c>
      <c r="D125" t="s">
        <v>391</v>
      </c>
      <c r="E125" t="s">
        <v>79</v>
      </c>
      <c r="F125" s="10"/>
      <c r="G125" s="7"/>
      <c r="H125" s="7"/>
      <c r="I125" s="7">
        <v>1</v>
      </c>
      <c r="S125" s="5">
        <f>SUM(bron[[#This Row],[Januari]:[December]])</f>
        <v>1</v>
      </c>
      <c r="T125" s="9">
        <v>45373</v>
      </c>
      <c r="U125" s="8" t="s">
        <v>545</v>
      </c>
      <c r="V125" s="8"/>
      <c r="W125" s="8">
        <v>1</v>
      </c>
      <c r="X125" t="s">
        <v>8</v>
      </c>
      <c r="Y125" t="s">
        <v>31</v>
      </c>
      <c r="AA125"/>
    </row>
    <row r="126" spans="1:27" x14ac:dyDescent="0.3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S126" s="5">
        <f>SUM(bron[[#This Row],[Januari]:[December]])</f>
        <v>1</v>
      </c>
      <c r="T126" s="9">
        <v>45373</v>
      </c>
      <c r="U126" s="8" t="s">
        <v>546</v>
      </c>
      <c r="V126" s="8">
        <v>1</v>
      </c>
      <c r="W126" s="8"/>
      <c r="X126" t="s">
        <v>7</v>
      </c>
      <c r="Y126" t="s">
        <v>43</v>
      </c>
      <c r="AA126"/>
    </row>
    <row r="127" spans="1:27" x14ac:dyDescent="0.3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S127" s="5">
        <f>SUM(bron[[#This Row],[Januari]:[December]])</f>
        <v>1</v>
      </c>
      <c r="T127" s="9">
        <v>45374</v>
      </c>
      <c r="U127" s="8" t="s">
        <v>547</v>
      </c>
      <c r="V127" s="8"/>
      <c r="W127" s="8">
        <v>1</v>
      </c>
      <c r="X127" t="s">
        <v>8</v>
      </c>
      <c r="Y127" t="s">
        <v>548</v>
      </c>
      <c r="AA127"/>
    </row>
    <row r="128" spans="1:27" x14ac:dyDescent="0.3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S128" s="5">
        <f>SUM(bron[[#This Row],[Januari]:[December]])</f>
        <v>1</v>
      </c>
      <c r="T128" s="9">
        <v>45375</v>
      </c>
      <c r="U128" s="8" t="s">
        <v>549</v>
      </c>
      <c r="V128" s="8">
        <v>1</v>
      </c>
      <c r="W128" s="8"/>
      <c r="X128" t="s">
        <v>7</v>
      </c>
      <c r="Y128" t="s">
        <v>301</v>
      </c>
      <c r="AA128"/>
    </row>
    <row r="129" spans="1:27" x14ac:dyDescent="0.3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S129" s="5">
        <f>SUM(bron[[#This Row],[Januari]:[December]])</f>
        <v>1</v>
      </c>
      <c r="T129" s="9">
        <v>45376</v>
      </c>
      <c r="U129" s="8" t="s">
        <v>550</v>
      </c>
      <c r="V129" s="8"/>
      <c r="W129" s="8">
        <v>1</v>
      </c>
      <c r="X129" t="s">
        <v>8</v>
      </c>
      <c r="Y129" t="s">
        <v>10</v>
      </c>
      <c r="AA129"/>
    </row>
    <row r="130" spans="1:27" x14ac:dyDescent="0.3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S130" s="5">
        <f>SUM(bron[[#This Row],[Januari]:[December]])</f>
        <v>1</v>
      </c>
      <c r="T130" s="9">
        <v>45377</v>
      </c>
      <c r="U130" s="8" t="s">
        <v>551</v>
      </c>
      <c r="V130" s="8">
        <v>1</v>
      </c>
      <c r="W130" s="8"/>
      <c r="X130" t="s">
        <v>7</v>
      </c>
      <c r="Y130" t="s">
        <v>13</v>
      </c>
      <c r="AA130"/>
    </row>
    <row r="131" spans="1:27" x14ac:dyDescent="0.3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S131" s="5">
        <f>SUM(bron[[#This Row],[Januari]:[December]])</f>
        <v>1</v>
      </c>
      <c r="T131" s="9">
        <v>45379</v>
      </c>
      <c r="U131" s="8" t="s">
        <v>552</v>
      </c>
      <c r="V131" s="8"/>
      <c r="W131" s="8">
        <v>1</v>
      </c>
      <c r="X131" t="s">
        <v>8</v>
      </c>
      <c r="Y131" t="s">
        <v>81</v>
      </c>
      <c r="AA131"/>
    </row>
    <row r="132" spans="1:27" x14ac:dyDescent="0.3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S132" s="5">
        <f>SUM(bron[[#This Row],[Januari]:[December]])</f>
        <v>1</v>
      </c>
      <c r="T132" s="9">
        <v>45379</v>
      </c>
      <c r="U132" s="8" t="s">
        <v>553</v>
      </c>
      <c r="V132" s="8"/>
      <c r="W132" s="8">
        <v>1</v>
      </c>
      <c r="X132" t="s">
        <v>8</v>
      </c>
      <c r="Y132" t="s">
        <v>5</v>
      </c>
      <c r="AA132"/>
    </row>
    <row r="133" spans="1:27" x14ac:dyDescent="0.3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S133" s="5">
        <f>SUM(bron[[#This Row],[Januari]:[December]])</f>
        <v>1</v>
      </c>
      <c r="T133" s="9">
        <v>45380</v>
      </c>
      <c r="U133" s="8" t="s">
        <v>554</v>
      </c>
      <c r="V133" s="8"/>
      <c r="W133" s="8">
        <v>1</v>
      </c>
      <c r="X133" t="s">
        <v>8</v>
      </c>
      <c r="Y133" t="s">
        <v>277</v>
      </c>
      <c r="AA133"/>
    </row>
    <row r="134" spans="1:27" x14ac:dyDescent="0.3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391</v>
      </c>
      <c r="D134" t="s">
        <v>391</v>
      </c>
      <c r="E134" t="s">
        <v>79</v>
      </c>
      <c r="F134" s="10"/>
      <c r="G134" s="7"/>
      <c r="H134" s="7"/>
      <c r="I134" s="7">
        <v>1</v>
      </c>
      <c r="S134" s="5">
        <f>SUM(bron[[#This Row],[Januari]:[December]])</f>
        <v>1</v>
      </c>
      <c r="T134" s="9">
        <v>45380</v>
      </c>
      <c r="U134" s="8" t="s">
        <v>555</v>
      </c>
      <c r="V134" s="8"/>
      <c r="W134" s="8">
        <v>1</v>
      </c>
      <c r="X134" t="s">
        <v>8</v>
      </c>
      <c r="Y134" t="s">
        <v>147</v>
      </c>
      <c r="AA134"/>
    </row>
    <row r="135" spans="1:27" x14ac:dyDescent="0.3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S135" s="5">
        <f>SUM(bron[[#This Row],[Januari]:[December]])</f>
        <v>1</v>
      </c>
      <c r="T135" s="9">
        <v>45382</v>
      </c>
      <c r="U135" s="8" t="s">
        <v>556</v>
      </c>
      <c r="V135" s="8">
        <v>1</v>
      </c>
      <c r="W135" s="8"/>
      <c r="X135" t="s">
        <v>7</v>
      </c>
      <c r="Y135" t="s">
        <v>22</v>
      </c>
      <c r="AA135"/>
    </row>
    <row r="136" spans="1:27" x14ac:dyDescent="0.3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S136" s="5">
        <f>SUM(bron[[#This Row],[Januari]:[December]])</f>
        <v>1</v>
      </c>
      <c r="T136" s="9">
        <v>45382</v>
      </c>
      <c r="U136" s="8" t="s">
        <v>557</v>
      </c>
      <c r="V136" s="8">
        <v>1</v>
      </c>
      <c r="W136" s="8"/>
      <c r="X136" t="s">
        <v>7</v>
      </c>
      <c r="Y136" t="s">
        <v>219</v>
      </c>
      <c r="AA136"/>
    </row>
    <row r="137" spans="1:27" x14ac:dyDescent="0.3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S137" s="5">
        <f>SUM(bron[[#This Row],[Januari]:[December]])</f>
        <v>1</v>
      </c>
      <c r="T137" s="9">
        <v>45382</v>
      </c>
      <c r="U137" s="8" t="s">
        <v>558</v>
      </c>
      <c r="V137" s="8"/>
      <c r="W137" s="8">
        <v>1</v>
      </c>
      <c r="X137" t="s">
        <v>8</v>
      </c>
      <c r="Y137" t="s">
        <v>542</v>
      </c>
      <c r="AA137"/>
    </row>
    <row r="138" spans="1:27" x14ac:dyDescent="0.3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S138" s="5">
        <f>SUM(bron[[#This Row],[Januari]:[December]])</f>
        <v>1</v>
      </c>
      <c r="T138" s="9">
        <v>45383</v>
      </c>
      <c r="U138" s="8" t="s">
        <v>559</v>
      </c>
      <c r="V138" s="8">
        <v>1</v>
      </c>
      <c r="W138" s="8"/>
      <c r="X138" t="s">
        <v>7</v>
      </c>
      <c r="Y138" t="s">
        <v>560</v>
      </c>
      <c r="AA138"/>
    </row>
    <row r="139" spans="1:27" x14ac:dyDescent="0.3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S139" s="5">
        <f>SUM(bron[[#This Row],[Januari]:[December]])</f>
        <v>1</v>
      </c>
      <c r="T139" s="9">
        <v>45386</v>
      </c>
      <c r="U139" s="8" t="s">
        <v>561</v>
      </c>
      <c r="V139" s="8">
        <v>1</v>
      </c>
      <c r="W139" s="8"/>
      <c r="X139" t="s">
        <v>7</v>
      </c>
      <c r="Y139" t="s">
        <v>562</v>
      </c>
      <c r="AA139"/>
    </row>
    <row r="140" spans="1:27" x14ac:dyDescent="0.3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S140" s="5">
        <f>SUM(bron[[#This Row],[Januari]:[December]])</f>
        <v>1</v>
      </c>
      <c r="T140" s="9">
        <v>45387</v>
      </c>
      <c r="U140" s="8" t="s">
        <v>563</v>
      </c>
      <c r="V140" s="8"/>
      <c r="W140" s="8">
        <v>1</v>
      </c>
      <c r="X140" t="s">
        <v>8</v>
      </c>
      <c r="Y140" t="s">
        <v>533</v>
      </c>
      <c r="AA140"/>
    </row>
    <row r="141" spans="1:27" x14ac:dyDescent="0.3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391</v>
      </c>
      <c r="D141" t="s">
        <v>391</v>
      </c>
      <c r="E141" t="s">
        <v>79</v>
      </c>
      <c r="F141" s="10"/>
      <c r="G141" s="7"/>
      <c r="H141" s="7"/>
      <c r="I141" s="7"/>
      <c r="J141" s="5">
        <v>1</v>
      </c>
      <c r="S141" s="5">
        <f>SUM(bron[[#This Row],[Januari]:[December]])</f>
        <v>1</v>
      </c>
      <c r="T141" s="9">
        <v>45389</v>
      </c>
      <c r="U141" s="8" t="s">
        <v>564</v>
      </c>
      <c r="V141" s="8">
        <v>1</v>
      </c>
      <c r="W141" s="8"/>
      <c r="X141" t="s">
        <v>7</v>
      </c>
      <c r="Y141" t="s">
        <v>161</v>
      </c>
      <c r="AA141"/>
    </row>
    <row r="142" spans="1:27" x14ac:dyDescent="0.3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S142" s="5">
        <f>SUM(bron[[#This Row],[Januari]:[December]])</f>
        <v>1</v>
      </c>
      <c r="T142" s="9">
        <v>45389</v>
      </c>
      <c r="U142" s="8" t="s">
        <v>565</v>
      </c>
      <c r="V142" s="8">
        <v>1</v>
      </c>
      <c r="W142" s="8"/>
      <c r="X142" t="s">
        <v>7</v>
      </c>
      <c r="Y142" t="s">
        <v>177</v>
      </c>
      <c r="AA142"/>
    </row>
    <row r="143" spans="1:27" x14ac:dyDescent="0.3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S143" s="5">
        <f>SUM(bron[[#This Row],[Januari]:[December]])</f>
        <v>1</v>
      </c>
      <c r="T143" s="9">
        <v>45389</v>
      </c>
      <c r="U143" s="8" t="s">
        <v>566</v>
      </c>
      <c r="V143" s="8">
        <v>1</v>
      </c>
      <c r="W143" s="8"/>
      <c r="X143" t="s">
        <v>7</v>
      </c>
      <c r="Y143" t="s">
        <v>54</v>
      </c>
      <c r="AA143"/>
    </row>
    <row r="144" spans="1:27" x14ac:dyDescent="0.3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391</v>
      </c>
      <c r="D144" t="s">
        <v>391</v>
      </c>
      <c r="E144" t="s">
        <v>79</v>
      </c>
      <c r="F144" s="10"/>
      <c r="G144" s="7"/>
      <c r="H144" s="7"/>
      <c r="I144" s="7"/>
      <c r="J144" s="5">
        <v>1</v>
      </c>
      <c r="S144" s="5">
        <f>SUM(bron[[#This Row],[Januari]:[December]])</f>
        <v>1</v>
      </c>
      <c r="T144" s="9">
        <v>45390</v>
      </c>
      <c r="U144" s="8" t="s">
        <v>567</v>
      </c>
      <c r="V144" s="8">
        <v>1</v>
      </c>
      <c r="W144" s="8"/>
      <c r="X144" t="s">
        <v>7</v>
      </c>
      <c r="Y144" t="s">
        <v>5</v>
      </c>
      <c r="AA144"/>
    </row>
    <row r="145" spans="1:27" x14ac:dyDescent="0.3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S145" s="5">
        <f>SUM(bron[[#This Row],[Januari]:[December]])</f>
        <v>1</v>
      </c>
      <c r="T145" s="9">
        <v>45390</v>
      </c>
      <c r="U145" s="8" t="s">
        <v>568</v>
      </c>
      <c r="V145" s="8">
        <v>1</v>
      </c>
      <c r="W145" s="8"/>
      <c r="X145" t="s">
        <v>7</v>
      </c>
      <c r="Y145" t="s">
        <v>399</v>
      </c>
      <c r="AA145"/>
    </row>
    <row r="146" spans="1:27" x14ac:dyDescent="0.3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569</v>
      </c>
      <c r="D146" t="s">
        <v>570</v>
      </c>
      <c r="E146" t="s">
        <v>76</v>
      </c>
      <c r="F146" s="10"/>
      <c r="G146" s="7"/>
      <c r="H146" s="7"/>
      <c r="I146" s="7"/>
      <c r="J146" s="5">
        <v>1</v>
      </c>
      <c r="S146" s="5">
        <f>SUM(bron[[#This Row],[Januari]:[December]])</f>
        <v>1</v>
      </c>
      <c r="T146" s="9">
        <v>45390</v>
      </c>
      <c r="U146" s="8" t="s">
        <v>571</v>
      </c>
      <c r="V146" s="8">
        <v>1</v>
      </c>
      <c r="W146" s="8"/>
      <c r="X146" t="s">
        <v>7</v>
      </c>
      <c r="Y146" t="s">
        <v>13</v>
      </c>
      <c r="AA146"/>
    </row>
    <row r="147" spans="1:27" x14ac:dyDescent="0.3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S147" s="5">
        <f>SUM(bron[[#This Row],[Januari]:[December]])</f>
        <v>1</v>
      </c>
      <c r="T147" s="9">
        <v>45391</v>
      </c>
      <c r="U147" s="8" t="s">
        <v>572</v>
      </c>
      <c r="V147" s="8">
        <v>1</v>
      </c>
      <c r="W147" s="8"/>
      <c r="X147" t="s">
        <v>7</v>
      </c>
      <c r="Y147" t="s">
        <v>10</v>
      </c>
      <c r="AA147"/>
    </row>
    <row r="148" spans="1:27" x14ac:dyDescent="0.3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391</v>
      </c>
      <c r="D148" t="s">
        <v>391</v>
      </c>
      <c r="E148" t="s">
        <v>79</v>
      </c>
      <c r="F148" s="10"/>
      <c r="G148" s="7"/>
      <c r="H148" s="7"/>
      <c r="I148" s="7"/>
      <c r="J148" s="5">
        <v>1</v>
      </c>
      <c r="S148" s="5">
        <f>SUM(bron[[#This Row],[Januari]:[December]])</f>
        <v>1</v>
      </c>
      <c r="T148" s="9">
        <v>45392</v>
      </c>
      <c r="U148" s="8" t="s">
        <v>573</v>
      </c>
      <c r="V148" s="8"/>
      <c r="W148" s="8">
        <v>1</v>
      </c>
      <c r="X148" t="s">
        <v>8</v>
      </c>
      <c r="Y148" t="s">
        <v>69</v>
      </c>
      <c r="AA148"/>
    </row>
    <row r="149" spans="1:27" x14ac:dyDescent="0.3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S149" s="5">
        <f>SUM(bron[[#This Row],[Januari]:[December]])</f>
        <v>1</v>
      </c>
      <c r="T149" s="9">
        <v>45393</v>
      </c>
      <c r="U149" s="8" t="s">
        <v>574</v>
      </c>
      <c r="V149" s="8">
        <v>1</v>
      </c>
      <c r="W149" s="8"/>
      <c r="X149" t="s">
        <v>7</v>
      </c>
      <c r="Y149" t="s">
        <v>257</v>
      </c>
      <c r="AA149"/>
    </row>
    <row r="150" spans="1:27" x14ac:dyDescent="0.3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391</v>
      </c>
      <c r="D150" t="s">
        <v>391</v>
      </c>
      <c r="E150" t="s">
        <v>79</v>
      </c>
      <c r="F150" s="10"/>
      <c r="G150" s="7"/>
      <c r="H150" s="7"/>
      <c r="I150" s="7"/>
      <c r="J150" s="5">
        <v>1</v>
      </c>
      <c r="S150" s="5">
        <f>SUM(bron[[#This Row],[Januari]:[December]])</f>
        <v>1</v>
      </c>
      <c r="T150" s="9">
        <v>45393</v>
      </c>
      <c r="U150" s="8" t="s">
        <v>575</v>
      </c>
      <c r="V150" s="8"/>
      <c r="W150" s="8">
        <v>1</v>
      </c>
      <c r="X150" t="s">
        <v>8</v>
      </c>
      <c r="Y150" t="s">
        <v>69</v>
      </c>
      <c r="AA150"/>
    </row>
    <row r="151" spans="1:27" x14ac:dyDescent="0.3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S151" s="5">
        <f>SUM(bron[[#This Row],[Januari]:[December]])</f>
        <v>1</v>
      </c>
      <c r="T151" s="9">
        <v>45394</v>
      </c>
      <c r="U151" s="8" t="s">
        <v>576</v>
      </c>
      <c r="V151" s="8">
        <v>1</v>
      </c>
      <c r="W151" s="8"/>
      <c r="X151" t="s">
        <v>7</v>
      </c>
      <c r="Y151" t="s">
        <v>577</v>
      </c>
      <c r="AA151"/>
    </row>
    <row r="152" spans="1:27" x14ac:dyDescent="0.3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S152" s="5">
        <f>SUM(bron[[#This Row],[Januari]:[December]])</f>
        <v>1</v>
      </c>
      <c r="T152" s="9">
        <v>45394</v>
      </c>
      <c r="U152" s="8" t="s">
        <v>578</v>
      </c>
      <c r="V152" s="8">
        <v>1</v>
      </c>
      <c r="W152" s="8"/>
      <c r="X152" t="s">
        <v>7</v>
      </c>
      <c r="Y152" t="s">
        <v>10</v>
      </c>
      <c r="AA152"/>
    </row>
    <row r="153" spans="1:27" x14ac:dyDescent="0.3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S153" s="5">
        <f>SUM(bron[[#This Row],[Januari]:[December]])</f>
        <v>1</v>
      </c>
      <c r="T153" s="9">
        <v>45395</v>
      </c>
      <c r="U153" s="8" t="s">
        <v>579</v>
      </c>
      <c r="V153" s="8">
        <v>1</v>
      </c>
      <c r="W153" s="8"/>
      <c r="X153" t="s">
        <v>7</v>
      </c>
      <c r="Y153" t="s">
        <v>580</v>
      </c>
      <c r="AA153"/>
    </row>
    <row r="154" spans="1:27" x14ac:dyDescent="0.3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S154" s="5">
        <f>SUM(bron[[#This Row],[Januari]:[December]])</f>
        <v>1</v>
      </c>
      <c r="T154" s="9">
        <v>45396</v>
      </c>
      <c r="U154" s="8" t="s">
        <v>581</v>
      </c>
      <c r="V154" s="8">
        <v>1</v>
      </c>
      <c r="W154" s="8"/>
      <c r="X154" t="s">
        <v>7</v>
      </c>
      <c r="Y154" t="s">
        <v>54</v>
      </c>
      <c r="AA154"/>
    </row>
    <row r="155" spans="1:27" x14ac:dyDescent="0.3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S155" s="5">
        <f>SUM(bron[[#This Row],[Januari]:[December]])</f>
        <v>1</v>
      </c>
      <c r="T155" s="9">
        <v>45397</v>
      </c>
      <c r="U155" s="8" t="s">
        <v>582</v>
      </c>
      <c r="V155" s="8">
        <v>1</v>
      </c>
      <c r="W155" s="8"/>
      <c r="X155" t="s">
        <v>7</v>
      </c>
      <c r="Y155" t="s">
        <v>485</v>
      </c>
      <c r="AA155"/>
    </row>
    <row r="156" spans="1:27" x14ac:dyDescent="0.3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S156" s="5">
        <f>SUM(bron[[#This Row],[Januari]:[December]])</f>
        <v>1</v>
      </c>
      <c r="T156" s="9">
        <v>45399</v>
      </c>
      <c r="U156" s="8" t="s">
        <v>583</v>
      </c>
      <c r="V156" s="8">
        <v>1</v>
      </c>
      <c r="W156" s="8"/>
      <c r="X156" t="s">
        <v>7</v>
      </c>
      <c r="Y156" t="s">
        <v>10</v>
      </c>
      <c r="AA156"/>
    </row>
    <row r="157" spans="1:27" x14ac:dyDescent="0.3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S157" s="5">
        <f>SUM(bron[[#This Row],[Januari]:[December]])</f>
        <v>1</v>
      </c>
      <c r="T157" s="9">
        <v>45399</v>
      </c>
      <c r="U157" s="8" t="s">
        <v>584</v>
      </c>
      <c r="V157" s="8">
        <v>1</v>
      </c>
      <c r="W157" s="8"/>
      <c r="X157" t="s">
        <v>7</v>
      </c>
      <c r="Y157" t="s">
        <v>84</v>
      </c>
      <c r="AA157"/>
    </row>
    <row r="158" spans="1:27" x14ac:dyDescent="0.3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S158" s="5">
        <f>SUM(bron[[#This Row],[Januari]:[December]])</f>
        <v>1</v>
      </c>
      <c r="T158" s="9">
        <v>45399</v>
      </c>
      <c r="U158" s="8" t="s">
        <v>585</v>
      </c>
      <c r="V158" s="8">
        <v>1</v>
      </c>
      <c r="W158" s="8"/>
      <c r="X158" t="s">
        <v>7</v>
      </c>
      <c r="Y158" t="s">
        <v>185</v>
      </c>
      <c r="AA158"/>
    </row>
    <row r="159" spans="1:27" x14ac:dyDescent="0.3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S159" s="5">
        <f>SUM(bron[[#This Row],[Januari]:[December]])</f>
        <v>1</v>
      </c>
      <c r="T159" s="9">
        <v>45399</v>
      </c>
      <c r="U159" s="8" t="s">
        <v>586</v>
      </c>
      <c r="V159" s="8"/>
      <c r="W159" s="8">
        <v>1</v>
      </c>
      <c r="X159" t="s">
        <v>8</v>
      </c>
      <c r="Y159" t="s">
        <v>5</v>
      </c>
      <c r="AA159"/>
    </row>
    <row r="160" spans="1:27" x14ac:dyDescent="0.3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S160" s="5">
        <f>SUM(bron[[#This Row],[Januari]:[December]])</f>
        <v>1</v>
      </c>
      <c r="T160" s="9">
        <v>45400</v>
      </c>
      <c r="U160" s="8" t="s">
        <v>587</v>
      </c>
      <c r="V160" s="8">
        <v>1</v>
      </c>
      <c r="W160" s="8"/>
      <c r="X160" t="s">
        <v>7</v>
      </c>
      <c r="Y160" t="s">
        <v>489</v>
      </c>
      <c r="AA160"/>
    </row>
    <row r="161" spans="1:27" x14ac:dyDescent="0.3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S161" s="5">
        <f>SUM(bron[[#This Row],[Januari]:[December]])</f>
        <v>1</v>
      </c>
      <c r="T161" s="9">
        <v>45400</v>
      </c>
      <c r="U161" s="8" t="s">
        <v>588</v>
      </c>
      <c r="V161" s="8">
        <v>1</v>
      </c>
      <c r="W161" s="8"/>
      <c r="X161" t="s">
        <v>7</v>
      </c>
      <c r="Y161" t="s">
        <v>10</v>
      </c>
      <c r="AA161"/>
    </row>
    <row r="162" spans="1:27" x14ac:dyDescent="0.3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S162" s="5">
        <f>SUM(bron[[#This Row],[Januari]:[December]])</f>
        <v>1</v>
      </c>
      <c r="T162" s="9">
        <v>45401</v>
      </c>
      <c r="U162" s="8" t="s">
        <v>589</v>
      </c>
      <c r="V162" s="8">
        <v>1</v>
      </c>
      <c r="W162" s="8"/>
      <c r="X162" t="s">
        <v>7</v>
      </c>
      <c r="Y162" t="s">
        <v>590</v>
      </c>
      <c r="AA162"/>
    </row>
    <row r="163" spans="1:27" x14ac:dyDescent="0.3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S163" s="5">
        <f>SUM(bron[[#This Row],[Januari]:[December]])</f>
        <v>1</v>
      </c>
      <c r="T163" s="9">
        <v>45401</v>
      </c>
      <c r="U163" s="8" t="s">
        <v>591</v>
      </c>
      <c r="V163" s="8">
        <v>1</v>
      </c>
      <c r="W163" s="8"/>
      <c r="X163" t="s">
        <v>7</v>
      </c>
      <c r="Y163" t="s">
        <v>560</v>
      </c>
      <c r="AA163"/>
    </row>
    <row r="164" spans="1:27" x14ac:dyDescent="0.3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S164" s="5">
        <f>SUM(bron[[#This Row],[Januari]:[December]])</f>
        <v>1</v>
      </c>
      <c r="T164" s="9">
        <v>45401</v>
      </c>
      <c r="U164" s="8" t="s">
        <v>592</v>
      </c>
      <c r="V164" s="8"/>
      <c r="W164" s="8">
        <v>1</v>
      </c>
      <c r="X164" t="s">
        <v>8</v>
      </c>
      <c r="Y164" t="s">
        <v>548</v>
      </c>
      <c r="AA164"/>
    </row>
    <row r="165" spans="1:27" x14ac:dyDescent="0.3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S165" s="5">
        <f>SUM(bron[[#This Row],[Januari]:[December]])</f>
        <v>1</v>
      </c>
      <c r="T165" s="9">
        <v>45401</v>
      </c>
      <c r="U165" s="8" t="s">
        <v>593</v>
      </c>
      <c r="V165" s="8"/>
      <c r="W165" s="8">
        <v>1</v>
      </c>
      <c r="X165" t="s">
        <v>8</v>
      </c>
      <c r="Y165" t="s">
        <v>31</v>
      </c>
      <c r="AA165"/>
    </row>
    <row r="166" spans="1:27" x14ac:dyDescent="0.3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S166" s="5">
        <f>SUM(bron[[#This Row],[Januari]:[December]])</f>
        <v>1</v>
      </c>
      <c r="T166" s="9">
        <v>45402</v>
      </c>
      <c r="U166" s="8" t="s">
        <v>594</v>
      </c>
      <c r="V166" s="8"/>
      <c r="W166" s="8">
        <v>1</v>
      </c>
      <c r="X166" t="s">
        <v>8</v>
      </c>
      <c r="Y166" t="s">
        <v>10</v>
      </c>
      <c r="AA166"/>
    </row>
    <row r="167" spans="1:27" x14ac:dyDescent="0.3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391</v>
      </c>
      <c r="D167" t="s">
        <v>391</v>
      </c>
      <c r="E167" t="s">
        <v>79</v>
      </c>
      <c r="F167" s="10"/>
      <c r="G167" s="7"/>
      <c r="H167" s="7"/>
      <c r="I167" s="7"/>
      <c r="J167" s="5">
        <v>1</v>
      </c>
      <c r="S167" s="5">
        <f>SUM(bron[[#This Row],[Januari]:[December]])</f>
        <v>1</v>
      </c>
      <c r="T167" s="9">
        <v>45403</v>
      </c>
      <c r="U167" s="8" t="s">
        <v>595</v>
      </c>
      <c r="V167" s="8">
        <v>1</v>
      </c>
      <c r="W167" s="8"/>
      <c r="X167" t="s">
        <v>7</v>
      </c>
      <c r="Y167" t="s">
        <v>16</v>
      </c>
      <c r="AA167"/>
    </row>
    <row r="168" spans="1:27" x14ac:dyDescent="0.3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S168" s="5">
        <f>SUM(bron[[#This Row],[Januari]:[December]])</f>
        <v>1</v>
      </c>
      <c r="T168" s="9">
        <v>45404</v>
      </c>
      <c r="U168" s="8" t="s">
        <v>596</v>
      </c>
      <c r="V168" s="8">
        <v>1</v>
      </c>
      <c r="W168" s="8"/>
      <c r="X168" t="s">
        <v>7</v>
      </c>
      <c r="Y168" t="s">
        <v>25</v>
      </c>
      <c r="AA168"/>
    </row>
    <row r="169" spans="1:27" x14ac:dyDescent="0.3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S169" s="5">
        <f>SUM(bron[[#This Row],[Januari]:[December]])</f>
        <v>1</v>
      </c>
      <c r="T169" s="9">
        <v>45404</v>
      </c>
      <c r="U169" s="8" t="s">
        <v>597</v>
      </c>
      <c r="V169" s="8">
        <v>1</v>
      </c>
      <c r="W169" s="8"/>
      <c r="X169" t="s">
        <v>7</v>
      </c>
      <c r="Y169" t="s">
        <v>10</v>
      </c>
      <c r="AA169"/>
    </row>
    <row r="170" spans="1:27" x14ac:dyDescent="0.3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S170" s="5">
        <f>SUM(bron[[#This Row],[Januari]:[December]])</f>
        <v>1</v>
      </c>
      <c r="T170" s="9">
        <v>45405</v>
      </c>
      <c r="U170" s="8" t="s">
        <v>598</v>
      </c>
      <c r="V170" s="8">
        <v>1</v>
      </c>
      <c r="W170" s="8"/>
      <c r="X170" t="s">
        <v>7</v>
      </c>
      <c r="Y170" t="s">
        <v>113</v>
      </c>
      <c r="AA170"/>
    </row>
    <row r="171" spans="1:27" x14ac:dyDescent="0.3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S171" s="5">
        <f>SUM(bron[[#This Row],[Januari]:[December]])</f>
        <v>1</v>
      </c>
      <c r="T171" s="9">
        <v>45405</v>
      </c>
      <c r="U171" s="8" t="s">
        <v>599</v>
      </c>
      <c r="V171" s="8">
        <v>1</v>
      </c>
      <c r="W171" s="8"/>
      <c r="X171" t="s">
        <v>7</v>
      </c>
      <c r="Y171" t="s">
        <v>10</v>
      </c>
      <c r="AA171"/>
    </row>
    <row r="172" spans="1:27" x14ac:dyDescent="0.3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S172" s="5">
        <f>SUM(bron[[#This Row],[Januari]:[December]])</f>
        <v>1</v>
      </c>
      <c r="T172" s="9">
        <v>45405</v>
      </c>
      <c r="U172" s="8" t="s">
        <v>600</v>
      </c>
      <c r="V172" s="8">
        <v>1</v>
      </c>
      <c r="W172" s="8"/>
      <c r="X172" t="s">
        <v>7</v>
      </c>
      <c r="Y172" t="s">
        <v>510</v>
      </c>
      <c r="AA172"/>
    </row>
    <row r="173" spans="1:27" x14ac:dyDescent="0.3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S173" s="5">
        <f>SUM(bron[[#This Row],[Januari]:[December]])</f>
        <v>1</v>
      </c>
      <c r="T173" s="9">
        <v>45406</v>
      </c>
      <c r="U173" s="8" t="s">
        <v>601</v>
      </c>
      <c r="V173" s="8">
        <v>1</v>
      </c>
      <c r="W173" s="8"/>
      <c r="X173" t="s">
        <v>7</v>
      </c>
      <c r="Y173" t="s">
        <v>602</v>
      </c>
      <c r="AA173"/>
    </row>
    <row r="174" spans="1:27" x14ac:dyDescent="0.3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391</v>
      </c>
      <c r="D174" t="s">
        <v>391</v>
      </c>
      <c r="E174" t="s">
        <v>79</v>
      </c>
      <c r="F174" s="10"/>
      <c r="G174" s="7"/>
      <c r="H174" s="7"/>
      <c r="I174" s="7"/>
      <c r="J174" s="5">
        <v>1</v>
      </c>
      <c r="S174" s="5">
        <f>SUM(bron[[#This Row],[Januari]:[December]])</f>
        <v>1</v>
      </c>
      <c r="T174" s="9">
        <v>45409</v>
      </c>
      <c r="U174" s="8" t="s">
        <v>603</v>
      </c>
      <c r="V174" s="8">
        <v>1</v>
      </c>
      <c r="W174" s="8"/>
      <c r="X174" t="s">
        <v>7</v>
      </c>
      <c r="Y174" t="s">
        <v>54</v>
      </c>
      <c r="AA174"/>
    </row>
    <row r="175" spans="1:27" x14ac:dyDescent="0.3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391</v>
      </c>
      <c r="D175" t="s">
        <v>391</v>
      </c>
      <c r="E175" t="s">
        <v>79</v>
      </c>
      <c r="F175" s="10"/>
      <c r="G175" s="7"/>
      <c r="H175" s="7"/>
      <c r="I175" s="7"/>
      <c r="J175" s="5">
        <v>1</v>
      </c>
      <c r="S175" s="5">
        <f>SUM(bron[[#This Row],[Januari]:[December]])</f>
        <v>1</v>
      </c>
      <c r="T175" s="9">
        <v>45410</v>
      </c>
      <c r="U175" s="8" t="s">
        <v>604</v>
      </c>
      <c r="V175" s="8"/>
      <c r="W175" s="8">
        <v>1</v>
      </c>
      <c r="X175" t="s">
        <v>8</v>
      </c>
      <c r="Y175" t="s">
        <v>5</v>
      </c>
      <c r="AA175"/>
    </row>
    <row r="176" spans="1:27" x14ac:dyDescent="0.3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S176" s="5">
        <f>SUM(bron[[#This Row],[Januari]:[December]])</f>
        <v>1</v>
      </c>
      <c r="T176" s="9">
        <v>45411</v>
      </c>
      <c r="U176" s="8" t="s">
        <v>605</v>
      </c>
      <c r="V176" s="8">
        <v>1</v>
      </c>
      <c r="W176" s="8"/>
      <c r="X176" t="s">
        <v>7</v>
      </c>
      <c r="Y176" t="s">
        <v>399</v>
      </c>
      <c r="AA176"/>
    </row>
    <row r="177" spans="1:27" x14ac:dyDescent="0.3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S177" s="5">
        <f>SUM(bron[[#This Row],[Januari]:[December]])</f>
        <v>1</v>
      </c>
      <c r="T177" s="9">
        <v>45411</v>
      </c>
      <c r="U177" s="8" t="s">
        <v>606</v>
      </c>
      <c r="V177" s="8">
        <v>1</v>
      </c>
      <c r="W177" s="8"/>
      <c r="X177" t="s">
        <v>7</v>
      </c>
      <c r="Y177" t="s">
        <v>602</v>
      </c>
      <c r="AA177"/>
    </row>
    <row r="178" spans="1:27" x14ac:dyDescent="0.3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S178" s="5">
        <f>SUM(bron[[#This Row],[Januari]:[December]])</f>
        <v>1</v>
      </c>
      <c r="T178" s="9">
        <v>45411</v>
      </c>
      <c r="U178" s="8" t="s">
        <v>607</v>
      </c>
      <c r="V178" s="8"/>
      <c r="W178" s="8">
        <v>1</v>
      </c>
      <c r="X178" t="s">
        <v>8</v>
      </c>
      <c r="Y178" t="s">
        <v>608</v>
      </c>
      <c r="AA178"/>
    </row>
    <row r="179" spans="1:27" x14ac:dyDescent="0.3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391</v>
      </c>
      <c r="D179" t="s">
        <v>391</v>
      </c>
      <c r="E179" t="s">
        <v>79</v>
      </c>
      <c r="F179" s="10"/>
      <c r="G179" s="7"/>
      <c r="H179" s="7"/>
      <c r="I179" s="7"/>
      <c r="J179" s="5">
        <v>1</v>
      </c>
      <c r="S179" s="5">
        <f>SUM(bron[[#This Row],[Januari]:[December]])</f>
        <v>1</v>
      </c>
      <c r="T179" s="9">
        <v>45411</v>
      </c>
      <c r="U179" s="8" t="s">
        <v>609</v>
      </c>
      <c r="V179" s="8">
        <v>1</v>
      </c>
      <c r="W179" s="8"/>
      <c r="X179" t="s">
        <v>7</v>
      </c>
      <c r="Y179" t="s">
        <v>610</v>
      </c>
      <c r="AA179"/>
    </row>
    <row r="180" spans="1:27" x14ac:dyDescent="0.3">
      <c r="A180">
        <v>21582</v>
      </c>
      <c r="B180" t="str">
        <f>_xlfn.CONCAT(bron[[#This Row],[personeelsnr]]," ",bron[[#This Row],[achternaam]]," ",bron[[#This Row],[voornaam]])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  <c r="F180" s="10"/>
      <c r="G180" s="7"/>
      <c r="H180" s="7"/>
      <c r="I180" s="7"/>
      <c r="J180" s="5">
        <v>1</v>
      </c>
      <c r="S180" s="5">
        <f>SUM(bron[[#This Row],[Januari]:[December]])</f>
        <v>1</v>
      </c>
      <c r="T180" s="9">
        <v>45412</v>
      </c>
      <c r="U180" s="8" t="s">
        <v>611</v>
      </c>
      <c r="V180" s="8"/>
      <c r="W180" s="8">
        <v>1</v>
      </c>
      <c r="X180" t="s">
        <v>8</v>
      </c>
      <c r="Y180" t="s">
        <v>5</v>
      </c>
      <c r="AA180"/>
    </row>
    <row r="181" spans="1:27" x14ac:dyDescent="0.3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S181" s="5">
        <f>SUM(bron[[#This Row],[Januari]:[December]])</f>
        <v>1</v>
      </c>
      <c r="T181" s="9">
        <v>45412</v>
      </c>
      <c r="U181" s="8" t="s">
        <v>612</v>
      </c>
      <c r="V181" s="8"/>
      <c r="W181" s="8">
        <v>1</v>
      </c>
      <c r="X181" t="s">
        <v>8</v>
      </c>
      <c r="Y181" t="s">
        <v>613</v>
      </c>
      <c r="AA181"/>
    </row>
    <row r="182" spans="1:27" x14ac:dyDescent="0.3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S182" s="5">
        <f>SUM(bron[[#This Row],[Januari]:[December]])</f>
        <v>1</v>
      </c>
      <c r="T182" s="9">
        <v>45412</v>
      </c>
      <c r="U182" s="8" t="s">
        <v>614</v>
      </c>
      <c r="V182" s="8">
        <v>1</v>
      </c>
      <c r="W182" s="8"/>
      <c r="X182" t="s">
        <v>7</v>
      </c>
      <c r="Y182" t="s">
        <v>489</v>
      </c>
      <c r="AA182"/>
    </row>
    <row r="183" spans="1:27" x14ac:dyDescent="0.3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K183" s="5">
        <v>1</v>
      </c>
      <c r="S183" s="5">
        <f>SUM(bron[[#This Row],[Januari]:[December]])</f>
        <v>1</v>
      </c>
      <c r="T183" s="9">
        <v>45413</v>
      </c>
      <c r="U183" s="8" t="s">
        <v>615</v>
      </c>
      <c r="V183" s="8">
        <v>1</v>
      </c>
      <c r="W183" s="8"/>
      <c r="X183" t="s">
        <v>7</v>
      </c>
      <c r="Y183" t="s">
        <v>616</v>
      </c>
      <c r="AA183"/>
    </row>
    <row r="184" spans="1:27" x14ac:dyDescent="0.3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K184" s="5">
        <v>1</v>
      </c>
      <c r="S184" s="5">
        <f>SUM(bron[[#This Row],[Januari]:[December]])</f>
        <v>1</v>
      </c>
      <c r="T184" s="9">
        <v>45413</v>
      </c>
      <c r="U184" s="8" t="s">
        <v>617</v>
      </c>
      <c r="V184" s="8">
        <v>1</v>
      </c>
      <c r="W184" s="8"/>
      <c r="X184" t="s">
        <v>7</v>
      </c>
      <c r="Y184" t="s">
        <v>10</v>
      </c>
      <c r="AA184"/>
    </row>
    <row r="185" spans="1:27" x14ac:dyDescent="0.3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K185" s="5">
        <v>1</v>
      </c>
      <c r="S185" s="5">
        <f>SUM(bron[[#This Row],[Januari]:[December]])</f>
        <v>1</v>
      </c>
      <c r="T185" s="9">
        <v>45414</v>
      </c>
      <c r="U185" s="8" t="s">
        <v>618</v>
      </c>
      <c r="V185" s="8"/>
      <c r="W185" s="8">
        <v>1</v>
      </c>
      <c r="X185" t="s">
        <v>8</v>
      </c>
      <c r="Y185" t="s">
        <v>10</v>
      </c>
      <c r="AA185"/>
    </row>
    <row r="186" spans="1:27" x14ac:dyDescent="0.3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K186" s="5">
        <v>1</v>
      </c>
      <c r="S186" s="5">
        <f>SUM(bron[[#This Row],[Januari]:[December]])</f>
        <v>1</v>
      </c>
      <c r="T186" s="9">
        <v>45415</v>
      </c>
      <c r="U186" s="8" t="s">
        <v>619</v>
      </c>
      <c r="V186" s="8"/>
      <c r="W186" s="8">
        <v>1</v>
      </c>
      <c r="X186" t="s">
        <v>8</v>
      </c>
      <c r="Y186" t="s">
        <v>10</v>
      </c>
      <c r="AA186"/>
    </row>
    <row r="187" spans="1:27" x14ac:dyDescent="0.3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K187" s="5">
        <v>1</v>
      </c>
      <c r="S187" s="5">
        <f>SUM(bron[[#This Row],[Januari]:[December]])</f>
        <v>1</v>
      </c>
      <c r="T187" s="9">
        <v>45416</v>
      </c>
      <c r="U187" s="8" t="s">
        <v>620</v>
      </c>
      <c r="V187" s="8">
        <v>1</v>
      </c>
      <c r="W187" s="8"/>
      <c r="X187" t="s">
        <v>7</v>
      </c>
      <c r="Y187" t="s">
        <v>399</v>
      </c>
      <c r="AA187"/>
    </row>
    <row r="188" spans="1:27" x14ac:dyDescent="0.3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K188" s="5">
        <v>1</v>
      </c>
      <c r="S188" s="5">
        <f>SUM(bron[[#This Row],[Januari]:[December]])</f>
        <v>1</v>
      </c>
      <c r="T188" s="9">
        <v>45416</v>
      </c>
      <c r="U188" s="8" t="s">
        <v>621</v>
      </c>
      <c r="V188" s="8">
        <v>1</v>
      </c>
      <c r="W188" s="8"/>
      <c r="X188" t="s">
        <v>7</v>
      </c>
      <c r="Y188" t="s">
        <v>399</v>
      </c>
      <c r="AA188"/>
    </row>
    <row r="189" spans="1:27" x14ac:dyDescent="0.3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K189" s="5">
        <v>1</v>
      </c>
      <c r="S189" s="5">
        <f>SUM(bron[[#This Row],[Januari]:[December]])</f>
        <v>1</v>
      </c>
      <c r="T189" s="9">
        <v>45416</v>
      </c>
      <c r="U189" s="8" t="s">
        <v>622</v>
      </c>
      <c r="V189" s="8"/>
      <c r="W189" s="8">
        <v>1</v>
      </c>
      <c r="X189" t="s">
        <v>8</v>
      </c>
      <c r="Y189" t="s">
        <v>46</v>
      </c>
      <c r="AA189"/>
    </row>
    <row r="190" spans="1:27" x14ac:dyDescent="0.3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K190" s="5">
        <v>1</v>
      </c>
      <c r="S190" s="5">
        <f>SUM(bron[[#This Row],[Januari]:[December]])</f>
        <v>1</v>
      </c>
      <c r="T190" s="9">
        <v>45417</v>
      </c>
      <c r="U190" s="8" t="s">
        <v>623</v>
      </c>
      <c r="V190" s="8">
        <v>1</v>
      </c>
      <c r="W190" s="8"/>
      <c r="X190" t="s">
        <v>7</v>
      </c>
      <c r="Y190" t="s">
        <v>537</v>
      </c>
      <c r="AA190"/>
    </row>
    <row r="191" spans="1:27" x14ac:dyDescent="0.3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K191" s="5">
        <v>1</v>
      </c>
      <c r="S191" s="5">
        <f>SUM(bron[[#This Row],[Januari]:[December]])</f>
        <v>1</v>
      </c>
      <c r="T191" s="9">
        <v>45417</v>
      </c>
      <c r="U191" s="8" t="s">
        <v>624</v>
      </c>
      <c r="V191" s="8"/>
      <c r="W191" s="8">
        <v>1</v>
      </c>
      <c r="X191" t="s">
        <v>8</v>
      </c>
      <c r="Y191" t="s">
        <v>625</v>
      </c>
      <c r="AA191"/>
    </row>
    <row r="192" spans="1:27" x14ac:dyDescent="0.3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K192" s="5">
        <v>1</v>
      </c>
      <c r="S192" s="5">
        <f>SUM(bron[[#This Row],[Januari]:[December]])</f>
        <v>1</v>
      </c>
      <c r="T192" s="9">
        <v>45418</v>
      </c>
      <c r="U192" s="8" t="s">
        <v>626</v>
      </c>
      <c r="V192" s="8">
        <v>1</v>
      </c>
      <c r="W192" s="8"/>
      <c r="X192" t="s">
        <v>7</v>
      </c>
      <c r="Y192" t="s">
        <v>627</v>
      </c>
      <c r="AA192"/>
    </row>
    <row r="193" spans="1:27" x14ac:dyDescent="0.3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K193" s="5">
        <v>1</v>
      </c>
      <c r="S193" s="5">
        <f>SUM(bron[[#This Row],[Januari]:[December]])</f>
        <v>1</v>
      </c>
      <c r="T193" s="9">
        <v>45418</v>
      </c>
      <c r="U193" s="8" t="s">
        <v>628</v>
      </c>
      <c r="V193" s="8">
        <v>1</v>
      </c>
      <c r="W193" s="8"/>
      <c r="X193" t="s">
        <v>7</v>
      </c>
      <c r="Y193" t="s">
        <v>28</v>
      </c>
      <c r="AA193"/>
    </row>
    <row r="194" spans="1:27" x14ac:dyDescent="0.3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391</v>
      </c>
      <c r="D194" t="s">
        <v>391</v>
      </c>
      <c r="E194" t="s">
        <v>79</v>
      </c>
      <c r="F194" s="10"/>
      <c r="G194" s="7"/>
      <c r="H194" s="7"/>
      <c r="I194" s="7"/>
      <c r="K194" s="5">
        <v>1</v>
      </c>
      <c r="S194" s="5">
        <f>SUM(bron[[#This Row],[Januari]:[December]])</f>
        <v>1</v>
      </c>
      <c r="T194" s="9">
        <v>45419</v>
      </c>
      <c r="U194" s="8" t="s">
        <v>629</v>
      </c>
      <c r="V194" s="8">
        <v>1</v>
      </c>
      <c r="W194" s="8"/>
      <c r="X194" t="s">
        <v>7</v>
      </c>
      <c r="Y194" t="s">
        <v>113</v>
      </c>
      <c r="AA194"/>
    </row>
    <row r="195" spans="1:27" x14ac:dyDescent="0.3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K195" s="5">
        <v>1</v>
      </c>
      <c r="S195" s="5">
        <f>SUM(bron[[#This Row],[Januari]:[December]])</f>
        <v>1</v>
      </c>
      <c r="T195" s="9">
        <v>45419</v>
      </c>
      <c r="U195" s="8" t="s">
        <v>630</v>
      </c>
      <c r="V195" s="8">
        <v>1</v>
      </c>
      <c r="W195" s="8"/>
      <c r="X195" t="s">
        <v>7</v>
      </c>
      <c r="Y195" t="s">
        <v>631</v>
      </c>
      <c r="AA195"/>
    </row>
    <row r="196" spans="1:27" x14ac:dyDescent="0.3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K196" s="5">
        <v>1</v>
      </c>
      <c r="S196" s="5">
        <f>SUM(bron[[#This Row],[Januari]:[December]])</f>
        <v>1</v>
      </c>
      <c r="T196" s="9">
        <v>45420</v>
      </c>
      <c r="U196" s="8" t="s">
        <v>632</v>
      </c>
      <c r="V196" s="8">
        <v>1</v>
      </c>
      <c r="W196" s="8"/>
      <c r="X196" t="s">
        <v>7</v>
      </c>
      <c r="Y196" t="s">
        <v>113</v>
      </c>
      <c r="AA196"/>
    </row>
    <row r="197" spans="1:27" x14ac:dyDescent="0.3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K197" s="5">
        <v>1</v>
      </c>
      <c r="S197" s="5">
        <f>SUM(bron[[#This Row],[Januari]:[December]])</f>
        <v>1</v>
      </c>
      <c r="T197" s="9">
        <v>45423</v>
      </c>
      <c r="U197" s="8" t="s">
        <v>633</v>
      </c>
      <c r="V197" s="8">
        <v>1</v>
      </c>
      <c r="W197" s="8"/>
      <c r="X197" t="s">
        <v>7</v>
      </c>
      <c r="Y197" t="s">
        <v>34</v>
      </c>
      <c r="AA197"/>
    </row>
    <row r="198" spans="1:27" x14ac:dyDescent="0.3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K198" s="5">
        <v>1</v>
      </c>
      <c r="S198" s="5">
        <f>SUM(bron[[#This Row],[Januari]:[December]])</f>
        <v>1</v>
      </c>
      <c r="T198" s="9">
        <v>45423</v>
      </c>
      <c r="U198" s="8" t="s">
        <v>634</v>
      </c>
      <c r="V198" s="8"/>
      <c r="W198" s="8">
        <v>1</v>
      </c>
      <c r="X198" t="s">
        <v>8</v>
      </c>
      <c r="Y198" t="s">
        <v>5</v>
      </c>
      <c r="AA198"/>
    </row>
    <row r="199" spans="1:27" x14ac:dyDescent="0.3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391</v>
      </c>
      <c r="D199" t="s">
        <v>391</v>
      </c>
      <c r="E199" t="s">
        <v>79</v>
      </c>
      <c r="F199" s="10"/>
      <c r="G199" s="7"/>
      <c r="H199" s="7"/>
      <c r="I199" s="7"/>
      <c r="K199" s="5">
        <v>1</v>
      </c>
      <c r="S199" s="5">
        <f>SUM(bron[[#This Row],[Januari]:[December]])</f>
        <v>1</v>
      </c>
      <c r="T199" s="9">
        <v>45424</v>
      </c>
      <c r="U199" s="8" t="s">
        <v>635</v>
      </c>
      <c r="V199" s="8">
        <v>1</v>
      </c>
      <c r="W199" s="8"/>
      <c r="X199" t="s">
        <v>7</v>
      </c>
      <c r="Y199" t="s">
        <v>16</v>
      </c>
      <c r="AA199"/>
    </row>
    <row r="200" spans="1:27" x14ac:dyDescent="0.3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K200" s="5">
        <v>1</v>
      </c>
      <c r="S200" s="5">
        <f>SUM(bron[[#This Row],[Januari]:[December]])</f>
        <v>1</v>
      </c>
      <c r="T200" s="9">
        <v>45424</v>
      </c>
      <c r="U200" s="8" t="s">
        <v>636</v>
      </c>
      <c r="V200" s="8"/>
      <c r="W200" s="8">
        <v>1</v>
      </c>
      <c r="X200" t="s">
        <v>8</v>
      </c>
      <c r="Y200" t="s">
        <v>10</v>
      </c>
      <c r="AA200"/>
    </row>
    <row r="201" spans="1:27" x14ac:dyDescent="0.3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K201" s="5">
        <v>1</v>
      </c>
      <c r="S201" s="5">
        <f>SUM(bron[[#This Row],[Januari]:[December]])</f>
        <v>1</v>
      </c>
      <c r="T201" s="9">
        <v>45425</v>
      </c>
      <c r="U201" s="8" t="s">
        <v>637</v>
      </c>
      <c r="V201" s="8">
        <v>1</v>
      </c>
      <c r="W201" s="8"/>
      <c r="X201" t="s">
        <v>7</v>
      </c>
      <c r="Y201" t="s">
        <v>10</v>
      </c>
      <c r="AA201"/>
    </row>
    <row r="202" spans="1:27" x14ac:dyDescent="0.3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K202" s="5">
        <v>1</v>
      </c>
      <c r="S202" s="5">
        <f>SUM(bron[[#This Row],[Januari]:[December]])</f>
        <v>1</v>
      </c>
      <c r="T202" s="9">
        <v>45425</v>
      </c>
      <c r="U202" s="8" t="s">
        <v>638</v>
      </c>
      <c r="V202" s="8">
        <v>1</v>
      </c>
      <c r="W202" s="8"/>
      <c r="X202" t="s">
        <v>7</v>
      </c>
      <c r="Y202" t="s">
        <v>10</v>
      </c>
      <c r="AA202"/>
    </row>
    <row r="203" spans="1:27" x14ac:dyDescent="0.3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K203" s="5">
        <v>1</v>
      </c>
      <c r="S203" s="5">
        <f>SUM(bron[[#This Row],[Januari]:[December]])</f>
        <v>1</v>
      </c>
      <c r="T203" s="9">
        <v>45427</v>
      </c>
      <c r="U203" s="8" t="s">
        <v>639</v>
      </c>
      <c r="V203" s="8">
        <v>1</v>
      </c>
      <c r="W203" s="8"/>
      <c r="X203" t="s">
        <v>7</v>
      </c>
      <c r="Y203" t="s">
        <v>25</v>
      </c>
      <c r="AA203"/>
    </row>
    <row r="204" spans="1:27" x14ac:dyDescent="0.3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K204" s="5">
        <v>1</v>
      </c>
      <c r="S204" s="5">
        <f>SUM(bron[[#This Row],[Januari]:[December]])</f>
        <v>1</v>
      </c>
      <c r="T204" s="9">
        <v>45428</v>
      </c>
      <c r="U204" s="8" t="s">
        <v>640</v>
      </c>
      <c r="V204" s="8">
        <v>1</v>
      </c>
      <c r="W204" s="8"/>
      <c r="X204" t="s">
        <v>7</v>
      </c>
      <c r="Y204" t="s">
        <v>243</v>
      </c>
      <c r="AA204"/>
    </row>
    <row r="205" spans="1:27" x14ac:dyDescent="0.3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K205" s="5">
        <v>1</v>
      </c>
      <c r="S205" s="5">
        <f>SUM(bron[[#This Row],[Januari]:[December]])</f>
        <v>1</v>
      </c>
      <c r="T205" s="9">
        <v>45428</v>
      </c>
      <c r="U205" s="8" t="s">
        <v>641</v>
      </c>
      <c r="V205" s="8">
        <v>1</v>
      </c>
      <c r="W205" s="8"/>
      <c r="X205" t="s">
        <v>7</v>
      </c>
      <c r="Y205" t="s">
        <v>642</v>
      </c>
      <c r="AA205"/>
    </row>
    <row r="206" spans="1:27" x14ac:dyDescent="0.3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K206" s="5">
        <v>1</v>
      </c>
      <c r="S206" s="5">
        <f>SUM(bron[[#This Row],[Januari]:[December]])</f>
        <v>1</v>
      </c>
      <c r="T206" s="9">
        <v>45429</v>
      </c>
      <c r="U206" s="8" t="s">
        <v>643</v>
      </c>
      <c r="V206" s="8">
        <v>1</v>
      </c>
      <c r="W206" s="8"/>
      <c r="X206" t="s">
        <v>7</v>
      </c>
      <c r="Y206" t="s">
        <v>171</v>
      </c>
      <c r="AA206"/>
    </row>
    <row r="207" spans="1:27" x14ac:dyDescent="0.3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K207" s="5">
        <v>1</v>
      </c>
      <c r="S207" s="5">
        <f>SUM(bron[[#This Row],[Januari]:[December]])</f>
        <v>1</v>
      </c>
      <c r="T207" s="9">
        <v>45433</v>
      </c>
      <c r="U207" s="8" t="s">
        <v>644</v>
      </c>
      <c r="V207" s="8">
        <v>1</v>
      </c>
      <c r="W207" s="8"/>
      <c r="X207" t="s">
        <v>7</v>
      </c>
      <c r="Y207" t="s">
        <v>113</v>
      </c>
      <c r="AA207"/>
    </row>
    <row r="208" spans="1:27" x14ac:dyDescent="0.3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K208" s="5">
        <v>1</v>
      </c>
      <c r="S208" s="5">
        <f>SUM(bron[[#This Row],[Januari]:[December]])</f>
        <v>1</v>
      </c>
      <c r="T208" s="9">
        <v>45433</v>
      </c>
      <c r="U208" s="8" t="s">
        <v>645</v>
      </c>
      <c r="V208" s="8">
        <v>1</v>
      </c>
      <c r="W208" s="8"/>
      <c r="X208" t="s">
        <v>7</v>
      </c>
      <c r="Y208" t="s">
        <v>10</v>
      </c>
      <c r="AA208"/>
    </row>
    <row r="209" spans="1:27" x14ac:dyDescent="0.3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K209" s="5">
        <v>1</v>
      </c>
      <c r="S209" s="5">
        <f>SUM(bron[[#This Row],[Januari]:[December]])</f>
        <v>1</v>
      </c>
      <c r="T209" s="9">
        <v>45433</v>
      </c>
      <c r="U209" s="8" t="s">
        <v>646</v>
      </c>
      <c r="V209" s="8">
        <v>1</v>
      </c>
      <c r="W209" s="8"/>
      <c r="X209" t="s">
        <v>7</v>
      </c>
      <c r="Y209" t="s">
        <v>143</v>
      </c>
      <c r="AA209"/>
    </row>
    <row r="210" spans="1:27" x14ac:dyDescent="0.3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K210" s="5">
        <v>1</v>
      </c>
      <c r="S210" s="5">
        <f>SUM(bron[[#This Row],[Januari]:[December]])</f>
        <v>1</v>
      </c>
      <c r="T210" s="9">
        <v>45434</v>
      </c>
      <c r="U210" s="8" t="s">
        <v>647</v>
      </c>
      <c r="V210" s="8"/>
      <c r="W210" s="8">
        <v>1</v>
      </c>
      <c r="X210" t="s">
        <v>8</v>
      </c>
      <c r="Y210" t="s">
        <v>5</v>
      </c>
      <c r="AA210"/>
    </row>
    <row r="211" spans="1:27" x14ac:dyDescent="0.3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K211" s="5">
        <v>1</v>
      </c>
      <c r="S211" s="5">
        <f>SUM(bron[[#This Row],[Januari]:[December]])</f>
        <v>1</v>
      </c>
      <c r="T211" s="9">
        <v>45434</v>
      </c>
      <c r="U211" s="8" t="s">
        <v>648</v>
      </c>
      <c r="V211" s="8">
        <v>1</v>
      </c>
      <c r="W211" s="8"/>
      <c r="X211" t="s">
        <v>7</v>
      </c>
      <c r="Y211" t="s">
        <v>54</v>
      </c>
      <c r="AA211"/>
    </row>
    <row r="212" spans="1:27" x14ac:dyDescent="0.3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K212" s="5">
        <v>1</v>
      </c>
      <c r="S212" s="5">
        <f>SUM(bron[[#This Row],[Januari]:[December]])</f>
        <v>1</v>
      </c>
      <c r="T212" s="9">
        <v>45435</v>
      </c>
      <c r="U212" s="8" t="s">
        <v>649</v>
      </c>
      <c r="V212" s="8">
        <v>1</v>
      </c>
      <c r="W212" s="8"/>
      <c r="X212" t="s">
        <v>7</v>
      </c>
      <c r="Y212" t="s">
        <v>237</v>
      </c>
      <c r="AA212"/>
    </row>
    <row r="213" spans="1:27" x14ac:dyDescent="0.3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K213" s="5">
        <v>1</v>
      </c>
      <c r="S213" s="5">
        <f>SUM(bron[[#This Row],[Januari]:[December]])</f>
        <v>1</v>
      </c>
      <c r="T213" s="9">
        <v>45435</v>
      </c>
      <c r="U213" s="8" t="s">
        <v>650</v>
      </c>
      <c r="V213" s="8">
        <v>1</v>
      </c>
      <c r="W213" s="8"/>
      <c r="X213" t="s">
        <v>7</v>
      </c>
      <c r="Y213" t="s">
        <v>54</v>
      </c>
      <c r="AA213"/>
    </row>
    <row r="214" spans="1:27" x14ac:dyDescent="0.3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K214" s="5">
        <v>1</v>
      </c>
      <c r="S214" s="5">
        <f>SUM(bron[[#This Row],[Januari]:[December]])</f>
        <v>1</v>
      </c>
      <c r="T214" s="9">
        <v>45436</v>
      </c>
      <c r="U214" s="8" t="s">
        <v>651</v>
      </c>
      <c r="V214" s="8">
        <v>1</v>
      </c>
      <c r="W214" s="8"/>
      <c r="X214" t="s">
        <v>7</v>
      </c>
      <c r="Y214" t="s">
        <v>652</v>
      </c>
      <c r="AA214"/>
    </row>
    <row r="215" spans="1:27" x14ac:dyDescent="0.3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K215" s="5">
        <v>1</v>
      </c>
      <c r="S215" s="5">
        <f>SUM(bron[[#This Row],[Januari]:[December]])</f>
        <v>1</v>
      </c>
      <c r="T215" s="9">
        <v>45436</v>
      </c>
      <c r="U215" s="8" t="s">
        <v>653</v>
      </c>
      <c r="V215" s="8">
        <v>1</v>
      </c>
      <c r="W215" s="8"/>
      <c r="X215" t="s">
        <v>7</v>
      </c>
      <c r="Y215" t="s">
        <v>483</v>
      </c>
      <c r="AA215"/>
    </row>
    <row r="216" spans="1:27" x14ac:dyDescent="0.3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391</v>
      </c>
      <c r="D216" t="s">
        <v>391</v>
      </c>
      <c r="E216" t="s">
        <v>79</v>
      </c>
      <c r="F216" s="10"/>
      <c r="G216" s="7"/>
      <c r="H216" s="7"/>
      <c r="I216" s="7"/>
      <c r="K216" s="5">
        <v>1</v>
      </c>
      <c r="S216" s="5">
        <f>SUM(bron[[#This Row],[Januari]:[December]])</f>
        <v>1</v>
      </c>
      <c r="T216" s="9">
        <v>45436</v>
      </c>
      <c r="U216" s="8" t="s">
        <v>654</v>
      </c>
      <c r="V216" s="8">
        <v>1</v>
      </c>
      <c r="W216" s="8"/>
      <c r="X216" t="s">
        <v>7</v>
      </c>
      <c r="Y216" t="s">
        <v>203</v>
      </c>
      <c r="AA216"/>
    </row>
    <row r="217" spans="1:27" x14ac:dyDescent="0.3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K217" s="5">
        <v>1</v>
      </c>
      <c r="S217" s="5">
        <f>SUM(bron[[#This Row],[Januari]:[December]])</f>
        <v>1</v>
      </c>
      <c r="T217" s="9">
        <v>45439</v>
      </c>
      <c r="U217" s="8" t="s">
        <v>655</v>
      </c>
      <c r="V217" s="8"/>
      <c r="W217" s="8">
        <v>1</v>
      </c>
      <c r="X217" t="s">
        <v>8</v>
      </c>
      <c r="Y217" t="s">
        <v>72</v>
      </c>
      <c r="AA217"/>
    </row>
    <row r="218" spans="1:27" x14ac:dyDescent="0.3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391</v>
      </c>
      <c r="D218" t="s">
        <v>391</v>
      </c>
      <c r="E218" t="s">
        <v>79</v>
      </c>
      <c r="F218" s="10"/>
      <c r="G218" s="7"/>
      <c r="H218" s="7"/>
      <c r="I218" s="7"/>
      <c r="K218" s="5">
        <v>1</v>
      </c>
      <c r="S218" s="5">
        <f>SUM(bron[[#This Row],[Januari]:[December]])</f>
        <v>1</v>
      </c>
      <c r="T218" s="9">
        <v>45440</v>
      </c>
      <c r="U218" s="8" t="s">
        <v>656</v>
      </c>
      <c r="V218" s="8">
        <v>1</v>
      </c>
      <c r="W218" s="8"/>
      <c r="X218" t="s">
        <v>7</v>
      </c>
      <c r="Y218" t="s">
        <v>177</v>
      </c>
      <c r="AA218"/>
    </row>
    <row r="219" spans="1:27" x14ac:dyDescent="0.3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391</v>
      </c>
      <c r="D219" t="s">
        <v>391</v>
      </c>
      <c r="E219" t="s">
        <v>79</v>
      </c>
      <c r="F219" s="10"/>
      <c r="G219" s="7"/>
      <c r="H219" s="7"/>
      <c r="I219" s="7"/>
      <c r="K219" s="5">
        <v>1</v>
      </c>
      <c r="S219" s="5">
        <f>SUM(bron[[#This Row],[Januari]:[December]])</f>
        <v>1</v>
      </c>
      <c r="T219" s="9">
        <v>45440</v>
      </c>
      <c r="U219" s="8" t="s">
        <v>657</v>
      </c>
      <c r="V219" s="8"/>
      <c r="W219" s="8">
        <v>1</v>
      </c>
      <c r="X219" t="s">
        <v>8</v>
      </c>
      <c r="Y219" t="s">
        <v>533</v>
      </c>
      <c r="AA219"/>
    </row>
    <row r="220" spans="1:27" x14ac:dyDescent="0.3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K220" s="5">
        <v>1</v>
      </c>
      <c r="S220" s="5">
        <f>SUM(bron[[#This Row],[Januari]:[December]])</f>
        <v>1</v>
      </c>
      <c r="T220" s="9">
        <v>45440</v>
      </c>
      <c r="U220" s="8" t="s">
        <v>658</v>
      </c>
      <c r="V220" s="8"/>
      <c r="W220" s="8">
        <v>1</v>
      </c>
      <c r="X220" t="s">
        <v>8</v>
      </c>
      <c r="Y220" t="s">
        <v>171</v>
      </c>
      <c r="AA220"/>
    </row>
    <row r="221" spans="1:27" x14ac:dyDescent="0.3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K221" s="5">
        <v>1</v>
      </c>
      <c r="S221" s="5">
        <f>SUM(bron[[#This Row],[Januari]:[December]])</f>
        <v>1</v>
      </c>
      <c r="T221" s="9">
        <v>45441</v>
      </c>
      <c r="U221" s="8" t="s">
        <v>659</v>
      </c>
      <c r="V221" s="8">
        <v>1</v>
      </c>
      <c r="W221" s="8"/>
      <c r="X221" t="s">
        <v>7</v>
      </c>
      <c r="Y221" t="s">
        <v>16</v>
      </c>
      <c r="AA221"/>
    </row>
    <row r="222" spans="1:27" x14ac:dyDescent="0.3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391</v>
      </c>
      <c r="D222" t="s">
        <v>391</v>
      </c>
      <c r="E222" t="s">
        <v>79</v>
      </c>
      <c r="F222" s="10"/>
      <c r="G222" s="7"/>
      <c r="H222" s="7"/>
      <c r="I222" s="7"/>
      <c r="K222" s="5">
        <v>1</v>
      </c>
      <c r="S222" s="5">
        <f>SUM(bron[[#This Row],[Januari]:[December]])</f>
        <v>1</v>
      </c>
      <c r="T222" s="9">
        <v>45441</v>
      </c>
      <c r="U222" s="8" t="s">
        <v>660</v>
      </c>
      <c r="V222" s="8"/>
      <c r="W222" s="8">
        <v>1</v>
      </c>
      <c r="X222" t="s">
        <v>8</v>
      </c>
      <c r="Y222" t="s">
        <v>5</v>
      </c>
      <c r="AA222"/>
    </row>
    <row r="223" spans="1:27" x14ac:dyDescent="0.3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K223" s="5">
        <v>1</v>
      </c>
      <c r="S223" s="5">
        <f>SUM(bron[[#This Row],[Januari]:[December]])</f>
        <v>1</v>
      </c>
      <c r="T223" s="9">
        <v>45442</v>
      </c>
      <c r="U223" s="8" t="s">
        <v>661</v>
      </c>
      <c r="V223" s="8">
        <v>1</v>
      </c>
      <c r="W223" s="8"/>
      <c r="X223" t="s">
        <v>7</v>
      </c>
      <c r="Y223" t="s">
        <v>25</v>
      </c>
      <c r="AA223"/>
    </row>
    <row r="224" spans="1:27" x14ac:dyDescent="0.3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K224" s="5">
        <v>1</v>
      </c>
      <c r="S224" s="5">
        <f>SUM(bron[[#This Row],[Januari]:[December]])</f>
        <v>1</v>
      </c>
      <c r="T224" s="9">
        <v>45442</v>
      </c>
      <c r="U224" s="8" t="s">
        <v>662</v>
      </c>
      <c r="V224" s="8">
        <v>1</v>
      </c>
      <c r="W224" s="8"/>
      <c r="X224" t="s">
        <v>7</v>
      </c>
      <c r="Y224" t="s">
        <v>10</v>
      </c>
      <c r="AA224"/>
    </row>
    <row r="225" spans="1:27" x14ac:dyDescent="0.3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S225" s="5">
        <f>SUM(bron[[#This Row],[Januari]:[December]])</f>
        <v>0</v>
      </c>
      <c r="T225" s="9">
        <v>45445</v>
      </c>
      <c r="U225" s="8" t="s">
        <v>663</v>
      </c>
      <c r="V225" s="8">
        <v>1</v>
      </c>
      <c r="W225" s="8"/>
      <c r="X225" t="s">
        <v>7</v>
      </c>
      <c r="Y225" t="s">
        <v>259</v>
      </c>
      <c r="AA225"/>
    </row>
    <row r="226" spans="1:27" x14ac:dyDescent="0.3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391</v>
      </c>
      <c r="D226" t="s">
        <v>391</v>
      </c>
      <c r="E226" t="s">
        <v>79</v>
      </c>
      <c r="F226" s="10"/>
      <c r="G226" s="7"/>
      <c r="H226" s="7"/>
      <c r="I226" s="7"/>
      <c r="S226" s="5">
        <f>SUM(bron[[#This Row],[Januari]:[December]])</f>
        <v>0</v>
      </c>
      <c r="T226" s="9">
        <v>45445</v>
      </c>
      <c r="U226" s="8" t="s">
        <v>664</v>
      </c>
      <c r="V226" s="8">
        <v>1</v>
      </c>
      <c r="W226" s="8"/>
      <c r="X226" t="s">
        <v>7</v>
      </c>
      <c r="Y226" t="s">
        <v>665</v>
      </c>
      <c r="AA226"/>
    </row>
    <row r="227" spans="1:27" x14ac:dyDescent="0.3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S227" s="5">
        <f>SUM(bron[[#This Row],[Januari]:[December]])</f>
        <v>0</v>
      </c>
      <c r="T227" s="9">
        <v>45447</v>
      </c>
      <c r="U227" s="8" t="s">
        <v>666</v>
      </c>
      <c r="V227" s="8"/>
      <c r="W227" s="8">
        <v>1</v>
      </c>
      <c r="X227" t="s">
        <v>8</v>
      </c>
      <c r="Y227" t="s">
        <v>159</v>
      </c>
      <c r="AA227"/>
    </row>
    <row r="228" spans="1:27" x14ac:dyDescent="0.3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S228" s="5">
        <f>SUM(bron[[#This Row],[Januari]:[December]])</f>
        <v>0</v>
      </c>
      <c r="T228" s="9">
        <v>45447</v>
      </c>
      <c r="U228" s="8" t="s">
        <v>667</v>
      </c>
      <c r="V228" s="8"/>
      <c r="W228" s="8">
        <v>1</v>
      </c>
      <c r="X228" t="s">
        <v>8</v>
      </c>
      <c r="Y228" t="s">
        <v>668</v>
      </c>
      <c r="AA228"/>
    </row>
    <row r="229" spans="1:27" x14ac:dyDescent="0.3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S229" s="5">
        <f>SUM(bron[[#This Row],[Januari]:[December]])</f>
        <v>0</v>
      </c>
      <c r="T229" s="9">
        <v>45447</v>
      </c>
      <c r="U229" s="8" t="s">
        <v>669</v>
      </c>
      <c r="V229" s="8"/>
      <c r="W229" s="8">
        <v>1</v>
      </c>
      <c r="X229" t="s">
        <v>8</v>
      </c>
      <c r="Y229" t="s">
        <v>159</v>
      </c>
      <c r="AA229"/>
    </row>
    <row r="230" spans="1:27" x14ac:dyDescent="0.3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S230" s="5">
        <f>SUM(bron[[#This Row],[Januari]:[December]])</f>
        <v>0</v>
      </c>
      <c r="T230" s="9">
        <v>45448</v>
      </c>
      <c r="U230" s="8" t="s">
        <v>670</v>
      </c>
      <c r="V230" s="8">
        <v>1</v>
      </c>
      <c r="W230" s="8"/>
      <c r="X230" t="s">
        <v>7</v>
      </c>
      <c r="Y230" t="s">
        <v>671</v>
      </c>
      <c r="AA230"/>
    </row>
    <row r="231" spans="1:27" x14ac:dyDescent="0.3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S231" s="5">
        <f>SUM(bron[[#This Row],[Januari]:[December]])</f>
        <v>0</v>
      </c>
      <c r="T231" s="9">
        <v>45448</v>
      </c>
      <c r="U231" s="8" t="s">
        <v>672</v>
      </c>
      <c r="V231" s="8">
        <v>1</v>
      </c>
      <c r="W231" s="8"/>
      <c r="X231" t="s">
        <v>7</v>
      </c>
      <c r="Y231" t="s">
        <v>463</v>
      </c>
      <c r="AA231"/>
    </row>
    <row r="232" spans="1:27" x14ac:dyDescent="0.3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S232" s="5">
        <f>SUM(bron[[#This Row],[Januari]:[December]])</f>
        <v>0</v>
      </c>
      <c r="T232" s="9">
        <v>45448</v>
      </c>
      <c r="U232" s="8" t="s">
        <v>673</v>
      </c>
      <c r="V232" s="8"/>
      <c r="W232" s="8">
        <v>1</v>
      </c>
      <c r="X232" t="s">
        <v>8</v>
      </c>
      <c r="Y232" t="s">
        <v>674</v>
      </c>
      <c r="AA232"/>
    </row>
    <row r="233" spans="1:27" x14ac:dyDescent="0.3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S233" s="5">
        <f>SUM(bron[[#This Row],[Januari]:[December]])</f>
        <v>0</v>
      </c>
      <c r="T233" s="9">
        <v>45449</v>
      </c>
      <c r="U233" s="8" t="s">
        <v>675</v>
      </c>
      <c r="V233" s="8">
        <v>1</v>
      </c>
      <c r="W233" s="8"/>
      <c r="X233" t="s">
        <v>7</v>
      </c>
      <c r="Y233" t="s">
        <v>25</v>
      </c>
      <c r="AA233"/>
    </row>
    <row r="234" spans="1:27" x14ac:dyDescent="0.3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391</v>
      </c>
      <c r="D234" t="s">
        <v>391</v>
      </c>
      <c r="E234" t="s">
        <v>79</v>
      </c>
      <c r="F234" s="10"/>
      <c r="G234" s="7"/>
      <c r="H234" s="7"/>
      <c r="I234" s="7"/>
      <c r="S234" s="5">
        <f>SUM(bron[[#This Row],[Januari]:[December]])</f>
        <v>0</v>
      </c>
      <c r="T234" s="9">
        <v>45449</v>
      </c>
      <c r="U234" s="8" t="s">
        <v>676</v>
      </c>
      <c r="V234" s="8">
        <v>1</v>
      </c>
      <c r="W234" s="8"/>
      <c r="X234" t="s">
        <v>7</v>
      </c>
      <c r="Y234" t="s">
        <v>31</v>
      </c>
      <c r="AA234"/>
    </row>
    <row r="235" spans="1:27" x14ac:dyDescent="0.3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S235" s="5">
        <f>SUM(bron[[#This Row],[Januari]:[December]])</f>
        <v>0</v>
      </c>
      <c r="T235" s="9">
        <v>45450</v>
      </c>
      <c r="U235" s="8" t="s">
        <v>677</v>
      </c>
      <c r="V235" s="8">
        <v>1</v>
      </c>
      <c r="W235" s="8"/>
      <c r="X235" t="s">
        <v>7</v>
      </c>
      <c r="Y235" t="s">
        <v>678</v>
      </c>
      <c r="AA235"/>
    </row>
    <row r="236" spans="1:27" x14ac:dyDescent="0.3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391</v>
      </c>
      <c r="D236" t="s">
        <v>391</v>
      </c>
      <c r="E236" t="s">
        <v>79</v>
      </c>
      <c r="F236" s="10"/>
      <c r="G236" s="7"/>
      <c r="H236" s="7"/>
      <c r="I236" s="7"/>
      <c r="S236" s="5">
        <f>SUM(bron[[#This Row],[Januari]:[December]])</f>
        <v>0</v>
      </c>
      <c r="T236" s="9">
        <v>45453</v>
      </c>
      <c r="U236" s="8" t="s">
        <v>679</v>
      </c>
      <c r="V236" s="8">
        <v>1</v>
      </c>
      <c r="W236" s="8"/>
      <c r="X236" t="s">
        <v>7</v>
      </c>
      <c r="Y236" t="s">
        <v>54</v>
      </c>
      <c r="AA236"/>
    </row>
    <row r="237" spans="1:27" x14ac:dyDescent="0.3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S237" s="5">
        <f>SUM(bron[[#This Row],[Januari]:[December]])</f>
        <v>0</v>
      </c>
      <c r="T237" s="9">
        <v>45453</v>
      </c>
      <c r="U237" s="8" t="s">
        <v>680</v>
      </c>
      <c r="V237" s="8">
        <v>1</v>
      </c>
      <c r="W237" s="8"/>
      <c r="X237" t="s">
        <v>7</v>
      </c>
      <c r="Y237" t="s">
        <v>10</v>
      </c>
      <c r="AA237"/>
    </row>
    <row r="238" spans="1:27" x14ac:dyDescent="0.3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S238" s="5">
        <f>SUM(bron[[#This Row],[Januari]:[December]])</f>
        <v>0</v>
      </c>
      <c r="T238" s="9">
        <v>45453</v>
      </c>
      <c r="U238" s="8" t="s">
        <v>681</v>
      </c>
      <c r="V238" s="8">
        <v>1</v>
      </c>
      <c r="W238" s="8"/>
      <c r="X238" t="s">
        <v>7</v>
      </c>
      <c r="Y238" t="s">
        <v>34</v>
      </c>
      <c r="AA238"/>
    </row>
    <row r="239" spans="1:27" x14ac:dyDescent="0.3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S239" s="5">
        <f>SUM(bron[[#This Row],[Januari]:[December]])</f>
        <v>0</v>
      </c>
      <c r="T239" s="9">
        <v>45453</v>
      </c>
      <c r="U239" s="8" t="s">
        <v>682</v>
      </c>
      <c r="V239" s="8">
        <v>1</v>
      </c>
      <c r="W239" s="8"/>
      <c r="X239" t="s">
        <v>7</v>
      </c>
      <c r="Y239" t="s">
        <v>683</v>
      </c>
      <c r="AA239"/>
    </row>
    <row r="240" spans="1:27" x14ac:dyDescent="0.3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S240" s="5">
        <f>SUM(bron[[#This Row],[Januari]:[December]])</f>
        <v>0</v>
      </c>
      <c r="T240" s="9">
        <v>45453</v>
      </c>
      <c r="U240" s="8" t="s">
        <v>684</v>
      </c>
      <c r="V240" s="8">
        <v>1</v>
      </c>
      <c r="W240" s="8"/>
      <c r="X240" t="s">
        <v>7</v>
      </c>
      <c r="Y240" t="s">
        <v>10</v>
      </c>
      <c r="AA240"/>
    </row>
    <row r="241" spans="1:27" x14ac:dyDescent="0.3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391</v>
      </c>
      <c r="D241" t="s">
        <v>391</v>
      </c>
      <c r="E241" t="s">
        <v>79</v>
      </c>
      <c r="F241" s="10"/>
      <c r="G241" s="7"/>
      <c r="H241" s="7"/>
      <c r="I241" s="7"/>
      <c r="S241" s="5">
        <f>SUM(bron[[#This Row],[Januari]:[December]])</f>
        <v>0</v>
      </c>
      <c r="T241" s="9">
        <v>45453</v>
      </c>
      <c r="U241" s="8" t="s">
        <v>685</v>
      </c>
      <c r="V241" s="8">
        <v>1</v>
      </c>
      <c r="W241" s="8"/>
      <c r="X241" t="s">
        <v>7</v>
      </c>
      <c r="Y241" t="s">
        <v>54</v>
      </c>
      <c r="AA241"/>
    </row>
    <row r="242" spans="1:27" x14ac:dyDescent="0.3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S242" s="5">
        <f>SUM(bron[[#This Row],[Januari]:[December]])</f>
        <v>0</v>
      </c>
      <c r="T242" s="9">
        <v>45454</v>
      </c>
      <c r="U242" s="8" t="s">
        <v>686</v>
      </c>
      <c r="V242" s="8">
        <v>1</v>
      </c>
      <c r="W242" s="8"/>
      <c r="X242" t="s">
        <v>7</v>
      </c>
      <c r="Y242" t="s">
        <v>687</v>
      </c>
      <c r="AA242"/>
    </row>
    <row r="243" spans="1:27" x14ac:dyDescent="0.3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391</v>
      </c>
      <c r="D243" t="s">
        <v>391</v>
      </c>
      <c r="E243" t="s">
        <v>79</v>
      </c>
      <c r="F243" s="10"/>
      <c r="G243" s="7"/>
      <c r="H243" s="7"/>
      <c r="I243" s="7"/>
      <c r="S243" s="5">
        <f>SUM(bron[[#This Row],[Januari]:[December]])</f>
        <v>0</v>
      </c>
      <c r="T243" s="9">
        <v>45454</v>
      </c>
      <c r="U243" s="8" t="s">
        <v>688</v>
      </c>
      <c r="V243" s="8">
        <v>1</v>
      </c>
      <c r="W243" s="8"/>
      <c r="X243" t="s">
        <v>7</v>
      </c>
      <c r="Y243" t="s">
        <v>689</v>
      </c>
      <c r="AA243"/>
    </row>
    <row r="244" spans="1:27" x14ac:dyDescent="0.3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S244" s="5">
        <f>SUM(bron[[#This Row],[Januari]:[December]])</f>
        <v>0</v>
      </c>
      <c r="T244" s="9">
        <v>45455</v>
      </c>
      <c r="U244" s="8" t="s">
        <v>690</v>
      </c>
      <c r="V244" s="8">
        <v>1</v>
      </c>
      <c r="W244" s="8"/>
      <c r="X244" t="s">
        <v>7</v>
      </c>
      <c r="Y244" t="s">
        <v>10</v>
      </c>
      <c r="AA244"/>
    </row>
    <row r="245" spans="1:27" x14ac:dyDescent="0.3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S245" s="5">
        <f>SUM(bron[[#This Row],[Januari]:[December]])</f>
        <v>0</v>
      </c>
      <c r="T245" s="9">
        <v>45455</v>
      </c>
      <c r="U245" s="8" t="s">
        <v>691</v>
      </c>
      <c r="V245" s="8">
        <v>1</v>
      </c>
      <c r="W245" s="8"/>
      <c r="X245" t="s">
        <v>7</v>
      </c>
      <c r="Y245" t="s">
        <v>84</v>
      </c>
      <c r="AA245"/>
    </row>
    <row r="246" spans="1:27" x14ac:dyDescent="0.3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S246" s="5">
        <f>SUM(bron[[#This Row],[Januari]:[December]])</f>
        <v>0</v>
      </c>
      <c r="T246" s="9">
        <v>45455</v>
      </c>
      <c r="U246" s="8" t="s">
        <v>692</v>
      </c>
      <c r="V246" s="8">
        <v>1</v>
      </c>
      <c r="W246" s="8"/>
      <c r="X246" t="s">
        <v>7</v>
      </c>
      <c r="Y246" t="s">
        <v>537</v>
      </c>
      <c r="AA246"/>
    </row>
    <row r="247" spans="1:27" x14ac:dyDescent="0.3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S247" s="5">
        <f>SUM(bron[[#This Row],[Januari]:[December]])</f>
        <v>0</v>
      </c>
      <c r="T247" s="9">
        <v>45456</v>
      </c>
      <c r="U247" s="8" t="s">
        <v>693</v>
      </c>
      <c r="V247" s="8">
        <v>1</v>
      </c>
      <c r="W247" s="8"/>
      <c r="X247" t="s">
        <v>7</v>
      </c>
      <c r="Y247" t="s">
        <v>243</v>
      </c>
      <c r="AA247"/>
    </row>
    <row r="248" spans="1:27" x14ac:dyDescent="0.3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S248" s="5">
        <f>SUM(bron[[#This Row],[Januari]:[December]])</f>
        <v>0</v>
      </c>
      <c r="T248" s="9">
        <v>45456</v>
      </c>
      <c r="U248" s="8" t="s">
        <v>694</v>
      </c>
      <c r="V248" s="8">
        <v>1</v>
      </c>
      <c r="W248" s="8"/>
      <c r="X248" t="s">
        <v>7</v>
      </c>
      <c r="Y248" t="s">
        <v>54</v>
      </c>
      <c r="AA248"/>
    </row>
    <row r="249" spans="1:27" x14ac:dyDescent="0.3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S249" s="5">
        <f>SUM(bron[[#This Row],[Januari]:[December]])</f>
        <v>0</v>
      </c>
      <c r="T249" s="9">
        <v>45456</v>
      </c>
      <c r="U249" s="8" t="s">
        <v>695</v>
      </c>
      <c r="V249" s="8">
        <v>1</v>
      </c>
      <c r="W249" s="8"/>
      <c r="X249" t="s">
        <v>7</v>
      </c>
      <c r="Y249" t="s">
        <v>54</v>
      </c>
      <c r="AA249"/>
    </row>
    <row r="250" spans="1:27" x14ac:dyDescent="0.3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S250" s="5">
        <f>SUM(bron[[#This Row],[Januari]:[December]])</f>
        <v>0</v>
      </c>
      <c r="T250" s="9">
        <v>45457</v>
      </c>
      <c r="U250" s="8" t="s">
        <v>696</v>
      </c>
      <c r="V250" s="8">
        <v>1</v>
      </c>
      <c r="W250" s="8"/>
      <c r="X250" t="s">
        <v>7</v>
      </c>
      <c r="Y250" t="s">
        <v>185</v>
      </c>
      <c r="AA250"/>
    </row>
    <row r="251" spans="1:27" x14ac:dyDescent="0.3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S251" s="5">
        <f>SUM(bron[[#This Row],[Januari]:[December]])</f>
        <v>0</v>
      </c>
      <c r="T251" s="9">
        <v>45458</v>
      </c>
      <c r="U251" s="8" t="s">
        <v>697</v>
      </c>
      <c r="V251" s="8">
        <v>1</v>
      </c>
      <c r="W251" s="8"/>
      <c r="X251" t="s">
        <v>7</v>
      </c>
      <c r="Y251" t="s">
        <v>37</v>
      </c>
      <c r="AA251"/>
    </row>
    <row r="252" spans="1:27" x14ac:dyDescent="0.3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S252" s="5">
        <f>SUM(bron[[#This Row],[Januari]:[December]])</f>
        <v>0</v>
      </c>
      <c r="T252" s="9">
        <v>45458</v>
      </c>
      <c r="U252" s="8" t="s">
        <v>698</v>
      </c>
      <c r="V252" s="8">
        <v>1</v>
      </c>
      <c r="W252" s="8"/>
      <c r="X252" t="s">
        <v>7</v>
      </c>
      <c r="Y252" t="s">
        <v>54</v>
      </c>
      <c r="AA252"/>
    </row>
    <row r="253" spans="1:27" x14ac:dyDescent="0.3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S253" s="5">
        <f>SUM(bron[[#This Row],[Januari]:[December]])</f>
        <v>0</v>
      </c>
      <c r="T253" s="9">
        <v>45458</v>
      </c>
      <c r="U253" s="8" t="s">
        <v>699</v>
      </c>
      <c r="V253" s="8">
        <v>1</v>
      </c>
      <c r="W253" s="8"/>
      <c r="X253" t="s">
        <v>7</v>
      </c>
      <c r="Y253" t="s">
        <v>54</v>
      </c>
      <c r="AA253"/>
    </row>
    <row r="254" spans="1:27" x14ac:dyDescent="0.3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S254" s="5">
        <f>SUM(bron[[#This Row],[Januari]:[December]])</f>
        <v>0</v>
      </c>
      <c r="T254" s="9">
        <v>45459</v>
      </c>
      <c r="U254" s="8" t="s">
        <v>700</v>
      </c>
      <c r="V254" s="8"/>
      <c r="W254" s="8">
        <v>1</v>
      </c>
      <c r="X254" t="s">
        <v>8</v>
      </c>
      <c r="Y254" t="s">
        <v>5</v>
      </c>
      <c r="AA254"/>
    </row>
    <row r="255" spans="1:27" x14ac:dyDescent="0.3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S255" s="5">
        <f>SUM(bron[[#This Row],[Januari]:[December]])</f>
        <v>0</v>
      </c>
      <c r="T255" s="9">
        <v>45460</v>
      </c>
      <c r="U255" s="8" t="s">
        <v>701</v>
      </c>
      <c r="V255" s="8"/>
      <c r="W255" s="8">
        <v>1</v>
      </c>
      <c r="X255" t="s">
        <v>8</v>
      </c>
      <c r="Y255" t="s">
        <v>702</v>
      </c>
      <c r="AA255"/>
    </row>
    <row r="256" spans="1:27" x14ac:dyDescent="0.3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S256" s="5">
        <f>SUM(bron[[#This Row],[Januari]:[December]])</f>
        <v>0</v>
      </c>
      <c r="T256" s="9">
        <v>45460</v>
      </c>
      <c r="U256" s="8" t="s">
        <v>703</v>
      </c>
      <c r="V256" s="8"/>
      <c r="W256" s="8">
        <v>1</v>
      </c>
      <c r="X256" t="s">
        <v>8</v>
      </c>
      <c r="Y256" t="s">
        <v>702</v>
      </c>
      <c r="AA256"/>
    </row>
    <row r="257" spans="1:27" x14ac:dyDescent="0.3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S257" s="5">
        <f>SUM(bron[[#This Row],[Januari]:[December]])</f>
        <v>0</v>
      </c>
      <c r="T257" s="9">
        <v>45461</v>
      </c>
      <c r="U257" s="8" t="s">
        <v>704</v>
      </c>
      <c r="V257" s="8">
        <v>1</v>
      </c>
      <c r="W257" s="8"/>
      <c r="X257" t="s">
        <v>7</v>
      </c>
      <c r="Y257" t="s">
        <v>451</v>
      </c>
      <c r="AA257"/>
    </row>
    <row r="258" spans="1:27" x14ac:dyDescent="0.3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S258" s="5">
        <f>SUM(bron[[#This Row],[Januari]:[December]])</f>
        <v>0</v>
      </c>
      <c r="T258" s="9">
        <v>45462</v>
      </c>
      <c r="U258" s="8" t="s">
        <v>705</v>
      </c>
      <c r="V258" s="8">
        <v>1</v>
      </c>
      <c r="W258" s="8"/>
      <c r="X258" t="s">
        <v>7</v>
      </c>
      <c r="Y258" t="s">
        <v>207</v>
      </c>
      <c r="AA258"/>
    </row>
    <row r="259" spans="1:27" x14ac:dyDescent="0.3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391</v>
      </c>
      <c r="D259" t="s">
        <v>391</v>
      </c>
      <c r="E259" t="s">
        <v>79</v>
      </c>
      <c r="F259" s="10"/>
      <c r="G259" s="7"/>
      <c r="H259" s="7"/>
      <c r="I259" s="7"/>
      <c r="S259" s="5">
        <f>SUM(bron[[#This Row],[Januari]:[December]])</f>
        <v>0</v>
      </c>
      <c r="T259" s="9">
        <v>45464</v>
      </c>
      <c r="U259" s="8" t="s">
        <v>706</v>
      </c>
      <c r="V259" s="8">
        <v>1</v>
      </c>
      <c r="W259" s="8"/>
      <c r="X259" t="s">
        <v>7</v>
      </c>
      <c r="Y259" t="s">
        <v>19</v>
      </c>
      <c r="AA259"/>
    </row>
    <row r="260" spans="1:27" x14ac:dyDescent="0.3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S260" s="5">
        <f>SUM(bron[[#This Row],[Januari]:[December]])</f>
        <v>0</v>
      </c>
      <c r="T260" s="9">
        <v>45465</v>
      </c>
      <c r="U260" s="8" t="s">
        <v>707</v>
      </c>
      <c r="V260" s="8">
        <v>1</v>
      </c>
      <c r="W260" s="8"/>
      <c r="X260" t="s">
        <v>7</v>
      </c>
      <c r="Y260" t="s">
        <v>66</v>
      </c>
      <c r="AA260"/>
    </row>
    <row r="261" spans="1:27" x14ac:dyDescent="0.3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391</v>
      </c>
      <c r="D261" t="s">
        <v>391</v>
      </c>
      <c r="E261" t="s">
        <v>79</v>
      </c>
      <c r="F261" s="10"/>
      <c r="G261" s="7"/>
      <c r="H261" s="7"/>
      <c r="I261" s="7"/>
      <c r="S261" s="5">
        <f>SUM(bron[[#This Row],[Januari]:[December]])</f>
        <v>0</v>
      </c>
      <c r="T261" s="9">
        <v>45467</v>
      </c>
      <c r="U261" s="8" t="s">
        <v>708</v>
      </c>
      <c r="V261" s="8">
        <v>1</v>
      </c>
      <c r="W261" s="8"/>
      <c r="X261" t="s">
        <v>7</v>
      </c>
      <c r="Y261" t="s">
        <v>709</v>
      </c>
      <c r="AA261"/>
    </row>
    <row r="262" spans="1:27" x14ac:dyDescent="0.3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S262" s="5">
        <f>SUM(bron[[#This Row],[Januari]:[December]])</f>
        <v>0</v>
      </c>
      <c r="T262" s="9">
        <v>45468</v>
      </c>
      <c r="U262" s="8" t="s">
        <v>710</v>
      </c>
      <c r="V262" s="8">
        <v>1</v>
      </c>
      <c r="W262" s="8"/>
      <c r="X262" t="s">
        <v>7</v>
      </c>
      <c r="Y262" t="s">
        <v>610</v>
      </c>
      <c r="AA262"/>
    </row>
    <row r="263" spans="1:27" x14ac:dyDescent="0.3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S263" s="5">
        <f>SUM(bron[[#This Row],[Januari]:[December]])</f>
        <v>0</v>
      </c>
      <c r="T263" s="9">
        <v>45468</v>
      </c>
      <c r="U263" s="8" t="s">
        <v>711</v>
      </c>
      <c r="V263" s="8"/>
      <c r="W263" s="8">
        <v>1</v>
      </c>
      <c r="X263" t="s">
        <v>8</v>
      </c>
      <c r="Y263" t="s">
        <v>104</v>
      </c>
      <c r="AA263"/>
    </row>
    <row r="264" spans="1:27" x14ac:dyDescent="0.3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S264" s="5">
        <f>SUM(bron[[#This Row],[Januari]:[December]])</f>
        <v>0</v>
      </c>
      <c r="T264" s="9">
        <v>45469</v>
      </c>
      <c r="U264" s="8" t="s">
        <v>712</v>
      </c>
      <c r="V264" s="8">
        <v>1</v>
      </c>
      <c r="W264" s="8"/>
      <c r="X264" t="s">
        <v>7</v>
      </c>
      <c r="Y264" t="s">
        <v>54</v>
      </c>
      <c r="AA264"/>
    </row>
    <row r="265" spans="1:27" x14ac:dyDescent="0.3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S265" s="5">
        <f>SUM(bron[[#This Row],[Januari]:[December]])</f>
        <v>0</v>
      </c>
      <c r="T265" s="9">
        <v>45469</v>
      </c>
      <c r="U265" s="8" t="s">
        <v>713</v>
      </c>
      <c r="V265" s="8">
        <v>1</v>
      </c>
      <c r="W265" s="8"/>
      <c r="X265" t="s">
        <v>7</v>
      </c>
      <c r="Y265" t="s">
        <v>560</v>
      </c>
      <c r="AA265"/>
    </row>
    <row r="266" spans="1:27" x14ac:dyDescent="0.3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S266" s="5">
        <f>SUM(bron[[#This Row],[Januari]:[December]])</f>
        <v>0</v>
      </c>
      <c r="T266" s="9">
        <v>45469</v>
      </c>
      <c r="U266" s="8" t="s">
        <v>714</v>
      </c>
      <c r="V266" s="8">
        <v>1</v>
      </c>
      <c r="W266" s="8"/>
      <c r="X266" t="s">
        <v>7</v>
      </c>
      <c r="Y266" t="s">
        <v>16</v>
      </c>
      <c r="AA266"/>
    </row>
    <row r="267" spans="1:27" x14ac:dyDescent="0.3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S267" s="5">
        <f>SUM(bron[[#This Row],[Januari]:[December]])</f>
        <v>0</v>
      </c>
      <c r="T267" s="9">
        <v>45470</v>
      </c>
      <c r="U267" s="8" t="s">
        <v>715</v>
      </c>
      <c r="V267" s="8"/>
      <c r="W267" s="8">
        <v>1</v>
      </c>
      <c r="X267" t="s">
        <v>8</v>
      </c>
      <c r="Y267" t="s">
        <v>716</v>
      </c>
      <c r="AA267"/>
    </row>
    <row r="268" spans="1:27" x14ac:dyDescent="0.3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S268" s="5">
        <f>SUM(bron[[#This Row],[Januari]:[December]])</f>
        <v>0</v>
      </c>
      <c r="T268" s="9">
        <v>45472</v>
      </c>
      <c r="U268" s="8" t="s">
        <v>717</v>
      </c>
      <c r="V268" s="8">
        <v>1</v>
      </c>
      <c r="W268" s="8"/>
      <c r="X268" t="s">
        <v>7</v>
      </c>
      <c r="Y268" t="s">
        <v>37</v>
      </c>
      <c r="AA268"/>
    </row>
    <row r="269" spans="1:27" x14ac:dyDescent="0.3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391</v>
      </c>
      <c r="D269" t="s">
        <v>391</v>
      </c>
      <c r="E269" t="s">
        <v>79</v>
      </c>
      <c r="F269" s="10"/>
      <c r="G269" s="7"/>
      <c r="H269" s="7"/>
      <c r="I269" s="7"/>
      <c r="M269" s="5">
        <v>1</v>
      </c>
      <c r="S269" s="5">
        <f>SUM(bron[[#This Row],[Januari]:[December]])</f>
        <v>1</v>
      </c>
      <c r="T269" s="9">
        <v>45474</v>
      </c>
      <c r="U269" s="8" t="s">
        <v>718</v>
      </c>
      <c r="V269" s="8">
        <v>1</v>
      </c>
      <c r="W269" s="8"/>
      <c r="X269" t="s">
        <v>7</v>
      </c>
      <c r="Y269" t="s">
        <v>277</v>
      </c>
      <c r="AA269"/>
    </row>
    <row r="270" spans="1:27" x14ac:dyDescent="0.3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M270" s="5">
        <v>1</v>
      </c>
      <c r="S270" s="5">
        <f>SUM(bron[[#This Row],[Januari]:[December]])</f>
        <v>1</v>
      </c>
      <c r="T270" s="9">
        <v>45474</v>
      </c>
      <c r="U270" s="8" t="s">
        <v>719</v>
      </c>
      <c r="V270" s="8">
        <v>1</v>
      </c>
      <c r="W270" s="8"/>
      <c r="X270" t="s">
        <v>7</v>
      </c>
      <c r="Y270" t="s">
        <v>34</v>
      </c>
      <c r="AA270"/>
    </row>
    <row r="271" spans="1:27" x14ac:dyDescent="0.3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391</v>
      </c>
      <c r="D271" t="s">
        <v>391</v>
      </c>
      <c r="E271" t="s">
        <v>79</v>
      </c>
      <c r="F271" s="10"/>
      <c r="G271" s="7"/>
      <c r="H271" s="7"/>
      <c r="I271" s="7"/>
      <c r="M271" s="5">
        <v>1</v>
      </c>
      <c r="S271" s="5">
        <f>SUM(bron[[#This Row],[Januari]:[December]])</f>
        <v>1</v>
      </c>
      <c r="T271" s="9">
        <v>45475</v>
      </c>
      <c r="U271" s="8" t="s">
        <v>720</v>
      </c>
      <c r="V271" s="8">
        <v>1</v>
      </c>
      <c r="W271" s="8"/>
      <c r="X271" t="s">
        <v>7</v>
      </c>
      <c r="Y271" t="s">
        <v>721</v>
      </c>
      <c r="AA271"/>
    </row>
    <row r="272" spans="1:27" x14ac:dyDescent="0.3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M272" s="5">
        <v>1</v>
      </c>
      <c r="S272" s="5">
        <f>SUM(bron[[#This Row],[Januari]:[December]])</f>
        <v>1</v>
      </c>
      <c r="T272" s="9">
        <v>45475</v>
      </c>
      <c r="U272" s="8" t="s">
        <v>722</v>
      </c>
      <c r="V272" s="8">
        <v>1</v>
      </c>
      <c r="W272" s="8"/>
      <c r="X272" t="s">
        <v>7</v>
      </c>
      <c r="Y272" t="s">
        <v>463</v>
      </c>
      <c r="AA272"/>
    </row>
    <row r="273" spans="1:27" x14ac:dyDescent="0.3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M273" s="5">
        <v>1</v>
      </c>
      <c r="S273" s="5">
        <f>SUM(bron[[#This Row],[Januari]:[December]])</f>
        <v>1</v>
      </c>
      <c r="T273" s="9">
        <v>45477</v>
      </c>
      <c r="U273" s="8" t="s">
        <v>723</v>
      </c>
      <c r="V273" s="8">
        <v>1</v>
      </c>
      <c r="W273" s="8"/>
      <c r="X273" t="s">
        <v>7</v>
      </c>
      <c r="Y273" t="s">
        <v>19</v>
      </c>
      <c r="AA273"/>
    </row>
    <row r="274" spans="1:27" x14ac:dyDescent="0.3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M274" s="5">
        <v>1</v>
      </c>
      <c r="S274" s="5">
        <f>SUM(bron[[#This Row],[Januari]:[December]])</f>
        <v>1</v>
      </c>
      <c r="T274" s="9">
        <v>45477</v>
      </c>
      <c r="U274" s="8" t="s">
        <v>724</v>
      </c>
      <c r="V274" s="8">
        <v>1</v>
      </c>
      <c r="W274" s="8"/>
      <c r="X274" t="s">
        <v>7</v>
      </c>
      <c r="Y274" t="s">
        <v>259</v>
      </c>
      <c r="AA274"/>
    </row>
    <row r="275" spans="1:27" x14ac:dyDescent="0.3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M275" s="5">
        <v>1</v>
      </c>
      <c r="S275" s="5">
        <f>SUM(bron[[#This Row],[Januari]:[December]])</f>
        <v>1</v>
      </c>
      <c r="T275" s="9">
        <v>45478</v>
      </c>
      <c r="U275" s="8" t="s">
        <v>725</v>
      </c>
      <c r="V275" s="8">
        <v>1</v>
      </c>
      <c r="W275" s="8"/>
      <c r="X275" t="s">
        <v>7</v>
      </c>
      <c r="Y275" t="s">
        <v>5</v>
      </c>
      <c r="AA275"/>
    </row>
    <row r="276" spans="1:27" x14ac:dyDescent="0.3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M276" s="5">
        <v>1</v>
      </c>
      <c r="S276" s="5">
        <f>SUM(bron[[#This Row],[Januari]:[December]])</f>
        <v>1</v>
      </c>
      <c r="T276" s="9">
        <v>45478</v>
      </c>
      <c r="U276" s="8" t="s">
        <v>726</v>
      </c>
      <c r="V276" s="8">
        <v>1</v>
      </c>
      <c r="W276" s="8"/>
      <c r="X276" t="s">
        <v>7</v>
      </c>
      <c r="Y276" t="s">
        <v>37</v>
      </c>
      <c r="AA276"/>
    </row>
    <row r="277" spans="1:27" x14ac:dyDescent="0.3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M277" s="5">
        <v>1</v>
      </c>
      <c r="S277" s="5">
        <f>SUM(bron[[#This Row],[Januari]:[December]])</f>
        <v>1</v>
      </c>
      <c r="T277" s="9">
        <v>45478</v>
      </c>
      <c r="U277" s="8" t="s">
        <v>727</v>
      </c>
      <c r="V277" s="8"/>
      <c r="W277" s="8">
        <v>1</v>
      </c>
      <c r="X277" t="s">
        <v>8</v>
      </c>
      <c r="Y277" t="s">
        <v>728</v>
      </c>
      <c r="AA277"/>
    </row>
    <row r="278" spans="1:27" x14ac:dyDescent="0.3">
      <c r="A278">
        <v>36569</v>
      </c>
      <c r="B278" t="str">
        <f>_xlfn.CONCAT(bron[[#This Row],[personeelsnr]]," ",bron[[#This Row],[achternaam]]," ",bron[[#This Row],[voornaam]])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 s="10"/>
      <c r="G278" s="7"/>
      <c r="H278" s="7"/>
      <c r="I278" s="7"/>
      <c r="M278" s="5">
        <v>1</v>
      </c>
      <c r="S278" s="5">
        <f>SUM(bron[[#This Row],[Januari]:[December]])</f>
        <v>1</v>
      </c>
      <c r="T278" s="9">
        <v>45479</v>
      </c>
      <c r="U278" s="8" t="s">
        <v>729</v>
      </c>
      <c r="V278" s="8">
        <v>1</v>
      </c>
      <c r="W278" s="8"/>
      <c r="X278" t="s">
        <v>7</v>
      </c>
      <c r="Y278" t="s">
        <v>730</v>
      </c>
      <c r="AA278"/>
    </row>
    <row r="279" spans="1:27" x14ac:dyDescent="0.3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391</v>
      </c>
      <c r="D279" t="s">
        <v>391</v>
      </c>
      <c r="E279" t="s">
        <v>79</v>
      </c>
      <c r="F279" s="10"/>
      <c r="G279" s="7"/>
      <c r="H279" s="7"/>
      <c r="I279" s="7"/>
      <c r="M279" s="5">
        <v>1</v>
      </c>
      <c r="S279" s="5">
        <f>SUM(bron[[#This Row],[Januari]:[December]])</f>
        <v>1</v>
      </c>
      <c r="T279" s="9">
        <v>45479</v>
      </c>
      <c r="U279" s="8" t="s">
        <v>731</v>
      </c>
      <c r="V279" s="8">
        <v>1</v>
      </c>
      <c r="W279" s="8"/>
      <c r="X279" t="s">
        <v>7</v>
      </c>
      <c r="Y279" t="s">
        <v>732</v>
      </c>
      <c r="AA279"/>
    </row>
    <row r="280" spans="1:27" x14ac:dyDescent="0.3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391</v>
      </c>
      <c r="D280" t="s">
        <v>391</v>
      </c>
      <c r="E280" t="s">
        <v>79</v>
      </c>
      <c r="F280" s="10"/>
      <c r="G280" s="7"/>
      <c r="H280" s="7"/>
      <c r="I280" s="7"/>
      <c r="M280" s="5">
        <v>1</v>
      </c>
      <c r="S280" s="5">
        <f>SUM(bron[[#This Row],[Januari]:[December]])</f>
        <v>1</v>
      </c>
      <c r="T280" s="9">
        <v>45480</v>
      </c>
      <c r="U280" s="8" t="s">
        <v>733</v>
      </c>
      <c r="V280" s="8">
        <v>1</v>
      </c>
      <c r="W280" s="8"/>
      <c r="X280" t="s">
        <v>7</v>
      </c>
      <c r="Y280" t="s">
        <v>734</v>
      </c>
      <c r="AA280"/>
    </row>
    <row r="281" spans="1:27" x14ac:dyDescent="0.3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391</v>
      </c>
      <c r="D281" t="s">
        <v>391</v>
      </c>
      <c r="E281" t="s">
        <v>79</v>
      </c>
      <c r="F281" s="10"/>
      <c r="G281" s="7"/>
      <c r="H281" s="7"/>
      <c r="I281" s="7"/>
      <c r="M281" s="5">
        <v>1</v>
      </c>
      <c r="S281" s="5">
        <f>SUM(bron[[#This Row],[Januari]:[December]])</f>
        <v>1</v>
      </c>
      <c r="T281" s="9">
        <v>45481</v>
      </c>
      <c r="U281" s="8" t="s">
        <v>735</v>
      </c>
      <c r="V281" s="8">
        <v>1</v>
      </c>
      <c r="W281" s="8"/>
      <c r="X281" t="s">
        <v>7</v>
      </c>
      <c r="Y281" t="s">
        <v>100</v>
      </c>
      <c r="AA281"/>
    </row>
    <row r="282" spans="1:27" x14ac:dyDescent="0.3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M282" s="5">
        <v>1</v>
      </c>
      <c r="S282" s="5">
        <f>SUM(bron[[#This Row],[Januari]:[December]])</f>
        <v>1</v>
      </c>
      <c r="T282" s="9">
        <v>45483</v>
      </c>
      <c r="U282" s="8" t="s">
        <v>736</v>
      </c>
      <c r="V282" s="8">
        <v>1</v>
      </c>
      <c r="W282" s="8"/>
      <c r="X282" t="s">
        <v>7</v>
      </c>
      <c r="Y282" t="s">
        <v>161</v>
      </c>
      <c r="AA282"/>
    </row>
    <row r="283" spans="1:27" x14ac:dyDescent="0.3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M283" s="5">
        <v>1</v>
      </c>
      <c r="S283" s="5">
        <f>SUM(bron[[#This Row],[Januari]:[December]])</f>
        <v>1</v>
      </c>
      <c r="T283" s="9">
        <v>45483</v>
      </c>
      <c r="U283" s="8" t="s">
        <v>737</v>
      </c>
      <c r="V283" s="8"/>
      <c r="W283" s="8">
        <v>1</v>
      </c>
      <c r="X283" t="s">
        <v>8</v>
      </c>
      <c r="Y283" t="s">
        <v>5</v>
      </c>
      <c r="AA283"/>
    </row>
    <row r="284" spans="1:27" x14ac:dyDescent="0.3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M284" s="5">
        <v>1</v>
      </c>
      <c r="S284" s="5">
        <f>SUM(bron[[#This Row],[Januari]:[December]])</f>
        <v>1</v>
      </c>
      <c r="T284" s="9">
        <v>45483</v>
      </c>
      <c r="U284" s="8" t="s">
        <v>738</v>
      </c>
      <c r="V284" s="8"/>
      <c r="W284" s="8">
        <v>1</v>
      </c>
      <c r="X284" t="s">
        <v>8</v>
      </c>
      <c r="Y284" t="s">
        <v>739</v>
      </c>
      <c r="AA284"/>
    </row>
    <row r="285" spans="1:27" x14ac:dyDescent="0.3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M285" s="5">
        <v>1</v>
      </c>
      <c r="S285" s="5">
        <f>SUM(bron[[#This Row],[Januari]:[December]])</f>
        <v>1</v>
      </c>
      <c r="T285" s="9">
        <v>45483</v>
      </c>
      <c r="U285" s="8" t="s">
        <v>740</v>
      </c>
      <c r="V285" s="8">
        <v>1</v>
      </c>
      <c r="W285" s="8"/>
      <c r="X285" t="s">
        <v>7</v>
      </c>
      <c r="Y285" t="s">
        <v>54</v>
      </c>
      <c r="AA285"/>
    </row>
    <row r="286" spans="1:27" x14ac:dyDescent="0.3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M286" s="5">
        <v>1</v>
      </c>
      <c r="S286" s="5">
        <f>SUM(bron[[#This Row],[Januari]:[December]])</f>
        <v>1</v>
      </c>
      <c r="T286" s="9">
        <v>45484</v>
      </c>
      <c r="U286" s="8" t="s">
        <v>741</v>
      </c>
      <c r="V286" s="8">
        <v>1</v>
      </c>
      <c r="W286" s="8"/>
      <c r="X286" t="s">
        <v>7</v>
      </c>
      <c r="Y286" t="s">
        <v>185</v>
      </c>
      <c r="AA286"/>
    </row>
    <row r="287" spans="1:27" x14ac:dyDescent="0.3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M287" s="5">
        <v>1</v>
      </c>
      <c r="S287" s="5">
        <f>SUM(bron[[#This Row],[Januari]:[December]])</f>
        <v>1</v>
      </c>
      <c r="T287" s="9">
        <v>45484</v>
      </c>
      <c r="U287" s="8" t="s">
        <v>742</v>
      </c>
      <c r="V287" s="8"/>
      <c r="W287" s="8">
        <v>1</v>
      </c>
      <c r="X287" t="s">
        <v>8</v>
      </c>
      <c r="Y287" t="s">
        <v>121</v>
      </c>
      <c r="AA287"/>
    </row>
    <row r="288" spans="1:27" x14ac:dyDescent="0.3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M288" s="5">
        <v>1</v>
      </c>
      <c r="S288" s="5">
        <f>SUM(bron[[#This Row],[Januari]:[December]])</f>
        <v>1</v>
      </c>
      <c r="T288" s="9">
        <v>45485</v>
      </c>
      <c r="U288" s="8" t="s">
        <v>743</v>
      </c>
      <c r="V288" s="8">
        <v>1</v>
      </c>
      <c r="W288" s="8"/>
      <c r="X288" t="s">
        <v>7</v>
      </c>
      <c r="Y288" t="s">
        <v>143</v>
      </c>
      <c r="AA288"/>
    </row>
    <row r="289" spans="1:27" x14ac:dyDescent="0.3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M289" s="5">
        <v>1</v>
      </c>
      <c r="S289" s="5">
        <f>SUM(bron[[#This Row],[Januari]:[December]])</f>
        <v>1</v>
      </c>
      <c r="T289" s="9">
        <v>45486</v>
      </c>
      <c r="U289" s="8" t="s">
        <v>744</v>
      </c>
      <c r="V289" s="8">
        <v>1</v>
      </c>
      <c r="W289" s="8"/>
      <c r="X289" t="s">
        <v>7</v>
      </c>
      <c r="Y289" t="s">
        <v>10</v>
      </c>
      <c r="AA289"/>
    </row>
    <row r="290" spans="1:27" x14ac:dyDescent="0.3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M290" s="5">
        <v>1</v>
      </c>
      <c r="S290" s="5">
        <f>SUM(bron[[#This Row],[Januari]:[December]])</f>
        <v>1</v>
      </c>
      <c r="T290" s="9">
        <v>45489</v>
      </c>
      <c r="U290" s="8" t="s">
        <v>745</v>
      </c>
      <c r="V290" s="8"/>
      <c r="W290" s="8">
        <v>1</v>
      </c>
      <c r="X290" t="s">
        <v>8</v>
      </c>
      <c r="Y290" t="s">
        <v>10</v>
      </c>
      <c r="AA290"/>
    </row>
    <row r="291" spans="1:27" x14ac:dyDescent="0.3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M291" s="5">
        <v>1</v>
      </c>
      <c r="S291" s="5">
        <f>SUM(bron[[#This Row],[Januari]:[December]])</f>
        <v>1</v>
      </c>
      <c r="T291" s="9">
        <v>45490</v>
      </c>
      <c r="U291" s="8" t="s">
        <v>746</v>
      </c>
      <c r="V291" s="8">
        <v>1</v>
      </c>
      <c r="W291" s="8"/>
      <c r="X291" t="s">
        <v>7</v>
      </c>
      <c r="Y291" t="s">
        <v>747</v>
      </c>
      <c r="AA291"/>
    </row>
    <row r="292" spans="1:27" x14ac:dyDescent="0.3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M292" s="5">
        <v>1</v>
      </c>
      <c r="S292" s="5">
        <f>SUM(bron[[#This Row],[Januari]:[December]])</f>
        <v>1</v>
      </c>
      <c r="T292" s="9">
        <v>45490</v>
      </c>
      <c r="U292" s="8" t="s">
        <v>748</v>
      </c>
      <c r="V292" s="8">
        <v>1</v>
      </c>
      <c r="W292" s="8"/>
      <c r="X292" t="s">
        <v>7</v>
      </c>
      <c r="Y292" t="s">
        <v>489</v>
      </c>
      <c r="AA292"/>
    </row>
    <row r="293" spans="1:27" x14ac:dyDescent="0.3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M293" s="5">
        <v>1</v>
      </c>
      <c r="S293" s="5">
        <f>SUM(bron[[#This Row],[Januari]:[December]])</f>
        <v>1</v>
      </c>
      <c r="T293" s="9">
        <v>45491</v>
      </c>
      <c r="U293" s="8" t="s">
        <v>749</v>
      </c>
      <c r="V293" s="8"/>
      <c r="W293" s="8">
        <v>1</v>
      </c>
      <c r="X293" t="s">
        <v>8</v>
      </c>
      <c r="Y293" t="s">
        <v>750</v>
      </c>
      <c r="AA293"/>
    </row>
    <row r="294" spans="1:27" x14ac:dyDescent="0.3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M294" s="5">
        <v>1</v>
      </c>
      <c r="S294" s="5">
        <f>SUM(bron[[#This Row],[Januari]:[December]])</f>
        <v>1</v>
      </c>
      <c r="T294" s="9">
        <v>45491</v>
      </c>
      <c r="U294" s="8" t="s">
        <v>751</v>
      </c>
      <c r="V294" s="8"/>
      <c r="W294" s="8">
        <v>1</v>
      </c>
      <c r="X294" t="s">
        <v>8</v>
      </c>
      <c r="Y294" t="s">
        <v>301</v>
      </c>
      <c r="AA294"/>
    </row>
    <row r="295" spans="1:27" x14ac:dyDescent="0.3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M295" s="5">
        <v>1</v>
      </c>
      <c r="S295" s="5">
        <f>SUM(bron[[#This Row],[Januari]:[December]])</f>
        <v>1</v>
      </c>
      <c r="T295" s="9">
        <v>45491</v>
      </c>
      <c r="U295" s="8" t="s">
        <v>752</v>
      </c>
      <c r="V295" s="8"/>
      <c r="W295" s="8">
        <v>1</v>
      </c>
      <c r="X295" t="s">
        <v>8</v>
      </c>
      <c r="Y295" t="s">
        <v>72</v>
      </c>
      <c r="AA295"/>
    </row>
    <row r="296" spans="1:27" x14ac:dyDescent="0.3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M296" s="5">
        <v>1</v>
      </c>
      <c r="S296" s="5">
        <f>SUM(bron[[#This Row],[Januari]:[December]])</f>
        <v>1</v>
      </c>
      <c r="T296" s="9">
        <v>45492</v>
      </c>
      <c r="U296" s="8" t="s">
        <v>753</v>
      </c>
      <c r="V296" s="8"/>
      <c r="W296" s="8">
        <v>1</v>
      </c>
      <c r="X296" t="s">
        <v>8</v>
      </c>
      <c r="Y296" t="s">
        <v>81</v>
      </c>
      <c r="AA296"/>
    </row>
    <row r="297" spans="1:27" x14ac:dyDescent="0.3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391</v>
      </c>
      <c r="D297" t="s">
        <v>391</v>
      </c>
      <c r="E297" t="s">
        <v>79</v>
      </c>
      <c r="F297" s="10"/>
      <c r="G297" s="7"/>
      <c r="H297" s="7"/>
      <c r="I297" s="7"/>
      <c r="M297" s="5">
        <v>1</v>
      </c>
      <c r="S297" s="5">
        <f>SUM(bron[[#This Row],[Januari]:[December]])</f>
        <v>1</v>
      </c>
      <c r="T297" s="9">
        <v>45493</v>
      </c>
      <c r="U297" s="8" t="s">
        <v>754</v>
      </c>
      <c r="V297" s="8">
        <v>1</v>
      </c>
      <c r="W297" s="8"/>
      <c r="X297" t="s">
        <v>7</v>
      </c>
      <c r="Y297" t="s">
        <v>16</v>
      </c>
      <c r="AA297"/>
    </row>
    <row r="298" spans="1:27" x14ac:dyDescent="0.3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M298" s="5">
        <v>1</v>
      </c>
      <c r="S298" s="5">
        <f>SUM(bron[[#This Row],[Januari]:[December]])</f>
        <v>1</v>
      </c>
      <c r="T298" s="9">
        <v>45496</v>
      </c>
      <c r="U298" s="8" t="s">
        <v>755</v>
      </c>
      <c r="V298" s="8">
        <v>1</v>
      </c>
      <c r="W298" s="8"/>
      <c r="X298" t="s">
        <v>7</v>
      </c>
      <c r="Y298" t="s">
        <v>22</v>
      </c>
      <c r="AA298"/>
    </row>
    <row r="299" spans="1:27" x14ac:dyDescent="0.3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M299" s="5">
        <v>1</v>
      </c>
      <c r="S299" s="5">
        <f>SUM(bron[[#This Row],[Januari]:[December]])</f>
        <v>1</v>
      </c>
      <c r="T299" s="9">
        <v>45497</v>
      </c>
      <c r="U299" s="8" t="s">
        <v>756</v>
      </c>
      <c r="V299" s="8">
        <v>1</v>
      </c>
      <c r="W299" s="8"/>
      <c r="X299" t="s">
        <v>7</v>
      </c>
      <c r="Y299" t="s">
        <v>10</v>
      </c>
      <c r="AA299"/>
    </row>
    <row r="300" spans="1:27" x14ac:dyDescent="0.3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M300" s="5">
        <v>1</v>
      </c>
      <c r="S300" s="5">
        <f>SUM(bron[[#This Row],[Januari]:[December]])</f>
        <v>1</v>
      </c>
      <c r="T300" s="9">
        <v>45497</v>
      </c>
      <c r="U300" s="8" t="s">
        <v>757</v>
      </c>
      <c r="V300" s="8">
        <v>1</v>
      </c>
      <c r="W300" s="8"/>
      <c r="X300" t="s">
        <v>7</v>
      </c>
      <c r="Y300" t="s">
        <v>10</v>
      </c>
      <c r="AA300"/>
    </row>
    <row r="301" spans="1:27" x14ac:dyDescent="0.3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M301" s="5">
        <v>1</v>
      </c>
      <c r="S301" s="5">
        <f>SUM(bron[[#This Row],[Januari]:[December]])</f>
        <v>1</v>
      </c>
      <c r="T301" s="9">
        <v>45497</v>
      </c>
      <c r="U301" s="8" t="s">
        <v>758</v>
      </c>
      <c r="V301" s="8">
        <v>1</v>
      </c>
      <c r="W301" s="8"/>
      <c r="X301" t="s">
        <v>7</v>
      </c>
      <c r="Y301" t="s">
        <v>117</v>
      </c>
      <c r="AA301"/>
    </row>
    <row r="302" spans="1:27" x14ac:dyDescent="0.3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M302" s="5">
        <v>1</v>
      </c>
      <c r="S302" s="5">
        <f>SUM(bron[[#This Row],[Januari]:[December]])</f>
        <v>1</v>
      </c>
      <c r="T302" s="9">
        <v>45498</v>
      </c>
      <c r="U302" s="8" t="s">
        <v>759</v>
      </c>
      <c r="V302" s="8">
        <v>1</v>
      </c>
      <c r="W302" s="8"/>
      <c r="X302" t="s">
        <v>7</v>
      </c>
      <c r="Y302" t="s">
        <v>10</v>
      </c>
      <c r="AA302"/>
    </row>
    <row r="303" spans="1:27" x14ac:dyDescent="0.3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M303" s="5">
        <v>1</v>
      </c>
      <c r="S303" s="5">
        <f>SUM(bron[[#This Row],[Januari]:[December]])</f>
        <v>1</v>
      </c>
      <c r="T303" s="9">
        <v>45498</v>
      </c>
      <c r="U303" s="8" t="s">
        <v>760</v>
      </c>
      <c r="V303" s="8">
        <v>1</v>
      </c>
      <c r="W303" s="8"/>
      <c r="X303" t="s">
        <v>7</v>
      </c>
      <c r="Y303" t="s">
        <v>537</v>
      </c>
      <c r="AA303"/>
    </row>
    <row r="304" spans="1:27" x14ac:dyDescent="0.3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M304" s="5">
        <v>1</v>
      </c>
      <c r="S304" s="5">
        <f>SUM(bron[[#This Row],[Januari]:[December]])</f>
        <v>1</v>
      </c>
      <c r="T304" s="9">
        <v>45498</v>
      </c>
      <c r="U304" s="8" t="s">
        <v>761</v>
      </c>
      <c r="V304" s="8"/>
      <c r="W304" s="8">
        <v>1</v>
      </c>
      <c r="X304" t="s">
        <v>8</v>
      </c>
      <c r="Y304" t="s">
        <v>10</v>
      </c>
      <c r="AA304"/>
    </row>
    <row r="305" spans="1:27" x14ac:dyDescent="0.3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M305" s="5">
        <v>1</v>
      </c>
      <c r="S305" s="5">
        <f>SUM(bron[[#This Row],[Januari]:[December]])</f>
        <v>1</v>
      </c>
      <c r="T305" s="9">
        <v>45500</v>
      </c>
      <c r="U305" s="8" t="s">
        <v>762</v>
      </c>
      <c r="V305" s="8">
        <v>1</v>
      </c>
      <c r="W305" s="8"/>
      <c r="X305" t="s">
        <v>7</v>
      </c>
      <c r="Y305" t="s">
        <v>253</v>
      </c>
      <c r="AA305"/>
    </row>
    <row r="306" spans="1:27" x14ac:dyDescent="0.3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M306" s="5">
        <v>1</v>
      </c>
      <c r="S306" s="5">
        <f>SUM(bron[[#This Row],[Januari]:[December]])</f>
        <v>1</v>
      </c>
      <c r="T306" s="9">
        <v>45502</v>
      </c>
      <c r="U306" s="8" t="s">
        <v>763</v>
      </c>
      <c r="V306" s="8">
        <v>1</v>
      </c>
      <c r="W306" s="8"/>
      <c r="X306" t="s">
        <v>7</v>
      </c>
      <c r="Y306" t="s">
        <v>399</v>
      </c>
      <c r="AA306"/>
    </row>
    <row r="307" spans="1:27" x14ac:dyDescent="0.3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M307" s="5">
        <v>1</v>
      </c>
      <c r="S307" s="5">
        <f>SUM(bron[[#This Row],[Januari]:[December]])</f>
        <v>1</v>
      </c>
      <c r="T307" s="9">
        <v>45502</v>
      </c>
      <c r="U307" s="8" t="s">
        <v>764</v>
      </c>
      <c r="V307" s="8"/>
      <c r="W307" s="8">
        <v>1</v>
      </c>
      <c r="X307" t="s">
        <v>8</v>
      </c>
      <c r="Y307" t="s">
        <v>10</v>
      </c>
      <c r="AA307"/>
    </row>
    <row r="308" spans="1:27" x14ac:dyDescent="0.3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M308" s="5">
        <v>1</v>
      </c>
      <c r="S308" s="5">
        <f>SUM(bron[[#This Row],[Januari]:[December]])</f>
        <v>1</v>
      </c>
      <c r="T308" s="9">
        <v>45502</v>
      </c>
      <c r="U308" s="8" t="s">
        <v>765</v>
      </c>
      <c r="V308" s="8"/>
      <c r="W308" s="8">
        <v>1</v>
      </c>
      <c r="X308" t="s">
        <v>8</v>
      </c>
      <c r="Y308" t="s">
        <v>750</v>
      </c>
      <c r="AA308"/>
    </row>
    <row r="309" spans="1:27" x14ac:dyDescent="0.3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M309" s="5">
        <v>1</v>
      </c>
      <c r="S309" s="5">
        <f>SUM(bron[[#This Row],[Januari]:[December]])</f>
        <v>1</v>
      </c>
      <c r="T309" s="9">
        <v>45502</v>
      </c>
      <c r="U309" s="8" t="s">
        <v>766</v>
      </c>
      <c r="V309" s="8"/>
      <c r="W309" s="8">
        <v>1</v>
      </c>
      <c r="X309" t="s">
        <v>8</v>
      </c>
      <c r="Y309" t="s">
        <v>5</v>
      </c>
      <c r="AA309"/>
    </row>
    <row r="310" spans="1:27" x14ac:dyDescent="0.3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M310" s="5">
        <v>1</v>
      </c>
      <c r="S310" s="5">
        <f>SUM(bron[[#This Row],[Januari]:[December]])</f>
        <v>1</v>
      </c>
      <c r="T310" s="9">
        <v>45503</v>
      </c>
      <c r="U310" s="8" t="s">
        <v>767</v>
      </c>
      <c r="V310" s="8">
        <v>1</v>
      </c>
      <c r="W310" s="8"/>
      <c r="X310" t="s">
        <v>7</v>
      </c>
      <c r="Y310" t="s">
        <v>48</v>
      </c>
      <c r="AA310"/>
    </row>
    <row r="311" spans="1:27" x14ac:dyDescent="0.3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M311" s="5">
        <v>1</v>
      </c>
      <c r="S311" s="5">
        <f>SUM(bron[[#This Row],[Januari]:[December]])</f>
        <v>1</v>
      </c>
      <c r="T311" s="9">
        <v>45503</v>
      </c>
      <c r="U311" s="8" t="s">
        <v>768</v>
      </c>
      <c r="V311" s="8"/>
      <c r="W311" s="8">
        <v>1</v>
      </c>
      <c r="X311" t="s">
        <v>8</v>
      </c>
      <c r="Y311" t="s">
        <v>5</v>
      </c>
      <c r="AA311"/>
    </row>
    <row r="312" spans="1:27" x14ac:dyDescent="0.3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N312" s="5">
        <v>1</v>
      </c>
      <c r="S312" s="5">
        <f>SUM(bron[[#This Row],[Januari]:[December]])</f>
        <v>1</v>
      </c>
      <c r="T312" s="9">
        <v>45505</v>
      </c>
      <c r="U312" s="8" t="s">
        <v>769</v>
      </c>
      <c r="V312" s="8">
        <v>1</v>
      </c>
      <c r="W312" s="8"/>
      <c r="X312" t="s">
        <v>7</v>
      </c>
      <c r="Y312" t="s">
        <v>10</v>
      </c>
      <c r="AA312"/>
    </row>
    <row r="313" spans="1:27" x14ac:dyDescent="0.3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391</v>
      </c>
      <c r="D313" t="s">
        <v>391</v>
      </c>
      <c r="E313" t="s">
        <v>79</v>
      </c>
      <c r="F313" s="10"/>
      <c r="G313" s="7"/>
      <c r="H313" s="7"/>
      <c r="I313" s="7"/>
      <c r="N313" s="5">
        <v>1</v>
      </c>
      <c r="S313" s="5">
        <f>SUM(bron[[#This Row],[Januari]:[December]])</f>
        <v>1</v>
      </c>
      <c r="T313" s="9">
        <v>45506</v>
      </c>
      <c r="U313" s="8" t="s">
        <v>770</v>
      </c>
      <c r="V313" s="8">
        <v>1</v>
      </c>
      <c r="W313" s="8"/>
      <c r="X313" t="s">
        <v>7</v>
      </c>
      <c r="Y313" t="s">
        <v>16</v>
      </c>
      <c r="AA313"/>
    </row>
    <row r="314" spans="1:27" x14ac:dyDescent="0.3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391</v>
      </c>
      <c r="D314" t="s">
        <v>391</v>
      </c>
      <c r="E314" t="s">
        <v>79</v>
      </c>
      <c r="F314" s="10"/>
      <c r="G314" s="7"/>
      <c r="H314" s="7"/>
      <c r="I314" s="7"/>
      <c r="N314" s="5">
        <v>1</v>
      </c>
      <c r="S314" s="5">
        <f>SUM(bron[[#This Row],[Januari]:[December]])</f>
        <v>1</v>
      </c>
      <c r="T314" s="9">
        <v>45506</v>
      </c>
      <c r="U314" s="8" t="s">
        <v>771</v>
      </c>
      <c r="V314" s="8">
        <v>1</v>
      </c>
      <c r="W314" s="8"/>
      <c r="X314" t="s">
        <v>7</v>
      </c>
      <c r="Y314" t="s">
        <v>537</v>
      </c>
      <c r="AA314"/>
    </row>
    <row r="315" spans="1:27" x14ac:dyDescent="0.3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N315" s="5">
        <v>1</v>
      </c>
      <c r="S315" s="5">
        <f>SUM(bron[[#This Row],[Januari]:[December]])</f>
        <v>1</v>
      </c>
      <c r="T315" s="9">
        <v>45507</v>
      </c>
      <c r="U315" s="8" t="s">
        <v>772</v>
      </c>
      <c r="V315" s="8">
        <v>1</v>
      </c>
      <c r="W315" s="8"/>
      <c r="X315" t="s">
        <v>7</v>
      </c>
      <c r="Y315" t="s">
        <v>117</v>
      </c>
      <c r="AA315"/>
    </row>
    <row r="316" spans="1:27" x14ac:dyDescent="0.3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N316" s="5">
        <v>1</v>
      </c>
      <c r="S316" s="5">
        <f>SUM(bron[[#This Row],[Januari]:[December]])</f>
        <v>1</v>
      </c>
      <c r="T316" s="9">
        <v>45507</v>
      </c>
      <c r="U316" s="8" t="s">
        <v>773</v>
      </c>
      <c r="V316" s="8">
        <v>1</v>
      </c>
      <c r="W316" s="8"/>
      <c r="X316" t="s">
        <v>7</v>
      </c>
      <c r="Y316" t="s">
        <v>243</v>
      </c>
      <c r="AA316"/>
    </row>
    <row r="317" spans="1:27" x14ac:dyDescent="0.3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N317" s="5">
        <v>1</v>
      </c>
      <c r="S317" s="5">
        <f>SUM(bron[[#This Row],[Januari]:[December]])</f>
        <v>1</v>
      </c>
      <c r="T317" s="9">
        <v>45508</v>
      </c>
      <c r="U317" s="8" t="s">
        <v>774</v>
      </c>
      <c r="V317" s="8">
        <v>1</v>
      </c>
      <c r="W317" s="8"/>
      <c r="X317" t="s">
        <v>7</v>
      </c>
      <c r="Y317" t="s">
        <v>5</v>
      </c>
      <c r="AA317"/>
    </row>
    <row r="318" spans="1:27" x14ac:dyDescent="0.3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N318" s="5">
        <v>1</v>
      </c>
      <c r="S318" s="5">
        <f>SUM(bron[[#This Row],[Januari]:[December]])</f>
        <v>1</v>
      </c>
      <c r="T318" s="9">
        <v>45509</v>
      </c>
      <c r="U318" s="8" t="s">
        <v>775</v>
      </c>
      <c r="V318" s="8">
        <v>1</v>
      </c>
      <c r="W318" s="8"/>
      <c r="X318" t="s">
        <v>7</v>
      </c>
      <c r="Y318" t="s">
        <v>10</v>
      </c>
      <c r="AA318"/>
    </row>
    <row r="319" spans="1:27" x14ac:dyDescent="0.3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N319" s="5">
        <v>1</v>
      </c>
      <c r="S319" s="5">
        <f>SUM(bron[[#This Row],[Januari]:[December]])</f>
        <v>1</v>
      </c>
      <c r="T319" s="9">
        <v>45512</v>
      </c>
      <c r="U319" s="8" t="s">
        <v>776</v>
      </c>
      <c r="V319" s="8"/>
      <c r="W319" s="8">
        <v>1</v>
      </c>
      <c r="X319" t="s">
        <v>8</v>
      </c>
      <c r="Y319" t="s">
        <v>5</v>
      </c>
      <c r="AA319"/>
    </row>
    <row r="320" spans="1:27" x14ac:dyDescent="0.3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N320" s="5">
        <v>1</v>
      </c>
      <c r="S320" s="5">
        <f>SUM(bron[[#This Row],[Januari]:[December]])</f>
        <v>1</v>
      </c>
      <c r="T320" s="9">
        <v>45513</v>
      </c>
      <c r="U320" s="8" t="s">
        <v>777</v>
      </c>
      <c r="V320" s="8"/>
      <c r="W320" s="8">
        <v>1</v>
      </c>
      <c r="X320" t="s">
        <v>8</v>
      </c>
      <c r="Y320" t="s">
        <v>104</v>
      </c>
      <c r="AA320"/>
    </row>
    <row r="321" spans="1:27" x14ac:dyDescent="0.3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N321" s="5">
        <v>1</v>
      </c>
      <c r="S321" s="5">
        <f>SUM(bron[[#This Row],[Januari]:[December]])</f>
        <v>1</v>
      </c>
      <c r="T321" s="9">
        <v>45515</v>
      </c>
      <c r="U321" s="8" t="s">
        <v>778</v>
      </c>
      <c r="V321" s="8">
        <v>1</v>
      </c>
      <c r="W321" s="8"/>
      <c r="X321" t="s">
        <v>7</v>
      </c>
      <c r="Y321" t="s">
        <v>161</v>
      </c>
      <c r="AA321"/>
    </row>
    <row r="322" spans="1:27" x14ac:dyDescent="0.3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N322" s="5">
        <v>1</v>
      </c>
      <c r="S322" s="5">
        <f>SUM(bron[[#This Row],[Januari]:[December]])</f>
        <v>1</v>
      </c>
      <c r="T322" s="9">
        <v>45518</v>
      </c>
      <c r="U322" s="8" t="s">
        <v>779</v>
      </c>
      <c r="V322" s="8">
        <v>1</v>
      </c>
      <c r="W322" s="8"/>
      <c r="X322" t="s">
        <v>7</v>
      </c>
      <c r="Y322" t="s">
        <v>34</v>
      </c>
      <c r="AA322"/>
    </row>
    <row r="323" spans="1:27" x14ac:dyDescent="0.3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391</v>
      </c>
      <c r="D323" t="s">
        <v>391</v>
      </c>
      <c r="E323" t="s">
        <v>79</v>
      </c>
      <c r="F323" s="10"/>
      <c r="G323" s="7"/>
      <c r="H323" s="7"/>
      <c r="I323" s="7"/>
      <c r="N323" s="5">
        <v>1</v>
      </c>
      <c r="S323" s="5">
        <f>SUM(bron[[#This Row],[Januari]:[December]])</f>
        <v>1</v>
      </c>
      <c r="T323" s="9">
        <v>45518</v>
      </c>
      <c r="U323" s="8" t="s">
        <v>780</v>
      </c>
      <c r="V323" s="8">
        <v>1</v>
      </c>
      <c r="W323" s="8"/>
      <c r="X323" t="s">
        <v>7</v>
      </c>
      <c r="Y323" t="s">
        <v>133</v>
      </c>
      <c r="AA323"/>
    </row>
    <row r="324" spans="1:27" x14ac:dyDescent="0.3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N324" s="5">
        <v>1</v>
      </c>
      <c r="S324" s="5">
        <f>SUM(bron[[#This Row],[Januari]:[December]])</f>
        <v>1</v>
      </c>
      <c r="T324" s="9">
        <v>45518</v>
      </c>
      <c r="U324" s="8" t="s">
        <v>781</v>
      </c>
      <c r="V324" s="8"/>
      <c r="W324" s="8">
        <v>1</v>
      </c>
      <c r="X324" t="s">
        <v>8</v>
      </c>
      <c r="Y324" t="s">
        <v>782</v>
      </c>
      <c r="AA324"/>
    </row>
    <row r="325" spans="1:27" x14ac:dyDescent="0.3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N325" s="5">
        <v>1</v>
      </c>
      <c r="S325" s="5">
        <f>SUM(bron[[#This Row],[Januari]:[December]])</f>
        <v>1</v>
      </c>
      <c r="T325" s="9">
        <v>45523</v>
      </c>
      <c r="U325" s="8" t="s">
        <v>783</v>
      </c>
      <c r="V325" s="8">
        <v>1</v>
      </c>
      <c r="W325" s="8"/>
      <c r="X325" t="s">
        <v>7</v>
      </c>
      <c r="Y325" t="s">
        <v>5</v>
      </c>
      <c r="AA325"/>
    </row>
    <row r="326" spans="1:27" x14ac:dyDescent="0.3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391</v>
      </c>
      <c r="D326" t="s">
        <v>391</v>
      </c>
      <c r="E326" t="s">
        <v>79</v>
      </c>
      <c r="F326" s="10"/>
      <c r="G326" s="7"/>
      <c r="H326" s="7"/>
      <c r="I326" s="7"/>
      <c r="N326" s="5">
        <v>1</v>
      </c>
      <c r="S326" s="5">
        <f>SUM(bron[[#This Row],[Januari]:[December]])</f>
        <v>1</v>
      </c>
      <c r="T326" s="9">
        <v>45523</v>
      </c>
      <c r="U326" s="8" t="s">
        <v>784</v>
      </c>
      <c r="V326" s="8">
        <v>1</v>
      </c>
      <c r="W326" s="8"/>
      <c r="X326" t="s">
        <v>7</v>
      </c>
      <c r="Y326" t="s">
        <v>13</v>
      </c>
      <c r="AA326"/>
    </row>
    <row r="327" spans="1:27" x14ac:dyDescent="0.3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N327" s="5">
        <v>1</v>
      </c>
      <c r="S327" s="5">
        <f>SUM(bron[[#This Row],[Januari]:[December]])</f>
        <v>1</v>
      </c>
      <c r="T327" s="9">
        <v>45524</v>
      </c>
      <c r="U327" s="8" t="s">
        <v>785</v>
      </c>
      <c r="V327" s="8"/>
      <c r="W327" s="8">
        <v>1</v>
      </c>
      <c r="X327" t="s">
        <v>8</v>
      </c>
      <c r="Y327" t="s">
        <v>239</v>
      </c>
      <c r="AA327"/>
    </row>
    <row r="328" spans="1:27" x14ac:dyDescent="0.3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N328" s="5">
        <v>1</v>
      </c>
      <c r="S328" s="5">
        <f>SUM(bron[[#This Row],[Januari]:[December]])</f>
        <v>1</v>
      </c>
      <c r="T328" s="9">
        <v>45525</v>
      </c>
      <c r="U328" s="8" t="s">
        <v>786</v>
      </c>
      <c r="V328" s="8">
        <v>1</v>
      </c>
      <c r="W328" s="8"/>
      <c r="X328" t="s">
        <v>7</v>
      </c>
      <c r="Y328" t="s">
        <v>37</v>
      </c>
      <c r="AA328"/>
    </row>
    <row r="329" spans="1:27" x14ac:dyDescent="0.3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N329" s="5">
        <v>1</v>
      </c>
      <c r="S329" s="5">
        <f>SUM(bron[[#This Row],[Januari]:[December]])</f>
        <v>1</v>
      </c>
      <c r="T329" s="9">
        <v>45526</v>
      </c>
      <c r="U329" s="8" t="s">
        <v>787</v>
      </c>
      <c r="V329" s="8">
        <v>1</v>
      </c>
      <c r="W329" s="8"/>
      <c r="X329" t="s">
        <v>7</v>
      </c>
      <c r="Y329" t="s">
        <v>22</v>
      </c>
      <c r="AA329"/>
    </row>
    <row r="330" spans="1:27" x14ac:dyDescent="0.3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N330" s="5">
        <v>1</v>
      </c>
      <c r="S330" s="5">
        <f>SUM(bron[[#This Row],[Januari]:[December]])</f>
        <v>1</v>
      </c>
      <c r="T330" s="9">
        <v>45528</v>
      </c>
      <c r="U330" s="8" t="s">
        <v>788</v>
      </c>
      <c r="V330" s="8">
        <v>1</v>
      </c>
      <c r="W330" s="8"/>
      <c r="X330" t="s">
        <v>7</v>
      </c>
      <c r="Y330" t="s">
        <v>151</v>
      </c>
      <c r="AA330"/>
    </row>
    <row r="331" spans="1:27" x14ac:dyDescent="0.3">
      <c r="A331">
        <v>30389</v>
      </c>
      <c r="B331" t="str">
        <f>_xlfn.CONCAT(bron[[#This Row],[personeelsnr]]," ",bron[[#This Row],[achternaam]]," ",bron[[#This Row],[voornaam]])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  <c r="F331" s="10"/>
      <c r="G331" s="7"/>
      <c r="H331" s="7"/>
      <c r="I331" s="7"/>
      <c r="N331" s="5">
        <v>1</v>
      </c>
      <c r="S331" s="5">
        <f>SUM(bron[[#This Row],[Januari]:[December]])</f>
        <v>1</v>
      </c>
      <c r="T331" s="9">
        <v>45528</v>
      </c>
      <c r="U331" s="8" t="s">
        <v>789</v>
      </c>
      <c r="V331" s="8"/>
      <c r="W331" s="8">
        <v>1</v>
      </c>
      <c r="X331" t="s">
        <v>8</v>
      </c>
      <c r="Y331" t="s">
        <v>147</v>
      </c>
      <c r="AA331"/>
    </row>
    <row r="332" spans="1:27" x14ac:dyDescent="0.3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N332" s="5">
        <v>1</v>
      </c>
      <c r="S332" s="5">
        <f>SUM(bron[[#This Row],[Januari]:[December]])</f>
        <v>1</v>
      </c>
      <c r="T332" s="9">
        <v>45530</v>
      </c>
      <c r="U332" s="8" t="s">
        <v>790</v>
      </c>
      <c r="V332" s="8">
        <v>1</v>
      </c>
      <c r="W332" s="8"/>
      <c r="X332" t="s">
        <v>7</v>
      </c>
      <c r="Y332" t="s">
        <v>277</v>
      </c>
      <c r="AA332"/>
    </row>
    <row r="333" spans="1:27" x14ac:dyDescent="0.3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391</v>
      </c>
      <c r="D333" t="s">
        <v>391</v>
      </c>
      <c r="E333" t="s">
        <v>79</v>
      </c>
      <c r="F333" s="10"/>
      <c r="G333" s="7"/>
      <c r="H333" s="7"/>
      <c r="I333" s="7"/>
      <c r="N333" s="5">
        <v>1</v>
      </c>
      <c r="S333" s="5">
        <f>SUM(bron[[#This Row],[Januari]:[December]])</f>
        <v>1</v>
      </c>
      <c r="T333" s="9">
        <v>45530</v>
      </c>
      <c r="U333" s="8" t="s">
        <v>791</v>
      </c>
      <c r="V333" s="8"/>
      <c r="W333" s="8">
        <v>1</v>
      </c>
      <c r="X333" t="s">
        <v>8</v>
      </c>
      <c r="Y333" t="s">
        <v>31</v>
      </c>
      <c r="AA333"/>
    </row>
    <row r="334" spans="1:27" x14ac:dyDescent="0.3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N334" s="5">
        <v>1</v>
      </c>
      <c r="S334" s="5">
        <f>SUM(bron[[#This Row],[Januari]:[December]])</f>
        <v>1</v>
      </c>
      <c r="T334" s="9">
        <v>45533</v>
      </c>
      <c r="U334" s="8" t="s">
        <v>792</v>
      </c>
      <c r="V334" s="8">
        <v>1</v>
      </c>
      <c r="W334" s="8"/>
      <c r="X334" t="s">
        <v>7</v>
      </c>
      <c r="Y334" t="s">
        <v>243</v>
      </c>
      <c r="AA334"/>
    </row>
    <row r="335" spans="1:27" x14ac:dyDescent="0.3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391</v>
      </c>
      <c r="D335" t="s">
        <v>391</v>
      </c>
      <c r="E335" t="s">
        <v>79</v>
      </c>
      <c r="F335" s="10"/>
      <c r="G335" s="7"/>
      <c r="H335" s="7"/>
      <c r="I335" s="7"/>
      <c r="N335" s="5">
        <v>1</v>
      </c>
      <c r="S335" s="5">
        <f>SUM(bron[[#This Row],[Januari]:[December]])</f>
        <v>1</v>
      </c>
      <c r="T335" s="9">
        <v>45534</v>
      </c>
      <c r="U335" s="8" t="s">
        <v>793</v>
      </c>
      <c r="V335" s="8">
        <v>1</v>
      </c>
      <c r="W335" s="8"/>
      <c r="X335" t="s">
        <v>7</v>
      </c>
      <c r="Y335" t="s">
        <v>98</v>
      </c>
      <c r="AA335"/>
    </row>
    <row r="336" spans="1:27" x14ac:dyDescent="0.3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N336" s="5">
        <v>1</v>
      </c>
      <c r="S336" s="5">
        <f>SUM(bron[[#This Row],[Januari]:[December]])</f>
        <v>1</v>
      </c>
      <c r="T336" s="9">
        <v>45535</v>
      </c>
      <c r="U336" s="8" t="s">
        <v>794</v>
      </c>
      <c r="V336" s="8">
        <v>1</v>
      </c>
      <c r="W336" s="8"/>
      <c r="X336" t="s">
        <v>7</v>
      </c>
      <c r="Y336" t="s">
        <v>427</v>
      </c>
      <c r="AA336"/>
    </row>
    <row r="337" spans="1:27" x14ac:dyDescent="0.3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N337" s="5">
        <v>1</v>
      </c>
      <c r="S337" s="5">
        <f>SUM(bron[[#This Row],[Januari]:[December]])</f>
        <v>1</v>
      </c>
      <c r="T337" s="9">
        <v>45535</v>
      </c>
      <c r="U337" s="8" t="s">
        <v>795</v>
      </c>
      <c r="V337" s="8">
        <v>1</v>
      </c>
      <c r="W337" s="8"/>
      <c r="X337" t="s">
        <v>7</v>
      </c>
      <c r="Y337" t="s">
        <v>10</v>
      </c>
      <c r="AA337"/>
    </row>
    <row r="338" spans="1:27" x14ac:dyDescent="0.3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S338" s="5">
        <f>SUM(bron[[#This Row],[Januari]:[December]])</f>
        <v>0</v>
      </c>
      <c r="T338" s="9">
        <v>45536</v>
      </c>
      <c r="U338" s="8" t="s">
        <v>796</v>
      </c>
      <c r="V338" s="8">
        <v>1</v>
      </c>
      <c r="W338" s="8"/>
      <c r="X338" t="s">
        <v>7</v>
      </c>
      <c r="Y338" t="s">
        <v>613</v>
      </c>
      <c r="AA338"/>
    </row>
    <row r="339" spans="1:27" x14ac:dyDescent="0.3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O339" s="5">
        <v>1</v>
      </c>
      <c r="S339" s="5">
        <f>SUM(bron[[#This Row],[Januari]:[December]])</f>
        <v>1</v>
      </c>
      <c r="T339" s="9">
        <v>45536</v>
      </c>
      <c r="U339" s="8" t="s">
        <v>797</v>
      </c>
      <c r="V339" s="8"/>
      <c r="W339" s="8">
        <v>1</v>
      </c>
      <c r="X339" t="s">
        <v>8</v>
      </c>
      <c r="Y339" t="s">
        <v>798</v>
      </c>
      <c r="AA339"/>
    </row>
    <row r="340" spans="1:27" x14ac:dyDescent="0.3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O340" s="5">
        <v>1</v>
      </c>
      <c r="S340" s="5">
        <f>SUM(bron[[#This Row],[Januari]:[December]])</f>
        <v>1</v>
      </c>
      <c r="T340" s="9">
        <v>45538</v>
      </c>
      <c r="U340" s="8" t="s">
        <v>799</v>
      </c>
      <c r="V340" s="8">
        <v>1</v>
      </c>
      <c r="W340" s="8"/>
      <c r="X340" t="s">
        <v>7</v>
      </c>
      <c r="Y340" t="s">
        <v>800</v>
      </c>
      <c r="AA340"/>
    </row>
    <row r="341" spans="1:27" x14ac:dyDescent="0.3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O341" s="5">
        <v>1</v>
      </c>
      <c r="S341" s="5">
        <f>SUM(bron[[#This Row],[Januari]:[December]])</f>
        <v>1</v>
      </c>
      <c r="T341" s="9">
        <v>45538</v>
      </c>
      <c r="U341" s="8" t="s">
        <v>801</v>
      </c>
      <c r="V341" s="8">
        <v>1</v>
      </c>
      <c r="W341" s="8"/>
      <c r="X341" t="s">
        <v>7</v>
      </c>
      <c r="Y341" t="s">
        <v>10</v>
      </c>
      <c r="AA341"/>
    </row>
    <row r="342" spans="1:27" x14ac:dyDescent="0.3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O342" s="5">
        <v>1</v>
      </c>
      <c r="S342" s="5">
        <f>SUM(bron[[#This Row],[Januari]:[December]])</f>
        <v>1</v>
      </c>
      <c r="T342" s="9">
        <v>45538</v>
      </c>
      <c r="U342" s="8" t="s">
        <v>802</v>
      </c>
      <c r="V342" s="8">
        <v>1</v>
      </c>
      <c r="W342" s="8"/>
      <c r="X342" t="s">
        <v>7</v>
      </c>
      <c r="Y342" t="s">
        <v>803</v>
      </c>
      <c r="AA342"/>
    </row>
    <row r="343" spans="1:27" x14ac:dyDescent="0.3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O343" s="5">
        <v>1</v>
      </c>
      <c r="S343" s="5">
        <f>SUM(bron[[#This Row],[Januari]:[December]])</f>
        <v>1</v>
      </c>
      <c r="T343" s="9">
        <v>45538</v>
      </c>
      <c r="U343" s="8" t="s">
        <v>804</v>
      </c>
      <c r="V343" s="8">
        <v>1</v>
      </c>
      <c r="W343" s="8"/>
      <c r="X343" t="s">
        <v>7</v>
      </c>
      <c r="Y343" t="s">
        <v>10</v>
      </c>
      <c r="AA343"/>
    </row>
    <row r="344" spans="1:27" x14ac:dyDescent="0.3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O344" s="5">
        <v>1</v>
      </c>
      <c r="S344" s="5">
        <f>SUM(bron[[#This Row],[Januari]:[December]])</f>
        <v>1</v>
      </c>
      <c r="T344" s="9">
        <v>45538</v>
      </c>
      <c r="U344" s="8" t="s">
        <v>805</v>
      </c>
      <c r="V344" s="8">
        <v>1</v>
      </c>
      <c r="W344" s="8"/>
      <c r="X344" t="s">
        <v>7</v>
      </c>
      <c r="Y344" t="s">
        <v>806</v>
      </c>
      <c r="AA344"/>
    </row>
    <row r="345" spans="1:27" x14ac:dyDescent="0.3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O345" s="5">
        <v>1</v>
      </c>
      <c r="S345" s="5">
        <f>SUM(bron[[#This Row],[Januari]:[December]])</f>
        <v>1</v>
      </c>
      <c r="T345" s="9">
        <v>45538</v>
      </c>
      <c r="U345" s="8" t="s">
        <v>807</v>
      </c>
      <c r="V345" s="8">
        <v>1</v>
      </c>
      <c r="W345" s="8"/>
      <c r="X345" t="s">
        <v>7</v>
      </c>
      <c r="Y345" t="s">
        <v>808</v>
      </c>
      <c r="AA345"/>
    </row>
    <row r="346" spans="1:27" x14ac:dyDescent="0.3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391</v>
      </c>
      <c r="D346" t="s">
        <v>391</v>
      </c>
      <c r="E346" t="s">
        <v>79</v>
      </c>
      <c r="F346" s="10"/>
      <c r="G346" s="7"/>
      <c r="H346" s="7"/>
      <c r="I346" s="7"/>
      <c r="O346" s="5">
        <v>1</v>
      </c>
      <c r="S346" s="5">
        <f>SUM(bron[[#This Row],[Januari]:[December]])</f>
        <v>1</v>
      </c>
      <c r="T346" s="9">
        <v>45538</v>
      </c>
      <c r="U346" s="8" t="s">
        <v>809</v>
      </c>
      <c r="V346" s="8">
        <v>1</v>
      </c>
      <c r="W346" s="8"/>
      <c r="X346" t="s">
        <v>7</v>
      </c>
      <c r="Y346" t="s">
        <v>10</v>
      </c>
      <c r="AA346"/>
    </row>
    <row r="347" spans="1:27" x14ac:dyDescent="0.3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O347" s="5">
        <v>1</v>
      </c>
      <c r="S347" s="5">
        <f>SUM(bron[[#This Row],[Januari]:[December]])</f>
        <v>1</v>
      </c>
      <c r="T347" s="9">
        <v>45539</v>
      </c>
      <c r="U347" s="8" t="s">
        <v>810</v>
      </c>
      <c r="V347" s="8">
        <v>1</v>
      </c>
      <c r="W347" s="8"/>
      <c r="X347" t="s">
        <v>7</v>
      </c>
      <c r="Y347" t="s">
        <v>81</v>
      </c>
      <c r="AA347"/>
    </row>
    <row r="348" spans="1:27" x14ac:dyDescent="0.3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O348" s="5">
        <v>1</v>
      </c>
      <c r="S348" s="5">
        <f>SUM(bron[[#This Row],[Januari]:[December]])</f>
        <v>1</v>
      </c>
      <c r="T348" s="9">
        <v>45540</v>
      </c>
      <c r="U348" s="8" t="s">
        <v>811</v>
      </c>
      <c r="V348" s="8">
        <v>1</v>
      </c>
      <c r="W348" s="8"/>
      <c r="X348" t="s">
        <v>7</v>
      </c>
      <c r="Y348" t="s">
        <v>100</v>
      </c>
      <c r="AA348"/>
    </row>
    <row r="349" spans="1:27" x14ac:dyDescent="0.3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O349" s="5">
        <v>1</v>
      </c>
      <c r="S349" s="5">
        <f>SUM(bron[[#This Row],[Januari]:[December]])</f>
        <v>1</v>
      </c>
      <c r="T349" s="9">
        <v>45540</v>
      </c>
      <c r="U349" s="8" t="s">
        <v>812</v>
      </c>
      <c r="V349" s="8">
        <v>1</v>
      </c>
      <c r="W349" s="8"/>
      <c r="X349" t="s">
        <v>7</v>
      </c>
      <c r="Y349" t="s">
        <v>100</v>
      </c>
      <c r="AA349"/>
    </row>
    <row r="350" spans="1:27" x14ac:dyDescent="0.3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O350" s="5">
        <v>1</v>
      </c>
      <c r="S350" s="5">
        <f>SUM(bron[[#This Row],[Januari]:[December]])</f>
        <v>1</v>
      </c>
      <c r="T350" s="9">
        <v>45540</v>
      </c>
      <c r="U350" s="8" t="s">
        <v>813</v>
      </c>
      <c r="V350" s="8">
        <v>1</v>
      </c>
      <c r="W350" s="8"/>
      <c r="X350" t="s">
        <v>7</v>
      </c>
      <c r="Y350" t="s">
        <v>66</v>
      </c>
      <c r="AA350"/>
    </row>
    <row r="351" spans="1:27" x14ac:dyDescent="0.3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O351" s="5">
        <v>1</v>
      </c>
      <c r="S351" s="5">
        <f>SUM(bron[[#This Row],[Januari]:[December]])</f>
        <v>1</v>
      </c>
      <c r="T351" s="9">
        <v>45541</v>
      </c>
      <c r="U351" s="8" t="s">
        <v>814</v>
      </c>
      <c r="V351" s="8">
        <v>1</v>
      </c>
      <c r="W351" s="8"/>
      <c r="X351" t="s">
        <v>7</v>
      </c>
      <c r="Y351" t="s">
        <v>203</v>
      </c>
      <c r="AA351"/>
    </row>
    <row r="352" spans="1:27" x14ac:dyDescent="0.3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O352" s="5">
        <v>1</v>
      </c>
      <c r="S352" s="5">
        <f>SUM(bron[[#This Row],[Januari]:[December]])</f>
        <v>1</v>
      </c>
      <c r="T352" s="9">
        <v>45541</v>
      </c>
      <c r="U352" s="8" t="s">
        <v>815</v>
      </c>
      <c r="V352" s="8">
        <v>1</v>
      </c>
      <c r="W352" s="8"/>
      <c r="X352" t="s">
        <v>7</v>
      </c>
      <c r="Y352" t="s">
        <v>127</v>
      </c>
      <c r="AA352"/>
    </row>
    <row r="353" spans="1:27" x14ac:dyDescent="0.3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O353" s="5">
        <v>1</v>
      </c>
      <c r="S353" s="5">
        <f>SUM(bron[[#This Row],[Januari]:[December]])</f>
        <v>1</v>
      </c>
      <c r="T353" s="9">
        <v>45541</v>
      </c>
      <c r="U353" s="8" t="s">
        <v>816</v>
      </c>
      <c r="V353" s="8"/>
      <c r="W353" s="8">
        <v>1</v>
      </c>
      <c r="X353" t="s">
        <v>8</v>
      </c>
      <c r="Y353" t="s">
        <v>817</v>
      </c>
      <c r="AA353"/>
    </row>
    <row r="354" spans="1:27" x14ac:dyDescent="0.3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O354" s="5">
        <v>1</v>
      </c>
      <c r="S354" s="5">
        <f>SUM(bron[[#This Row],[Januari]:[December]])</f>
        <v>1</v>
      </c>
      <c r="T354" s="9">
        <v>45541</v>
      </c>
      <c r="U354" s="8" t="s">
        <v>818</v>
      </c>
      <c r="V354" s="8">
        <v>1</v>
      </c>
      <c r="W354" s="8"/>
      <c r="X354" t="s">
        <v>7</v>
      </c>
      <c r="Y354" t="s">
        <v>10</v>
      </c>
      <c r="AA354"/>
    </row>
    <row r="355" spans="1:27" x14ac:dyDescent="0.3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391</v>
      </c>
      <c r="D355" t="s">
        <v>391</v>
      </c>
      <c r="E355" t="s">
        <v>79</v>
      </c>
      <c r="F355" s="10"/>
      <c r="G355" s="7"/>
      <c r="H355" s="7"/>
      <c r="I355" s="7"/>
      <c r="O355" s="5">
        <v>1</v>
      </c>
      <c r="S355" s="5">
        <f>SUM(bron[[#This Row],[Januari]:[December]])</f>
        <v>1</v>
      </c>
      <c r="T355" s="9">
        <v>45542</v>
      </c>
      <c r="U355" s="8" t="s">
        <v>819</v>
      </c>
      <c r="V355" s="8">
        <v>1</v>
      </c>
      <c r="W355" s="8"/>
      <c r="X355" t="s">
        <v>7</v>
      </c>
      <c r="Y355" t="s">
        <v>519</v>
      </c>
      <c r="AA355"/>
    </row>
    <row r="356" spans="1:27" x14ac:dyDescent="0.3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O356" s="5">
        <v>1</v>
      </c>
      <c r="S356" s="5">
        <f>SUM(bron[[#This Row],[Januari]:[December]])</f>
        <v>1</v>
      </c>
      <c r="T356" s="9">
        <v>45543</v>
      </c>
      <c r="U356" s="8" t="s">
        <v>820</v>
      </c>
      <c r="V356" s="8">
        <v>1</v>
      </c>
      <c r="W356" s="8"/>
      <c r="X356" t="s">
        <v>7</v>
      </c>
      <c r="Y356" t="s">
        <v>177</v>
      </c>
      <c r="AA356"/>
    </row>
    <row r="357" spans="1:27" x14ac:dyDescent="0.3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O357" s="5">
        <v>1</v>
      </c>
      <c r="S357" s="5">
        <f>SUM(bron[[#This Row],[Januari]:[December]])</f>
        <v>1</v>
      </c>
      <c r="T357" s="9">
        <v>45543</v>
      </c>
      <c r="U357" s="8" t="s">
        <v>821</v>
      </c>
      <c r="V357" s="8">
        <v>1</v>
      </c>
      <c r="W357" s="8"/>
      <c r="X357" t="s">
        <v>7</v>
      </c>
      <c r="Y357" t="s">
        <v>5</v>
      </c>
      <c r="AA357"/>
    </row>
    <row r="358" spans="1:27" x14ac:dyDescent="0.3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O358" s="5">
        <v>1</v>
      </c>
      <c r="S358" s="5">
        <f>SUM(bron[[#This Row],[Januari]:[December]])</f>
        <v>1</v>
      </c>
      <c r="T358" s="9">
        <v>45544</v>
      </c>
      <c r="U358" s="8" t="s">
        <v>822</v>
      </c>
      <c r="V358" s="8">
        <v>1</v>
      </c>
      <c r="W358" s="8"/>
      <c r="X358" t="s">
        <v>7</v>
      </c>
      <c r="Y358" t="s">
        <v>10</v>
      </c>
      <c r="AA358"/>
    </row>
    <row r="359" spans="1:27" x14ac:dyDescent="0.3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O359" s="5">
        <v>1</v>
      </c>
      <c r="S359" s="5">
        <f>SUM(bron[[#This Row],[Januari]:[December]])</f>
        <v>1</v>
      </c>
      <c r="T359" s="9">
        <v>45545</v>
      </c>
      <c r="U359" s="8" t="s">
        <v>823</v>
      </c>
      <c r="V359" s="8">
        <v>1</v>
      </c>
      <c r="W359" s="8"/>
      <c r="X359" t="s">
        <v>7</v>
      </c>
      <c r="Y359" t="s">
        <v>287</v>
      </c>
      <c r="AA359"/>
    </row>
    <row r="360" spans="1:27" x14ac:dyDescent="0.3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O360" s="5">
        <v>1</v>
      </c>
      <c r="S360" s="5">
        <f>SUM(bron[[#This Row],[Januari]:[December]])</f>
        <v>1</v>
      </c>
      <c r="T360" s="9">
        <v>45545</v>
      </c>
      <c r="U360" s="8" t="s">
        <v>824</v>
      </c>
      <c r="V360" s="8"/>
      <c r="W360" s="8">
        <v>1</v>
      </c>
      <c r="X360" t="s">
        <v>8</v>
      </c>
      <c r="Y360" t="s">
        <v>625</v>
      </c>
      <c r="AA360"/>
    </row>
    <row r="361" spans="1:27" x14ac:dyDescent="0.3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O361" s="5">
        <v>1</v>
      </c>
      <c r="S361" s="5">
        <f>SUM(bron[[#This Row],[Januari]:[December]])</f>
        <v>1</v>
      </c>
      <c r="T361" s="9">
        <v>45545</v>
      </c>
      <c r="U361" s="8" t="s">
        <v>825</v>
      </c>
      <c r="V361" s="8"/>
      <c r="W361" s="8">
        <v>1</v>
      </c>
      <c r="X361" t="s">
        <v>8</v>
      </c>
      <c r="Y361" t="s">
        <v>10</v>
      </c>
      <c r="AA361"/>
    </row>
    <row r="362" spans="1:27" x14ac:dyDescent="0.3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O362" s="5">
        <v>1</v>
      </c>
      <c r="S362" s="5">
        <f>SUM(bron[[#This Row],[Januari]:[December]])</f>
        <v>1</v>
      </c>
      <c r="T362" s="9">
        <v>45546</v>
      </c>
      <c r="U362" s="8" t="s">
        <v>826</v>
      </c>
      <c r="V362" s="8">
        <v>1</v>
      </c>
      <c r="W362" s="8"/>
      <c r="X362" t="s">
        <v>7</v>
      </c>
      <c r="Y362" t="s">
        <v>16</v>
      </c>
      <c r="AA362"/>
    </row>
    <row r="363" spans="1:27" x14ac:dyDescent="0.3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O363" s="5">
        <v>1</v>
      </c>
      <c r="S363" s="5">
        <f>SUM(bron[[#This Row],[Januari]:[December]])</f>
        <v>1</v>
      </c>
      <c r="T363" s="9">
        <v>45548</v>
      </c>
      <c r="U363" s="8" t="s">
        <v>827</v>
      </c>
      <c r="V363" s="8">
        <v>1</v>
      </c>
      <c r="W363" s="8"/>
      <c r="X363" t="s">
        <v>7</v>
      </c>
      <c r="Y363" t="s">
        <v>119</v>
      </c>
      <c r="AA363"/>
    </row>
    <row r="364" spans="1:27" x14ac:dyDescent="0.3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O364" s="5">
        <v>1</v>
      </c>
      <c r="S364" s="5">
        <f>SUM(bron[[#This Row],[Januari]:[December]])</f>
        <v>1</v>
      </c>
      <c r="T364" s="9">
        <v>45549</v>
      </c>
      <c r="U364" s="8" t="s">
        <v>828</v>
      </c>
      <c r="V364" s="8">
        <v>1</v>
      </c>
      <c r="W364" s="8"/>
      <c r="X364" t="s">
        <v>7</v>
      </c>
      <c r="Y364" t="s">
        <v>577</v>
      </c>
      <c r="AA364"/>
    </row>
    <row r="365" spans="1:27" x14ac:dyDescent="0.3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O365" s="5">
        <v>1</v>
      </c>
      <c r="S365" s="5">
        <f>SUM(bron[[#This Row],[Januari]:[December]])</f>
        <v>1</v>
      </c>
      <c r="T365" s="9">
        <v>45549</v>
      </c>
      <c r="U365" s="8" t="s">
        <v>829</v>
      </c>
      <c r="V365" s="8">
        <v>1</v>
      </c>
      <c r="W365" s="8"/>
      <c r="X365" t="s">
        <v>7</v>
      </c>
      <c r="Y365" t="s">
        <v>301</v>
      </c>
      <c r="AA365"/>
    </row>
    <row r="366" spans="1:27" x14ac:dyDescent="0.3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O366" s="5">
        <v>1</v>
      </c>
      <c r="S366" s="5">
        <f>SUM(bron[[#This Row],[Januari]:[December]])</f>
        <v>1</v>
      </c>
      <c r="T366" s="9">
        <v>45549</v>
      </c>
      <c r="U366" s="8" t="s">
        <v>830</v>
      </c>
      <c r="V366" s="8">
        <v>1</v>
      </c>
      <c r="W366" s="8"/>
      <c r="X366" t="s">
        <v>7</v>
      </c>
      <c r="Y366" t="s">
        <v>831</v>
      </c>
      <c r="AA366"/>
    </row>
    <row r="367" spans="1:27" x14ac:dyDescent="0.3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O367" s="5">
        <v>1</v>
      </c>
      <c r="S367" s="5">
        <f>SUM(bron[[#This Row],[Januari]:[December]])</f>
        <v>1</v>
      </c>
      <c r="T367" s="9">
        <v>45550</v>
      </c>
      <c r="U367" s="8" t="s">
        <v>832</v>
      </c>
      <c r="V367" s="8">
        <v>1</v>
      </c>
      <c r="W367" s="8"/>
      <c r="X367" t="s">
        <v>7</v>
      </c>
      <c r="Y367" t="s">
        <v>22</v>
      </c>
      <c r="AA367"/>
    </row>
    <row r="368" spans="1:27" x14ac:dyDescent="0.3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O368" s="5">
        <v>1</v>
      </c>
      <c r="S368" s="5">
        <f>SUM(bron[[#This Row],[Januari]:[December]])</f>
        <v>1</v>
      </c>
      <c r="T368" s="9">
        <v>45551</v>
      </c>
      <c r="U368" s="8" t="s">
        <v>833</v>
      </c>
      <c r="V368" s="8">
        <v>1</v>
      </c>
      <c r="W368" s="8"/>
      <c r="X368" t="s">
        <v>7</v>
      </c>
      <c r="Y368" t="s">
        <v>241</v>
      </c>
      <c r="AA368"/>
    </row>
    <row r="369" spans="1:27" x14ac:dyDescent="0.3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O369" s="5">
        <v>1</v>
      </c>
      <c r="S369" s="5">
        <f>SUM(bron[[#This Row],[Januari]:[December]])</f>
        <v>1</v>
      </c>
      <c r="T369" s="9">
        <v>45551</v>
      </c>
      <c r="U369" s="8" t="s">
        <v>834</v>
      </c>
      <c r="V369" s="8">
        <v>1</v>
      </c>
      <c r="W369" s="8"/>
      <c r="X369" t="s">
        <v>7</v>
      </c>
      <c r="Y369" t="s">
        <v>106</v>
      </c>
      <c r="AA369"/>
    </row>
    <row r="370" spans="1:27" x14ac:dyDescent="0.3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391</v>
      </c>
      <c r="D370" t="s">
        <v>391</v>
      </c>
      <c r="E370" t="s">
        <v>79</v>
      </c>
      <c r="F370" s="10"/>
      <c r="G370" s="7"/>
      <c r="H370" s="7"/>
      <c r="I370" s="7"/>
      <c r="O370" s="5">
        <v>1</v>
      </c>
      <c r="S370" s="5">
        <f>SUM(bron[[#This Row],[Januari]:[December]])</f>
        <v>1</v>
      </c>
      <c r="T370" s="9">
        <v>45551</v>
      </c>
      <c r="U370" s="8" t="s">
        <v>835</v>
      </c>
      <c r="V370" s="8">
        <v>1</v>
      </c>
      <c r="W370" s="8"/>
      <c r="X370" t="s">
        <v>7</v>
      </c>
      <c r="Y370" t="s">
        <v>100</v>
      </c>
      <c r="AA370"/>
    </row>
    <row r="371" spans="1:27" x14ac:dyDescent="0.3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O371" s="5">
        <v>1</v>
      </c>
      <c r="S371" s="5">
        <f>SUM(bron[[#This Row],[Januari]:[December]])</f>
        <v>1</v>
      </c>
      <c r="T371" s="9">
        <v>45551</v>
      </c>
      <c r="U371" s="8" t="s">
        <v>836</v>
      </c>
      <c r="V371" s="8"/>
      <c r="W371" s="8">
        <v>1</v>
      </c>
      <c r="X371" t="s">
        <v>8</v>
      </c>
      <c r="Y371" t="s">
        <v>5</v>
      </c>
      <c r="AA371"/>
    </row>
    <row r="372" spans="1:27" x14ac:dyDescent="0.3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O372" s="5">
        <v>1</v>
      </c>
      <c r="S372" s="5">
        <f>SUM(bron[[#This Row],[Januari]:[December]])</f>
        <v>1</v>
      </c>
      <c r="T372" s="9">
        <v>45552</v>
      </c>
      <c r="U372" s="8" t="s">
        <v>837</v>
      </c>
      <c r="V372" s="8">
        <v>1</v>
      </c>
      <c r="W372" s="8"/>
      <c r="X372" t="s">
        <v>7</v>
      </c>
      <c r="Y372" t="s">
        <v>10</v>
      </c>
      <c r="AA372"/>
    </row>
    <row r="373" spans="1:27" x14ac:dyDescent="0.3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391</v>
      </c>
      <c r="D373" t="s">
        <v>391</v>
      </c>
      <c r="E373" t="s">
        <v>79</v>
      </c>
      <c r="F373" s="10"/>
      <c r="G373" s="7"/>
      <c r="H373" s="7"/>
      <c r="I373" s="7"/>
      <c r="O373" s="5">
        <v>1</v>
      </c>
      <c r="S373" s="5">
        <f>SUM(bron[[#This Row],[Januari]:[December]])</f>
        <v>1</v>
      </c>
      <c r="T373" s="9">
        <v>45554</v>
      </c>
      <c r="U373" s="8" t="s">
        <v>838</v>
      </c>
      <c r="V373" s="8">
        <v>1</v>
      </c>
      <c r="W373" s="8"/>
      <c r="X373" t="s">
        <v>7</v>
      </c>
      <c r="Y373" t="s">
        <v>427</v>
      </c>
      <c r="AA373"/>
    </row>
    <row r="374" spans="1:27" x14ac:dyDescent="0.3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O374" s="5">
        <v>1</v>
      </c>
      <c r="S374" s="5">
        <f>SUM(bron[[#This Row],[Januari]:[December]])</f>
        <v>1</v>
      </c>
      <c r="T374" s="9">
        <v>45556</v>
      </c>
      <c r="U374" s="8" t="s">
        <v>839</v>
      </c>
      <c r="V374" s="8">
        <v>1</v>
      </c>
      <c r="W374" s="8"/>
      <c r="X374" t="s">
        <v>7</v>
      </c>
      <c r="Y374" t="s">
        <v>840</v>
      </c>
      <c r="AA374"/>
    </row>
    <row r="375" spans="1:27" x14ac:dyDescent="0.3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O375" s="5">
        <v>1</v>
      </c>
      <c r="S375" s="5">
        <f>SUM(bron[[#This Row],[Januari]:[December]])</f>
        <v>1</v>
      </c>
      <c r="T375" s="9">
        <v>45557</v>
      </c>
      <c r="U375" s="8" t="s">
        <v>841</v>
      </c>
      <c r="V375" s="8"/>
      <c r="W375" s="8">
        <v>1</v>
      </c>
      <c r="X375" t="s">
        <v>8</v>
      </c>
      <c r="Y375" t="s">
        <v>31</v>
      </c>
      <c r="AA375"/>
    </row>
    <row r="376" spans="1:27" x14ac:dyDescent="0.3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S376" s="5">
        <f>SUM(bron[[#This Row],[Januari]:[December]])</f>
        <v>0</v>
      </c>
      <c r="T376" s="9">
        <v>45558</v>
      </c>
      <c r="U376" s="8" t="s">
        <v>842</v>
      </c>
      <c r="V376" s="8">
        <v>1</v>
      </c>
      <c r="W376" s="8"/>
      <c r="X376" t="s">
        <v>7</v>
      </c>
      <c r="Y376" t="s">
        <v>10</v>
      </c>
      <c r="AA376"/>
    </row>
    <row r="377" spans="1:27" x14ac:dyDescent="0.3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O377" s="5">
        <v>1</v>
      </c>
      <c r="S377" s="5">
        <f>SUM(bron[[#This Row],[Januari]:[December]])</f>
        <v>1</v>
      </c>
      <c r="T377" s="9">
        <v>45558</v>
      </c>
      <c r="U377" s="8" t="s">
        <v>843</v>
      </c>
      <c r="V377" s="8"/>
      <c r="W377" s="8">
        <v>1</v>
      </c>
      <c r="X377" t="s">
        <v>8</v>
      </c>
      <c r="Y377" t="s">
        <v>10</v>
      </c>
      <c r="AA377"/>
    </row>
    <row r="378" spans="1:27" x14ac:dyDescent="0.3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O378" s="5">
        <v>1</v>
      </c>
      <c r="S378" s="5">
        <f>SUM(bron[[#This Row],[Januari]:[December]])</f>
        <v>1</v>
      </c>
      <c r="T378" s="9">
        <v>45559</v>
      </c>
      <c r="U378" s="8" t="s">
        <v>844</v>
      </c>
      <c r="V378" s="8">
        <v>1</v>
      </c>
      <c r="W378" s="8"/>
      <c r="X378" t="s">
        <v>7</v>
      </c>
      <c r="Y378" t="s">
        <v>40</v>
      </c>
      <c r="AA378"/>
    </row>
    <row r="379" spans="1:27" x14ac:dyDescent="0.3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O379" s="5">
        <v>1</v>
      </c>
      <c r="S379" s="5">
        <f>SUM(bron[[#This Row],[Januari]:[December]])</f>
        <v>1</v>
      </c>
      <c r="T379" s="9">
        <v>45559</v>
      </c>
      <c r="U379" s="8" t="s">
        <v>845</v>
      </c>
      <c r="V379" s="8"/>
      <c r="W379" s="8">
        <v>1</v>
      </c>
      <c r="X379" t="s">
        <v>8</v>
      </c>
      <c r="Y379" t="s">
        <v>489</v>
      </c>
      <c r="AA379"/>
    </row>
    <row r="380" spans="1:27" x14ac:dyDescent="0.3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O380" s="5">
        <v>1</v>
      </c>
      <c r="S380" s="5">
        <f>SUM(bron[[#This Row],[Januari]:[December]])</f>
        <v>1</v>
      </c>
      <c r="T380" s="9">
        <v>45560</v>
      </c>
      <c r="U380" s="8" t="s">
        <v>846</v>
      </c>
      <c r="V380" s="8">
        <v>1</v>
      </c>
      <c r="W380" s="8"/>
      <c r="X380" t="s">
        <v>7</v>
      </c>
      <c r="Y380" t="s">
        <v>219</v>
      </c>
      <c r="AA380"/>
    </row>
    <row r="381" spans="1:27" x14ac:dyDescent="0.3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O381" s="5">
        <v>1</v>
      </c>
      <c r="S381" s="5">
        <f>SUM(bron[[#This Row],[Januari]:[December]])</f>
        <v>1</v>
      </c>
      <c r="T381" s="9">
        <v>45560</v>
      </c>
      <c r="U381" s="8" t="s">
        <v>847</v>
      </c>
      <c r="V381" s="8">
        <v>1</v>
      </c>
      <c r="W381" s="8"/>
      <c r="X381" t="s">
        <v>7</v>
      </c>
      <c r="Y381" t="s">
        <v>848</v>
      </c>
      <c r="AA381"/>
    </row>
    <row r="382" spans="1:27" x14ac:dyDescent="0.3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391</v>
      </c>
      <c r="D382" t="s">
        <v>391</v>
      </c>
      <c r="E382" t="s">
        <v>79</v>
      </c>
      <c r="F382" s="10"/>
      <c r="G382" s="7"/>
      <c r="H382" s="7"/>
      <c r="I382" s="7"/>
      <c r="O382" s="5">
        <v>1</v>
      </c>
      <c r="S382" s="5">
        <f>SUM(bron[[#This Row],[Januari]:[December]])</f>
        <v>1</v>
      </c>
      <c r="T382" s="9">
        <v>45561</v>
      </c>
      <c r="U382" s="8" t="s">
        <v>849</v>
      </c>
      <c r="V382" s="8">
        <v>1</v>
      </c>
      <c r="W382" s="8"/>
      <c r="X382" t="s">
        <v>7</v>
      </c>
      <c r="Y382" t="s">
        <v>10</v>
      </c>
      <c r="AA382"/>
    </row>
    <row r="383" spans="1:27" x14ac:dyDescent="0.3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O383" s="5">
        <v>1</v>
      </c>
      <c r="S383" s="5">
        <f>SUM(bron[[#This Row],[Januari]:[December]])</f>
        <v>1</v>
      </c>
      <c r="T383" s="9">
        <v>45562</v>
      </c>
      <c r="U383" s="8" t="s">
        <v>850</v>
      </c>
      <c r="V383" s="8">
        <v>1</v>
      </c>
      <c r="W383" s="8"/>
      <c r="X383" t="s">
        <v>7</v>
      </c>
      <c r="Y383" t="s">
        <v>730</v>
      </c>
      <c r="AA383"/>
    </row>
    <row r="384" spans="1:27" x14ac:dyDescent="0.3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O384" s="5">
        <v>1</v>
      </c>
      <c r="S384" s="5">
        <f>SUM(bron[[#This Row],[Januari]:[December]])</f>
        <v>1</v>
      </c>
      <c r="T384" s="9">
        <v>45562</v>
      </c>
      <c r="U384" s="8" t="s">
        <v>851</v>
      </c>
      <c r="V384" s="8"/>
      <c r="W384" s="8">
        <v>1</v>
      </c>
      <c r="X384" t="s">
        <v>8</v>
      </c>
      <c r="Y384" t="s">
        <v>542</v>
      </c>
      <c r="AA384"/>
    </row>
    <row r="385" spans="1:27" x14ac:dyDescent="0.3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O385" s="5">
        <v>1</v>
      </c>
      <c r="S385" s="5">
        <f>SUM(bron[[#This Row],[Januari]:[December]])</f>
        <v>1</v>
      </c>
      <c r="T385" s="9">
        <v>45563</v>
      </c>
      <c r="U385" s="8" t="s">
        <v>852</v>
      </c>
      <c r="V385" s="8">
        <v>1</v>
      </c>
      <c r="W385" s="8"/>
      <c r="X385" t="s">
        <v>7</v>
      </c>
      <c r="Y385" t="s">
        <v>34</v>
      </c>
      <c r="AA385"/>
    </row>
    <row r="386" spans="1:27" x14ac:dyDescent="0.3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O386" s="5">
        <v>1</v>
      </c>
      <c r="S386" s="5">
        <f>SUM(bron[[#This Row],[Januari]:[December]])</f>
        <v>1</v>
      </c>
      <c r="T386" s="9">
        <v>45563</v>
      </c>
      <c r="U386" s="8" t="s">
        <v>853</v>
      </c>
      <c r="V386" s="8">
        <v>1</v>
      </c>
      <c r="W386" s="8"/>
      <c r="X386" t="s">
        <v>7</v>
      </c>
      <c r="Y386" t="s">
        <v>10</v>
      </c>
      <c r="AA386"/>
    </row>
    <row r="387" spans="1:27" x14ac:dyDescent="0.3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P387" s="5">
        <v>1</v>
      </c>
      <c r="S387" s="5">
        <f>SUM(bron[[#This Row],[Januari]:[December]])</f>
        <v>1</v>
      </c>
      <c r="T387" s="9">
        <v>45567</v>
      </c>
      <c r="U387" s="8" t="s">
        <v>854</v>
      </c>
      <c r="V387" s="8">
        <v>1</v>
      </c>
      <c r="W387" s="8"/>
      <c r="X387" t="s">
        <v>7</v>
      </c>
      <c r="Y387" t="s">
        <v>855</v>
      </c>
      <c r="AA387"/>
    </row>
    <row r="388" spans="1:27" x14ac:dyDescent="0.3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P388" s="5">
        <v>1</v>
      </c>
      <c r="S388" s="5">
        <f>SUM(bron[[#This Row],[Januari]:[December]])</f>
        <v>1</v>
      </c>
      <c r="T388" s="9">
        <v>45568</v>
      </c>
      <c r="U388" s="8" t="s">
        <v>856</v>
      </c>
      <c r="V388" s="8">
        <v>1</v>
      </c>
      <c r="W388" s="8"/>
      <c r="X388" t="s">
        <v>7</v>
      </c>
      <c r="Y388" t="s">
        <v>81</v>
      </c>
      <c r="AA388"/>
    </row>
    <row r="389" spans="1:27" x14ac:dyDescent="0.3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P389" s="5">
        <v>1</v>
      </c>
      <c r="S389" s="5">
        <f>SUM(bron[[#This Row],[Januari]:[December]])</f>
        <v>1</v>
      </c>
      <c r="T389" s="9">
        <v>45569</v>
      </c>
      <c r="U389" s="8" t="s">
        <v>857</v>
      </c>
      <c r="V389" s="8"/>
      <c r="W389" s="8">
        <v>1</v>
      </c>
      <c r="X389" t="s">
        <v>8</v>
      </c>
      <c r="Y389" t="s">
        <v>610</v>
      </c>
      <c r="AA389"/>
    </row>
    <row r="390" spans="1:27" x14ac:dyDescent="0.3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P390" s="5">
        <v>1</v>
      </c>
      <c r="S390" s="5">
        <f>SUM(bron[[#This Row],[Januari]:[December]])</f>
        <v>1</v>
      </c>
      <c r="T390" s="9">
        <v>45570</v>
      </c>
      <c r="U390" s="8" t="s">
        <v>858</v>
      </c>
      <c r="V390" s="8"/>
      <c r="W390" s="8">
        <v>1</v>
      </c>
      <c r="X390" t="s">
        <v>8</v>
      </c>
      <c r="Y390" t="s">
        <v>859</v>
      </c>
      <c r="AA390"/>
    </row>
    <row r="391" spans="1:27" x14ac:dyDescent="0.3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P391" s="5">
        <v>1</v>
      </c>
      <c r="S391" s="5">
        <f>SUM(bron[[#This Row],[Januari]:[December]])</f>
        <v>1</v>
      </c>
      <c r="T391" s="9">
        <v>45572</v>
      </c>
      <c r="U391" s="8" t="s">
        <v>860</v>
      </c>
      <c r="V391" s="8">
        <v>1</v>
      </c>
      <c r="W391" s="8"/>
      <c r="X391" t="s">
        <v>7</v>
      </c>
      <c r="Y391" t="s">
        <v>10</v>
      </c>
      <c r="AA391"/>
    </row>
    <row r="392" spans="1:27" x14ac:dyDescent="0.3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P392" s="5">
        <v>1</v>
      </c>
      <c r="S392" s="5">
        <f>SUM(bron[[#This Row],[Januari]:[December]])</f>
        <v>1</v>
      </c>
      <c r="T392" s="9">
        <v>45573</v>
      </c>
      <c r="U392" s="8" t="s">
        <v>861</v>
      </c>
      <c r="V392" s="8">
        <v>1</v>
      </c>
      <c r="W392" s="8"/>
      <c r="X392" t="s">
        <v>7</v>
      </c>
      <c r="Y392" t="s">
        <v>301</v>
      </c>
      <c r="AA392"/>
    </row>
    <row r="393" spans="1:27" x14ac:dyDescent="0.3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P393" s="5">
        <v>1</v>
      </c>
      <c r="S393" s="5">
        <f>SUM(bron[[#This Row],[Januari]:[December]])</f>
        <v>1</v>
      </c>
      <c r="T393" s="9">
        <v>45573</v>
      </c>
      <c r="U393" s="8" t="s">
        <v>862</v>
      </c>
      <c r="V393" s="8">
        <v>1</v>
      </c>
      <c r="W393" s="8"/>
      <c r="X393" t="s">
        <v>7</v>
      </c>
      <c r="Y393" t="s">
        <v>808</v>
      </c>
      <c r="AA393"/>
    </row>
    <row r="394" spans="1:27" x14ac:dyDescent="0.3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P394" s="5">
        <v>1</v>
      </c>
      <c r="S394" s="5">
        <f>SUM(bron[[#This Row],[Januari]:[December]])</f>
        <v>1</v>
      </c>
      <c r="T394" s="9">
        <v>45574</v>
      </c>
      <c r="U394" s="8" t="s">
        <v>863</v>
      </c>
      <c r="V394" s="8">
        <v>1</v>
      </c>
      <c r="W394" s="8"/>
      <c r="X394" t="s">
        <v>7</v>
      </c>
      <c r="Y394" t="s">
        <v>864</v>
      </c>
      <c r="AA394"/>
    </row>
    <row r="395" spans="1:27" x14ac:dyDescent="0.3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P395" s="5">
        <v>1</v>
      </c>
      <c r="S395" s="5">
        <f>SUM(bron[[#This Row],[Januari]:[December]])</f>
        <v>1</v>
      </c>
      <c r="T395" s="9">
        <v>45574</v>
      </c>
      <c r="U395" s="8" t="s">
        <v>865</v>
      </c>
      <c r="V395" s="8"/>
      <c r="W395" s="8">
        <v>1</v>
      </c>
      <c r="X395" t="s">
        <v>8</v>
      </c>
      <c r="Y395" t="s">
        <v>489</v>
      </c>
      <c r="AA395"/>
    </row>
    <row r="396" spans="1:27" x14ac:dyDescent="0.3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P396" s="5">
        <v>1</v>
      </c>
      <c r="S396" s="5">
        <f>SUM(bron[[#This Row],[Januari]:[December]])</f>
        <v>1</v>
      </c>
      <c r="T396" s="9">
        <v>45574</v>
      </c>
      <c r="U396" s="8" t="s">
        <v>866</v>
      </c>
      <c r="V396" s="8">
        <v>1</v>
      </c>
      <c r="W396" s="8"/>
      <c r="X396" t="s">
        <v>7</v>
      </c>
      <c r="Y396" t="s">
        <v>72</v>
      </c>
      <c r="AA396"/>
    </row>
    <row r="397" spans="1:27" x14ac:dyDescent="0.3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P397" s="5">
        <v>1</v>
      </c>
      <c r="S397" s="5">
        <f>SUM(bron[[#This Row],[Januari]:[December]])</f>
        <v>1</v>
      </c>
      <c r="T397" s="9">
        <v>45575</v>
      </c>
      <c r="U397" s="8" t="s">
        <v>867</v>
      </c>
      <c r="V397" s="8"/>
      <c r="W397" s="8">
        <v>1</v>
      </c>
      <c r="X397" t="s">
        <v>8</v>
      </c>
      <c r="Y397" t="s">
        <v>46</v>
      </c>
      <c r="AA397"/>
    </row>
    <row r="398" spans="1:27" x14ac:dyDescent="0.3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391</v>
      </c>
      <c r="D398" t="s">
        <v>391</v>
      </c>
      <c r="E398" t="s">
        <v>79</v>
      </c>
      <c r="F398" s="10"/>
      <c r="G398" s="7"/>
      <c r="H398" s="7"/>
      <c r="I398" s="7"/>
      <c r="P398" s="5">
        <v>1</v>
      </c>
      <c r="S398" s="5">
        <f>SUM(bron[[#This Row],[Januari]:[December]])</f>
        <v>1</v>
      </c>
      <c r="T398" s="9">
        <v>45576</v>
      </c>
      <c r="U398" s="8" t="s">
        <v>868</v>
      </c>
      <c r="V398" s="8">
        <v>1</v>
      </c>
      <c r="W398" s="8"/>
      <c r="X398" t="s">
        <v>7</v>
      </c>
      <c r="Y398" t="s">
        <v>16</v>
      </c>
      <c r="AA398"/>
    </row>
    <row r="399" spans="1:27" x14ac:dyDescent="0.3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P399" s="5">
        <v>1</v>
      </c>
      <c r="S399" s="5">
        <f>SUM(bron[[#This Row],[Januari]:[December]])</f>
        <v>1</v>
      </c>
      <c r="T399" s="9">
        <v>45577</v>
      </c>
      <c r="U399" s="8" t="s">
        <v>869</v>
      </c>
      <c r="V399" s="8">
        <v>1</v>
      </c>
      <c r="W399" s="8"/>
      <c r="X399" t="s">
        <v>7</v>
      </c>
      <c r="Y399" t="s">
        <v>203</v>
      </c>
      <c r="AA399"/>
    </row>
    <row r="400" spans="1:27" x14ac:dyDescent="0.3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P400" s="5">
        <v>1</v>
      </c>
      <c r="S400" s="5">
        <f>SUM(bron[[#This Row],[Januari]:[December]])</f>
        <v>1</v>
      </c>
      <c r="T400" s="9">
        <v>45578</v>
      </c>
      <c r="U400" s="8" t="s">
        <v>870</v>
      </c>
      <c r="V400" s="8">
        <v>1</v>
      </c>
      <c r="W400" s="8"/>
      <c r="X400" t="s">
        <v>7</v>
      </c>
      <c r="Y400" t="s">
        <v>13</v>
      </c>
      <c r="AA400"/>
    </row>
    <row r="401" spans="1:27" x14ac:dyDescent="0.3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P401" s="5">
        <v>1</v>
      </c>
      <c r="S401" s="5">
        <f>SUM(bron[[#This Row],[Januari]:[December]])</f>
        <v>1</v>
      </c>
      <c r="T401" s="9">
        <v>45579</v>
      </c>
      <c r="U401" s="8" t="s">
        <v>871</v>
      </c>
      <c r="V401" s="8">
        <v>1</v>
      </c>
      <c r="W401" s="8"/>
      <c r="X401" t="s">
        <v>7</v>
      </c>
      <c r="Y401" t="s">
        <v>10</v>
      </c>
      <c r="AA401"/>
    </row>
    <row r="402" spans="1:27" x14ac:dyDescent="0.3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P402" s="5">
        <v>1</v>
      </c>
      <c r="S402" s="5">
        <f>SUM(bron[[#This Row],[Januari]:[December]])</f>
        <v>1</v>
      </c>
      <c r="T402" s="9">
        <v>45579</v>
      </c>
      <c r="U402" s="8" t="s">
        <v>872</v>
      </c>
      <c r="V402" s="8">
        <v>1</v>
      </c>
      <c r="W402" s="8"/>
      <c r="X402" t="s">
        <v>7</v>
      </c>
      <c r="Y402" t="s">
        <v>185</v>
      </c>
      <c r="AA402"/>
    </row>
    <row r="403" spans="1:27" x14ac:dyDescent="0.3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P403" s="5">
        <v>1</v>
      </c>
      <c r="S403" s="5">
        <f>SUM(bron[[#This Row],[Januari]:[December]])</f>
        <v>1</v>
      </c>
      <c r="T403" s="9">
        <v>45579</v>
      </c>
      <c r="U403" s="8" t="s">
        <v>873</v>
      </c>
      <c r="V403" s="8"/>
      <c r="W403" s="8">
        <v>1</v>
      </c>
      <c r="X403" t="s">
        <v>8</v>
      </c>
      <c r="Y403" t="s">
        <v>489</v>
      </c>
      <c r="AA403"/>
    </row>
    <row r="404" spans="1:27" x14ac:dyDescent="0.3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P404" s="5">
        <v>1</v>
      </c>
      <c r="S404" s="5">
        <f>SUM(bron[[#This Row],[Januari]:[December]])</f>
        <v>1</v>
      </c>
      <c r="T404" s="9">
        <v>45579</v>
      </c>
      <c r="U404" s="8" t="s">
        <v>874</v>
      </c>
      <c r="V404" s="8"/>
      <c r="W404" s="8">
        <v>1</v>
      </c>
      <c r="X404" t="s">
        <v>8</v>
      </c>
      <c r="Y404" t="s">
        <v>5</v>
      </c>
      <c r="AA404"/>
    </row>
    <row r="405" spans="1:27" x14ac:dyDescent="0.3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P405" s="5">
        <v>1</v>
      </c>
      <c r="S405" s="5">
        <f>SUM(bron[[#This Row],[Januari]:[December]])</f>
        <v>1</v>
      </c>
      <c r="T405" s="9">
        <v>45579</v>
      </c>
      <c r="U405" s="8" t="s">
        <v>875</v>
      </c>
      <c r="V405" s="8">
        <v>1</v>
      </c>
      <c r="W405" s="8"/>
      <c r="X405" t="s">
        <v>7</v>
      </c>
      <c r="Y405" t="s">
        <v>19</v>
      </c>
      <c r="AA405"/>
    </row>
    <row r="406" spans="1:27" x14ac:dyDescent="0.3">
      <c r="A406">
        <v>36569</v>
      </c>
      <c r="B406" t="str">
        <f>_xlfn.CONCAT(bron[[#This Row],[personeelsnr]]," ",bron[[#This Row],[achternaam]]," ",bron[[#This Row],[voornaam]])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  <c r="F406" s="10"/>
      <c r="G406" s="7"/>
      <c r="H406" s="7"/>
      <c r="I406" s="7"/>
      <c r="P406" s="5">
        <v>1</v>
      </c>
      <c r="S406" s="5">
        <f>SUM(bron[[#This Row],[Januari]:[December]])</f>
        <v>1</v>
      </c>
      <c r="T406" s="9">
        <v>45580</v>
      </c>
      <c r="U406" s="8" t="s">
        <v>876</v>
      </c>
      <c r="V406" s="8">
        <v>1</v>
      </c>
      <c r="W406" s="8"/>
      <c r="X406" t="s">
        <v>7</v>
      </c>
      <c r="Y406" t="s">
        <v>10</v>
      </c>
      <c r="AA406"/>
    </row>
    <row r="407" spans="1:27" x14ac:dyDescent="0.3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391</v>
      </c>
      <c r="D407" t="s">
        <v>391</v>
      </c>
      <c r="E407" t="s">
        <v>79</v>
      </c>
      <c r="F407" s="10"/>
      <c r="G407" s="7"/>
      <c r="H407" s="7"/>
      <c r="I407" s="7"/>
      <c r="P407" s="5">
        <v>1</v>
      </c>
      <c r="S407" s="5">
        <f>SUM(bron[[#This Row],[Januari]:[December]])</f>
        <v>1</v>
      </c>
      <c r="T407" s="9">
        <v>45582</v>
      </c>
      <c r="U407" s="8" t="s">
        <v>877</v>
      </c>
      <c r="V407" s="8">
        <v>1</v>
      </c>
      <c r="W407" s="8"/>
      <c r="X407" t="s">
        <v>7</v>
      </c>
      <c r="Y407" t="s">
        <v>54</v>
      </c>
      <c r="AA407"/>
    </row>
    <row r="408" spans="1:27" x14ac:dyDescent="0.3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P408" s="5">
        <v>1</v>
      </c>
      <c r="S408" s="5">
        <f>SUM(bron[[#This Row],[Januari]:[December]])</f>
        <v>1</v>
      </c>
      <c r="T408" s="9">
        <v>45583</v>
      </c>
      <c r="U408" s="8" t="s">
        <v>878</v>
      </c>
      <c r="V408" s="8">
        <v>1</v>
      </c>
      <c r="W408" s="8"/>
      <c r="X408" t="s">
        <v>7</v>
      </c>
      <c r="Y408" t="s">
        <v>119</v>
      </c>
      <c r="AA408"/>
    </row>
    <row r="409" spans="1:27" x14ac:dyDescent="0.3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P409" s="5">
        <v>1</v>
      </c>
      <c r="S409" s="5">
        <f>SUM(bron[[#This Row],[Januari]:[December]])</f>
        <v>1</v>
      </c>
      <c r="T409" s="9">
        <v>45584</v>
      </c>
      <c r="U409" s="8" t="s">
        <v>879</v>
      </c>
      <c r="V409" s="8">
        <v>1</v>
      </c>
      <c r="W409" s="8"/>
      <c r="X409" t="s">
        <v>7</v>
      </c>
      <c r="Y409" t="s">
        <v>119</v>
      </c>
      <c r="AA409"/>
    </row>
    <row r="410" spans="1:27" x14ac:dyDescent="0.3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P410" s="5">
        <v>1</v>
      </c>
      <c r="S410" s="5">
        <f>SUM(bron[[#This Row],[Januari]:[December]])</f>
        <v>1</v>
      </c>
      <c r="T410" s="9">
        <v>45584</v>
      </c>
      <c r="U410" s="8" t="s">
        <v>880</v>
      </c>
      <c r="V410" s="8">
        <v>1</v>
      </c>
      <c r="W410" s="8"/>
      <c r="X410" t="s">
        <v>7</v>
      </c>
      <c r="Y410" t="s">
        <v>25</v>
      </c>
      <c r="AA410"/>
    </row>
    <row r="411" spans="1:27" x14ac:dyDescent="0.3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P411" s="5">
        <v>1</v>
      </c>
      <c r="S411" s="5">
        <f>SUM(bron[[#This Row],[Januari]:[December]])</f>
        <v>1</v>
      </c>
      <c r="T411" s="9">
        <v>45586</v>
      </c>
      <c r="U411" s="8" t="s">
        <v>881</v>
      </c>
      <c r="V411" s="8"/>
      <c r="W411" s="8">
        <v>1</v>
      </c>
      <c r="X411" t="s">
        <v>8</v>
      </c>
      <c r="Y411" t="s">
        <v>10</v>
      </c>
      <c r="AA411"/>
    </row>
    <row r="412" spans="1:27" x14ac:dyDescent="0.3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P412" s="5">
        <v>1</v>
      </c>
      <c r="S412" s="5">
        <f>SUM(bron[[#This Row],[Januari]:[December]])</f>
        <v>1</v>
      </c>
      <c r="T412" s="9">
        <v>45586</v>
      </c>
      <c r="U412" s="8" t="s">
        <v>882</v>
      </c>
      <c r="V412" s="8"/>
      <c r="W412" s="8">
        <v>1</v>
      </c>
      <c r="X412" t="s">
        <v>8</v>
      </c>
      <c r="Y412" t="s">
        <v>69</v>
      </c>
      <c r="AA412"/>
    </row>
    <row r="413" spans="1:27" x14ac:dyDescent="0.3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P413" s="5">
        <v>1</v>
      </c>
      <c r="S413" s="5">
        <f>SUM(bron[[#This Row],[Januari]:[December]])</f>
        <v>1</v>
      </c>
      <c r="T413" s="9">
        <v>45587</v>
      </c>
      <c r="U413" s="8" t="s">
        <v>883</v>
      </c>
      <c r="V413" s="8">
        <v>1</v>
      </c>
      <c r="W413" s="8"/>
      <c r="X413" t="s">
        <v>7</v>
      </c>
      <c r="Y413" t="s">
        <v>25</v>
      </c>
      <c r="AA413"/>
    </row>
    <row r="414" spans="1:27" x14ac:dyDescent="0.3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P414" s="5">
        <v>1</v>
      </c>
      <c r="S414" s="5">
        <f>SUM(bron[[#This Row],[Januari]:[December]])</f>
        <v>1</v>
      </c>
      <c r="T414" s="9">
        <v>45587</v>
      </c>
      <c r="U414" s="8" t="s">
        <v>884</v>
      </c>
      <c r="V414" s="8"/>
      <c r="W414" s="8">
        <v>1</v>
      </c>
      <c r="X414" t="s">
        <v>8</v>
      </c>
      <c r="Y414" t="s">
        <v>885</v>
      </c>
      <c r="AA414"/>
    </row>
    <row r="415" spans="1:27" x14ac:dyDescent="0.3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P415" s="5">
        <v>1</v>
      </c>
      <c r="S415" s="5">
        <f>SUM(bron[[#This Row],[Januari]:[December]])</f>
        <v>1</v>
      </c>
      <c r="T415" s="9">
        <v>45588</v>
      </c>
      <c r="U415" s="8" t="s">
        <v>886</v>
      </c>
      <c r="V415" s="8">
        <v>1</v>
      </c>
      <c r="W415" s="8"/>
      <c r="X415" t="s">
        <v>7</v>
      </c>
      <c r="Y415" t="s">
        <v>119</v>
      </c>
      <c r="AA415"/>
    </row>
    <row r="416" spans="1:27" x14ac:dyDescent="0.3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P416" s="5">
        <v>1</v>
      </c>
      <c r="S416" s="5">
        <f>SUM(bron[[#This Row],[Januari]:[December]])</f>
        <v>1</v>
      </c>
      <c r="T416" s="9">
        <v>45588</v>
      </c>
      <c r="U416" s="8" t="s">
        <v>887</v>
      </c>
      <c r="V416" s="8"/>
      <c r="W416" s="8">
        <v>1</v>
      </c>
      <c r="X416" t="s">
        <v>8</v>
      </c>
      <c r="Y416" t="s">
        <v>10</v>
      </c>
      <c r="AA416"/>
    </row>
    <row r="417" spans="1:27" x14ac:dyDescent="0.3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P417" s="5">
        <v>1</v>
      </c>
      <c r="S417" s="5">
        <f>SUM(bron[[#This Row],[Januari]:[December]])</f>
        <v>1</v>
      </c>
      <c r="T417" s="9">
        <v>45589</v>
      </c>
      <c r="U417" s="8" t="s">
        <v>888</v>
      </c>
      <c r="V417" s="8">
        <v>1</v>
      </c>
      <c r="W417" s="8"/>
      <c r="X417" t="s">
        <v>7</v>
      </c>
      <c r="Y417" t="s">
        <v>427</v>
      </c>
      <c r="AA417"/>
    </row>
    <row r="418" spans="1:27" x14ac:dyDescent="0.3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P418" s="5">
        <v>1</v>
      </c>
      <c r="S418" s="5">
        <f>SUM(bron[[#This Row],[Januari]:[December]])</f>
        <v>1</v>
      </c>
      <c r="T418" s="9">
        <v>45589</v>
      </c>
      <c r="U418" s="8" t="s">
        <v>889</v>
      </c>
      <c r="V418" s="8">
        <v>1</v>
      </c>
      <c r="W418" s="8"/>
      <c r="X418" t="s">
        <v>7</v>
      </c>
      <c r="Y418" t="s">
        <v>427</v>
      </c>
      <c r="AA418"/>
    </row>
    <row r="419" spans="1:27" x14ac:dyDescent="0.3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P419" s="5">
        <v>1</v>
      </c>
      <c r="S419" s="5">
        <f>SUM(bron[[#This Row],[Januari]:[December]])</f>
        <v>1</v>
      </c>
      <c r="T419" s="9">
        <v>45589</v>
      </c>
      <c r="U419" s="8" t="s">
        <v>890</v>
      </c>
      <c r="V419" s="8">
        <v>1</v>
      </c>
      <c r="W419" s="8"/>
      <c r="X419" t="s">
        <v>7</v>
      </c>
      <c r="Y419" t="s">
        <v>10</v>
      </c>
      <c r="AA419"/>
    </row>
    <row r="420" spans="1:27" x14ac:dyDescent="0.3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P420" s="5">
        <v>1</v>
      </c>
      <c r="S420" s="5">
        <f>SUM(bron[[#This Row],[Januari]:[December]])</f>
        <v>1</v>
      </c>
      <c r="T420" s="9">
        <v>45589</v>
      </c>
      <c r="U420" s="8" t="s">
        <v>891</v>
      </c>
      <c r="V420" s="8">
        <v>1</v>
      </c>
      <c r="W420" s="8"/>
      <c r="X420" t="s">
        <v>7</v>
      </c>
      <c r="Y420" t="s">
        <v>177</v>
      </c>
      <c r="AA420"/>
    </row>
    <row r="421" spans="1:27" x14ac:dyDescent="0.3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P421" s="5">
        <v>1</v>
      </c>
      <c r="S421" s="5">
        <f>SUM(bron[[#This Row],[Januari]:[December]])</f>
        <v>1</v>
      </c>
      <c r="T421" s="9">
        <v>45590</v>
      </c>
      <c r="U421" s="8" t="s">
        <v>892</v>
      </c>
      <c r="V421" s="8">
        <v>1</v>
      </c>
      <c r="W421" s="8"/>
      <c r="X421" t="s">
        <v>7</v>
      </c>
      <c r="Y421" t="s">
        <v>157</v>
      </c>
      <c r="AA421"/>
    </row>
    <row r="422" spans="1:27" x14ac:dyDescent="0.3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P422" s="5">
        <v>1</v>
      </c>
      <c r="S422" s="5">
        <f>SUM(bron[[#This Row],[Januari]:[December]])</f>
        <v>1</v>
      </c>
      <c r="T422" s="9">
        <v>45590</v>
      </c>
      <c r="U422" s="8" t="s">
        <v>893</v>
      </c>
      <c r="V422" s="8">
        <v>1</v>
      </c>
      <c r="W422" s="8"/>
      <c r="X422" t="s">
        <v>7</v>
      </c>
      <c r="Y422" t="s">
        <v>72</v>
      </c>
      <c r="AA422"/>
    </row>
    <row r="423" spans="1:27" x14ac:dyDescent="0.3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P423" s="5">
        <v>1</v>
      </c>
      <c r="S423" s="5">
        <f>SUM(bron[[#This Row],[Januari]:[December]])</f>
        <v>1</v>
      </c>
      <c r="T423" s="9">
        <v>45591</v>
      </c>
      <c r="U423" s="8" t="s">
        <v>894</v>
      </c>
      <c r="V423" s="8">
        <v>1</v>
      </c>
      <c r="W423" s="8"/>
      <c r="X423" t="s">
        <v>7</v>
      </c>
      <c r="Y423" t="s">
        <v>519</v>
      </c>
      <c r="AA423"/>
    </row>
    <row r="424" spans="1:27" x14ac:dyDescent="0.3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P424" s="5">
        <v>1</v>
      </c>
      <c r="S424" s="5">
        <f>SUM(bron[[#This Row],[Januari]:[December]])</f>
        <v>1</v>
      </c>
      <c r="T424" s="9">
        <v>45591</v>
      </c>
      <c r="U424" s="8" t="s">
        <v>895</v>
      </c>
      <c r="V424" s="8"/>
      <c r="W424" s="8">
        <v>1</v>
      </c>
      <c r="X424" t="s">
        <v>8</v>
      </c>
      <c r="Y424" t="s">
        <v>739</v>
      </c>
      <c r="AA424"/>
    </row>
    <row r="425" spans="1:27" x14ac:dyDescent="0.3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P425" s="5">
        <v>1</v>
      </c>
      <c r="S425" s="5">
        <f>SUM(bron[[#This Row],[Januari]:[December]])</f>
        <v>1</v>
      </c>
      <c r="T425" s="9">
        <v>45593</v>
      </c>
      <c r="U425" s="8" t="s">
        <v>896</v>
      </c>
      <c r="V425" s="8">
        <v>1</v>
      </c>
      <c r="W425" s="8"/>
      <c r="X425" t="s">
        <v>7</v>
      </c>
      <c r="Y425" t="s">
        <v>179</v>
      </c>
      <c r="AA425"/>
    </row>
    <row r="426" spans="1:27" x14ac:dyDescent="0.3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P426" s="5">
        <v>1</v>
      </c>
      <c r="S426" s="5">
        <f>SUM(bron[[#This Row],[Januari]:[December]])</f>
        <v>1</v>
      </c>
      <c r="T426" s="9">
        <v>45593</v>
      </c>
      <c r="U426" s="8" t="s">
        <v>897</v>
      </c>
      <c r="V426" s="8"/>
      <c r="W426" s="8">
        <v>1</v>
      </c>
      <c r="X426" t="s">
        <v>8</v>
      </c>
      <c r="Y426" t="s">
        <v>104</v>
      </c>
      <c r="AA426"/>
    </row>
    <row r="427" spans="1:27" x14ac:dyDescent="0.3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P427" s="5">
        <v>1</v>
      </c>
      <c r="S427" s="5">
        <f>SUM(bron[[#This Row],[Januari]:[December]])</f>
        <v>1</v>
      </c>
      <c r="T427" s="9">
        <v>45595</v>
      </c>
      <c r="U427" s="8" t="s">
        <v>898</v>
      </c>
      <c r="V427" s="8">
        <v>1</v>
      </c>
      <c r="W427" s="8"/>
      <c r="X427" t="s">
        <v>7</v>
      </c>
      <c r="Y427" t="s">
        <v>22</v>
      </c>
      <c r="AA427"/>
    </row>
    <row r="428" spans="1:27" x14ac:dyDescent="0.3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P428" s="5">
        <v>1</v>
      </c>
      <c r="S428" s="5">
        <f>SUM(bron[[#This Row],[Januari]:[December]])</f>
        <v>1</v>
      </c>
      <c r="T428" s="9">
        <v>45595</v>
      </c>
      <c r="U428" s="8" t="s">
        <v>899</v>
      </c>
      <c r="V428" s="8">
        <v>1</v>
      </c>
      <c r="W428" s="8"/>
      <c r="X428" t="s">
        <v>7</v>
      </c>
      <c r="Y428" t="s">
        <v>34</v>
      </c>
      <c r="AA428"/>
    </row>
    <row r="429" spans="1:27" x14ac:dyDescent="0.3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Q429" s="5">
        <v>1</v>
      </c>
      <c r="S429" s="5">
        <f>SUM(bron[[#This Row],[Januari]:[December]])</f>
        <v>1</v>
      </c>
      <c r="T429" s="9">
        <v>45598</v>
      </c>
      <c r="U429" s="8" t="s">
        <v>900</v>
      </c>
      <c r="V429" s="8">
        <v>1</v>
      </c>
      <c r="W429" s="8"/>
      <c r="X429" t="s">
        <v>7</v>
      </c>
      <c r="Y429" t="s">
        <v>203</v>
      </c>
      <c r="AA429"/>
    </row>
    <row r="430" spans="1:27" x14ac:dyDescent="0.3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391</v>
      </c>
      <c r="D430" t="s">
        <v>391</v>
      </c>
      <c r="E430" t="s">
        <v>79</v>
      </c>
      <c r="F430" s="10"/>
      <c r="G430" s="7"/>
      <c r="H430" s="7"/>
      <c r="I430" s="7"/>
      <c r="Q430" s="5">
        <v>1</v>
      </c>
      <c r="S430" s="5">
        <f>SUM(bron[[#This Row],[Januari]:[December]])</f>
        <v>1</v>
      </c>
      <c r="T430" s="9">
        <v>45598</v>
      </c>
      <c r="U430" s="8" t="s">
        <v>901</v>
      </c>
      <c r="V430" s="8">
        <v>1</v>
      </c>
      <c r="W430" s="8"/>
      <c r="X430" t="s">
        <v>7</v>
      </c>
      <c r="Y430" t="s">
        <v>100</v>
      </c>
      <c r="AA430"/>
    </row>
    <row r="431" spans="1:27" x14ac:dyDescent="0.3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Q431" s="5">
        <v>1</v>
      </c>
      <c r="S431" s="5">
        <f>SUM(bron[[#This Row],[Januari]:[December]])</f>
        <v>1</v>
      </c>
      <c r="T431" s="9">
        <v>45600</v>
      </c>
      <c r="U431" s="8" t="s">
        <v>902</v>
      </c>
      <c r="V431" s="8">
        <v>1</v>
      </c>
      <c r="W431" s="8"/>
      <c r="X431" t="s">
        <v>7</v>
      </c>
      <c r="Y431" t="s">
        <v>10</v>
      </c>
      <c r="AA431"/>
    </row>
    <row r="432" spans="1:27" x14ac:dyDescent="0.3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Q432" s="5">
        <v>1</v>
      </c>
      <c r="S432" s="5">
        <f>SUM(bron[[#This Row],[Januari]:[December]])</f>
        <v>1</v>
      </c>
      <c r="T432" s="9">
        <v>45600</v>
      </c>
      <c r="U432" s="8" t="s">
        <v>903</v>
      </c>
      <c r="V432" s="8">
        <v>1</v>
      </c>
      <c r="W432" s="8"/>
      <c r="X432" t="s">
        <v>7</v>
      </c>
      <c r="Y432" t="s">
        <v>10</v>
      </c>
      <c r="AA432"/>
    </row>
    <row r="433" spans="1:27" x14ac:dyDescent="0.3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Q433" s="5">
        <v>1</v>
      </c>
      <c r="S433" s="5">
        <f>SUM(bron[[#This Row],[Januari]:[December]])</f>
        <v>1</v>
      </c>
      <c r="T433" s="9">
        <v>45600</v>
      </c>
      <c r="U433" s="8" t="s">
        <v>904</v>
      </c>
      <c r="V433" s="8">
        <v>1</v>
      </c>
      <c r="W433" s="8"/>
      <c r="X433" t="s">
        <v>7</v>
      </c>
      <c r="Y433" t="s">
        <v>10</v>
      </c>
      <c r="AA433"/>
    </row>
    <row r="434" spans="1:27" x14ac:dyDescent="0.3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Q434" s="5">
        <v>1</v>
      </c>
      <c r="S434" s="5">
        <f>SUM(bron[[#This Row],[Januari]:[December]])</f>
        <v>1</v>
      </c>
      <c r="T434" s="9">
        <v>45601</v>
      </c>
      <c r="U434" s="8" t="s">
        <v>905</v>
      </c>
      <c r="V434" s="8">
        <v>1</v>
      </c>
      <c r="W434" s="8"/>
      <c r="X434" t="s">
        <v>7</v>
      </c>
      <c r="Y434" t="s">
        <v>10</v>
      </c>
      <c r="AA434"/>
    </row>
    <row r="435" spans="1:27" x14ac:dyDescent="0.3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Q435" s="5">
        <v>1</v>
      </c>
      <c r="S435" s="5">
        <f>SUM(bron[[#This Row],[Januari]:[December]])</f>
        <v>1</v>
      </c>
      <c r="T435" s="9">
        <v>45602</v>
      </c>
      <c r="U435" s="8" t="s">
        <v>906</v>
      </c>
      <c r="V435" s="8">
        <v>1</v>
      </c>
      <c r="W435" s="8"/>
      <c r="X435" t="s">
        <v>7</v>
      </c>
      <c r="Y435" t="s">
        <v>907</v>
      </c>
      <c r="AA435"/>
    </row>
    <row r="436" spans="1:27" x14ac:dyDescent="0.3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Q436" s="5">
        <v>1</v>
      </c>
      <c r="S436" s="5">
        <f>SUM(bron[[#This Row],[Januari]:[December]])</f>
        <v>1</v>
      </c>
      <c r="T436" s="9">
        <v>45602</v>
      </c>
      <c r="U436" s="8" t="s">
        <v>908</v>
      </c>
      <c r="V436" s="8">
        <v>1</v>
      </c>
      <c r="W436" s="8"/>
      <c r="X436" t="s">
        <v>7</v>
      </c>
      <c r="Y436" t="s">
        <v>19</v>
      </c>
      <c r="AA436"/>
    </row>
    <row r="437" spans="1:27" x14ac:dyDescent="0.3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Q437" s="5">
        <v>1</v>
      </c>
      <c r="S437" s="5">
        <f>SUM(bron[[#This Row],[Januari]:[December]])</f>
        <v>1</v>
      </c>
      <c r="T437" s="9">
        <v>45603</v>
      </c>
      <c r="U437" s="8" t="s">
        <v>909</v>
      </c>
      <c r="V437" s="8"/>
      <c r="W437" s="8">
        <v>1</v>
      </c>
      <c r="X437" t="s">
        <v>8</v>
      </c>
      <c r="Y437" t="s">
        <v>910</v>
      </c>
      <c r="AA437"/>
    </row>
    <row r="438" spans="1:27" x14ac:dyDescent="0.3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Q438" s="5">
        <v>1</v>
      </c>
      <c r="S438" s="5">
        <f>SUM(bron[[#This Row],[Januari]:[December]])</f>
        <v>1</v>
      </c>
      <c r="T438" s="9">
        <v>45603</v>
      </c>
      <c r="U438" s="8" t="s">
        <v>911</v>
      </c>
      <c r="V438" s="8">
        <v>1</v>
      </c>
      <c r="W438" s="8"/>
      <c r="X438" t="s">
        <v>7</v>
      </c>
      <c r="Y438" t="s">
        <v>671</v>
      </c>
      <c r="AA438"/>
    </row>
    <row r="439" spans="1:27" x14ac:dyDescent="0.3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Q439" s="5">
        <v>1</v>
      </c>
      <c r="S439" s="5">
        <f>SUM(bron[[#This Row],[Januari]:[December]])</f>
        <v>1</v>
      </c>
      <c r="T439" s="9">
        <v>45604</v>
      </c>
      <c r="U439" s="8" t="s">
        <v>912</v>
      </c>
      <c r="V439" s="8"/>
      <c r="W439" s="8">
        <v>1</v>
      </c>
      <c r="X439" t="s">
        <v>8</v>
      </c>
      <c r="Y439" t="s">
        <v>10</v>
      </c>
      <c r="AA439"/>
    </row>
    <row r="440" spans="1:27" x14ac:dyDescent="0.3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Q440" s="5">
        <v>1</v>
      </c>
      <c r="S440" s="5">
        <f>SUM(bron[[#This Row],[Januari]:[December]])</f>
        <v>1</v>
      </c>
      <c r="T440" s="9">
        <v>45604</v>
      </c>
      <c r="U440" s="8" t="s">
        <v>913</v>
      </c>
      <c r="V440" s="8"/>
      <c r="W440" s="8">
        <v>1</v>
      </c>
      <c r="X440" t="s">
        <v>8</v>
      </c>
      <c r="Y440" t="s">
        <v>31</v>
      </c>
      <c r="AA440"/>
    </row>
    <row r="441" spans="1:27" x14ac:dyDescent="0.3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Q441" s="5">
        <v>1</v>
      </c>
      <c r="S441" s="5">
        <f>SUM(bron[[#This Row],[Januari]:[December]])</f>
        <v>1</v>
      </c>
      <c r="T441" s="9">
        <v>45605</v>
      </c>
      <c r="U441" s="8" t="s">
        <v>914</v>
      </c>
      <c r="V441" s="8">
        <v>1</v>
      </c>
      <c r="W441" s="8"/>
      <c r="X441" t="s">
        <v>7</v>
      </c>
      <c r="Y441" t="s">
        <v>10</v>
      </c>
      <c r="AA441"/>
    </row>
    <row r="442" spans="1:27" x14ac:dyDescent="0.3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Q442" s="5">
        <v>1</v>
      </c>
      <c r="S442" s="5">
        <f>SUM(bron[[#This Row],[Januari]:[December]])</f>
        <v>1</v>
      </c>
      <c r="T442" s="9">
        <v>45605</v>
      </c>
      <c r="U442" s="8" t="s">
        <v>915</v>
      </c>
      <c r="V442" s="8">
        <v>1</v>
      </c>
      <c r="W442" s="8"/>
      <c r="X442" t="s">
        <v>7</v>
      </c>
      <c r="Y442" t="s">
        <v>48</v>
      </c>
      <c r="AA442"/>
    </row>
    <row r="443" spans="1:27" x14ac:dyDescent="0.3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Q443" s="5">
        <v>1</v>
      </c>
      <c r="S443" s="5">
        <f>SUM(bron[[#This Row],[Januari]:[December]])</f>
        <v>1</v>
      </c>
      <c r="T443" s="9">
        <v>45607</v>
      </c>
      <c r="U443" s="8" t="s">
        <v>916</v>
      </c>
      <c r="V443" s="8"/>
      <c r="W443" s="8">
        <v>1</v>
      </c>
      <c r="X443" t="s">
        <v>8</v>
      </c>
      <c r="Y443" t="s">
        <v>279</v>
      </c>
      <c r="AA443"/>
    </row>
    <row r="444" spans="1:27" x14ac:dyDescent="0.3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Q444" s="5">
        <v>1</v>
      </c>
      <c r="S444" s="5">
        <f>SUM(bron[[#This Row],[Januari]:[December]])</f>
        <v>1</v>
      </c>
      <c r="T444" s="9">
        <v>45608</v>
      </c>
      <c r="U444" s="8" t="s">
        <v>917</v>
      </c>
      <c r="V444" s="8">
        <v>1</v>
      </c>
      <c r="W444" s="8"/>
      <c r="X444" t="s">
        <v>7</v>
      </c>
      <c r="Y444" t="s">
        <v>66</v>
      </c>
      <c r="AA444"/>
    </row>
    <row r="445" spans="1:27" x14ac:dyDescent="0.3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Q445" s="5">
        <v>1</v>
      </c>
      <c r="S445" s="5">
        <f>SUM(bron[[#This Row],[Januari]:[December]])</f>
        <v>1</v>
      </c>
      <c r="T445" s="9">
        <v>45608</v>
      </c>
      <c r="U445" s="8" t="s">
        <v>918</v>
      </c>
      <c r="V445" s="8">
        <v>1</v>
      </c>
      <c r="W445" s="8"/>
      <c r="X445" t="s">
        <v>7</v>
      </c>
      <c r="Y445" t="s">
        <v>10</v>
      </c>
      <c r="AA445"/>
    </row>
    <row r="446" spans="1:27" x14ac:dyDescent="0.3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Q446" s="5">
        <v>1</v>
      </c>
      <c r="S446" s="5">
        <f>SUM(bron[[#This Row],[Januari]:[December]])</f>
        <v>1</v>
      </c>
      <c r="T446" s="9">
        <v>45609</v>
      </c>
      <c r="U446" s="8" t="s">
        <v>919</v>
      </c>
      <c r="V446" s="8">
        <v>1</v>
      </c>
      <c r="W446" s="8"/>
      <c r="X446" t="s">
        <v>7</v>
      </c>
      <c r="Y446" t="s">
        <v>31</v>
      </c>
      <c r="AA446"/>
    </row>
    <row r="447" spans="1:27" x14ac:dyDescent="0.3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Q447" s="5">
        <v>1</v>
      </c>
      <c r="S447" s="5">
        <f>SUM(bron[[#This Row],[Januari]:[December]])</f>
        <v>1</v>
      </c>
      <c r="T447" s="9">
        <v>45609</v>
      </c>
      <c r="U447" s="8" t="s">
        <v>920</v>
      </c>
      <c r="V447" s="8"/>
      <c r="W447" s="8">
        <v>1</v>
      </c>
      <c r="X447" t="s">
        <v>8</v>
      </c>
      <c r="Y447" t="s">
        <v>542</v>
      </c>
      <c r="AA447"/>
    </row>
    <row r="448" spans="1:27" x14ac:dyDescent="0.3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391</v>
      </c>
      <c r="D448" t="s">
        <v>391</v>
      </c>
      <c r="E448" t="s">
        <v>79</v>
      </c>
      <c r="F448" s="10"/>
      <c r="G448" s="7"/>
      <c r="H448" s="7"/>
      <c r="I448" s="7"/>
      <c r="Q448" s="5">
        <v>1</v>
      </c>
      <c r="S448" s="5">
        <f>SUM(bron[[#This Row],[Januari]:[December]])</f>
        <v>1</v>
      </c>
      <c r="T448" s="9">
        <v>45610</v>
      </c>
      <c r="U448" s="8" t="s">
        <v>921</v>
      </c>
      <c r="V448" s="8">
        <v>1</v>
      </c>
      <c r="W448" s="8"/>
      <c r="X448" t="s">
        <v>7</v>
      </c>
      <c r="Y448" t="s">
        <v>117</v>
      </c>
      <c r="AA448"/>
    </row>
    <row r="449" spans="1:27" x14ac:dyDescent="0.3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Q449" s="5">
        <v>1</v>
      </c>
      <c r="S449" s="5">
        <f>SUM(bron[[#This Row],[Januari]:[December]])</f>
        <v>1</v>
      </c>
      <c r="T449" s="9">
        <v>45610</v>
      </c>
      <c r="U449" s="8" t="s">
        <v>922</v>
      </c>
      <c r="V449" s="8">
        <v>1</v>
      </c>
      <c r="W449" s="8"/>
      <c r="X449" t="s">
        <v>7</v>
      </c>
      <c r="Y449" t="s">
        <v>25</v>
      </c>
      <c r="AA449"/>
    </row>
    <row r="450" spans="1:27" x14ac:dyDescent="0.3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Q450" s="5">
        <v>1</v>
      </c>
      <c r="S450" s="5">
        <f>SUM(bron[[#This Row],[Januari]:[December]])</f>
        <v>1</v>
      </c>
      <c r="T450" s="9">
        <v>45610</v>
      </c>
      <c r="U450" s="8" t="s">
        <v>923</v>
      </c>
      <c r="V450" s="8"/>
      <c r="W450" s="8">
        <v>1</v>
      </c>
      <c r="X450" t="s">
        <v>8</v>
      </c>
      <c r="Y450" t="s">
        <v>147</v>
      </c>
      <c r="AA450"/>
    </row>
    <row r="451" spans="1:27" x14ac:dyDescent="0.3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Q451" s="5">
        <v>1</v>
      </c>
      <c r="S451" s="5">
        <f>SUM(bron[[#This Row],[Januari]:[December]])</f>
        <v>1</v>
      </c>
      <c r="T451" s="9">
        <v>45611</v>
      </c>
      <c r="U451" s="8" t="s">
        <v>924</v>
      </c>
      <c r="V451" s="8">
        <v>1</v>
      </c>
      <c r="W451" s="8"/>
      <c r="X451" t="s">
        <v>7</v>
      </c>
      <c r="Y451" t="s">
        <v>10</v>
      </c>
      <c r="AA451"/>
    </row>
    <row r="452" spans="1:27" x14ac:dyDescent="0.3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Q452" s="5">
        <v>1</v>
      </c>
      <c r="S452" s="5">
        <f>SUM(bron[[#This Row],[Januari]:[December]])</f>
        <v>1</v>
      </c>
      <c r="T452" s="9">
        <v>45613</v>
      </c>
      <c r="U452" s="8" t="s">
        <v>925</v>
      </c>
      <c r="V452" s="8">
        <v>1</v>
      </c>
      <c r="W452" s="8"/>
      <c r="X452" t="s">
        <v>7</v>
      </c>
      <c r="Y452" t="s">
        <v>119</v>
      </c>
      <c r="AA452"/>
    </row>
    <row r="453" spans="1:27" x14ac:dyDescent="0.3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Q453" s="5">
        <v>1</v>
      </c>
      <c r="S453" s="5">
        <f>SUM(bron[[#This Row],[Januari]:[December]])</f>
        <v>1</v>
      </c>
      <c r="T453" s="9">
        <v>45614</v>
      </c>
      <c r="U453" s="8" t="s">
        <v>926</v>
      </c>
      <c r="V453" s="8"/>
      <c r="W453" s="8">
        <v>1</v>
      </c>
      <c r="X453" t="s">
        <v>8</v>
      </c>
      <c r="Y453" t="s">
        <v>10</v>
      </c>
      <c r="AA453"/>
    </row>
    <row r="454" spans="1:27" x14ac:dyDescent="0.3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Q454" s="5">
        <v>1</v>
      </c>
      <c r="S454" s="5">
        <f>SUM(bron[[#This Row],[Januari]:[December]])</f>
        <v>1</v>
      </c>
      <c r="T454" s="9">
        <v>45615</v>
      </c>
      <c r="U454" s="8" t="s">
        <v>927</v>
      </c>
      <c r="V454" s="8">
        <v>1</v>
      </c>
      <c r="W454" s="8"/>
      <c r="X454" t="s">
        <v>7</v>
      </c>
      <c r="Y454" t="s">
        <v>928</v>
      </c>
      <c r="AA454"/>
    </row>
    <row r="455" spans="1:27" x14ac:dyDescent="0.3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Q455" s="5">
        <v>1</v>
      </c>
      <c r="S455" s="5">
        <f>SUM(bron[[#This Row],[Januari]:[December]])</f>
        <v>1</v>
      </c>
      <c r="T455" s="9">
        <v>45615</v>
      </c>
      <c r="U455" s="8" t="s">
        <v>929</v>
      </c>
      <c r="V455" s="8"/>
      <c r="W455" s="8">
        <v>1</v>
      </c>
      <c r="X455" t="s">
        <v>8</v>
      </c>
      <c r="Y455" t="s">
        <v>930</v>
      </c>
      <c r="AA455"/>
    </row>
    <row r="456" spans="1:27" x14ac:dyDescent="0.3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Q456" s="5">
        <v>1</v>
      </c>
      <c r="S456" s="5">
        <f>SUM(bron[[#This Row],[Januari]:[December]])</f>
        <v>1</v>
      </c>
      <c r="T456" s="9">
        <v>45615</v>
      </c>
      <c r="U456" s="8" t="s">
        <v>931</v>
      </c>
      <c r="V456" s="8"/>
      <c r="W456" s="8">
        <v>1</v>
      </c>
      <c r="X456" t="s">
        <v>8</v>
      </c>
      <c r="Y456" t="s">
        <v>533</v>
      </c>
      <c r="AA456"/>
    </row>
    <row r="457" spans="1:27" x14ac:dyDescent="0.3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Q457" s="5">
        <v>1</v>
      </c>
      <c r="S457" s="5">
        <f>SUM(bron[[#This Row],[Januari]:[December]])</f>
        <v>1</v>
      </c>
      <c r="T457" s="9">
        <v>45615</v>
      </c>
      <c r="U457" s="8" t="s">
        <v>932</v>
      </c>
      <c r="V457" s="8">
        <v>1</v>
      </c>
      <c r="W457" s="8"/>
      <c r="X457" t="s">
        <v>7</v>
      </c>
      <c r="Y457" t="s">
        <v>19</v>
      </c>
      <c r="AA457"/>
    </row>
    <row r="458" spans="1:27" x14ac:dyDescent="0.3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Q458" s="5">
        <v>1</v>
      </c>
      <c r="S458" s="5">
        <f>SUM(bron[[#This Row],[Januari]:[December]])</f>
        <v>1</v>
      </c>
      <c r="T458" s="9">
        <v>45616</v>
      </c>
      <c r="U458" s="8" t="s">
        <v>933</v>
      </c>
      <c r="V458" s="8">
        <v>1</v>
      </c>
      <c r="W458" s="8"/>
      <c r="X458" t="s">
        <v>7</v>
      </c>
      <c r="Y458" t="s">
        <v>157</v>
      </c>
      <c r="AA458"/>
    </row>
    <row r="459" spans="1:27" x14ac:dyDescent="0.3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Q459" s="5">
        <v>1</v>
      </c>
      <c r="S459" s="5">
        <f>SUM(bron[[#This Row],[Januari]:[December]])</f>
        <v>1</v>
      </c>
      <c r="T459" s="9">
        <v>45617</v>
      </c>
      <c r="U459" s="8" t="s">
        <v>934</v>
      </c>
      <c r="V459" s="8"/>
      <c r="W459" s="8">
        <v>1</v>
      </c>
      <c r="X459" t="s">
        <v>8</v>
      </c>
      <c r="Y459" t="s">
        <v>855</v>
      </c>
      <c r="AA459"/>
    </row>
    <row r="460" spans="1:27" x14ac:dyDescent="0.3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Q460" s="5">
        <v>1</v>
      </c>
      <c r="S460" s="5">
        <f>SUM(bron[[#This Row],[Januari]:[December]])</f>
        <v>1</v>
      </c>
      <c r="T460" s="9">
        <v>45618</v>
      </c>
      <c r="U460" s="8" t="s">
        <v>935</v>
      </c>
      <c r="V460" s="8">
        <v>1</v>
      </c>
      <c r="W460" s="8"/>
      <c r="X460" t="s">
        <v>7</v>
      </c>
      <c r="Y460" t="s">
        <v>291</v>
      </c>
      <c r="AA460"/>
    </row>
    <row r="461" spans="1:27" x14ac:dyDescent="0.3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Q461" s="5">
        <v>1</v>
      </c>
      <c r="S461" s="5">
        <f>SUM(bron[[#This Row],[Januari]:[December]])</f>
        <v>1</v>
      </c>
      <c r="T461" s="9">
        <v>45618</v>
      </c>
      <c r="U461" s="8" t="s">
        <v>936</v>
      </c>
      <c r="V461" s="8"/>
      <c r="W461" s="8">
        <v>1</v>
      </c>
      <c r="X461" t="s">
        <v>8</v>
      </c>
      <c r="Y461" t="s">
        <v>495</v>
      </c>
      <c r="AA461"/>
    </row>
    <row r="462" spans="1:27" x14ac:dyDescent="0.3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Q462" s="5">
        <v>1</v>
      </c>
      <c r="S462" s="5">
        <f>SUM(bron[[#This Row],[Januari]:[December]])</f>
        <v>1</v>
      </c>
      <c r="T462" s="9">
        <v>45619</v>
      </c>
      <c r="U462" s="8" t="s">
        <v>937</v>
      </c>
      <c r="V462" s="8">
        <v>1</v>
      </c>
      <c r="W462" s="8"/>
      <c r="X462" t="s">
        <v>7</v>
      </c>
      <c r="Y462" t="s">
        <v>5</v>
      </c>
      <c r="AA462"/>
    </row>
    <row r="463" spans="1:27" x14ac:dyDescent="0.3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391</v>
      </c>
      <c r="D463" t="s">
        <v>391</v>
      </c>
      <c r="E463" t="s">
        <v>79</v>
      </c>
      <c r="F463" s="10"/>
      <c r="G463" s="7"/>
      <c r="H463" s="7"/>
      <c r="I463" s="7"/>
      <c r="Q463" s="5">
        <v>1</v>
      </c>
      <c r="S463" s="5">
        <f>SUM(bron[[#This Row],[Januari]:[December]])</f>
        <v>1</v>
      </c>
      <c r="T463" s="9">
        <v>45619</v>
      </c>
      <c r="U463" s="8" t="s">
        <v>938</v>
      </c>
      <c r="V463" s="8">
        <v>1</v>
      </c>
      <c r="W463" s="8"/>
      <c r="X463" t="s">
        <v>7</v>
      </c>
      <c r="Y463" t="s">
        <v>939</v>
      </c>
      <c r="AA463"/>
    </row>
    <row r="464" spans="1:27" x14ac:dyDescent="0.3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Q464" s="5">
        <v>1</v>
      </c>
      <c r="S464" s="5">
        <f>SUM(bron[[#This Row],[Januari]:[December]])</f>
        <v>1</v>
      </c>
      <c r="T464" s="9">
        <v>45622</v>
      </c>
      <c r="U464" s="8" t="s">
        <v>940</v>
      </c>
      <c r="V464" s="8">
        <v>1</v>
      </c>
      <c r="W464" s="8"/>
      <c r="X464" t="s">
        <v>7</v>
      </c>
      <c r="Y464" t="s">
        <v>197</v>
      </c>
      <c r="AA464"/>
    </row>
    <row r="465" spans="1:27" x14ac:dyDescent="0.3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Q465" s="5">
        <v>1</v>
      </c>
      <c r="S465" s="5">
        <f>SUM(bron[[#This Row],[Januari]:[December]])</f>
        <v>1</v>
      </c>
      <c r="T465" s="9">
        <v>45624</v>
      </c>
      <c r="U465" s="8" t="s">
        <v>941</v>
      </c>
      <c r="V465" s="8">
        <v>1</v>
      </c>
      <c r="W465" s="8"/>
      <c r="X465" t="s">
        <v>7</v>
      </c>
      <c r="Y465" t="s">
        <v>19</v>
      </c>
      <c r="AA465"/>
    </row>
    <row r="466" spans="1:27" x14ac:dyDescent="0.3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Q466" s="5">
        <v>1</v>
      </c>
      <c r="S466" s="5">
        <f>SUM(bron[[#This Row],[Januari]:[December]])</f>
        <v>1</v>
      </c>
      <c r="T466" s="9">
        <v>45624</v>
      </c>
      <c r="U466" s="8" t="s">
        <v>942</v>
      </c>
      <c r="V466" s="8">
        <v>1</v>
      </c>
      <c r="W466" s="8"/>
      <c r="X466" t="s">
        <v>7</v>
      </c>
      <c r="Y466" t="s">
        <v>28</v>
      </c>
      <c r="AA466"/>
    </row>
    <row r="467" spans="1:27" x14ac:dyDescent="0.3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391</v>
      </c>
      <c r="D467" t="s">
        <v>391</v>
      </c>
      <c r="E467" t="s">
        <v>79</v>
      </c>
      <c r="F467" s="10"/>
      <c r="G467" s="7"/>
      <c r="H467" s="7"/>
      <c r="I467" s="7"/>
      <c r="Q467" s="5">
        <v>1</v>
      </c>
      <c r="S467" s="5">
        <f>SUM(bron[[#This Row],[Januari]:[December]])</f>
        <v>1</v>
      </c>
      <c r="T467" s="9">
        <v>45625</v>
      </c>
      <c r="U467" s="8" t="s">
        <v>943</v>
      </c>
      <c r="V467" s="8">
        <v>1</v>
      </c>
      <c r="W467" s="8"/>
      <c r="X467" t="s">
        <v>7</v>
      </c>
      <c r="Y467" t="s">
        <v>13</v>
      </c>
      <c r="AA467"/>
    </row>
    <row r="468" spans="1:27" x14ac:dyDescent="0.3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Q468" s="5">
        <v>1</v>
      </c>
      <c r="S468" s="5">
        <f>SUM(bron[[#This Row],[Januari]:[December]])</f>
        <v>1</v>
      </c>
      <c r="T468" s="9">
        <v>45625</v>
      </c>
      <c r="U468" s="8" t="s">
        <v>944</v>
      </c>
      <c r="V468" s="8">
        <v>1</v>
      </c>
      <c r="W468" s="8"/>
      <c r="X468" t="s">
        <v>7</v>
      </c>
      <c r="Y468" t="s">
        <v>519</v>
      </c>
      <c r="AA468"/>
    </row>
    <row r="469" spans="1:27" x14ac:dyDescent="0.3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Q469" s="5">
        <v>1</v>
      </c>
      <c r="S469" s="5">
        <f>SUM(bron[[#This Row],[Januari]:[December]])</f>
        <v>1</v>
      </c>
      <c r="T469" s="9">
        <v>45626</v>
      </c>
      <c r="U469" s="8" t="s">
        <v>945</v>
      </c>
      <c r="V469" s="8">
        <v>1</v>
      </c>
      <c r="W469" s="8"/>
      <c r="X469" t="s">
        <v>7</v>
      </c>
      <c r="Y469" t="s">
        <v>34</v>
      </c>
      <c r="AA469"/>
    </row>
    <row r="470" spans="1:27" x14ac:dyDescent="0.3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Q470" s="5">
        <v>1</v>
      </c>
      <c r="S470" s="5">
        <f>SUM(bron[[#This Row],[Januari]:[December]])</f>
        <v>1</v>
      </c>
      <c r="T470" s="9">
        <v>45626</v>
      </c>
      <c r="U470" s="8" t="s">
        <v>946</v>
      </c>
      <c r="V470" s="8">
        <v>1</v>
      </c>
      <c r="W470" s="8"/>
      <c r="X470" t="s">
        <v>7</v>
      </c>
      <c r="Y470" t="s">
        <v>161</v>
      </c>
      <c r="AA470"/>
    </row>
    <row r="471" spans="1:27" x14ac:dyDescent="0.3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Q471" s="5">
        <v>1</v>
      </c>
      <c r="S471" s="5">
        <f>SUM(bron[[#This Row],[Januari]:[December]])</f>
        <v>1</v>
      </c>
      <c r="T471" s="9">
        <v>45626</v>
      </c>
      <c r="U471" s="8" t="s">
        <v>947</v>
      </c>
      <c r="V471" s="8"/>
      <c r="W471" s="8">
        <v>1</v>
      </c>
      <c r="X471" t="s">
        <v>8</v>
      </c>
      <c r="Y471" t="s">
        <v>129</v>
      </c>
      <c r="AA471"/>
    </row>
    <row r="472" spans="1:27" x14ac:dyDescent="0.3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Q472" s="5">
        <v>1</v>
      </c>
      <c r="S472" s="5">
        <f>SUM(bron[[#This Row],[Januari]:[December]])</f>
        <v>1</v>
      </c>
      <c r="T472" s="9">
        <v>45626</v>
      </c>
      <c r="U472" s="8" t="s">
        <v>948</v>
      </c>
      <c r="V472" s="8"/>
      <c r="W472" s="8">
        <v>1</v>
      </c>
      <c r="X472" t="s">
        <v>8</v>
      </c>
      <c r="Y472" t="s">
        <v>147</v>
      </c>
      <c r="AA472"/>
    </row>
    <row r="473" spans="1:27" x14ac:dyDescent="0.3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R473" s="5">
        <v>1</v>
      </c>
      <c r="S473" s="5">
        <f>SUM(bron[[#This Row],[Januari]:[December]])</f>
        <v>1</v>
      </c>
      <c r="T473" s="9">
        <v>45627</v>
      </c>
      <c r="U473" s="8" t="s">
        <v>949</v>
      </c>
      <c r="V473" s="8"/>
      <c r="W473" s="8">
        <v>1</v>
      </c>
      <c r="X473" t="s">
        <v>8</v>
      </c>
      <c r="Y473" t="s">
        <v>489</v>
      </c>
      <c r="AA473"/>
    </row>
    <row r="474" spans="1:27" x14ac:dyDescent="0.3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R474" s="5">
        <v>1</v>
      </c>
      <c r="S474" s="5">
        <f>SUM(bron[[#This Row],[Januari]:[December]])</f>
        <v>1</v>
      </c>
      <c r="T474" s="9">
        <v>45628</v>
      </c>
      <c r="U474" s="8" t="s">
        <v>950</v>
      </c>
      <c r="V474" s="8">
        <v>1</v>
      </c>
      <c r="W474" s="8"/>
      <c r="X474" t="s">
        <v>7</v>
      </c>
      <c r="Y474" t="s">
        <v>951</v>
      </c>
      <c r="AA474"/>
    </row>
    <row r="475" spans="1:27" x14ac:dyDescent="0.3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R475" s="5">
        <v>1</v>
      </c>
      <c r="S475" s="5">
        <f>SUM(bron[[#This Row],[Januari]:[December]])</f>
        <v>1</v>
      </c>
      <c r="T475" s="9">
        <v>45628</v>
      </c>
      <c r="U475" s="8" t="s">
        <v>952</v>
      </c>
      <c r="V475" s="8"/>
      <c r="W475" s="8">
        <v>1</v>
      </c>
      <c r="X475" t="s">
        <v>8</v>
      </c>
      <c r="Y475" t="s">
        <v>267</v>
      </c>
      <c r="AA475"/>
    </row>
    <row r="476" spans="1:27" x14ac:dyDescent="0.3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R476" s="5">
        <v>1</v>
      </c>
      <c r="S476" s="5">
        <f>SUM(bron[[#This Row],[Januari]:[December]])</f>
        <v>1</v>
      </c>
      <c r="T476" s="9">
        <v>45629</v>
      </c>
      <c r="U476" s="8" t="s">
        <v>953</v>
      </c>
      <c r="V476" s="8">
        <v>1</v>
      </c>
      <c r="W476" s="8"/>
      <c r="X476" t="s">
        <v>7</v>
      </c>
      <c r="Y476" t="s">
        <v>671</v>
      </c>
      <c r="AA476"/>
    </row>
    <row r="477" spans="1:27" x14ac:dyDescent="0.3">
      <c r="A477">
        <v>18987</v>
      </c>
      <c r="B477" t="str">
        <f>_xlfn.CONCAT(bron[[#This Row],[personeelsnr]]," ",bron[[#This Row],[achternaam]]," ",bron[[#This Row],[voornaam]])</f>
        <v>18987 De Geyter Dolly</v>
      </c>
      <c r="C477" t="str">
        <f>VLOOKUP(bron[[#This Row],[personeelsnr]],'data hastus'!$A:$C,2,0)</f>
        <v>De Geyter</v>
      </c>
      <c r="D477" t="str">
        <f>VLOOKUP(bron[[#This Row],[personeelsnr]],'data hastus'!$A:$C,3,0)</f>
        <v>Dolly</v>
      </c>
      <c r="E477" t="str">
        <f>VLOOKUP(bron[[#This Row],[personeelsnr]],'data hastus'!A:K,11,FALSE)</f>
        <v>Steven Storm</v>
      </c>
      <c r="F477" s="10"/>
      <c r="G477" s="7"/>
      <c r="H477" s="7"/>
      <c r="I477" s="7"/>
      <c r="R477" s="5">
        <v>1</v>
      </c>
      <c r="S477" s="5">
        <f>SUM(bron[[#This Row],[Januari]:[December]])</f>
        <v>1</v>
      </c>
      <c r="T477" s="9">
        <v>45629</v>
      </c>
      <c r="U477" s="8" t="s">
        <v>954</v>
      </c>
      <c r="V477" s="8">
        <v>1</v>
      </c>
      <c r="W477" s="8"/>
      <c r="X477" t="s">
        <v>7</v>
      </c>
      <c r="Y477" t="s">
        <v>117</v>
      </c>
      <c r="AA477"/>
    </row>
    <row r="478" spans="1:27" x14ac:dyDescent="0.3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R478" s="5">
        <v>1</v>
      </c>
      <c r="S478" s="5">
        <f>SUM(bron[[#This Row],[Januari]:[December]])</f>
        <v>1</v>
      </c>
      <c r="T478" s="9">
        <v>45630</v>
      </c>
      <c r="U478" s="8" t="s">
        <v>955</v>
      </c>
      <c r="V478" s="8">
        <v>1</v>
      </c>
      <c r="W478" s="8"/>
      <c r="X478" t="s">
        <v>7</v>
      </c>
      <c r="Y478" t="s">
        <v>10</v>
      </c>
      <c r="AA478"/>
    </row>
    <row r="479" spans="1:27" x14ac:dyDescent="0.3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R479" s="5">
        <v>1</v>
      </c>
      <c r="S479" s="5">
        <f>SUM(bron[[#This Row],[Januari]:[December]])</f>
        <v>1</v>
      </c>
      <c r="T479" s="9">
        <v>45630</v>
      </c>
      <c r="U479" s="8" t="s">
        <v>956</v>
      </c>
      <c r="V479" s="8">
        <v>1</v>
      </c>
      <c r="W479" s="8"/>
      <c r="X479" t="s">
        <v>7</v>
      </c>
      <c r="Y479" t="s">
        <v>957</v>
      </c>
      <c r="AA479"/>
    </row>
    <row r="480" spans="1:27" x14ac:dyDescent="0.3">
      <c r="A480">
        <v>35379</v>
      </c>
      <c r="B480" t="str">
        <f>_xlfn.CONCAT(bron[[#This Row],[personeelsnr]]," ",bron[[#This Row],[achternaam]]," ",bron[[#This Row],[voornaam]])</f>
        <v>35379 Engels Sam</v>
      </c>
      <c r="C480" t="str">
        <f>VLOOKUP(bron[[#This Row],[personeelsnr]],'data hastus'!$A:$C,2,0)</f>
        <v>Engels</v>
      </c>
      <c r="D480" t="str">
        <f>VLOOKUP(bron[[#This Row],[personeelsnr]],'data hastus'!$A:$C,3,0)</f>
        <v>Sam</v>
      </c>
      <c r="E480" t="str">
        <f>VLOOKUP(bron[[#This Row],[personeelsnr]],'data hastus'!A:K,11,FALSE)</f>
        <v>Els Vanhoe</v>
      </c>
      <c r="F480" s="10"/>
      <c r="G480" s="7"/>
      <c r="H480" s="7"/>
      <c r="I480" s="7"/>
      <c r="R480" s="5">
        <v>1</v>
      </c>
      <c r="S480" s="5">
        <f>SUM(bron[[#This Row],[Januari]:[December]])</f>
        <v>1</v>
      </c>
      <c r="T480" s="3">
        <v>45632</v>
      </c>
      <c r="U480" s="8" t="s">
        <v>958</v>
      </c>
      <c r="V480" s="8"/>
      <c r="W480" s="8">
        <v>1</v>
      </c>
      <c r="X480" t="s">
        <v>8</v>
      </c>
      <c r="Y480" t="s">
        <v>702</v>
      </c>
      <c r="AA480"/>
    </row>
    <row r="481" spans="1:27" x14ac:dyDescent="0.3">
      <c r="A481">
        <v>37794</v>
      </c>
      <c r="B481" t="str">
        <f>_xlfn.CONCAT(bron[[#This Row],[personeelsnr]]," ",bron[[#This Row],[achternaam]]," ",bron[[#This Row],[voornaam]])</f>
        <v>37794 Demirkaya Kâzim</v>
      </c>
      <c r="C481" t="str">
        <f>VLOOKUP(bron[[#This Row],[personeelsnr]],'data hastus'!$A:$C,2,0)</f>
        <v>Demirkaya</v>
      </c>
      <c r="D481" t="str">
        <f>VLOOKUP(bron[[#This Row],[personeelsnr]],'data hastus'!$A:$C,3,0)</f>
        <v>Kâzim</v>
      </c>
      <c r="E481" t="str">
        <f>VLOOKUP(bron[[#This Row],[personeelsnr]],'data hastus'!A:K,11,FALSE)</f>
        <v>Steven Storm</v>
      </c>
      <c r="F481" s="10"/>
      <c r="G481" s="7"/>
      <c r="H481" s="7"/>
      <c r="I481" s="7"/>
      <c r="R481" s="5">
        <v>1</v>
      </c>
      <c r="S481" s="5">
        <f>SUM(bron[[#This Row],[Januari]:[December]])</f>
        <v>1</v>
      </c>
      <c r="T481" s="9">
        <v>45632</v>
      </c>
      <c r="U481" s="8" t="s">
        <v>959</v>
      </c>
      <c r="V481" s="8"/>
      <c r="W481" s="8">
        <v>1</v>
      </c>
      <c r="X481" t="s">
        <v>8</v>
      </c>
      <c r="Y481" t="s">
        <v>960</v>
      </c>
      <c r="AA481"/>
    </row>
    <row r="482" spans="1:27" x14ac:dyDescent="0.3">
      <c r="A482">
        <v>40294</v>
      </c>
      <c r="B482" t="str">
        <f>_xlfn.CONCAT(bron[[#This Row],[personeelsnr]]," ",bron[[#This Row],[achternaam]]," ",bron[[#This Row],[voornaam]])</f>
        <v>40294 Khder Aram</v>
      </c>
      <c r="C482" t="str">
        <f>VLOOKUP(bron[[#This Row],[personeelsnr]],'data hastus'!$A:$C,2,0)</f>
        <v>Khder</v>
      </c>
      <c r="D482" t="str">
        <f>VLOOKUP(bron[[#This Row],[personeelsnr]],'data hastus'!$A:$C,3,0)</f>
        <v>Aram</v>
      </c>
      <c r="E482" t="str">
        <f>VLOOKUP(bron[[#This Row],[personeelsnr]],'data hastus'!A:K,11,FALSE)</f>
        <v>Christoff Rotty</v>
      </c>
      <c r="F482" s="10"/>
      <c r="G482" s="7"/>
      <c r="H482" s="7"/>
      <c r="I482" s="7"/>
      <c r="R482" s="5">
        <v>1</v>
      </c>
      <c r="S482" s="5">
        <f>SUM(bron[[#This Row],[Januari]:[December]])</f>
        <v>1</v>
      </c>
      <c r="T482" s="9">
        <v>45633</v>
      </c>
      <c r="U482" s="8" t="s">
        <v>961</v>
      </c>
      <c r="V482" s="8">
        <v>1</v>
      </c>
      <c r="W482" s="8"/>
      <c r="X482" t="s">
        <v>7</v>
      </c>
      <c r="Y482" t="s">
        <v>962</v>
      </c>
      <c r="AA482"/>
    </row>
    <row r="483" spans="1:27" x14ac:dyDescent="0.3">
      <c r="A483">
        <v>37662</v>
      </c>
      <c r="B483" t="str">
        <f>_xlfn.CONCAT(bron[[#This Row],[personeelsnr]]," ",bron[[#This Row],[achternaam]]," ",bron[[#This Row],[voornaam]])</f>
        <v>37662 Van den Meerssche Steven</v>
      </c>
      <c r="C483" t="str">
        <f>VLOOKUP(bron[[#This Row],[personeelsnr]],'data hastus'!$A:$C,2,0)</f>
        <v>Van den Meerssche</v>
      </c>
      <c r="D483" t="str">
        <f>VLOOKUP(bron[[#This Row],[personeelsnr]],'data hastus'!$A:$C,3,0)</f>
        <v>Steven</v>
      </c>
      <c r="E483" t="str">
        <f>VLOOKUP(bron[[#This Row],[personeelsnr]],'data hastus'!A:K,11,FALSE)</f>
        <v>Bart Van Der Beken</v>
      </c>
      <c r="F483" s="10"/>
      <c r="G483" s="7"/>
      <c r="H483" s="7"/>
      <c r="I483" s="7"/>
      <c r="R483" s="5">
        <v>1</v>
      </c>
      <c r="S483" s="5">
        <f>SUM(bron[[#This Row],[Januari]:[December]])</f>
        <v>1</v>
      </c>
      <c r="T483" s="9">
        <v>45635</v>
      </c>
      <c r="U483" s="8" t="s">
        <v>963</v>
      </c>
      <c r="V483" s="8">
        <v>1</v>
      </c>
      <c r="W483" s="8"/>
      <c r="X483" t="s">
        <v>7</v>
      </c>
      <c r="Y483" t="s">
        <v>399</v>
      </c>
      <c r="AA483"/>
    </row>
    <row r="484" spans="1:27" x14ac:dyDescent="0.3">
      <c r="A484">
        <v>32542</v>
      </c>
      <c r="B484" t="str">
        <f>_xlfn.CONCAT(bron[[#This Row],[personeelsnr]]," ",bron[[#This Row],[achternaam]]," ",bron[[#This Row],[voornaam]])</f>
        <v>32542 Vanderstock Kenny</v>
      </c>
      <c r="C484" t="str">
        <f>VLOOKUP(bron[[#This Row],[personeelsnr]],'data hastus'!$A:$C,2,0)</f>
        <v>Vanderstock</v>
      </c>
      <c r="D484" t="str">
        <f>VLOOKUP(bron[[#This Row],[personeelsnr]],'data hastus'!$A:$C,3,0)</f>
        <v>Kenny</v>
      </c>
      <c r="E484" t="str">
        <f>VLOOKUP(bron[[#This Row],[personeelsnr]],'data hastus'!A:K,11,FALSE)</f>
        <v>Dominique De Clercq</v>
      </c>
      <c r="F484" s="10"/>
      <c r="G484" s="7"/>
      <c r="H484" s="7"/>
      <c r="I484" s="7"/>
      <c r="R484" s="5">
        <v>1</v>
      </c>
      <c r="S484" s="5">
        <f>SUM(bron[[#This Row],[Januari]:[December]])</f>
        <v>1</v>
      </c>
      <c r="T484" s="9">
        <v>45635</v>
      </c>
      <c r="U484" s="8" t="s">
        <v>964</v>
      </c>
      <c r="V484" s="8"/>
      <c r="W484" s="8">
        <v>1</v>
      </c>
      <c r="X484" t="s">
        <v>8</v>
      </c>
      <c r="Y484" t="s">
        <v>965</v>
      </c>
      <c r="AA484"/>
    </row>
    <row r="485" spans="1:27" x14ac:dyDescent="0.3">
      <c r="A485">
        <v>33450</v>
      </c>
      <c r="B485" t="str">
        <f>_xlfn.CONCAT(bron[[#This Row],[personeelsnr]]," ",bron[[#This Row],[achternaam]]," ",bron[[#This Row],[voornaam]])</f>
        <v>33450 Verroeye Chris</v>
      </c>
      <c r="C485" t="str">
        <f>VLOOKUP(bron[[#This Row],[personeelsnr]],'data hastus'!$A:$C,2,0)</f>
        <v>Verroeye</v>
      </c>
      <c r="D485" t="str">
        <f>VLOOKUP(bron[[#This Row],[personeelsnr]],'data hastus'!$A:$C,3,0)</f>
        <v>Chris</v>
      </c>
      <c r="E485" t="str">
        <f>VLOOKUP(bron[[#This Row],[personeelsnr]],'data hastus'!A:K,11,FALSE)</f>
        <v>Kenneth De Rick</v>
      </c>
      <c r="F485" s="10"/>
      <c r="G485" s="7"/>
      <c r="H485" s="7"/>
      <c r="I485" s="7"/>
      <c r="R485" s="5">
        <v>1</v>
      </c>
      <c r="S485" s="5">
        <f>SUM(bron[[#This Row],[Januari]:[December]])</f>
        <v>1</v>
      </c>
      <c r="T485" s="9">
        <v>45635</v>
      </c>
      <c r="U485" s="8" t="s">
        <v>966</v>
      </c>
      <c r="V485" s="8"/>
      <c r="W485" s="8">
        <v>1</v>
      </c>
      <c r="X485" t="s">
        <v>8</v>
      </c>
      <c r="Y485" t="s">
        <v>967</v>
      </c>
      <c r="AA485"/>
    </row>
    <row r="486" spans="1:27" x14ac:dyDescent="0.3">
      <c r="A486">
        <v>17555</v>
      </c>
      <c r="B486" t="str">
        <f>_xlfn.CONCAT(bron[[#This Row],[personeelsnr]]," ",bron[[#This Row],[achternaam]]," ",bron[[#This Row],[voornaam]])</f>
        <v>17555 DeBisschop Wendy</v>
      </c>
      <c r="C486" t="str">
        <f>VLOOKUP(bron[[#This Row],[personeelsnr]],'data hastus'!$A:$C,2,0)</f>
        <v>DeBisschop</v>
      </c>
      <c r="D486" t="str">
        <f>VLOOKUP(bron[[#This Row],[personeelsnr]],'data hastus'!$A:$C,3,0)</f>
        <v>Wendy</v>
      </c>
      <c r="E486" t="str">
        <f>VLOOKUP(bron[[#This Row],[personeelsnr]],'data hastus'!A:K,11,FALSE)</f>
        <v>Bart Van Der Beken</v>
      </c>
      <c r="F486" s="10"/>
      <c r="G486" s="7"/>
      <c r="H486" s="7"/>
      <c r="I486" s="7"/>
      <c r="R486" s="5">
        <v>1</v>
      </c>
      <c r="S486" s="5">
        <f>SUM(bron[[#This Row],[Januari]:[December]])</f>
        <v>1</v>
      </c>
      <c r="T486" s="9">
        <v>45636</v>
      </c>
      <c r="U486" s="8" t="s">
        <v>968</v>
      </c>
      <c r="V486" s="8">
        <v>1</v>
      </c>
      <c r="W486" s="8"/>
      <c r="X486" t="s">
        <v>7</v>
      </c>
      <c r="Y486" t="s">
        <v>72</v>
      </c>
      <c r="AA486"/>
    </row>
    <row r="487" spans="1:27" x14ac:dyDescent="0.3">
      <c r="A487">
        <v>39529</v>
      </c>
      <c r="B487" t="str">
        <f>_xlfn.CONCAT(bron[[#This Row],[personeelsnr]]," ",bron[[#This Row],[achternaam]]," ",bron[[#This Row],[voornaam]])</f>
        <v>39529 Desmet Patricia</v>
      </c>
      <c r="C487" t="str">
        <f>VLOOKUP(bron[[#This Row],[personeelsnr]],'data hastus'!$A:$C,2,0)</f>
        <v>Desmet</v>
      </c>
      <c r="D487" t="str">
        <f>VLOOKUP(bron[[#This Row],[personeelsnr]],'data hastus'!$A:$C,3,0)</f>
        <v>Patricia</v>
      </c>
      <c r="E487" t="str">
        <f>VLOOKUP(bron[[#This Row],[personeelsnr]],'data hastus'!A:K,11,FALSE)</f>
        <v>Christoff Rotty</v>
      </c>
      <c r="F487" s="10"/>
      <c r="G487" s="7"/>
      <c r="H487" s="7"/>
      <c r="I487" s="7"/>
      <c r="R487" s="5">
        <v>1</v>
      </c>
      <c r="S487" s="5">
        <f>SUM(bron[[#This Row],[Januari]:[December]])</f>
        <v>1</v>
      </c>
      <c r="T487" s="9">
        <v>45638</v>
      </c>
      <c r="U487" s="8" t="s">
        <v>969</v>
      </c>
      <c r="V487" s="8">
        <v>1</v>
      </c>
      <c r="W487" s="8"/>
      <c r="X487" t="s">
        <v>7</v>
      </c>
      <c r="Y487" t="s">
        <v>72</v>
      </c>
      <c r="AA487"/>
    </row>
    <row r="488" spans="1:27" x14ac:dyDescent="0.3">
      <c r="A488">
        <v>15628</v>
      </c>
      <c r="B488" t="str">
        <f>_xlfn.CONCAT(bron[[#This Row],[personeelsnr]]," ",bron[[#This Row],[achternaam]]," ",bron[[#This Row],[voornaam]])</f>
        <v>15628 Wulfranck Dominique</v>
      </c>
      <c r="C488" t="str">
        <f>VLOOKUP(bron[[#This Row],[personeelsnr]],'data hastus'!$A:$C,2,0)</f>
        <v>Wulfranck</v>
      </c>
      <c r="D488" t="str">
        <f>VLOOKUP(bron[[#This Row],[personeelsnr]],'data hastus'!$A:$C,3,0)</f>
        <v>Dominique</v>
      </c>
      <c r="E488" t="str">
        <f>VLOOKUP(bron[[#This Row],[personeelsnr]],'data hastus'!A:K,11,FALSE)</f>
        <v>Kenneth De Rick</v>
      </c>
      <c r="F488" s="10"/>
      <c r="G488" s="7"/>
      <c r="H488" s="7"/>
      <c r="I488" s="7"/>
      <c r="R488" s="5">
        <v>1</v>
      </c>
      <c r="S488" s="5">
        <f>SUM(bron[[#This Row],[Januari]:[December]])</f>
        <v>1</v>
      </c>
      <c r="T488" s="9">
        <v>45638</v>
      </c>
      <c r="U488" s="8" t="s">
        <v>970</v>
      </c>
      <c r="V488" s="8">
        <v>1</v>
      </c>
      <c r="W488" s="8"/>
      <c r="X488" t="s">
        <v>7</v>
      </c>
      <c r="Y488" t="s">
        <v>106</v>
      </c>
      <c r="AA488"/>
    </row>
    <row r="489" spans="1:27" x14ac:dyDescent="0.3">
      <c r="A489">
        <v>40652</v>
      </c>
      <c r="B489" t="str">
        <f>_xlfn.CONCAT(bron[[#This Row],[personeelsnr]]," ",bron[[#This Row],[achternaam]]," ",bron[[#This Row],[voornaam]])</f>
        <v>40652 Van Damme Gilyann</v>
      </c>
      <c r="C489" t="str">
        <f>VLOOKUP(bron[[#This Row],[personeelsnr]],'data hastus'!$A:$C,2,0)</f>
        <v>Van Damme</v>
      </c>
      <c r="D489" t="str">
        <f>VLOOKUP(bron[[#This Row],[personeelsnr]],'data hastus'!$A:$C,3,0)</f>
        <v>Gilyann</v>
      </c>
      <c r="E489" t="str">
        <f>VLOOKUP(bron[[#This Row],[personeelsnr]],'data hastus'!A:K,11,FALSE)</f>
        <v>Els Vanhoe</v>
      </c>
      <c r="F489" s="10"/>
      <c r="G489" s="7"/>
      <c r="H489" s="7"/>
      <c r="I489" s="7"/>
      <c r="R489" s="5">
        <v>1</v>
      </c>
      <c r="S489" s="5">
        <f>SUM(bron[[#This Row],[Januari]:[December]])</f>
        <v>1</v>
      </c>
      <c r="T489" s="9">
        <v>45638</v>
      </c>
      <c r="U489" s="8" t="s">
        <v>971</v>
      </c>
      <c r="V489" s="8">
        <v>1</v>
      </c>
      <c r="W489" s="8"/>
      <c r="X489" t="s">
        <v>7</v>
      </c>
      <c r="Y489" t="s">
        <v>840</v>
      </c>
      <c r="AA489"/>
    </row>
    <row r="490" spans="1:27" x14ac:dyDescent="0.3">
      <c r="A490">
        <v>22767</v>
      </c>
      <c r="B490" t="str">
        <f>_xlfn.CONCAT(bron[[#This Row],[personeelsnr]]," ",bron[[#This Row],[achternaam]]," ",bron[[#This Row],[voornaam]])</f>
        <v>22767 Osseel Johan</v>
      </c>
      <c r="C490" t="str">
        <f>VLOOKUP(bron[[#This Row],[personeelsnr]],'data hastus'!$A:$C,2,0)</f>
        <v>Osseel</v>
      </c>
      <c r="D490" t="str">
        <f>VLOOKUP(bron[[#This Row],[personeelsnr]],'data hastus'!$A:$C,3,0)</f>
        <v>Johan</v>
      </c>
      <c r="E490" t="str">
        <f>VLOOKUP(bron[[#This Row],[personeelsnr]],'data hastus'!A:K,11,FALSE)</f>
        <v>Dominique De Clercq</v>
      </c>
      <c r="F490" s="10"/>
      <c r="G490" s="7"/>
      <c r="H490" s="7"/>
      <c r="I490" s="7"/>
      <c r="R490" s="5">
        <v>1</v>
      </c>
      <c r="S490" s="5">
        <f>SUM(bron[[#This Row],[Januari]:[December]])</f>
        <v>1</v>
      </c>
      <c r="T490" s="9">
        <v>45638</v>
      </c>
      <c r="U490" s="8" t="s">
        <v>972</v>
      </c>
      <c r="V490" s="8"/>
      <c r="W490" s="8">
        <v>1</v>
      </c>
      <c r="X490" t="s">
        <v>8</v>
      </c>
      <c r="Y490" t="s">
        <v>147</v>
      </c>
      <c r="AA490"/>
    </row>
    <row r="491" spans="1:27" x14ac:dyDescent="0.3">
      <c r="A491">
        <v>29477</v>
      </c>
      <c r="B491" t="str">
        <f>_xlfn.CONCAT(bron[[#This Row],[personeelsnr]]," ",bron[[#This Row],[achternaam]]," ",bron[[#This Row],[voornaam]])</f>
        <v>29477 De Vuyst Boyke</v>
      </c>
      <c r="C491" t="str">
        <f>VLOOKUP(bron[[#This Row],[personeelsnr]],'data hastus'!$A:$C,2,0)</f>
        <v>De Vuyst</v>
      </c>
      <c r="D491" t="str">
        <f>VLOOKUP(bron[[#This Row],[personeelsnr]],'data hastus'!$A:$C,3,0)</f>
        <v>Boyke</v>
      </c>
      <c r="E491" t="str">
        <f>VLOOKUP(bron[[#This Row],[personeelsnr]],'data hastus'!A:K,11,FALSE)</f>
        <v>Lucie Vande Velde</v>
      </c>
      <c r="F491" s="10"/>
      <c r="G491" s="7"/>
      <c r="H491" s="7"/>
      <c r="I491" s="7"/>
      <c r="R491" s="5">
        <v>1</v>
      </c>
      <c r="S491" s="5">
        <f>SUM(bron[[#This Row],[Januari]:[December]])</f>
        <v>1</v>
      </c>
      <c r="T491" s="9">
        <v>45640</v>
      </c>
      <c r="U491" s="8" t="s">
        <v>973</v>
      </c>
      <c r="V491" s="8">
        <v>1</v>
      </c>
      <c r="W491" s="8"/>
      <c r="X491" t="s">
        <v>7</v>
      </c>
      <c r="Y491" t="s">
        <v>22</v>
      </c>
      <c r="AA491"/>
    </row>
    <row r="492" spans="1:27" x14ac:dyDescent="0.3">
      <c r="A492">
        <v>16897</v>
      </c>
      <c r="B492" t="str">
        <f>_xlfn.CONCAT(bron[[#This Row],[personeelsnr]]," ",bron[[#This Row],[achternaam]]," ",bron[[#This Row],[voornaam]])</f>
        <v>16897 VandenDaele Andy</v>
      </c>
      <c r="C492" t="str">
        <f>VLOOKUP(bron[[#This Row],[personeelsnr]],'data hastus'!$A:$C,2,0)</f>
        <v>VandenDaele</v>
      </c>
      <c r="D492" t="str">
        <f>VLOOKUP(bron[[#This Row],[personeelsnr]],'data hastus'!$A:$C,3,0)</f>
        <v>Andy</v>
      </c>
      <c r="E492" t="str">
        <f>VLOOKUP(bron[[#This Row],[personeelsnr]],'data hastus'!A:K,11,FALSE)</f>
        <v>Steven Storm</v>
      </c>
      <c r="F492" s="10"/>
      <c r="G492" s="7"/>
      <c r="H492" s="7"/>
      <c r="I492" s="7"/>
      <c r="R492" s="5">
        <v>1</v>
      </c>
      <c r="S492" s="5">
        <f>SUM(bron[[#This Row],[Januari]:[December]])</f>
        <v>1</v>
      </c>
      <c r="T492" s="9">
        <v>45641</v>
      </c>
      <c r="U492" s="8" t="s">
        <v>974</v>
      </c>
      <c r="V492" s="8"/>
      <c r="W492" s="8">
        <v>1</v>
      </c>
      <c r="X492" t="s">
        <v>8</v>
      </c>
      <c r="Y492" t="s">
        <v>674</v>
      </c>
      <c r="AA492"/>
    </row>
    <row r="493" spans="1:27" x14ac:dyDescent="0.3">
      <c r="A493">
        <v>18173</v>
      </c>
      <c r="B493" t="str">
        <f>_xlfn.CONCAT(bron[[#This Row],[personeelsnr]]," ",bron[[#This Row],[achternaam]]," ",bron[[#This Row],[voornaam]])</f>
        <v>18173 De Vos Günter</v>
      </c>
      <c r="C493" t="str">
        <f>VLOOKUP(bron[[#This Row],[personeelsnr]],'data hastus'!$A:$C,2,0)</f>
        <v>De Vos</v>
      </c>
      <c r="D493" t="str">
        <f>VLOOKUP(bron[[#This Row],[personeelsnr]],'data hastus'!$A:$C,3,0)</f>
        <v>Günter</v>
      </c>
      <c r="E493" t="str">
        <f>VLOOKUP(bron[[#This Row],[personeelsnr]],'data hastus'!A:K,11,FALSE)</f>
        <v>Kenneth De Rick</v>
      </c>
      <c r="F493" s="10"/>
      <c r="G493" s="7"/>
      <c r="H493" s="7"/>
      <c r="I493" s="7"/>
      <c r="R493" s="5">
        <v>1</v>
      </c>
      <c r="S493" s="5">
        <f>SUM(bron[[#This Row],[Januari]:[December]])</f>
        <v>1</v>
      </c>
      <c r="T493" s="9">
        <v>45642</v>
      </c>
      <c r="U493" s="8" t="s">
        <v>975</v>
      </c>
      <c r="V493" s="8">
        <v>1</v>
      </c>
      <c r="W493" s="8"/>
      <c r="X493" t="s">
        <v>7</v>
      </c>
      <c r="Y493" t="s">
        <v>483</v>
      </c>
      <c r="AA493"/>
    </row>
    <row r="494" spans="1:27" x14ac:dyDescent="0.3">
      <c r="A494">
        <v>41296</v>
      </c>
      <c r="B494" t="str">
        <f>_xlfn.CONCAT(bron[[#This Row],[personeelsnr]]," ",bron[[#This Row],[achternaam]]," ",bron[[#This Row],[voornaam]])</f>
        <v>41296 Abulehia Oday</v>
      </c>
      <c r="C494" t="str">
        <f>VLOOKUP(bron[[#This Row],[personeelsnr]],'data hastus'!$A:$C,2,0)</f>
        <v>Abulehia</v>
      </c>
      <c r="D494" t="str">
        <f>VLOOKUP(bron[[#This Row],[personeelsnr]],'data hastus'!$A:$C,3,0)</f>
        <v>Oday</v>
      </c>
      <c r="E494" t="str">
        <f>VLOOKUP(bron[[#This Row],[personeelsnr]],'data hastus'!A:K,11,FALSE)</f>
        <v>Christoff Rotty</v>
      </c>
      <c r="F494" s="10"/>
      <c r="G494" s="7"/>
      <c r="H494" s="7"/>
      <c r="I494" s="7"/>
      <c r="R494" s="5">
        <v>1</v>
      </c>
      <c r="S494" s="5">
        <f>SUM(bron[[#This Row],[Januari]:[December]])</f>
        <v>1</v>
      </c>
      <c r="T494" s="9">
        <v>45642</v>
      </c>
      <c r="U494" s="8" t="s">
        <v>976</v>
      </c>
      <c r="V494" s="8">
        <v>1</v>
      </c>
      <c r="W494" s="8"/>
      <c r="X494" t="s">
        <v>7</v>
      </c>
      <c r="Y494" t="s">
        <v>10</v>
      </c>
      <c r="AA494"/>
    </row>
    <row r="495" spans="1:27" x14ac:dyDescent="0.3">
      <c r="A495">
        <v>36513</v>
      </c>
      <c r="B495" t="str">
        <f>_xlfn.CONCAT(bron[[#This Row],[personeelsnr]]," ",bron[[#This Row],[achternaam]]," ",bron[[#This Row],[voornaam]])</f>
        <v>36513 Sogut Rauf</v>
      </c>
      <c r="C495" t="str">
        <f>VLOOKUP(bron[[#This Row],[personeelsnr]],'data hastus'!$A:$C,2,0)</f>
        <v>Sogut</v>
      </c>
      <c r="D495" t="str">
        <f>VLOOKUP(bron[[#This Row],[personeelsnr]],'data hastus'!$A:$C,3,0)</f>
        <v>Rauf</v>
      </c>
      <c r="E495" t="str">
        <f>VLOOKUP(bron[[#This Row],[personeelsnr]],'data hastus'!A:K,11,FALSE)</f>
        <v>Kenneth De Rick</v>
      </c>
      <c r="F495" s="10"/>
      <c r="G495" s="7"/>
      <c r="H495" s="7"/>
      <c r="I495" s="7"/>
      <c r="R495" s="5">
        <v>1</v>
      </c>
      <c r="S495" s="5">
        <f>SUM(bron[[#This Row],[Januari]:[December]])</f>
        <v>1</v>
      </c>
      <c r="T495" s="9">
        <v>45643</v>
      </c>
      <c r="U495" s="8" t="s">
        <v>977</v>
      </c>
      <c r="V495" s="8">
        <v>1</v>
      </c>
      <c r="W495" s="8"/>
      <c r="X495" t="s">
        <v>7</v>
      </c>
      <c r="Y495" t="s">
        <v>161</v>
      </c>
      <c r="AA495"/>
    </row>
    <row r="496" spans="1:27" x14ac:dyDescent="0.3">
      <c r="A496">
        <v>33400</v>
      </c>
      <c r="B496" t="str">
        <f>_xlfn.CONCAT(bron[[#This Row],[personeelsnr]]," ",bron[[#This Row],[achternaam]]," ",bron[[#This Row],[voornaam]])</f>
        <v>33400 Petit Cynthia</v>
      </c>
      <c r="C496" t="str">
        <f>VLOOKUP(bron[[#This Row],[personeelsnr]],'data hastus'!$A:$C,2,0)</f>
        <v>Petit</v>
      </c>
      <c r="D496" t="str">
        <f>VLOOKUP(bron[[#This Row],[personeelsnr]],'data hastus'!$A:$C,3,0)</f>
        <v>Cynthia</v>
      </c>
      <c r="E496" t="str">
        <f>VLOOKUP(bron[[#This Row],[personeelsnr]],'data hastus'!A:K,11,FALSE)</f>
        <v>Christoff Rotty</v>
      </c>
      <c r="F496" s="10"/>
      <c r="G496" s="7"/>
      <c r="H496" s="7"/>
      <c r="I496" s="7"/>
      <c r="R496" s="5">
        <v>1</v>
      </c>
      <c r="S496" s="5">
        <f>SUM(bron[[#This Row],[Januari]:[December]])</f>
        <v>1</v>
      </c>
      <c r="T496" s="9">
        <v>45644</v>
      </c>
      <c r="U496" s="8" t="s">
        <v>978</v>
      </c>
      <c r="V496" s="8">
        <v>1</v>
      </c>
      <c r="W496" s="8"/>
      <c r="X496" t="s">
        <v>7</v>
      </c>
      <c r="Y496" t="s">
        <v>10</v>
      </c>
      <c r="AA496"/>
    </row>
    <row r="497" spans="1:27" x14ac:dyDescent="0.3">
      <c r="A497">
        <v>24367</v>
      </c>
      <c r="B497" t="str">
        <f>_xlfn.CONCAT(bron[[#This Row],[personeelsnr]]," ",bron[[#This Row],[achternaam]]," ",bron[[#This Row],[voornaam]])</f>
        <v>24367 Tayefeh Arbab Ali</v>
      </c>
      <c r="C497" t="str">
        <f>VLOOKUP(bron[[#This Row],[personeelsnr]],'data hastus'!$A:$C,2,0)</f>
        <v>Tayefeh Arbab</v>
      </c>
      <c r="D497" t="str">
        <f>VLOOKUP(bron[[#This Row],[personeelsnr]],'data hastus'!$A:$C,3,0)</f>
        <v>Ali</v>
      </c>
      <c r="E497" t="str">
        <f>VLOOKUP(bron[[#This Row],[personeelsnr]],'data hastus'!A:K,11,FALSE)</f>
        <v>Bart Van Der Beken</v>
      </c>
      <c r="F497" s="10"/>
      <c r="G497" s="7"/>
      <c r="H497" s="7"/>
      <c r="I497" s="7"/>
      <c r="R497" s="5">
        <v>1</v>
      </c>
      <c r="S497" s="5">
        <f>SUM(bron[[#This Row],[Januari]:[December]])</f>
        <v>1</v>
      </c>
      <c r="T497" s="9">
        <v>45644</v>
      </c>
      <c r="U497" s="8" t="s">
        <v>979</v>
      </c>
      <c r="V497" s="8">
        <v>1</v>
      </c>
      <c r="W497" s="8"/>
      <c r="X497" t="s">
        <v>7</v>
      </c>
      <c r="Y497" t="s">
        <v>37</v>
      </c>
      <c r="AA497"/>
    </row>
    <row r="498" spans="1:27" x14ac:dyDescent="0.3">
      <c r="A498">
        <v>40005</v>
      </c>
      <c r="B498" t="str">
        <f>_xlfn.CONCAT(bron[[#This Row],[personeelsnr]]," ",bron[[#This Row],[achternaam]]," ",bron[[#This Row],[voornaam]])</f>
        <v>40005 Bernaerts Philip</v>
      </c>
      <c r="C498" t="str">
        <f>VLOOKUP(bron[[#This Row],[personeelsnr]],'data hastus'!$A:$C,2,0)</f>
        <v>Bernaerts</v>
      </c>
      <c r="D498" t="str">
        <f>VLOOKUP(bron[[#This Row],[personeelsnr]],'data hastus'!$A:$C,3,0)</f>
        <v>Philip</v>
      </c>
      <c r="E498" t="str">
        <f>VLOOKUP(bron[[#This Row],[personeelsnr]],'data hastus'!A:K,11,FALSE)</f>
        <v>Christoff Rotty</v>
      </c>
      <c r="F498" s="10"/>
      <c r="G498" s="7"/>
      <c r="H498" s="7"/>
      <c r="I498" s="7"/>
      <c r="R498" s="5">
        <v>1</v>
      </c>
      <c r="S498" s="5">
        <f>SUM(bron[[#This Row],[Januari]:[December]])</f>
        <v>1</v>
      </c>
      <c r="T498" s="9">
        <v>45645</v>
      </c>
      <c r="U498" s="8" t="s">
        <v>980</v>
      </c>
      <c r="V498" s="8">
        <v>1</v>
      </c>
      <c r="W498" s="8"/>
      <c r="X498" t="s">
        <v>7</v>
      </c>
      <c r="Y498" t="s">
        <v>46</v>
      </c>
      <c r="AA498"/>
    </row>
    <row r="499" spans="1:27" x14ac:dyDescent="0.3">
      <c r="A499">
        <v>40652</v>
      </c>
      <c r="B499" t="str">
        <f>_xlfn.CONCAT(bron[[#This Row],[personeelsnr]]," ",bron[[#This Row],[achternaam]]," ",bron[[#This Row],[voornaam]])</f>
        <v>40652 Van Damme Gilyann</v>
      </c>
      <c r="C499" t="str">
        <f>VLOOKUP(bron[[#This Row],[personeelsnr]],'data hastus'!$A:$C,2,0)</f>
        <v>Van Damme</v>
      </c>
      <c r="D499" t="str">
        <f>VLOOKUP(bron[[#This Row],[personeelsnr]],'data hastus'!$A:$C,3,0)</f>
        <v>Gilyann</v>
      </c>
      <c r="E499" t="str">
        <f>VLOOKUP(bron[[#This Row],[personeelsnr]],'data hastus'!A:K,11,FALSE)</f>
        <v>Els Vanhoe</v>
      </c>
      <c r="F499" s="10"/>
      <c r="G499" s="7"/>
      <c r="H499" s="7"/>
      <c r="I499" s="7"/>
      <c r="R499" s="5">
        <v>1</v>
      </c>
      <c r="S499" s="5">
        <f>SUM(bron[[#This Row],[Januari]:[December]])</f>
        <v>1</v>
      </c>
      <c r="T499" s="9">
        <v>45646</v>
      </c>
      <c r="U499" s="8" t="s">
        <v>981</v>
      </c>
      <c r="V499" s="8">
        <v>1</v>
      </c>
      <c r="W499" s="8"/>
      <c r="X499" t="s">
        <v>7</v>
      </c>
      <c r="Y499" t="s">
        <v>427</v>
      </c>
      <c r="AA499"/>
    </row>
    <row r="500" spans="1:27" x14ac:dyDescent="0.3">
      <c r="A500">
        <v>26847</v>
      </c>
      <c r="B500" t="str">
        <f>_xlfn.CONCAT(bron[[#This Row],[personeelsnr]]," ",bron[[#This Row],[achternaam]]," ",bron[[#This Row],[voornaam]])</f>
        <v>26847 De Meester David</v>
      </c>
      <c r="C500" t="str">
        <f>VLOOKUP(bron[[#This Row],[personeelsnr]],'data hastus'!$A:$C,2,0)</f>
        <v>De Meester</v>
      </c>
      <c r="D500" t="str">
        <f>VLOOKUP(bron[[#This Row],[personeelsnr]],'data hastus'!$A:$C,3,0)</f>
        <v>David</v>
      </c>
      <c r="E500" t="str">
        <f>VLOOKUP(bron[[#This Row],[personeelsnr]],'data hastus'!A:K,11,FALSE)</f>
        <v>Bart Van Der Beken</v>
      </c>
      <c r="F500" s="10"/>
      <c r="G500" s="7"/>
      <c r="H500" s="7"/>
      <c r="I500" s="7"/>
      <c r="R500" s="5">
        <v>1</v>
      </c>
      <c r="S500" s="5">
        <f>SUM(bron[[#This Row],[Januari]:[December]])</f>
        <v>1</v>
      </c>
      <c r="T500" s="9">
        <v>45646</v>
      </c>
      <c r="U500" s="8" t="s">
        <v>982</v>
      </c>
      <c r="V500" s="8"/>
      <c r="W500" s="8">
        <v>1</v>
      </c>
      <c r="X500" t="s">
        <v>8</v>
      </c>
      <c r="Y500" t="s">
        <v>31</v>
      </c>
      <c r="AA500"/>
    </row>
    <row r="501" spans="1:27" x14ac:dyDescent="0.3">
      <c r="A501">
        <v>38938</v>
      </c>
      <c r="B501" t="str">
        <f>_xlfn.CONCAT(bron[[#This Row],[personeelsnr]]," ",bron[[#This Row],[achternaam]]," ",bron[[#This Row],[voornaam]])</f>
        <v>38938 Sedighi Hamid</v>
      </c>
      <c r="C501" t="str">
        <f>VLOOKUP(bron[[#This Row],[personeelsnr]],'data hastus'!$A:$C,2,0)</f>
        <v>Sedighi</v>
      </c>
      <c r="D501" t="str">
        <f>VLOOKUP(bron[[#This Row],[personeelsnr]],'data hastus'!$A:$C,3,0)</f>
        <v>Hamid</v>
      </c>
      <c r="E501" t="str">
        <f>VLOOKUP(bron[[#This Row],[personeelsnr]],'data hastus'!A:K,11,FALSE)</f>
        <v>Lucie Vande Velde</v>
      </c>
      <c r="F501" s="10"/>
      <c r="G501" s="7"/>
      <c r="H501" s="7"/>
      <c r="I501" s="7"/>
      <c r="R501" s="5">
        <v>1</v>
      </c>
      <c r="S501" s="5">
        <f>SUM(bron[[#This Row],[Januari]:[December]])</f>
        <v>1</v>
      </c>
      <c r="T501" s="9">
        <v>45646</v>
      </c>
      <c r="U501" s="8" t="s">
        <v>983</v>
      </c>
      <c r="V501" s="8"/>
      <c r="W501" s="8">
        <v>1</v>
      </c>
      <c r="X501" t="s">
        <v>8</v>
      </c>
      <c r="Y501" t="s">
        <v>185</v>
      </c>
      <c r="AA501"/>
    </row>
    <row r="502" spans="1:27" x14ac:dyDescent="0.3">
      <c r="A502">
        <v>40414</v>
      </c>
      <c r="B502" t="str">
        <f>_xlfn.CONCAT(bron[[#This Row],[personeelsnr]]," ",bron[[#This Row],[achternaam]]," ",bron[[#This Row],[voornaam]])</f>
        <v>40414 Ennakaba Khaoula</v>
      </c>
      <c r="C502" t="str">
        <f>VLOOKUP(bron[[#This Row],[personeelsnr]],'data hastus'!$A:$C,2,0)</f>
        <v>Ennakaba</v>
      </c>
      <c r="D502" t="str">
        <f>VLOOKUP(bron[[#This Row],[personeelsnr]],'data hastus'!$A:$C,3,0)</f>
        <v>Khaoula</v>
      </c>
      <c r="E502" t="str">
        <f>VLOOKUP(bron[[#This Row],[personeelsnr]],'data hastus'!A:K,11,FALSE)</f>
        <v>Steven Storm</v>
      </c>
      <c r="F502" s="10"/>
      <c r="G502" s="7"/>
      <c r="H502" s="7"/>
      <c r="I502" s="7"/>
      <c r="R502" s="5">
        <v>1</v>
      </c>
      <c r="S502" s="5">
        <f>SUM(bron[[#This Row],[Januari]:[December]])</f>
        <v>1</v>
      </c>
      <c r="T502" s="9">
        <v>45647</v>
      </c>
      <c r="U502" s="8" t="s">
        <v>984</v>
      </c>
      <c r="V502" s="8">
        <v>1</v>
      </c>
      <c r="W502" s="8"/>
      <c r="X502" t="s">
        <v>7</v>
      </c>
      <c r="Y502" t="s">
        <v>203</v>
      </c>
      <c r="AA502"/>
    </row>
    <row r="503" spans="1:27" x14ac:dyDescent="0.3">
      <c r="A503">
        <v>21812</v>
      </c>
      <c r="B503" t="str">
        <f>_xlfn.CONCAT(bron[[#This Row],[personeelsnr]]," ",bron[[#This Row],[achternaam]]," ",bron[[#This Row],[voornaam]])</f>
        <v>21812 Ettaibi Moulay Abdenâzih</v>
      </c>
      <c r="C503" t="str">
        <f>VLOOKUP(bron[[#This Row],[personeelsnr]],'data hastus'!$A:$C,2,0)</f>
        <v>Ettaibi</v>
      </c>
      <c r="D503" t="str">
        <f>VLOOKUP(bron[[#This Row],[personeelsnr]],'data hastus'!$A:$C,3,0)</f>
        <v>Moulay Abdenâzih</v>
      </c>
      <c r="E503" t="str">
        <f>VLOOKUP(bron[[#This Row],[personeelsnr]],'data hastus'!A:K,11,FALSE)</f>
        <v>Dominique De Clercq</v>
      </c>
      <c r="F503" s="10"/>
      <c r="G503" s="7"/>
      <c r="H503" s="7"/>
      <c r="I503" s="7"/>
      <c r="R503" s="5">
        <v>1</v>
      </c>
      <c r="S503" s="5">
        <f>SUM(bron[[#This Row],[Januari]:[December]])</f>
        <v>1</v>
      </c>
      <c r="T503" s="9">
        <v>45647</v>
      </c>
      <c r="U503" s="8" t="s">
        <v>985</v>
      </c>
      <c r="V503" s="8"/>
      <c r="W503" s="8">
        <v>1</v>
      </c>
      <c r="X503" t="s">
        <v>8</v>
      </c>
      <c r="Y503" t="s">
        <v>10</v>
      </c>
      <c r="AA503"/>
    </row>
    <row r="504" spans="1:27" x14ac:dyDescent="0.3">
      <c r="A504">
        <v>38938</v>
      </c>
      <c r="B504" t="str">
        <f>_xlfn.CONCAT(bron[[#This Row],[personeelsnr]]," ",bron[[#This Row],[achternaam]]," ",bron[[#This Row],[voornaam]])</f>
        <v>38938 Sedighi Hamid</v>
      </c>
      <c r="C504" t="str">
        <f>VLOOKUP(bron[[#This Row],[personeelsnr]],'data hastus'!$A:$C,2,0)</f>
        <v>Sedighi</v>
      </c>
      <c r="D504" t="str">
        <f>VLOOKUP(bron[[#This Row],[personeelsnr]],'data hastus'!$A:$C,3,0)</f>
        <v>Hamid</v>
      </c>
      <c r="E504" t="str">
        <f>VLOOKUP(bron[[#This Row],[personeelsnr]],'data hastus'!A:K,11,FALSE)</f>
        <v>Lucie Vande Velde</v>
      </c>
      <c r="F504" s="10"/>
      <c r="G504" s="7"/>
      <c r="H504" s="7"/>
      <c r="I504" s="7"/>
      <c r="R504" s="5">
        <v>1</v>
      </c>
      <c r="S504" s="5">
        <f>SUM(bron[[#This Row],[Januari]:[December]])</f>
        <v>1</v>
      </c>
      <c r="T504" s="9">
        <v>45647</v>
      </c>
      <c r="U504" s="8" t="s">
        <v>986</v>
      </c>
      <c r="V504" s="8"/>
      <c r="W504" s="8">
        <v>1</v>
      </c>
      <c r="X504" t="s">
        <v>8</v>
      </c>
      <c r="Y504" t="s">
        <v>5</v>
      </c>
      <c r="AA504"/>
    </row>
    <row r="505" spans="1:27" x14ac:dyDescent="0.3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R505" s="5">
        <v>1</v>
      </c>
      <c r="S505" s="5">
        <f>SUM(bron[[#This Row],[Januari]:[December]])</f>
        <v>1</v>
      </c>
      <c r="T505" s="9">
        <v>45647</v>
      </c>
      <c r="U505" s="8" t="s">
        <v>987</v>
      </c>
      <c r="V505" s="8"/>
      <c r="W505" s="8">
        <v>1</v>
      </c>
      <c r="X505" t="s">
        <v>8</v>
      </c>
      <c r="Y505" t="s">
        <v>69</v>
      </c>
      <c r="AA505"/>
    </row>
    <row r="506" spans="1:27" x14ac:dyDescent="0.3">
      <c r="A506">
        <v>36358</v>
      </c>
      <c r="B506" t="str">
        <f>_xlfn.CONCAT(bron[[#This Row],[personeelsnr]]," ",bron[[#This Row],[achternaam]]," ",bron[[#This Row],[voornaam]])</f>
        <v>36358 De Nys Elise</v>
      </c>
      <c r="C506" t="str">
        <f>VLOOKUP(bron[[#This Row],[personeelsnr]],'data hastus'!$A:$C,2,0)</f>
        <v>De Nys</v>
      </c>
      <c r="D506" t="str">
        <f>VLOOKUP(bron[[#This Row],[personeelsnr]],'data hastus'!$A:$C,3,0)</f>
        <v>Elise</v>
      </c>
      <c r="E506" t="str">
        <f>VLOOKUP(bron[[#This Row],[personeelsnr]],'data hastus'!A:K,11,FALSE)</f>
        <v>Els Dewulf</v>
      </c>
      <c r="F506" s="10"/>
      <c r="G506" s="7"/>
      <c r="H506" s="7"/>
      <c r="I506" s="7"/>
      <c r="R506" s="5">
        <v>1</v>
      </c>
      <c r="S506" s="5">
        <f>SUM(bron[[#This Row],[Januari]:[December]])</f>
        <v>1</v>
      </c>
      <c r="T506" s="9">
        <v>45649</v>
      </c>
      <c r="U506" s="8" t="s">
        <v>988</v>
      </c>
      <c r="V506" s="8">
        <v>1</v>
      </c>
      <c r="W506" s="8"/>
      <c r="X506" t="s">
        <v>7</v>
      </c>
      <c r="Y506" t="s">
        <v>113</v>
      </c>
      <c r="AA506"/>
    </row>
    <row r="507" spans="1:27" x14ac:dyDescent="0.3">
      <c r="A507">
        <v>4419</v>
      </c>
      <c r="B507" t="str">
        <f>_xlfn.CONCAT(bron[[#This Row],[personeelsnr]]," ",bron[[#This Row],[achternaam]]," ",bron[[#This Row],[voornaam]])</f>
        <v>4419 Maelbrancke Eddy</v>
      </c>
      <c r="C507" t="str">
        <f>VLOOKUP(bron[[#This Row],[personeelsnr]],'data hastus'!$A:$C,2,0)</f>
        <v>Maelbrancke</v>
      </c>
      <c r="D507" t="str">
        <f>VLOOKUP(bron[[#This Row],[personeelsnr]],'data hastus'!$A:$C,3,0)</f>
        <v>Eddy</v>
      </c>
      <c r="E507" t="str">
        <f>VLOOKUP(bron[[#This Row],[personeelsnr]],'data hastus'!A:K,11,FALSE)</f>
        <v>Lucie Vande Velde</v>
      </c>
      <c r="F507" s="10"/>
      <c r="G507" s="7"/>
      <c r="H507" s="7"/>
      <c r="I507" s="7"/>
      <c r="R507" s="5">
        <v>1</v>
      </c>
      <c r="S507" s="5">
        <f>SUM(bron[[#This Row],[Januari]:[December]])</f>
        <v>1</v>
      </c>
      <c r="T507" s="9">
        <v>45652</v>
      </c>
      <c r="U507" s="8" t="s">
        <v>989</v>
      </c>
      <c r="V507" s="8">
        <v>1</v>
      </c>
      <c r="W507" s="8"/>
      <c r="X507" t="s">
        <v>7</v>
      </c>
      <c r="Y507" t="s">
        <v>19</v>
      </c>
      <c r="AA507"/>
    </row>
    <row r="508" spans="1:27" x14ac:dyDescent="0.3">
      <c r="A508">
        <v>9999</v>
      </c>
      <c r="B508" t="str">
        <f>_xlfn.CONCAT(bron[[#This Row],[personeelsnr]]," ",bron[[#This Row],[achternaam]]," ",bron[[#This Row],[voornaam]])</f>
        <v>9999 - -</v>
      </c>
      <c r="C508" t="s">
        <v>391</v>
      </c>
      <c r="D508" t="s">
        <v>391</v>
      </c>
      <c r="E508" t="s">
        <v>79</v>
      </c>
      <c r="F508" s="10"/>
      <c r="G508" s="7"/>
      <c r="H508" s="7"/>
      <c r="I508" s="7"/>
      <c r="R508" s="5">
        <v>1</v>
      </c>
      <c r="S508" s="5">
        <f>SUM(bron[[#This Row],[Januari]:[December]])</f>
        <v>1</v>
      </c>
      <c r="T508" s="9">
        <v>45652</v>
      </c>
      <c r="U508" s="8" t="s">
        <v>990</v>
      </c>
      <c r="V508" s="8">
        <v>1</v>
      </c>
      <c r="W508" s="8"/>
      <c r="X508" t="s">
        <v>7</v>
      </c>
      <c r="Y508" t="s">
        <v>10</v>
      </c>
      <c r="AA508"/>
    </row>
    <row r="509" spans="1:27" x14ac:dyDescent="0.3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391</v>
      </c>
      <c r="D509" t="s">
        <v>391</v>
      </c>
      <c r="E509" t="s">
        <v>79</v>
      </c>
      <c r="F509" s="10"/>
      <c r="G509" s="7"/>
      <c r="H509" s="7"/>
      <c r="I509" s="7"/>
      <c r="R509" s="5">
        <v>1</v>
      </c>
      <c r="S509" s="5">
        <f>SUM(bron[[#This Row],[Januari]:[December]])</f>
        <v>1</v>
      </c>
      <c r="T509" s="9">
        <v>45653</v>
      </c>
      <c r="U509" s="8" t="s">
        <v>991</v>
      </c>
      <c r="V509" s="8"/>
      <c r="W509" s="8">
        <v>1</v>
      </c>
      <c r="X509" t="s">
        <v>8</v>
      </c>
      <c r="Y509" t="s">
        <v>442</v>
      </c>
      <c r="AA509"/>
    </row>
    <row r="510" spans="1:27" x14ac:dyDescent="0.3">
      <c r="A510">
        <v>16546</v>
      </c>
      <c r="B510" t="str">
        <f>_xlfn.CONCAT(bron[[#This Row],[personeelsnr]]," ",bron[[#This Row],[achternaam]]," ",bron[[#This Row],[voornaam]])</f>
        <v>16546 Baert Rosita</v>
      </c>
      <c r="C510" t="str">
        <f>VLOOKUP(bron[[#This Row],[personeelsnr]],'data hastus'!$A:$C,2,0)</f>
        <v>Baert</v>
      </c>
      <c r="D510" t="str">
        <f>VLOOKUP(bron[[#This Row],[personeelsnr]],'data hastus'!$A:$C,3,0)</f>
        <v>Rosita</v>
      </c>
      <c r="E510" t="str">
        <f>VLOOKUP(bron[[#This Row],[personeelsnr]],'data hastus'!A:K,11,FALSE)</f>
        <v>Christoff Rotty</v>
      </c>
      <c r="F510" s="10"/>
      <c r="G510" s="7"/>
      <c r="H510" s="7"/>
      <c r="I510" s="7"/>
      <c r="R510" s="5">
        <v>1</v>
      </c>
      <c r="S510" s="5">
        <f>SUM(bron[[#This Row],[Januari]:[December]])</f>
        <v>1</v>
      </c>
      <c r="T510" s="9">
        <v>45654</v>
      </c>
      <c r="U510" s="8" t="s">
        <v>992</v>
      </c>
      <c r="V510" s="8">
        <v>1</v>
      </c>
      <c r="W510" s="8"/>
      <c r="X510" t="s">
        <v>7</v>
      </c>
      <c r="Y510" t="s">
        <v>161</v>
      </c>
      <c r="AA510"/>
    </row>
    <row r="511" spans="1:27" x14ac:dyDescent="0.3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R511" s="5">
        <v>1</v>
      </c>
      <c r="S511" s="5">
        <f>SUM(bron[[#This Row],[Januari]:[December]])</f>
        <v>1</v>
      </c>
      <c r="T511" s="9">
        <v>45654</v>
      </c>
      <c r="U511" s="8" t="s">
        <v>993</v>
      </c>
      <c r="V511" s="8">
        <v>1</v>
      </c>
      <c r="W511" s="8"/>
      <c r="X511" t="s">
        <v>7</v>
      </c>
      <c r="Y511" t="s">
        <v>5</v>
      </c>
      <c r="AA511"/>
    </row>
    <row r="512" spans="1:27" x14ac:dyDescent="0.3">
      <c r="A512">
        <v>39859</v>
      </c>
      <c r="B512" t="str">
        <f>_xlfn.CONCAT(bron[[#This Row],[personeelsnr]]," ",bron[[#This Row],[achternaam]]," ",bron[[#This Row],[voornaam]])</f>
        <v>39859 Costers Kelly</v>
      </c>
      <c r="C512" t="str">
        <f>VLOOKUP(bron[[#This Row],[personeelsnr]],'data hastus'!$A:$C,2,0)</f>
        <v>Costers</v>
      </c>
      <c r="D512" t="str">
        <f>VLOOKUP(bron[[#This Row],[personeelsnr]],'data hastus'!$A:$C,3,0)</f>
        <v>Kelly</v>
      </c>
      <c r="E512" t="str">
        <f>VLOOKUP(bron[[#This Row],[personeelsnr]],'data hastus'!A:K,11,FALSE)</f>
        <v>Bart Van Der Beken</v>
      </c>
      <c r="F512" s="10"/>
      <c r="G512" s="7"/>
      <c r="H512" s="7"/>
      <c r="I512" s="7"/>
      <c r="R512" s="5">
        <v>1</v>
      </c>
      <c r="S512" s="5">
        <f>SUM(bron[[#This Row],[Januari]:[December]])</f>
        <v>1</v>
      </c>
      <c r="T512" s="9">
        <v>45656</v>
      </c>
      <c r="U512" s="8" t="s">
        <v>994</v>
      </c>
      <c r="V512" s="8">
        <v>1</v>
      </c>
      <c r="W512" s="8"/>
      <c r="X512" t="s">
        <v>7</v>
      </c>
      <c r="Y512" t="s">
        <v>81</v>
      </c>
      <c r="AA512"/>
    </row>
    <row r="513" spans="1:27" x14ac:dyDescent="0.3">
      <c r="A513">
        <v>29179</v>
      </c>
      <c r="B513" t="str">
        <f>_xlfn.CONCAT(bron[[#This Row],[personeelsnr]]," ",bron[[#This Row],[achternaam]]," ",bron[[#This Row],[voornaam]])</f>
        <v>29179 Verwee Dries</v>
      </c>
      <c r="C513" t="str">
        <f>VLOOKUP(bron[[#This Row],[personeelsnr]],'data hastus'!$A:$C,2,0)</f>
        <v>Verwee</v>
      </c>
      <c r="D513" t="str">
        <f>VLOOKUP(bron[[#This Row],[personeelsnr]],'data hastus'!$A:$C,3,0)</f>
        <v>Dries</v>
      </c>
      <c r="E513" t="str">
        <f>VLOOKUP(bron[[#This Row],[personeelsnr]],'data hastus'!A:K,11,FALSE)</f>
        <v>Els Dewulf</v>
      </c>
      <c r="F513" s="10"/>
      <c r="G513" s="7"/>
      <c r="H513" s="7"/>
      <c r="I513" s="7"/>
      <c r="R513" s="5">
        <v>1</v>
      </c>
      <c r="S513" s="5">
        <f>SUM(bron[[#This Row],[Januari]:[December]])</f>
        <v>1</v>
      </c>
      <c r="T513" s="9">
        <v>45657</v>
      </c>
      <c r="U513" s="8" t="s">
        <v>995</v>
      </c>
      <c r="V513" s="8"/>
      <c r="W513" s="8">
        <v>1</v>
      </c>
      <c r="X513" t="s">
        <v>8</v>
      </c>
      <c r="Y513" t="s">
        <v>5</v>
      </c>
      <c r="AA513"/>
    </row>
    <row r="514" spans="1:27" hidden="1" x14ac:dyDescent="0.3">
      <c r="A514">
        <v>4419</v>
      </c>
      <c r="B514" t="str">
        <f>_xlfn.CONCAT(bron[[#This Row],[personeelsnr]]," ",bron[[#This Row],[achternaam]]," ",bron[[#This Row],[voornaam]])</f>
        <v>4419 Maelbrancke Eddy</v>
      </c>
      <c r="C514" t="str">
        <f>VLOOKUP(bron[[#This Row],[personeelsnr]],'data hastus'!$A:$C,2,0)</f>
        <v>Maelbrancke</v>
      </c>
      <c r="D514" t="str">
        <f>VLOOKUP(bron[[#This Row],[personeelsnr]],'data hastus'!$A:$C,3,0)</f>
        <v>Eddy</v>
      </c>
      <c r="E514" t="str">
        <f>VLOOKUP(bron[[#This Row],[personeelsnr]],'data hastus'!A:K,11,FALSE)</f>
        <v>Lucie Vande Velde</v>
      </c>
      <c r="F514" s="10"/>
      <c r="G514" s="7"/>
      <c r="H514" s="7"/>
      <c r="I514" s="7"/>
      <c r="M514" s="5">
        <v>1</v>
      </c>
      <c r="S514" s="5">
        <f>SUM(bron[[#This Row],[Januari]:[December]])</f>
        <v>1</v>
      </c>
      <c r="T514" s="9">
        <v>45841</v>
      </c>
      <c r="U514" s="8" t="s">
        <v>1333</v>
      </c>
      <c r="V514" s="24">
        <v>1</v>
      </c>
      <c r="W514" s="24"/>
      <c r="X514" t="s">
        <v>7</v>
      </c>
      <c r="Y514" t="s">
        <v>1334</v>
      </c>
      <c r="Z514">
        <v>2193</v>
      </c>
      <c r="AA514" s="39" t="s">
        <v>3593</v>
      </c>
    </row>
    <row r="515" spans="1:27" hidden="1" x14ac:dyDescent="0.3">
      <c r="A515">
        <v>4419</v>
      </c>
      <c r="B515" t="str">
        <f>_xlfn.CONCAT(bron[[#This Row],[personeelsnr]]," ",bron[[#This Row],[achternaam]]," ",bron[[#This Row],[voornaam]])</f>
        <v>4419 Maelbrancke Eddy</v>
      </c>
      <c r="C515" t="str">
        <f>VLOOKUP(bron[[#This Row],[personeelsnr]],'data hastus'!$A:$C,2,0)</f>
        <v>Maelbrancke</v>
      </c>
      <c r="D515" t="str">
        <f>VLOOKUP(bron[[#This Row],[personeelsnr]],'data hastus'!$A:$C,3,0)</f>
        <v>Eddy</v>
      </c>
      <c r="E515" t="str">
        <f>VLOOKUP(bron[[#This Row],[personeelsnr]],'data hastus'!A:K,11,FALSE)</f>
        <v>Lucie Vande Velde</v>
      </c>
      <c r="F515" s="10"/>
      <c r="G515" s="7"/>
      <c r="H515" s="7"/>
      <c r="I515" s="7"/>
      <c r="M515" s="5">
        <v>1</v>
      </c>
      <c r="S515" s="5">
        <f>SUM(bron[[#This Row],[Januari]:[December]])</f>
        <v>1</v>
      </c>
      <c r="T515" s="9">
        <v>45839</v>
      </c>
      <c r="U515" s="8" t="s">
        <v>1221</v>
      </c>
      <c r="V515" s="24">
        <v>1</v>
      </c>
      <c r="W515" s="24"/>
      <c r="X515" t="s">
        <v>3544</v>
      </c>
      <c r="Y515" t="s">
        <v>227</v>
      </c>
      <c r="Z515">
        <v>2195</v>
      </c>
      <c r="AA515" s="39" t="s">
        <v>3592</v>
      </c>
    </row>
    <row r="516" spans="1:27" hidden="1" x14ac:dyDescent="0.3">
      <c r="A516">
        <v>4419</v>
      </c>
      <c r="B516" t="str">
        <f>_xlfn.CONCAT(bron[[#This Row],[personeelsnr]]," ",bron[[#This Row],[achternaam]]," ",bron[[#This Row],[voornaam]])</f>
        <v>4419 Maelbrancke Eddy</v>
      </c>
      <c r="C516" t="str">
        <f>VLOOKUP(bron[[#This Row],[personeelsnr]],'data hastus'!$A:$C,2,0)</f>
        <v>Maelbrancke</v>
      </c>
      <c r="D516" t="str">
        <f>VLOOKUP(bron[[#This Row],[personeelsnr]],'data hastus'!$A:$C,3,0)</f>
        <v>Eddy</v>
      </c>
      <c r="E516" t="str">
        <f>VLOOKUP(bron[[#This Row],[personeelsnr]],'data hastus'!A:K,11,FALSE)</f>
        <v>Lucie Vande Velde</v>
      </c>
      <c r="F516" s="10"/>
      <c r="G516" s="6"/>
      <c r="H516" s="6">
        <v>1</v>
      </c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45695</v>
      </c>
      <c r="U516" s="8" t="s">
        <v>1051</v>
      </c>
      <c r="V516" s="8">
        <v>1</v>
      </c>
      <c r="W516" s="8"/>
      <c r="X516" t="s">
        <v>3544</v>
      </c>
      <c r="Y516" t="s">
        <v>10</v>
      </c>
      <c r="Z516">
        <v>2195</v>
      </c>
      <c r="AA516" s="39" t="s">
        <v>3592</v>
      </c>
    </row>
    <row r="517" spans="1:27" hidden="1" x14ac:dyDescent="0.3">
      <c r="A517">
        <v>4608</v>
      </c>
      <c r="B517" t="str">
        <f>_xlfn.CONCAT(bron[[#This Row],[personeelsnr]]," ",bron[[#This Row],[achternaam]]," ",bron[[#This Row],[voornaam]])</f>
        <v>4608 Steenbrugge Johan</v>
      </c>
      <c r="C517" t="str">
        <f>VLOOKUP(bron[[#This Row],[personeelsnr]],'data hastus'!$A:$C,2,0)</f>
        <v>Steenbrugge</v>
      </c>
      <c r="D517" t="str">
        <f>VLOOKUP(bron[[#This Row],[personeelsnr]],'data hastus'!$A:$C,3,0)</f>
        <v>Johan</v>
      </c>
      <c r="E517" t="str">
        <f>VLOOKUP(bron[[#This Row],[personeelsnr]],'data hastus'!A:K,11,FALSE)</f>
        <v>Lucie Vande Velde</v>
      </c>
      <c r="F517" s="10"/>
      <c r="G517" s="6"/>
      <c r="H517" s="6"/>
      <c r="I517" s="6"/>
      <c r="J517"/>
      <c r="K517">
        <v>1</v>
      </c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45780</v>
      </c>
      <c r="U517" s="8" t="s">
        <v>1162</v>
      </c>
      <c r="V517" s="8">
        <v>1</v>
      </c>
      <c r="W517" s="8"/>
      <c r="X517" t="s">
        <v>3544</v>
      </c>
      <c r="Y517" t="s">
        <v>34</v>
      </c>
      <c r="Z517">
        <v>2208</v>
      </c>
      <c r="AA517" s="39" t="s">
        <v>3592</v>
      </c>
    </row>
    <row r="518" spans="1:27" hidden="1" x14ac:dyDescent="0.3">
      <c r="A518">
        <v>11236</v>
      </c>
      <c r="B518" t="str">
        <f>_xlfn.CONCAT(bron[[#This Row],[personeelsnr]]," ",bron[[#This Row],[achternaam]]," ",bron[[#This Row],[voornaam]])</f>
        <v>11236 Baert Freddy</v>
      </c>
      <c r="C518" t="str">
        <f>VLOOKUP(bron[[#This Row],[personeelsnr]],'data hastus'!$A:$C,2,0)</f>
        <v>Baert</v>
      </c>
      <c r="D518" t="str">
        <f>VLOOKUP(bron[[#This Row],[personeelsnr]],'data hastus'!$A:$C,3,0)</f>
        <v>Freddy</v>
      </c>
      <c r="E518" t="str">
        <f>VLOOKUP(bron[[#This Row],[personeelsnr]],'data hastus'!A:K,11,FALSE)</f>
        <v>Bart Van Der Beken</v>
      </c>
      <c r="F518" s="10"/>
      <c r="G518" s="7"/>
      <c r="H518" s="7"/>
      <c r="I518" s="7"/>
      <c r="N518" s="5">
        <v>1</v>
      </c>
      <c r="S518" s="5">
        <f>SUM(bron[[#This Row],[Januari]:[December]])</f>
        <v>1</v>
      </c>
      <c r="T518" s="9">
        <v>45897</v>
      </c>
      <c r="U518" s="5" t="s">
        <v>1284</v>
      </c>
      <c r="V518" s="24">
        <v>1</v>
      </c>
      <c r="W518" s="24"/>
      <c r="X518" t="s">
        <v>3544</v>
      </c>
      <c r="Y518" t="s">
        <v>195</v>
      </c>
      <c r="Z518">
        <v>5046</v>
      </c>
      <c r="AA518" t="s">
        <v>3592</v>
      </c>
    </row>
    <row r="519" spans="1:27" hidden="1" x14ac:dyDescent="0.3">
      <c r="A519">
        <v>4720</v>
      </c>
      <c r="B519" t="str">
        <f>_xlfn.CONCAT(bron[[#This Row],[personeelsnr]]," ",bron[[#This Row],[achternaam]]," ",bron[[#This Row],[voornaam]])</f>
        <v>4720 De Roo Jo</v>
      </c>
      <c r="C519" t="str">
        <f>VLOOKUP(bron[[#This Row],[personeelsnr]],'data hastus'!$A:$C,2,0)</f>
        <v>De Roo</v>
      </c>
      <c r="D519" t="str">
        <f>VLOOKUP(bron[[#This Row],[personeelsnr]],'data hastus'!$A:$C,3,0)</f>
        <v>Jo</v>
      </c>
      <c r="E519" t="str">
        <f>VLOOKUP(bron[[#This Row],[personeelsnr]],'data hastus'!A:K,11,FALSE)</f>
        <v>Els Vanhoe</v>
      </c>
      <c r="F519" s="10"/>
      <c r="G519" s="7"/>
      <c r="H519" s="7"/>
      <c r="I519" s="7"/>
      <c r="M519" s="5">
        <v>1</v>
      </c>
      <c r="S519" s="5">
        <f>SUM(bron[[#This Row],[Januari]:[December]])</f>
        <v>1</v>
      </c>
      <c r="T519" s="9">
        <v>45847</v>
      </c>
      <c r="U519" s="8" t="s">
        <v>1236</v>
      </c>
      <c r="V519" s="24">
        <v>1</v>
      </c>
      <c r="W519" s="24"/>
      <c r="X519" t="s">
        <v>3545</v>
      </c>
      <c r="Y519" t="s">
        <v>191</v>
      </c>
      <c r="Z519">
        <v>5772</v>
      </c>
      <c r="AA519" s="39" t="s">
        <v>3592</v>
      </c>
    </row>
    <row r="520" spans="1:27" hidden="1" x14ac:dyDescent="0.3">
      <c r="A520">
        <v>6229</v>
      </c>
      <c r="B520" t="str">
        <f>_xlfn.CONCAT(bron[[#This Row],[personeelsnr]]," ",bron[[#This Row],[achternaam]]," ",bron[[#This Row],[voornaam]])</f>
        <v>6229 De Meyer Antoon</v>
      </c>
      <c r="C520" t="str">
        <f>VLOOKUP(bron[[#This Row],[personeelsnr]],'data hastus'!$A:$C,2,0)</f>
        <v>De Meyer</v>
      </c>
      <c r="D520" t="str">
        <f>VLOOKUP(bron[[#This Row],[personeelsnr]],'data hastus'!$A:$C,3,0)</f>
        <v>Antoon</v>
      </c>
      <c r="E520" t="str">
        <f>VLOOKUP(bron[[#This Row],[personeelsnr]],'data hastus'!A:K,11,FALSE)</f>
        <v>Els Vanhoe</v>
      </c>
      <c r="F520" s="10"/>
      <c r="G520" s="6"/>
      <c r="H520" s="6">
        <v>1</v>
      </c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45701</v>
      </c>
      <c r="U520" s="8" t="s">
        <v>1056</v>
      </c>
      <c r="V520" s="8">
        <v>1</v>
      </c>
      <c r="W520" s="8"/>
      <c r="X520" t="s">
        <v>3544</v>
      </c>
      <c r="Y520" t="s">
        <v>193</v>
      </c>
      <c r="Z520">
        <v>5240</v>
      </c>
      <c r="AA520" s="39" t="s">
        <v>3592</v>
      </c>
    </row>
    <row r="521" spans="1:27" hidden="1" x14ac:dyDescent="0.3">
      <c r="A521">
        <v>7746</v>
      </c>
      <c r="B521" t="str">
        <f>_xlfn.CONCAT(bron[[#This Row],[personeelsnr]]," ",bron[[#This Row],[achternaam]]," ",bron[[#This Row],[voornaam]])</f>
        <v>7746 Aelterman Didier</v>
      </c>
      <c r="C521" t="str">
        <f>VLOOKUP(bron[[#This Row],[personeelsnr]],'data hastus'!$A:$C,2,0)</f>
        <v>Aelterman</v>
      </c>
      <c r="D521" t="str">
        <f>VLOOKUP(bron[[#This Row],[personeelsnr]],'data hastus'!$A:$C,3,0)</f>
        <v>Didier</v>
      </c>
      <c r="E521" t="str">
        <f>VLOOKUP(bron[[#This Row],[personeelsnr]],'data hastus'!A:K,11,FALSE)</f>
        <v>Christoff Rotty</v>
      </c>
      <c r="F521" s="10"/>
      <c r="G521" s="7"/>
      <c r="H521" s="7"/>
      <c r="I521" s="7"/>
      <c r="L521" s="5">
        <v>1</v>
      </c>
      <c r="S521" s="5">
        <f>SUM(bron[[#This Row],[Januari]:[December]])</f>
        <v>1</v>
      </c>
      <c r="T521" s="9">
        <v>45820</v>
      </c>
      <c r="U521" s="8" t="s">
        <v>1202</v>
      </c>
      <c r="V521" s="24">
        <v>1</v>
      </c>
      <c r="W521" s="24"/>
      <c r="X521" t="s">
        <v>3545</v>
      </c>
      <c r="Y521" t="s">
        <v>94</v>
      </c>
      <c r="Z521">
        <v>5488</v>
      </c>
      <c r="AA521" s="39" t="s">
        <v>3592</v>
      </c>
    </row>
    <row r="522" spans="1:27" hidden="1" x14ac:dyDescent="0.3">
      <c r="A522">
        <v>8394</v>
      </c>
      <c r="B522" t="str">
        <f>_xlfn.CONCAT(bron[[#This Row],[personeelsnr]]," ",bron[[#This Row],[achternaam]]," ",bron[[#This Row],[voornaam]])</f>
        <v>8394 Smet Antoon</v>
      </c>
      <c r="C522" t="str">
        <f>VLOOKUP(bron[[#This Row],[personeelsnr]],'data hastus'!$A:$C,2,0)</f>
        <v>Smet</v>
      </c>
      <c r="D522" t="str">
        <f>VLOOKUP(bron[[#This Row],[personeelsnr]],'data hastus'!$A:$C,3,0)</f>
        <v>Antoon</v>
      </c>
      <c r="E522" t="str">
        <f>VLOOKUP(bron[[#This Row],[personeelsnr]],'data hastus'!A:K,11,FALSE)</f>
        <v>Lucie Vande Velde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45677</v>
      </c>
      <c r="U522" s="8" t="s">
        <v>1022</v>
      </c>
      <c r="V522" s="8">
        <v>1</v>
      </c>
      <c r="W522" s="8"/>
      <c r="X522" t="s">
        <v>3544</v>
      </c>
      <c r="Y522" t="s">
        <v>285</v>
      </c>
      <c r="Z522">
        <v>5039</v>
      </c>
      <c r="AA522" s="39" t="s">
        <v>3592</v>
      </c>
    </row>
    <row r="523" spans="1:27" hidden="1" x14ac:dyDescent="0.3">
      <c r="A523">
        <v>9158</v>
      </c>
      <c r="B523" t="str">
        <f>_xlfn.CONCAT(bron[[#This Row],[personeelsnr]]," ",bron[[#This Row],[achternaam]]," ",bron[[#This Row],[voornaam]])</f>
        <v>9158 De Weirdt Ronny</v>
      </c>
      <c r="C523" t="str">
        <f>VLOOKUP(bron[[#This Row],[personeelsnr]],'data hastus'!$A:$C,2,0)</f>
        <v>De Weirdt</v>
      </c>
      <c r="D523" t="str">
        <f>VLOOKUP(bron[[#This Row],[personeelsnr]],'data hastus'!$A:$C,3,0)</f>
        <v>Ronny</v>
      </c>
      <c r="E523" t="str">
        <f>VLOOKUP(bron[[#This Row],[personeelsnr]],'data hastus'!A:K,11,FALSE)</f>
        <v>Steven Storm</v>
      </c>
      <c r="F523" s="10"/>
      <c r="G523" s="6"/>
      <c r="H523" s="6"/>
      <c r="I523" s="6"/>
      <c r="J523">
        <v>1</v>
      </c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45758</v>
      </c>
      <c r="U523" s="8" t="s">
        <v>1134</v>
      </c>
      <c r="V523" s="8"/>
      <c r="W523" s="8">
        <v>1</v>
      </c>
      <c r="X523" t="s">
        <v>3581</v>
      </c>
      <c r="Y523" t="s">
        <v>5</v>
      </c>
      <c r="Z523">
        <v>6373</v>
      </c>
      <c r="AA523" s="39" t="s">
        <v>3592</v>
      </c>
    </row>
    <row r="524" spans="1:27" hidden="1" x14ac:dyDescent="0.3">
      <c r="A524">
        <v>18051</v>
      </c>
      <c r="B524" t="str">
        <f>_xlfn.CONCAT(bron[[#This Row],[personeelsnr]]," ",bron[[#This Row],[achternaam]]," ",bron[[#This Row],[voornaam]])</f>
        <v>18051 Van Wittenberge Filip</v>
      </c>
      <c r="C524" t="str">
        <f>VLOOKUP(bron[[#This Row],[personeelsnr]],'data hastus'!$A:$C,2,0)</f>
        <v>Van Wittenberge</v>
      </c>
      <c r="D524" t="str">
        <f>VLOOKUP(bron[[#This Row],[personeelsnr]],'data hastus'!$A:$C,3,0)</f>
        <v>Filip</v>
      </c>
      <c r="E524" t="str">
        <f>VLOOKUP(bron[[#This Row],[personeelsnr]],'data hastus'!A:K,11,FALSE)</f>
        <v>Christoff Rotty</v>
      </c>
      <c r="F524" s="10"/>
      <c r="G524" s="7"/>
      <c r="H524" s="7"/>
      <c r="I524" s="7"/>
      <c r="N524" s="5">
        <v>1</v>
      </c>
      <c r="S524" s="5">
        <f>SUM(bron[[#This Row],[Januari]:[December]])</f>
        <v>1</v>
      </c>
      <c r="T524" s="9">
        <v>45890</v>
      </c>
      <c r="U524" s="5" t="s">
        <v>1274</v>
      </c>
      <c r="V524" s="24">
        <v>1</v>
      </c>
      <c r="W524" s="24"/>
      <c r="X524" t="s">
        <v>3544</v>
      </c>
      <c r="Y524" t="s">
        <v>123</v>
      </c>
      <c r="Z524">
        <v>5233</v>
      </c>
      <c r="AA524" t="s">
        <v>3592</v>
      </c>
    </row>
    <row r="525" spans="1:27" hidden="1" x14ac:dyDescent="0.3">
      <c r="A525">
        <v>9824</v>
      </c>
      <c r="B525" t="str">
        <f>_xlfn.CONCAT(bron[[#This Row],[personeelsnr]]," ",bron[[#This Row],[achternaam]]," ",bron[[#This Row],[voornaam]])</f>
        <v>9824 De Meulenaere Eric</v>
      </c>
      <c r="C525" t="str">
        <f>VLOOKUP(bron[[#This Row],[personeelsnr]],'data hastus'!$A:$C,2,0)</f>
        <v>De Meulenaere</v>
      </c>
      <c r="D525" t="str">
        <f>VLOOKUP(bron[[#This Row],[personeelsnr]],'data hastus'!$A:$C,3,0)</f>
        <v>Eric</v>
      </c>
      <c r="E525" t="str">
        <f>VLOOKUP(bron[[#This Row],[personeelsnr]],'data hastus'!A:K,11,FALSE)</f>
        <v>Steven Storm</v>
      </c>
      <c r="F525" s="10"/>
      <c r="G525" s="6"/>
      <c r="H525" s="6">
        <v>1</v>
      </c>
      <c r="I525" s="6"/>
      <c r="J525"/>
      <c r="K525"/>
      <c r="L525"/>
      <c r="M525"/>
      <c r="N525"/>
      <c r="O525"/>
      <c r="P525"/>
      <c r="Q525"/>
      <c r="R525"/>
      <c r="S525">
        <f>SUM(bron[[#This Row],[Januari]:[December]])</f>
        <v>1</v>
      </c>
      <c r="T525" s="3">
        <v>45711</v>
      </c>
      <c r="U525" s="8" t="s">
        <v>1078</v>
      </c>
      <c r="V525" s="8"/>
      <c r="W525" s="8">
        <v>1</v>
      </c>
      <c r="X525" t="s">
        <v>3580</v>
      </c>
      <c r="Y525" t="s">
        <v>5</v>
      </c>
      <c r="Z525">
        <v>6364</v>
      </c>
      <c r="AA525" s="39" t="s">
        <v>3592</v>
      </c>
    </row>
    <row r="526" spans="1:27" hidden="1" x14ac:dyDescent="0.3">
      <c r="A526">
        <v>9999</v>
      </c>
      <c r="B526" t="e">
        <f>_xlfn.CONCAT(bron[[#This Row],[personeelsnr]]," ",bron[[#This Row],[achternaam]]," ",bron[[#This Row],[voornaam]])</f>
        <v>#N/A</v>
      </c>
      <c r="C526" t="e">
        <f>VLOOKUP(bron[[#This Row],[personeelsnr]],'data hastus'!$A:$C,2,0)</f>
        <v>#N/A</v>
      </c>
      <c r="D526" t="e">
        <f>VLOOKUP(bron[[#This Row],[personeelsnr]],'data hastus'!$A:$C,3,0)</f>
        <v>#N/A</v>
      </c>
      <c r="E526" t="s">
        <v>79</v>
      </c>
      <c r="F526" s="10"/>
      <c r="G526" s="6"/>
      <c r="H526" s="6"/>
      <c r="I526" s="6"/>
      <c r="J526">
        <v>1</v>
      </c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45771</v>
      </c>
      <c r="U526" s="8" t="s">
        <v>1152</v>
      </c>
      <c r="V526" s="8">
        <v>1</v>
      </c>
      <c r="W526" s="8"/>
      <c r="X526" t="s">
        <v>391</v>
      </c>
      <c r="Y526" t="s">
        <v>5</v>
      </c>
      <c r="Z526">
        <v>8232</v>
      </c>
      <c r="AA526" s="39" t="s">
        <v>3592</v>
      </c>
    </row>
    <row r="527" spans="1:27" hidden="1" x14ac:dyDescent="0.3">
      <c r="A527">
        <v>10782</v>
      </c>
      <c r="B527" t="str">
        <f>_xlfn.CONCAT(bron[[#This Row],[personeelsnr]]," ",bron[[#This Row],[achternaam]]," ",bron[[#This Row],[voornaam]])</f>
        <v>10782 De Kee Ina</v>
      </c>
      <c r="C527" t="str">
        <f>VLOOKUP(bron[[#This Row],[personeelsnr]],'data hastus'!$A:$C,2,0)</f>
        <v>De Kee</v>
      </c>
      <c r="D527" t="str">
        <f>VLOOKUP(bron[[#This Row],[personeelsnr]],'data hastus'!$A:$C,3,0)</f>
        <v>Ina</v>
      </c>
      <c r="E527" t="str">
        <f>VLOOKUP(bron[[#This Row],[personeelsnr]],'data hastus'!A:K,11,FALSE)</f>
        <v>Kenneth De Rick</v>
      </c>
      <c r="F527" s="10"/>
      <c r="G527" s="7"/>
      <c r="H527" s="7"/>
      <c r="I527" s="7"/>
      <c r="S527" s="5">
        <v>1</v>
      </c>
      <c r="T527" s="9">
        <v>45868</v>
      </c>
      <c r="U527" s="8" t="s">
        <v>1322</v>
      </c>
      <c r="V527" s="24"/>
      <c r="W527" s="24">
        <v>1</v>
      </c>
      <c r="X527" t="s">
        <v>8</v>
      </c>
      <c r="Y527" t="s">
        <v>1323</v>
      </c>
      <c r="Z527">
        <v>6337</v>
      </c>
      <c r="AA527" s="39" t="s">
        <v>3593</v>
      </c>
    </row>
    <row r="528" spans="1:27" hidden="1" x14ac:dyDescent="0.3">
      <c r="A528">
        <v>20656</v>
      </c>
      <c r="B528" t="str">
        <f>_xlfn.CONCAT(bron[[#This Row],[personeelsnr]]," ",bron[[#This Row],[achternaam]]," ",bron[[#This Row],[voornaam]])</f>
        <v>20656 Vonck Bart</v>
      </c>
      <c r="C528" t="str">
        <f>VLOOKUP(bron[[#This Row],[personeelsnr]],'data hastus'!$A:$C,2,0)</f>
        <v>Vonck</v>
      </c>
      <c r="D528" t="str">
        <f>VLOOKUP(bron[[#This Row],[personeelsnr]],'data hastus'!$A:$C,3,0)</f>
        <v>Bart</v>
      </c>
      <c r="E528" t="str">
        <f>VLOOKUP(bron[[#This Row],[personeelsnr]],'data hastus'!A:K,11,FALSE)</f>
        <v>Els Vanhoe</v>
      </c>
      <c r="F528" s="10"/>
      <c r="G528" s="7"/>
      <c r="H528" s="7"/>
      <c r="I528" s="7"/>
      <c r="O528" s="5">
        <v>1</v>
      </c>
      <c r="S528" s="5">
        <f>SUM(bron[[#This Row],[Januari]:[December]])</f>
        <v>1</v>
      </c>
      <c r="T528" s="9">
        <v>45903</v>
      </c>
      <c r="U528" s="5" t="s">
        <v>3529</v>
      </c>
      <c r="V528" s="24">
        <v>1</v>
      </c>
      <c r="W528" s="24"/>
      <c r="X528" t="s">
        <v>3544</v>
      </c>
      <c r="Y528" t="s">
        <v>3530</v>
      </c>
      <c r="Z528">
        <v>5324</v>
      </c>
      <c r="AA528" t="s">
        <v>3592</v>
      </c>
    </row>
    <row r="529" spans="1:27" hidden="1" x14ac:dyDescent="0.3">
      <c r="A529">
        <v>11021</v>
      </c>
      <c r="B529" t="str">
        <f>_xlfn.CONCAT(bron[[#This Row],[personeelsnr]]," ",bron[[#This Row],[achternaam]]," ",bron[[#This Row],[voornaam]])</f>
        <v>11021 Seeuws Marnic</v>
      </c>
      <c r="C529" t="str">
        <f>VLOOKUP(bron[[#This Row],[personeelsnr]],'data hastus'!$A:$C,2,0)</f>
        <v>Seeuws</v>
      </c>
      <c r="D529" t="str">
        <f>VLOOKUP(bron[[#This Row],[personeelsnr]],'data hastus'!$A:$C,3,0)</f>
        <v>Marnic</v>
      </c>
      <c r="E529" t="str">
        <f>VLOOKUP(bron[[#This Row],[personeelsnr]],'data hastus'!A:K,11,FALSE)</f>
        <v>Steven Storm</v>
      </c>
      <c r="F529" s="10"/>
      <c r="G529" s="7"/>
      <c r="H529" s="7"/>
      <c r="I529" s="7"/>
      <c r="O529" s="5">
        <v>1</v>
      </c>
      <c r="S529" s="5">
        <f>SUM(bron[[#This Row],[Januari]:[December]])</f>
        <v>1</v>
      </c>
      <c r="T529" s="9">
        <v>45914</v>
      </c>
      <c r="U529" s="5" t="s">
        <v>3582</v>
      </c>
      <c r="V529" s="24"/>
      <c r="W529" s="24">
        <v>1</v>
      </c>
      <c r="X529" t="s">
        <v>3581</v>
      </c>
      <c r="Y529" t="s">
        <v>3583</v>
      </c>
      <c r="Z529">
        <v>6374</v>
      </c>
      <c r="AA529" s="39" t="s">
        <v>3593</v>
      </c>
    </row>
    <row r="530" spans="1:27" hidden="1" x14ac:dyDescent="0.3">
      <c r="A530">
        <v>11120</v>
      </c>
      <c r="B530" t="str">
        <f>_xlfn.CONCAT(bron[[#This Row],[personeelsnr]]," ",bron[[#This Row],[achternaam]]," ",bron[[#This Row],[voornaam]])</f>
        <v>11120 De Vrieze Ludo</v>
      </c>
      <c r="C530" t="str">
        <f>VLOOKUP(bron[[#This Row],[personeelsnr]],'data hastus'!$A:$C,2,0)</f>
        <v>De Vrieze</v>
      </c>
      <c r="D530" t="str">
        <f>VLOOKUP(bron[[#This Row],[personeelsnr]],'data hastus'!$A:$C,3,0)</f>
        <v>Ludo</v>
      </c>
      <c r="E530" t="str">
        <f>VLOOKUP(bron[[#This Row],[personeelsnr]],'data hastus'!A:K,11,FALSE)</f>
        <v>Lucie Vande Velde</v>
      </c>
      <c r="F530" s="10"/>
      <c r="G530" s="6"/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0</v>
      </c>
      <c r="T530" s="3">
        <v>45735</v>
      </c>
      <c r="U530" s="8" t="s">
        <v>1331</v>
      </c>
      <c r="V530" s="8"/>
      <c r="W530" s="8">
        <v>1</v>
      </c>
      <c r="X530" t="s">
        <v>8</v>
      </c>
      <c r="Y530" t="s">
        <v>1332</v>
      </c>
      <c r="Z530">
        <v>6322</v>
      </c>
      <c r="AA530" s="39" t="s">
        <v>3593</v>
      </c>
    </row>
    <row r="531" spans="1:27" hidden="1" x14ac:dyDescent="0.3">
      <c r="A531">
        <v>11213</v>
      </c>
      <c r="B531" t="str">
        <f>_xlfn.CONCAT(bron[[#This Row],[personeelsnr]]," ",bron[[#This Row],[achternaam]]," ",bron[[#This Row],[voornaam]])</f>
        <v>11213 De Plus Gunter</v>
      </c>
      <c r="C531" t="str">
        <f>VLOOKUP(bron[[#This Row],[personeelsnr]],'data hastus'!$A:$C,2,0)</f>
        <v>De Plus</v>
      </c>
      <c r="D531" t="str">
        <f>VLOOKUP(bron[[#This Row],[personeelsnr]],'data hastus'!$A:$C,3,0)</f>
        <v>Gunter</v>
      </c>
      <c r="E531" t="str">
        <f>VLOOKUP(bron[[#This Row],[personeelsnr]],'data hastus'!A:K,11,FALSE)</f>
        <v>Bart Van Der Beken</v>
      </c>
      <c r="F531" s="10"/>
      <c r="G531" s="7"/>
      <c r="H531" s="7"/>
      <c r="I531" s="7"/>
      <c r="M531" s="5">
        <v>1</v>
      </c>
      <c r="S531" s="5">
        <f>SUM(bron[[#This Row],[Januari]:[December]])</f>
        <v>1</v>
      </c>
      <c r="T531" s="9">
        <v>45862</v>
      </c>
      <c r="U531" s="8" t="s">
        <v>1255</v>
      </c>
      <c r="V531" s="24"/>
      <c r="W531" s="24">
        <v>1</v>
      </c>
      <c r="X531" t="s">
        <v>3580</v>
      </c>
      <c r="Y531" t="s">
        <v>233</v>
      </c>
      <c r="Z531">
        <v>6331</v>
      </c>
      <c r="AA531" s="39" t="s">
        <v>3592</v>
      </c>
    </row>
    <row r="532" spans="1:27" hidden="1" x14ac:dyDescent="0.3">
      <c r="A532">
        <v>22244</v>
      </c>
      <c r="B532" t="str">
        <f>_xlfn.CONCAT(bron[[#This Row],[personeelsnr]]," ",bron[[#This Row],[achternaam]]," ",bron[[#This Row],[voornaam]])</f>
        <v>22244 Kirdas Süleyman</v>
      </c>
      <c r="C532" t="str">
        <f>VLOOKUP(bron[[#This Row],[personeelsnr]],'data hastus'!$A:$C,2,0)</f>
        <v>Kirdas</v>
      </c>
      <c r="D532" t="str">
        <f>VLOOKUP(bron[[#This Row],[personeelsnr]],'data hastus'!$A:$C,3,0)</f>
        <v>Süleyman</v>
      </c>
      <c r="E532" t="str">
        <f>VLOOKUP(bron[[#This Row],[personeelsnr]],'data hastus'!A:K,11,FALSE)</f>
        <v>Christoff Rotty</v>
      </c>
      <c r="F532" s="10"/>
      <c r="G532" s="7"/>
      <c r="H532" s="7"/>
      <c r="I532" s="7"/>
      <c r="O532" s="5">
        <v>1</v>
      </c>
      <c r="S532" s="5">
        <f>SUM(bron[[#This Row],[Januari]:[December]])</f>
        <v>1</v>
      </c>
      <c r="T532" s="9">
        <v>45905</v>
      </c>
      <c r="U532" s="5" t="s">
        <v>3534</v>
      </c>
      <c r="V532" s="24">
        <v>1</v>
      </c>
      <c r="W532" s="24"/>
      <c r="X532" t="s">
        <v>3545</v>
      </c>
      <c r="Y532" t="s">
        <v>3535</v>
      </c>
      <c r="Z532">
        <v>5931</v>
      </c>
      <c r="AA532" t="s">
        <v>3592</v>
      </c>
    </row>
    <row r="533" spans="1:27" hidden="1" x14ac:dyDescent="0.3">
      <c r="A533">
        <v>11236</v>
      </c>
      <c r="B533" t="str">
        <f>_xlfn.CONCAT(bron[[#This Row],[personeelsnr]]," ",bron[[#This Row],[achternaam]]," ",bron[[#This Row],[voornaam]])</f>
        <v>11236 Baert Freddy</v>
      </c>
      <c r="C533" t="str">
        <f>VLOOKUP(bron[[#This Row],[personeelsnr]],'data hastus'!$A:$C,2,0)</f>
        <v>Baert</v>
      </c>
      <c r="D533" t="str">
        <f>VLOOKUP(bron[[#This Row],[personeelsnr]],'data hastus'!$A:$C,3,0)</f>
        <v>Freddy</v>
      </c>
      <c r="E533" t="str">
        <f>VLOOKUP(bron[[#This Row],[personeelsnr]],'data hastus'!A:K,11,FALSE)</f>
        <v>Bart Van Der Beken</v>
      </c>
      <c r="F533" s="10"/>
      <c r="G533" s="6"/>
      <c r="H533" s="6">
        <v>1</v>
      </c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45702</v>
      </c>
      <c r="U533" s="8" t="s">
        <v>1058</v>
      </c>
      <c r="V533" s="8">
        <v>1</v>
      </c>
      <c r="W533" s="8"/>
      <c r="X533" t="s">
        <v>3544</v>
      </c>
      <c r="Y533" t="s">
        <v>66</v>
      </c>
      <c r="Z533">
        <v>5241</v>
      </c>
      <c r="AA533" s="39" t="s">
        <v>3592</v>
      </c>
    </row>
    <row r="534" spans="1:27" hidden="1" x14ac:dyDescent="0.3">
      <c r="A534">
        <v>12514</v>
      </c>
      <c r="B534" t="str">
        <f>_xlfn.CONCAT(bron[[#This Row],[personeelsnr]]," ",bron[[#This Row],[achternaam]]," ",bron[[#This Row],[voornaam]])</f>
        <v>12514 De Smet Kenneth</v>
      </c>
      <c r="C534" t="str">
        <f>VLOOKUP(bron[[#This Row],[personeelsnr]],'data hastus'!$A:$C,2,0)</f>
        <v>De Smet</v>
      </c>
      <c r="D534" t="str">
        <f>VLOOKUP(bron[[#This Row],[personeelsnr]],'data hastus'!$A:$C,3,0)</f>
        <v>Kenneth</v>
      </c>
      <c r="E534" t="str">
        <f>VLOOKUP(bron[[#This Row],[personeelsnr]],'data hastus'!A:K,11,FALSE)</f>
        <v>Lucie Vande Velde</v>
      </c>
      <c r="F534" s="10"/>
      <c r="G534" s="6"/>
      <c r="H534" s="6">
        <v>1</v>
      </c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45691</v>
      </c>
      <c r="U534" s="8" t="s">
        <v>1042</v>
      </c>
      <c r="V534" s="8"/>
      <c r="W534" s="8">
        <v>1</v>
      </c>
      <c r="X534" t="s">
        <v>3580</v>
      </c>
      <c r="Y534" t="s">
        <v>147</v>
      </c>
      <c r="Z534">
        <v>6314</v>
      </c>
      <c r="AA534" s="39" t="s">
        <v>3592</v>
      </c>
    </row>
    <row r="535" spans="1:27" hidden="1" x14ac:dyDescent="0.3">
      <c r="A535">
        <v>12684</v>
      </c>
      <c r="B535" t="str">
        <f>_xlfn.CONCAT(bron[[#This Row],[personeelsnr]]," ",bron[[#This Row],[achternaam]]," ",bron[[#This Row],[voornaam]])</f>
        <v>12684 Van Den Bossche Martine</v>
      </c>
      <c r="C535" t="str">
        <f>VLOOKUP(bron[[#This Row],[personeelsnr]],'data hastus'!$A:$C,2,0)</f>
        <v>Van Den Bossche</v>
      </c>
      <c r="D535" t="str">
        <f>VLOOKUP(bron[[#This Row],[personeelsnr]],'data hastus'!$A:$C,3,0)</f>
        <v>Martine</v>
      </c>
      <c r="E535" t="str">
        <f>VLOOKUP(bron[[#This Row],[personeelsnr]],'data hastus'!A:K,11,FALSE)</f>
        <v>Els Vanhoe</v>
      </c>
      <c r="F535" s="10"/>
      <c r="G535" s="7"/>
      <c r="H535" s="7"/>
      <c r="I535" s="7"/>
      <c r="M535" s="5">
        <v>1</v>
      </c>
      <c r="S535" s="5">
        <f>SUM(bron[[#This Row],[Januari]:[December]])</f>
        <v>1</v>
      </c>
      <c r="T535" s="9">
        <v>45853</v>
      </c>
      <c r="U535" s="8" t="s">
        <v>1247</v>
      </c>
      <c r="V535" s="24">
        <v>1</v>
      </c>
      <c r="W535" s="24"/>
      <c r="X535" t="s">
        <v>3544</v>
      </c>
      <c r="Y535" t="s">
        <v>237</v>
      </c>
      <c r="Z535">
        <v>5044</v>
      </c>
      <c r="AA535" s="39" t="s">
        <v>3592</v>
      </c>
    </row>
    <row r="536" spans="1:27" hidden="1" x14ac:dyDescent="0.3">
      <c r="A536">
        <v>12684</v>
      </c>
      <c r="B536" t="str">
        <f>_xlfn.CONCAT(bron[[#This Row],[personeelsnr]]," ",bron[[#This Row],[achternaam]]," ",bron[[#This Row],[voornaam]])</f>
        <v>12684 Van Den Bossche Martine</v>
      </c>
      <c r="C536" t="str">
        <f>VLOOKUP(bron[[#This Row],[personeelsnr]],'data hastus'!$A:$C,2,0)</f>
        <v>Van Den Bossche</v>
      </c>
      <c r="D536" t="str">
        <f>VLOOKUP(bron[[#This Row],[personeelsnr]],'data hastus'!$A:$C,3,0)</f>
        <v>Martine</v>
      </c>
      <c r="E536" t="str">
        <f>VLOOKUP(bron[[#This Row],[personeelsnr]],'data hastus'!A:K,11,FALSE)</f>
        <v>Els Vanhoe</v>
      </c>
      <c r="F536" s="10"/>
      <c r="G536" s="7"/>
      <c r="H536" s="7"/>
      <c r="I536" s="7"/>
      <c r="M536" s="5">
        <v>1</v>
      </c>
      <c r="S536" s="5">
        <f>SUM(bron[[#This Row],[Januari]:[December]])</f>
        <v>1</v>
      </c>
      <c r="T536" s="9">
        <v>45848</v>
      </c>
      <c r="U536" s="8" t="s">
        <v>1238</v>
      </c>
      <c r="V536" s="24">
        <v>1</v>
      </c>
      <c r="W536" s="24"/>
      <c r="X536" t="s">
        <v>3544</v>
      </c>
      <c r="Y536" t="s">
        <v>37</v>
      </c>
      <c r="Z536">
        <v>5046</v>
      </c>
      <c r="AA536" s="39" t="s">
        <v>3592</v>
      </c>
    </row>
    <row r="537" spans="1:27" hidden="1" x14ac:dyDescent="0.3">
      <c r="A537">
        <v>12819</v>
      </c>
      <c r="B537" t="str">
        <f>_xlfn.CONCAT(bron[[#This Row],[personeelsnr]]," ",bron[[#This Row],[achternaam]]," ",bron[[#This Row],[voornaam]])</f>
        <v>12819 Van Eenaeme David</v>
      </c>
      <c r="C537" t="str">
        <f>VLOOKUP(bron[[#This Row],[personeelsnr]],'data hastus'!$A:$C,2,0)</f>
        <v>Van Eenaeme</v>
      </c>
      <c r="D537" t="str">
        <f>VLOOKUP(bron[[#This Row],[personeelsnr]],'data hastus'!$A:$C,3,0)</f>
        <v>David</v>
      </c>
      <c r="E537" t="str">
        <f>VLOOKUP(bron[[#This Row],[personeelsnr]],'data hastus'!A:K,11,FALSE)</f>
        <v>Bart Van Der Beken</v>
      </c>
      <c r="F537" s="10"/>
      <c r="G537" s="7"/>
      <c r="H537" s="7"/>
      <c r="I537" s="7"/>
      <c r="M537" s="5">
        <v>1</v>
      </c>
      <c r="S537" s="5">
        <f>SUM(bron[[#This Row],[Januari]:[December]])</f>
        <v>1</v>
      </c>
      <c r="T537" s="9">
        <v>45863</v>
      </c>
      <c r="U537" s="8" t="s">
        <v>1257</v>
      </c>
      <c r="V537" s="24">
        <v>1</v>
      </c>
      <c r="W537" s="24"/>
      <c r="X537" t="s">
        <v>3544</v>
      </c>
      <c r="Y537" t="s">
        <v>203</v>
      </c>
      <c r="Z537">
        <v>5041</v>
      </c>
      <c r="AA537" s="39" t="s">
        <v>3592</v>
      </c>
    </row>
    <row r="538" spans="1:27" hidden="1" x14ac:dyDescent="0.3">
      <c r="A538">
        <v>27153</v>
      </c>
      <c r="B538" t="str">
        <f>_xlfn.CONCAT(bron[[#This Row],[personeelsnr]]," ",bron[[#This Row],[achternaam]]," ",bron[[#This Row],[voornaam]])</f>
        <v>27153 Oben Thibaud</v>
      </c>
      <c r="C538" t="str">
        <f>VLOOKUP(bron[[#This Row],[personeelsnr]],'data hastus'!$A:$C,2,0)</f>
        <v>Oben</v>
      </c>
      <c r="D538" t="str">
        <f>VLOOKUP(bron[[#This Row],[personeelsnr]],'data hastus'!$A:$C,3,0)</f>
        <v>Thibaud</v>
      </c>
      <c r="E538" t="str">
        <f>VLOOKUP(bron[[#This Row],[personeelsnr]],'data hastus'!A:K,11,FALSE)</f>
        <v>Christoff Rotty</v>
      </c>
      <c r="F538" s="10"/>
      <c r="G538" s="7"/>
      <c r="H538" s="7"/>
      <c r="I538" s="7"/>
      <c r="O538" s="5">
        <v>1</v>
      </c>
      <c r="S538" s="5">
        <f>SUM(bron[[#This Row],[Januari]:[December]])</f>
        <v>1</v>
      </c>
      <c r="T538" s="9">
        <v>45902</v>
      </c>
      <c r="U538" s="5" t="s">
        <v>3532</v>
      </c>
      <c r="V538" s="24">
        <v>1</v>
      </c>
      <c r="W538" s="24"/>
      <c r="X538" t="s">
        <v>3546</v>
      </c>
      <c r="Y538" t="s">
        <v>100</v>
      </c>
      <c r="Z538">
        <v>5263</v>
      </c>
      <c r="AA538" t="s">
        <v>3592</v>
      </c>
    </row>
    <row r="539" spans="1:27" hidden="1" x14ac:dyDescent="0.3">
      <c r="A539">
        <v>13398</v>
      </c>
      <c r="B539" t="str">
        <f>_xlfn.CONCAT(bron[[#This Row],[personeelsnr]]," ",bron[[#This Row],[achternaam]]," ",bron[[#This Row],[voornaam]])</f>
        <v>13398 Kirdas Ramazan</v>
      </c>
      <c r="C539" t="str">
        <f>VLOOKUP(bron[[#This Row],[personeelsnr]],'data hastus'!$A:$C,2,0)</f>
        <v>Kirdas</v>
      </c>
      <c r="D539" t="str">
        <f>VLOOKUP(bron[[#This Row],[personeelsnr]],'data hastus'!$A:$C,3,0)</f>
        <v>Ramazan</v>
      </c>
      <c r="E539" t="str">
        <f>VLOOKUP(bron[[#This Row],[personeelsnr]],'data hastus'!A:K,11,FALSE)</f>
        <v>Dominique De Clercq</v>
      </c>
      <c r="F539" s="10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45681</v>
      </c>
      <c r="U539" s="8" t="s">
        <v>1029</v>
      </c>
      <c r="V539" s="8"/>
      <c r="W539" s="8">
        <v>1</v>
      </c>
      <c r="X539" t="s">
        <v>3580</v>
      </c>
      <c r="Y539" t="s">
        <v>129</v>
      </c>
      <c r="Z539">
        <v>6333</v>
      </c>
      <c r="AA539" s="39" t="s">
        <v>3592</v>
      </c>
    </row>
    <row r="540" spans="1:27" hidden="1" x14ac:dyDescent="0.3">
      <c r="A540">
        <v>13568</v>
      </c>
      <c r="B540" t="e">
        <f>_xlfn.CONCAT(bron[[#This Row],[personeelsnr]]," ",bron[[#This Row],[achternaam]]," ",bron[[#This Row],[voornaam]])</f>
        <v>#N/A</v>
      </c>
      <c r="C540" t="e">
        <f>VLOOKUP(bron[[#This Row],[personeelsnr]],'data hastus'!$A:$C,2,0)</f>
        <v>#N/A</v>
      </c>
      <c r="D540" t="e">
        <f>VLOOKUP(bron[[#This Row],[personeelsnr]],'data hastus'!$A:$C,3,0)</f>
        <v>#N/A</v>
      </c>
      <c r="E540" t="s">
        <v>79</v>
      </c>
      <c r="F540" s="10"/>
      <c r="G540" s="6"/>
      <c r="H540" s="6">
        <v>1</v>
      </c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45691</v>
      </c>
      <c r="U540" s="8" t="s">
        <v>1043</v>
      </c>
      <c r="V540" s="8">
        <v>1</v>
      </c>
      <c r="W540" s="8"/>
      <c r="X540" t="s">
        <v>3545</v>
      </c>
      <c r="Y540" t="s">
        <v>149</v>
      </c>
      <c r="Z540">
        <v>5916</v>
      </c>
      <c r="AA540" s="39" t="s">
        <v>3592</v>
      </c>
    </row>
    <row r="541" spans="1:27" hidden="1" x14ac:dyDescent="0.3">
      <c r="A541">
        <v>14625</v>
      </c>
      <c r="B541" t="str">
        <f>_xlfn.CONCAT(bron[[#This Row],[personeelsnr]]," ",bron[[#This Row],[achternaam]]," ",bron[[#This Row],[voornaam]])</f>
        <v>14625 Rodrigue Vincent</v>
      </c>
      <c r="C541" t="str">
        <f>VLOOKUP(bron[[#This Row],[personeelsnr]],'data hastus'!$A:$C,2,0)</f>
        <v>Rodrigue</v>
      </c>
      <c r="D541" t="str">
        <f>VLOOKUP(bron[[#This Row],[personeelsnr]],'data hastus'!$A:$C,3,0)</f>
        <v>Vincent</v>
      </c>
      <c r="E541" t="str">
        <f>VLOOKUP(bron[[#This Row],[personeelsnr]],'data hastus'!A:K,11,FALSE)</f>
        <v>Lucie Vande Velde</v>
      </c>
      <c r="F541" s="10"/>
      <c r="G541" s="7"/>
      <c r="H541" s="7"/>
      <c r="I541" s="7"/>
      <c r="L541" s="5">
        <v>1</v>
      </c>
      <c r="S541" s="5">
        <f>SUM(bron[[#This Row],[Januari]:[December]])</f>
        <v>1</v>
      </c>
      <c r="T541" s="9">
        <v>45828</v>
      </c>
      <c r="U541" s="8" t="s">
        <v>1330</v>
      </c>
      <c r="V541" s="24">
        <v>1</v>
      </c>
      <c r="W541" s="24"/>
      <c r="X541" t="s">
        <v>7</v>
      </c>
      <c r="Y541" t="s">
        <v>427</v>
      </c>
      <c r="Z541">
        <v>2209</v>
      </c>
      <c r="AA541" s="39" t="s">
        <v>3593</v>
      </c>
    </row>
    <row r="542" spans="1:27" hidden="1" x14ac:dyDescent="0.3">
      <c r="A542">
        <v>15088</v>
      </c>
      <c r="B542" t="str">
        <f>_xlfn.CONCAT(bron[[#This Row],[personeelsnr]]," ",bron[[#This Row],[achternaam]]," ",bron[[#This Row],[voornaam]])</f>
        <v>15088 Laute Dirk</v>
      </c>
      <c r="C542" t="str">
        <f>VLOOKUP(bron[[#This Row],[personeelsnr]],'data hastus'!$A:$C,2,0)</f>
        <v>Laute</v>
      </c>
      <c r="D542" t="str">
        <f>VLOOKUP(bron[[#This Row],[personeelsnr]],'data hastus'!$A:$C,3,0)</f>
        <v>Dirk</v>
      </c>
      <c r="E542" t="str">
        <f>VLOOKUP(bron[[#This Row],[personeelsnr]],'data hastus'!A:K,11,FALSE)</f>
        <v>Els Vanhoe</v>
      </c>
      <c r="F542" s="10"/>
      <c r="G542" s="7"/>
      <c r="H542" s="7"/>
      <c r="I542" s="7"/>
      <c r="L542" s="5">
        <v>1</v>
      </c>
      <c r="S542" s="5">
        <f>SUM(bron[[#This Row],[Januari]:[December]])</f>
        <v>1</v>
      </c>
      <c r="T542" s="9">
        <v>45837</v>
      </c>
      <c r="U542" s="8" t="s">
        <v>1315</v>
      </c>
      <c r="V542" s="24">
        <v>1</v>
      </c>
      <c r="W542" s="24"/>
      <c r="X542" t="s">
        <v>7</v>
      </c>
      <c r="Y542" t="s">
        <v>48</v>
      </c>
      <c r="Z542">
        <v>5046</v>
      </c>
      <c r="AA542" s="39" t="s">
        <v>3593</v>
      </c>
    </row>
    <row r="543" spans="1:27" hidden="1" x14ac:dyDescent="0.3">
      <c r="A543">
        <v>15282</v>
      </c>
      <c r="B543" t="str">
        <f>_xlfn.CONCAT(bron[[#This Row],[personeelsnr]]," ",bron[[#This Row],[achternaam]]," ",bron[[#This Row],[voornaam]])</f>
        <v>15282 Marinx Kristoff</v>
      </c>
      <c r="C543" t="str">
        <f>VLOOKUP(bron[[#This Row],[personeelsnr]],'data hastus'!$A:$C,2,0)</f>
        <v>Marinx</v>
      </c>
      <c r="D543" t="str">
        <f>VLOOKUP(bron[[#This Row],[personeelsnr]],'data hastus'!$A:$C,3,0)</f>
        <v>Kristoff</v>
      </c>
      <c r="E543" t="str">
        <f>VLOOKUP(bron[[#This Row],[personeelsnr]],'data hastus'!A:K,11,FALSE)</f>
        <v>Kenneth De Rick</v>
      </c>
      <c r="F543" s="10"/>
      <c r="G543" s="7"/>
      <c r="H543" s="7"/>
      <c r="I543" s="7"/>
      <c r="K543" s="5">
        <v>1</v>
      </c>
      <c r="S543" s="5">
        <f>SUM(bron[[#This Row],[Januari]:[December]])</f>
        <v>1</v>
      </c>
      <c r="T543" s="9">
        <v>45803</v>
      </c>
      <c r="U543" s="8" t="s">
        <v>1184</v>
      </c>
      <c r="V543" s="8"/>
      <c r="W543" s="8">
        <v>1</v>
      </c>
      <c r="X543" t="s">
        <v>3580</v>
      </c>
      <c r="Y543" t="s">
        <v>129</v>
      </c>
      <c r="Z543">
        <v>6322</v>
      </c>
      <c r="AA543" s="39" t="s">
        <v>3592</v>
      </c>
    </row>
    <row r="544" spans="1:27" hidden="1" x14ac:dyDescent="0.3">
      <c r="A544">
        <v>15412</v>
      </c>
      <c r="B544" t="str">
        <f>_xlfn.CONCAT(bron[[#This Row],[personeelsnr]]," ",bron[[#This Row],[achternaam]]," ",bron[[#This Row],[voornaam]])</f>
        <v>15412 Dhondt Frank</v>
      </c>
      <c r="C544" t="str">
        <f>VLOOKUP(bron[[#This Row],[personeelsnr]],'data hastus'!$A:$C,2,0)</f>
        <v>Dhondt</v>
      </c>
      <c r="D544" t="str">
        <f>VLOOKUP(bron[[#This Row],[personeelsnr]],'data hastus'!$A:$C,3,0)</f>
        <v>Frank</v>
      </c>
      <c r="E544" t="str">
        <f>VLOOKUP(bron[[#This Row],[personeelsnr]],'data hastus'!A:K,11,FALSE)</f>
        <v>Bart Van Der Beken</v>
      </c>
      <c r="F544" s="10"/>
      <c r="G544" s="7"/>
      <c r="H544" s="7"/>
      <c r="I544" s="7"/>
      <c r="S544" s="5">
        <f>SUM(bron[[#This Row],[Januari]:[December]])</f>
        <v>0</v>
      </c>
      <c r="T544" s="9">
        <v>45833</v>
      </c>
      <c r="U544" s="8" t="s">
        <v>1216</v>
      </c>
      <c r="V544" s="24">
        <v>1</v>
      </c>
      <c r="W544" s="24"/>
      <c r="X544" t="s">
        <v>3546</v>
      </c>
      <c r="Y544" t="s">
        <v>205</v>
      </c>
      <c r="Z544">
        <v>5261</v>
      </c>
      <c r="AA544" s="39" t="s">
        <v>3592</v>
      </c>
    </row>
    <row r="545" spans="1:27" hidden="1" x14ac:dyDescent="0.3">
      <c r="A545">
        <v>15412</v>
      </c>
      <c r="B545" t="str">
        <f>_xlfn.CONCAT(bron[[#This Row],[personeelsnr]]," ",bron[[#This Row],[achternaam]]," ",bron[[#This Row],[voornaam]])</f>
        <v>15412 Dhondt Frank</v>
      </c>
      <c r="C545" t="str">
        <f>VLOOKUP(bron[[#This Row],[personeelsnr]],'data hastus'!$A:$C,2,0)</f>
        <v>Dhondt</v>
      </c>
      <c r="D545" t="str">
        <f>VLOOKUP(bron[[#This Row],[personeelsnr]],'data hastus'!$A:$C,3,0)</f>
        <v>Frank</v>
      </c>
      <c r="E545" t="str">
        <f>VLOOKUP(bron[[#This Row],[personeelsnr]],'data hastus'!A:K,11,FALSE)</f>
        <v>Bart Van Der Beken</v>
      </c>
      <c r="F545" s="10"/>
      <c r="G545" s="7"/>
      <c r="H545" s="7"/>
      <c r="I545" s="7"/>
      <c r="L545" s="5">
        <v>1</v>
      </c>
      <c r="S545" s="5">
        <f>SUM(bron[[#This Row],[Januari]:[December]])</f>
        <v>1</v>
      </c>
      <c r="T545" s="9">
        <v>45803</v>
      </c>
      <c r="U545" s="8" t="s">
        <v>1182</v>
      </c>
      <c r="V545" s="8">
        <v>1</v>
      </c>
      <c r="W545" s="8"/>
      <c r="X545" t="s">
        <v>3546</v>
      </c>
      <c r="Y545" t="s">
        <v>115</v>
      </c>
      <c r="Z545">
        <v>5266</v>
      </c>
      <c r="AA545" s="39" t="s">
        <v>3592</v>
      </c>
    </row>
    <row r="546" spans="1:27" hidden="1" x14ac:dyDescent="0.3">
      <c r="A546">
        <v>16545</v>
      </c>
      <c r="B546" t="str">
        <f>_xlfn.CONCAT(bron[[#This Row],[personeelsnr]]," ",bron[[#This Row],[achternaam]]," ",bron[[#This Row],[voornaam]])</f>
        <v>16545 Toch Erwin</v>
      </c>
      <c r="C546" t="str">
        <f>VLOOKUP(bron[[#This Row],[personeelsnr]],'data hastus'!$A:$C,2,0)</f>
        <v>Toch</v>
      </c>
      <c r="D546" t="str">
        <f>VLOOKUP(bron[[#This Row],[personeelsnr]],'data hastus'!$A:$C,3,0)</f>
        <v>Erwin</v>
      </c>
      <c r="E546" t="str">
        <f>VLOOKUP(bron[[#This Row],[personeelsnr]],'data hastus'!A:K,11,FALSE)</f>
        <v>Bart Van Der Beken</v>
      </c>
      <c r="F546" s="10"/>
      <c r="G546" s="6"/>
      <c r="H546" s="6">
        <v>1</v>
      </c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45691</v>
      </c>
      <c r="U546" s="8" t="s">
        <v>1040</v>
      </c>
      <c r="V546" s="8">
        <v>1</v>
      </c>
      <c r="W546" s="8"/>
      <c r="X546" t="s">
        <v>3544</v>
      </c>
      <c r="Y546" t="s">
        <v>19</v>
      </c>
      <c r="Z546">
        <v>5327</v>
      </c>
      <c r="AA546" s="39" t="s">
        <v>3592</v>
      </c>
    </row>
    <row r="547" spans="1:27" hidden="1" x14ac:dyDescent="0.3">
      <c r="A547">
        <v>16895</v>
      </c>
      <c r="B547" t="str">
        <f>_xlfn.CONCAT(bron[[#This Row],[personeelsnr]]," ",bron[[#This Row],[achternaam]]," ",bron[[#This Row],[voornaam]])</f>
        <v>16895 Van Lauwe Freddy</v>
      </c>
      <c r="C547" t="str">
        <f>VLOOKUP(bron[[#This Row],[personeelsnr]],'data hastus'!$A:$C,2,0)</f>
        <v>Van Lauwe</v>
      </c>
      <c r="D547" t="str">
        <f>VLOOKUP(bron[[#This Row],[personeelsnr]],'data hastus'!$A:$C,3,0)</f>
        <v>Freddy</v>
      </c>
      <c r="E547" t="str">
        <f>VLOOKUP(bron[[#This Row],[personeelsnr]],'data hastus'!A:K,11,FALSE)</f>
        <v>Bart Van Der Beken</v>
      </c>
      <c r="F547" s="10"/>
      <c r="G547" s="7"/>
      <c r="H547" s="7"/>
      <c r="I547" s="7"/>
      <c r="S547" s="5">
        <f>SUM(bron[[#This Row],[Januari]:[December]])</f>
        <v>0</v>
      </c>
      <c r="T547" s="9">
        <v>45910</v>
      </c>
      <c r="U547" s="24" t="s">
        <v>3540</v>
      </c>
      <c r="V547" s="24"/>
      <c r="W547" s="24">
        <v>1</v>
      </c>
      <c r="X547" t="s">
        <v>3581</v>
      </c>
      <c r="Y547" t="s">
        <v>3541</v>
      </c>
      <c r="Z547">
        <v>6369</v>
      </c>
      <c r="AA547" s="39" t="s">
        <v>3592</v>
      </c>
    </row>
    <row r="548" spans="1:27" hidden="1" x14ac:dyDescent="0.3">
      <c r="A548">
        <v>16895</v>
      </c>
      <c r="B548" t="str">
        <f>_xlfn.CONCAT(bron[[#This Row],[personeelsnr]]," ",bron[[#This Row],[achternaam]]," ",bron[[#This Row],[voornaam]])</f>
        <v>16895 Van Lauwe Freddy</v>
      </c>
      <c r="C548" t="str">
        <f>VLOOKUP(bron[[#This Row],[personeelsnr]],'data hastus'!$A:$C,2,0)</f>
        <v>Van Lauwe</v>
      </c>
      <c r="D548" t="str">
        <f>VLOOKUP(bron[[#This Row],[personeelsnr]],'data hastus'!$A:$C,3,0)</f>
        <v>Freddy</v>
      </c>
      <c r="E548" t="str">
        <f>VLOOKUP(bron[[#This Row],[personeelsnr]],'data hastus'!A:K,11,FALSE)</f>
        <v>Bart Van Der Beken</v>
      </c>
      <c r="F548" s="10"/>
      <c r="G548" s="7"/>
      <c r="H548" s="7"/>
      <c r="I548" s="7"/>
      <c r="O548" s="5">
        <v>1</v>
      </c>
      <c r="S548" s="5">
        <f>SUM(bron[[#This Row],[Januari]:[December]])</f>
        <v>1</v>
      </c>
      <c r="T548" s="9">
        <v>45909</v>
      </c>
      <c r="U548" s="5" t="s">
        <v>3538</v>
      </c>
      <c r="V548" s="24"/>
      <c r="W548" s="24">
        <v>1</v>
      </c>
      <c r="X548" t="s">
        <v>3580</v>
      </c>
      <c r="Y548" t="s">
        <v>75</v>
      </c>
      <c r="Z548">
        <v>6331</v>
      </c>
      <c r="AA548" s="39" t="s">
        <v>3592</v>
      </c>
    </row>
    <row r="549" spans="1:27" hidden="1" x14ac:dyDescent="0.3">
      <c r="A549">
        <v>16895</v>
      </c>
      <c r="B549" t="str">
        <f>_xlfn.CONCAT(bron[[#This Row],[personeelsnr]]," ",bron[[#This Row],[achternaam]]," ",bron[[#This Row],[voornaam]])</f>
        <v>16895 Van Lauwe Freddy</v>
      </c>
      <c r="C549" t="str">
        <f>VLOOKUP(bron[[#This Row],[personeelsnr]],'data hastus'!$A:$C,2,0)</f>
        <v>Van Lauwe</v>
      </c>
      <c r="D549" t="str">
        <f>VLOOKUP(bron[[#This Row],[personeelsnr]],'data hastus'!$A:$C,3,0)</f>
        <v>Freddy</v>
      </c>
      <c r="E549" t="str">
        <f>VLOOKUP(bron[[#This Row],[personeelsnr]],'data hastus'!A:K,11,FALSE)</f>
        <v>Bart Van Der Beken</v>
      </c>
      <c r="F549" s="10"/>
      <c r="G549" s="7"/>
      <c r="H549" s="7"/>
      <c r="I549" s="7"/>
      <c r="N549" s="5">
        <v>1</v>
      </c>
      <c r="S549" s="5">
        <f>SUM(bron[[#This Row],[Januari]:[December]])</f>
        <v>1</v>
      </c>
      <c r="T549" s="9">
        <v>45897</v>
      </c>
      <c r="U549" s="5" t="s">
        <v>1285</v>
      </c>
      <c r="V549" s="24">
        <v>1</v>
      </c>
      <c r="W549" s="24"/>
      <c r="X549" t="s">
        <v>3580</v>
      </c>
      <c r="Y549" t="s">
        <v>199</v>
      </c>
      <c r="Z549">
        <v>6332</v>
      </c>
      <c r="AA549" s="39" t="s">
        <v>3592</v>
      </c>
    </row>
    <row r="550" spans="1:27" hidden="1" x14ac:dyDescent="0.3">
      <c r="A550">
        <v>16897</v>
      </c>
      <c r="B550" t="str">
        <f>_xlfn.CONCAT(bron[[#This Row],[personeelsnr]]," ",bron[[#This Row],[achternaam]]," ",bron[[#This Row],[voornaam]])</f>
        <v>16897 VandenDaele Andy</v>
      </c>
      <c r="C550" t="str">
        <f>VLOOKUP(bron[[#This Row],[personeelsnr]],'data hastus'!$A:$C,2,0)</f>
        <v>VandenDaele</v>
      </c>
      <c r="D550" t="str">
        <f>VLOOKUP(bron[[#This Row],[personeelsnr]],'data hastus'!$A:$C,3,0)</f>
        <v>Andy</v>
      </c>
      <c r="E550" t="str">
        <f>VLOOKUP(bron[[#This Row],[personeelsnr]],'data hastus'!A:K,11,FALSE)</f>
        <v>Steven Storm</v>
      </c>
      <c r="F550" s="10"/>
      <c r="G550" s="6"/>
      <c r="H550" s="6"/>
      <c r="I550" s="6">
        <v>1</v>
      </c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45722</v>
      </c>
      <c r="U550" s="8" t="s">
        <v>1095</v>
      </c>
      <c r="V550" s="8"/>
      <c r="W550" s="8">
        <v>1</v>
      </c>
      <c r="X550" t="s">
        <v>3580</v>
      </c>
      <c r="Y550" t="s">
        <v>72</v>
      </c>
      <c r="Z550">
        <v>6314</v>
      </c>
      <c r="AA550" s="39" t="s">
        <v>3592</v>
      </c>
    </row>
    <row r="551" spans="1:27" hidden="1" x14ac:dyDescent="0.3">
      <c r="A551">
        <v>17566</v>
      </c>
      <c r="B551" t="str">
        <f>_xlfn.CONCAT(bron[[#This Row],[personeelsnr]]," ",bron[[#This Row],[achternaam]]," ",bron[[#This Row],[voornaam]])</f>
        <v>17566 Praet Reginald</v>
      </c>
      <c r="C551" t="str">
        <f>VLOOKUP(bron[[#This Row],[personeelsnr]],'data hastus'!$A:$C,2,0)</f>
        <v>Praet</v>
      </c>
      <c r="D551" t="str">
        <f>VLOOKUP(bron[[#This Row],[personeelsnr]],'data hastus'!$A:$C,3,0)</f>
        <v>Reginald</v>
      </c>
      <c r="E551" t="str">
        <f>VLOOKUP(bron[[#This Row],[personeelsnr]],'data hastus'!A:K,11,FALSE)</f>
        <v>Bart Van Der Beken</v>
      </c>
      <c r="F551" s="10"/>
      <c r="G551" s="6"/>
      <c r="H551" s="6"/>
      <c r="I551" s="6"/>
      <c r="J551">
        <v>1</v>
      </c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45749</v>
      </c>
      <c r="U551" s="8" t="s">
        <v>3594</v>
      </c>
      <c r="V551" s="8"/>
      <c r="W551" s="8">
        <v>1</v>
      </c>
      <c r="X551" t="s">
        <v>3580</v>
      </c>
      <c r="Y551" t="s">
        <v>31</v>
      </c>
      <c r="Z551">
        <v>6324</v>
      </c>
      <c r="AA551" s="39" t="s">
        <v>3592</v>
      </c>
    </row>
    <row r="552" spans="1:27" hidden="1" x14ac:dyDescent="0.3">
      <c r="A552">
        <v>17951</v>
      </c>
      <c r="B552" t="str">
        <f>_xlfn.CONCAT(bron[[#This Row],[personeelsnr]]," ",bron[[#This Row],[achternaam]]," ",bron[[#This Row],[voornaam]])</f>
        <v>17951 Lega Claude</v>
      </c>
      <c r="C552" t="str">
        <f>VLOOKUP(bron[[#This Row],[personeelsnr]],'data hastus'!$A:$C,2,0)</f>
        <v>Lega</v>
      </c>
      <c r="D552" t="str">
        <f>VLOOKUP(bron[[#This Row],[personeelsnr]],'data hastus'!$A:$C,3,0)</f>
        <v>Claude</v>
      </c>
      <c r="E552" t="str">
        <f>VLOOKUP(bron[[#This Row],[personeelsnr]],'data hastus'!A:K,11,FALSE)</f>
        <v>Bart Van Der Beken</v>
      </c>
      <c r="F552" s="10"/>
      <c r="G552" s="6"/>
      <c r="H552" s="6">
        <v>1</v>
      </c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45694</v>
      </c>
      <c r="U552" s="8" t="s">
        <v>1048</v>
      </c>
      <c r="V552" s="8"/>
      <c r="W552" s="8">
        <v>1</v>
      </c>
      <c r="X552" t="s">
        <v>3580</v>
      </c>
      <c r="Y552" t="s">
        <v>121</v>
      </c>
      <c r="Z552">
        <v>6317</v>
      </c>
      <c r="AA552" s="39" t="s">
        <v>3592</v>
      </c>
    </row>
    <row r="553" spans="1:27" hidden="1" x14ac:dyDescent="0.3">
      <c r="A553">
        <v>18051</v>
      </c>
      <c r="B553" t="str">
        <f>_xlfn.CONCAT(bron[[#This Row],[personeelsnr]]," ",bron[[#This Row],[achternaam]]," ",bron[[#This Row],[voornaam]])</f>
        <v>18051 Van Wittenberge Filip</v>
      </c>
      <c r="C553" t="str">
        <f>VLOOKUP(bron[[#This Row],[personeelsnr]],'data hastus'!$A:$C,2,0)</f>
        <v>Van Wittenberge</v>
      </c>
      <c r="D553" t="str">
        <f>VLOOKUP(bron[[#This Row],[personeelsnr]],'data hastus'!$A:$C,3,0)</f>
        <v>Filip</v>
      </c>
      <c r="E553" t="str">
        <f>VLOOKUP(bron[[#This Row],[personeelsnr]],'data hastus'!A:K,11,FALSE)</f>
        <v>Christoff Rotty</v>
      </c>
      <c r="F553" s="10"/>
      <c r="G553" s="7"/>
      <c r="H553" s="7"/>
      <c r="I553" s="7"/>
      <c r="M553" s="5">
        <v>1</v>
      </c>
      <c r="S553" s="5">
        <f>SUM(bron[[#This Row],[Januari]:[December]])</f>
        <v>1</v>
      </c>
      <c r="T553" s="9">
        <v>45863</v>
      </c>
      <c r="U553" s="8" t="s">
        <v>1303</v>
      </c>
      <c r="V553" s="24"/>
      <c r="W553" s="24">
        <v>1</v>
      </c>
      <c r="X553" t="s">
        <v>8</v>
      </c>
      <c r="Y553" t="s">
        <v>668</v>
      </c>
      <c r="Z553">
        <v>6359</v>
      </c>
      <c r="AA553" s="39" t="s">
        <v>3593</v>
      </c>
    </row>
    <row r="554" spans="1:27" hidden="1" x14ac:dyDescent="0.3">
      <c r="A554">
        <v>18987</v>
      </c>
      <c r="B554" t="str">
        <f>_xlfn.CONCAT(bron[[#This Row],[personeelsnr]]," ",bron[[#This Row],[achternaam]]," ",bron[[#This Row],[voornaam]])</f>
        <v>18987 De Geyter Dolly</v>
      </c>
      <c r="C554" t="str">
        <f>VLOOKUP(bron[[#This Row],[personeelsnr]],'data hastus'!$A:$C,2,0)</f>
        <v>De Geyter</v>
      </c>
      <c r="D554" t="str">
        <f>VLOOKUP(bron[[#This Row],[personeelsnr]],'data hastus'!$A:$C,3,0)</f>
        <v>Dolly</v>
      </c>
      <c r="E554" t="str">
        <f>VLOOKUP(bron[[#This Row],[personeelsnr]],'data hastus'!A:K,11,FALSE)</f>
        <v>Steven Storm</v>
      </c>
      <c r="F554" s="10"/>
      <c r="G554" s="7"/>
      <c r="H554" s="7"/>
      <c r="I554" s="7"/>
      <c r="M554" s="5">
        <v>1</v>
      </c>
      <c r="S554" s="5">
        <f>SUM(bron[[#This Row],[Januari]:[December]])</f>
        <v>1</v>
      </c>
      <c r="T554" s="9">
        <v>45846</v>
      </c>
      <c r="U554" s="8" t="s">
        <v>1234</v>
      </c>
      <c r="V554" s="24"/>
      <c r="W554" s="24">
        <v>1</v>
      </c>
      <c r="X554" t="s">
        <v>3580</v>
      </c>
      <c r="Y554" t="s">
        <v>104</v>
      </c>
      <c r="Z554">
        <v>6313</v>
      </c>
      <c r="AA554" s="39" t="s">
        <v>3592</v>
      </c>
    </row>
    <row r="555" spans="1:27" hidden="1" x14ac:dyDescent="0.3">
      <c r="A555">
        <v>19249</v>
      </c>
      <c r="B555" t="str">
        <f>_xlfn.CONCAT(bron[[#This Row],[personeelsnr]]," ",bron[[#This Row],[achternaam]]," ",bron[[#This Row],[voornaam]])</f>
        <v>19249 Odaci Kadir</v>
      </c>
      <c r="C555" t="str">
        <f>VLOOKUP(bron[[#This Row],[personeelsnr]],'data hastus'!$A:$C,2,0)</f>
        <v>Odaci</v>
      </c>
      <c r="D555" t="str">
        <f>VLOOKUP(bron[[#This Row],[personeelsnr]],'data hastus'!$A:$C,3,0)</f>
        <v>Kadir</v>
      </c>
      <c r="E555" t="str">
        <f>VLOOKUP(bron[[#This Row],[personeelsnr]],'data hastus'!A:K,11,FALSE)</f>
        <v>Lucie Vande Velde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45674</v>
      </c>
      <c r="U555" s="8" t="s">
        <v>1328</v>
      </c>
      <c r="V555" s="8"/>
      <c r="W555" s="8">
        <v>1</v>
      </c>
      <c r="X555" t="s">
        <v>8</v>
      </c>
      <c r="Y555" t="s">
        <v>580</v>
      </c>
      <c r="Z555">
        <v>6337</v>
      </c>
      <c r="AA555" s="39" t="s">
        <v>3593</v>
      </c>
    </row>
    <row r="556" spans="1:27" hidden="1" x14ac:dyDescent="0.3">
      <c r="A556">
        <v>19249</v>
      </c>
      <c r="B556" t="str">
        <f>_xlfn.CONCAT(bron[[#This Row],[personeelsnr]]," ",bron[[#This Row],[achternaam]]," ",bron[[#This Row],[voornaam]])</f>
        <v>19249 Odaci Kadir</v>
      </c>
      <c r="C556" t="str">
        <f>VLOOKUP(bron[[#This Row],[personeelsnr]],'data hastus'!$A:$C,2,0)</f>
        <v>Odaci</v>
      </c>
      <c r="D556" t="str">
        <f>VLOOKUP(bron[[#This Row],[personeelsnr]],'data hastus'!$A:$C,3,0)</f>
        <v>Kadir</v>
      </c>
      <c r="E556" t="str">
        <f>VLOOKUP(bron[[#This Row],[personeelsnr]],'data hastus'!A:K,11,FALSE)</f>
        <v>Lucie Vande Velde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45686</v>
      </c>
      <c r="U556" s="8" t="s">
        <v>1034</v>
      </c>
      <c r="V556" s="8"/>
      <c r="W556" s="8">
        <v>1</v>
      </c>
      <c r="X556" t="s">
        <v>3580</v>
      </c>
      <c r="Y556" t="s">
        <v>75</v>
      </c>
      <c r="Z556">
        <v>6337</v>
      </c>
      <c r="AA556" s="39" t="s">
        <v>3592</v>
      </c>
    </row>
    <row r="557" spans="1:27" hidden="1" x14ac:dyDescent="0.3">
      <c r="A557">
        <v>19520</v>
      </c>
      <c r="B557" t="str">
        <f>_xlfn.CONCAT(bron[[#This Row],[personeelsnr]]," ",bron[[#This Row],[achternaam]]," ",bron[[#This Row],[voornaam]])</f>
        <v>19520 Van Steenbergen Kris</v>
      </c>
      <c r="C557" t="str">
        <f>VLOOKUP(bron[[#This Row],[personeelsnr]],'data hastus'!$A:$C,2,0)</f>
        <v>Van Steenbergen</v>
      </c>
      <c r="D557" t="str">
        <f>VLOOKUP(bron[[#This Row],[personeelsnr]],'data hastus'!$A:$C,3,0)</f>
        <v>Kris</v>
      </c>
      <c r="E557" t="str">
        <f>VLOOKUP(bron[[#This Row],[personeelsnr]],'data hastus'!A:K,11,FALSE)</f>
        <v>Els Dewulf</v>
      </c>
      <c r="F557" s="10"/>
      <c r="G557" s="6"/>
      <c r="H557" s="6"/>
      <c r="I557" s="6">
        <v>1</v>
      </c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45720</v>
      </c>
      <c r="U557" s="8" t="s">
        <v>1088</v>
      </c>
      <c r="V557" s="8">
        <v>1</v>
      </c>
      <c r="W557" s="8"/>
      <c r="X557" t="s">
        <v>3544</v>
      </c>
      <c r="Y557" t="s">
        <v>40</v>
      </c>
      <c r="Z557">
        <v>2196</v>
      </c>
      <c r="AA557" s="39" t="s">
        <v>3592</v>
      </c>
    </row>
    <row r="558" spans="1:27" hidden="1" x14ac:dyDescent="0.3">
      <c r="A558">
        <v>19917</v>
      </c>
      <c r="B558" t="str">
        <f>_xlfn.CONCAT(bron[[#This Row],[personeelsnr]]," ",bron[[#This Row],[achternaam]]," ",bron[[#This Row],[voornaam]])</f>
        <v>19917 Vandevyvere Frank</v>
      </c>
      <c r="C558" t="str">
        <f>VLOOKUP(bron[[#This Row],[personeelsnr]],'data hastus'!$A:$C,2,0)</f>
        <v>Vandevyvere</v>
      </c>
      <c r="D558" t="str">
        <f>VLOOKUP(bron[[#This Row],[personeelsnr]],'data hastus'!$A:$C,3,0)</f>
        <v>Frank</v>
      </c>
      <c r="E558" t="str">
        <f>VLOOKUP(bron[[#This Row],[personeelsnr]],'data hastus'!A:K,11,FALSE)</f>
        <v>Bart Van Der Beken</v>
      </c>
      <c r="F558" s="10"/>
      <c r="G558" s="7"/>
      <c r="H558" s="7"/>
      <c r="I558" s="7"/>
      <c r="M558" s="5">
        <v>1</v>
      </c>
      <c r="S558" s="5">
        <f>SUM(bron[[#This Row],[Januari]:[December]])</f>
        <v>1</v>
      </c>
      <c r="T558" s="9">
        <v>45853</v>
      </c>
      <c r="U558" s="8" t="s">
        <v>1246</v>
      </c>
      <c r="V558" s="24">
        <v>1</v>
      </c>
      <c r="W558" s="24"/>
      <c r="X558" t="s">
        <v>3544</v>
      </c>
      <c r="Y558" t="s">
        <v>28</v>
      </c>
      <c r="Z558">
        <v>5231</v>
      </c>
      <c r="AA558" s="39" t="s">
        <v>3592</v>
      </c>
    </row>
    <row r="559" spans="1:27" hidden="1" x14ac:dyDescent="0.3">
      <c r="A559">
        <v>19917</v>
      </c>
      <c r="B559" t="str">
        <f>_xlfn.CONCAT(bron[[#This Row],[personeelsnr]]," ",bron[[#This Row],[achternaam]]," ",bron[[#This Row],[voornaam]])</f>
        <v>19917 Vandevyvere Frank</v>
      </c>
      <c r="C559" t="str">
        <f>VLOOKUP(bron[[#This Row],[personeelsnr]],'data hastus'!$A:$C,2,0)</f>
        <v>Vandevyvere</v>
      </c>
      <c r="D559" t="str">
        <f>VLOOKUP(bron[[#This Row],[personeelsnr]],'data hastus'!$A:$C,3,0)</f>
        <v>Frank</v>
      </c>
      <c r="E559" t="str">
        <f>VLOOKUP(bron[[#This Row],[personeelsnr]],'data hastus'!A:K,11,FALSE)</f>
        <v>Bart Van Der Beken</v>
      </c>
      <c r="F559" s="10"/>
      <c r="G559" s="7"/>
      <c r="H559" s="7"/>
      <c r="I559" s="7"/>
      <c r="L559" s="5">
        <v>1</v>
      </c>
      <c r="S559" s="5">
        <f>SUM(bron[[#This Row],[Januari]:[December]])</f>
        <v>1</v>
      </c>
      <c r="T559" s="9">
        <v>45831</v>
      </c>
      <c r="U559" s="8" t="s">
        <v>1212</v>
      </c>
      <c r="V559" s="24">
        <v>1</v>
      </c>
      <c r="W559" s="24"/>
      <c r="X559" t="s">
        <v>3544</v>
      </c>
      <c r="Y559" t="s">
        <v>48</v>
      </c>
      <c r="Z559">
        <v>5260</v>
      </c>
      <c r="AA559" s="39" t="s">
        <v>3592</v>
      </c>
    </row>
    <row r="560" spans="1:27" hidden="1" x14ac:dyDescent="0.3">
      <c r="A560">
        <v>19917</v>
      </c>
      <c r="B560" t="str">
        <f>_xlfn.CONCAT(bron[[#This Row],[personeelsnr]]," ",bron[[#This Row],[achternaam]]," ",bron[[#This Row],[voornaam]])</f>
        <v>19917 Vandevyvere Frank</v>
      </c>
      <c r="C560" t="str">
        <f>VLOOKUP(bron[[#This Row],[personeelsnr]],'data hastus'!$A:$C,2,0)</f>
        <v>Vandevyvere</v>
      </c>
      <c r="D560" t="str">
        <f>VLOOKUP(bron[[#This Row],[personeelsnr]],'data hastus'!$A:$C,3,0)</f>
        <v>Frank</v>
      </c>
      <c r="E560" t="str">
        <f>VLOOKUP(bron[[#This Row],[personeelsnr]],'data hastus'!A:K,11,FALSE)</f>
        <v>Bart Van Der Beken</v>
      </c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45667</v>
      </c>
      <c r="U560" s="8" t="s">
        <v>1007</v>
      </c>
      <c r="V560" s="8">
        <v>1</v>
      </c>
      <c r="W560" s="8"/>
      <c r="X560" t="s">
        <v>3545</v>
      </c>
      <c r="Y560" t="s">
        <v>28</v>
      </c>
      <c r="Z560">
        <v>5767</v>
      </c>
      <c r="AA560" s="39" t="s">
        <v>3592</v>
      </c>
    </row>
    <row r="561" spans="1:27" hidden="1" x14ac:dyDescent="0.3">
      <c r="A561">
        <v>20653</v>
      </c>
      <c r="B561" t="str">
        <f>_xlfn.CONCAT(bron[[#This Row],[personeelsnr]]," ",bron[[#This Row],[achternaam]]," ",bron[[#This Row],[voornaam]])</f>
        <v>20653 Mestdag Marius</v>
      </c>
      <c r="C561" t="str">
        <f>VLOOKUP(bron[[#This Row],[personeelsnr]],'data hastus'!$A:$C,2,0)</f>
        <v>Mestdag</v>
      </c>
      <c r="D561" t="str">
        <f>VLOOKUP(bron[[#This Row],[personeelsnr]],'data hastus'!$A:$C,3,0)</f>
        <v>Marius</v>
      </c>
      <c r="E561" t="str">
        <f>VLOOKUP(bron[[#This Row],[personeelsnr]],'data hastus'!A:K,11,FALSE)</f>
        <v>Bart Van Der Beken</v>
      </c>
      <c r="F561" s="10"/>
      <c r="G561" s="7"/>
      <c r="H561" s="7"/>
      <c r="I561" s="7"/>
      <c r="M561" s="5">
        <v>1</v>
      </c>
      <c r="S561" s="5">
        <f>SUM(bron[[#This Row],[Januari]:[December]])</f>
        <v>1</v>
      </c>
      <c r="T561" s="9">
        <v>45867</v>
      </c>
      <c r="U561" s="8" t="s">
        <v>1298</v>
      </c>
      <c r="V561" s="24"/>
      <c r="W561" s="24">
        <v>1</v>
      </c>
      <c r="X561" t="s">
        <v>8</v>
      </c>
      <c r="Y561" t="s">
        <v>133</v>
      </c>
      <c r="Z561">
        <v>6325</v>
      </c>
      <c r="AA561" s="39" t="s">
        <v>3593</v>
      </c>
    </row>
    <row r="562" spans="1:27" hidden="1" x14ac:dyDescent="0.3">
      <c r="A562">
        <v>21424</v>
      </c>
      <c r="B562" t="str">
        <f>_xlfn.CONCAT(bron[[#This Row],[personeelsnr]]," ",bron[[#This Row],[achternaam]]," ",bron[[#This Row],[voornaam]])</f>
        <v>21424 Verstichel Jethro</v>
      </c>
      <c r="C562" t="str">
        <f>VLOOKUP(bron[[#This Row],[personeelsnr]],'data hastus'!$A:$C,2,0)</f>
        <v>Verstichel</v>
      </c>
      <c r="D562" t="str">
        <f>VLOOKUP(bron[[#This Row],[personeelsnr]],'data hastus'!$A:$C,3,0)</f>
        <v>Jethro</v>
      </c>
      <c r="E562" t="str">
        <f>VLOOKUP(bron[[#This Row],[personeelsnr]],'data hastus'!A:K,11,FALSE)</f>
        <v>Els Dewulf</v>
      </c>
      <c r="F562" s="10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45691</v>
      </c>
      <c r="U562" s="8" t="s">
        <v>1041</v>
      </c>
      <c r="V562" s="8">
        <v>1</v>
      </c>
      <c r="W562" s="8"/>
      <c r="X562" t="s">
        <v>3545</v>
      </c>
      <c r="Y562" t="s">
        <v>78</v>
      </c>
      <c r="Z562">
        <v>5911</v>
      </c>
      <c r="AA562" s="39" t="s">
        <v>3592</v>
      </c>
    </row>
    <row r="563" spans="1:27" hidden="1" x14ac:dyDescent="0.3">
      <c r="A563">
        <v>21424</v>
      </c>
      <c r="B563" t="str">
        <f>_xlfn.CONCAT(bron[[#This Row],[personeelsnr]]," ",bron[[#This Row],[achternaam]]," ",bron[[#This Row],[voornaam]])</f>
        <v>21424 Verstichel Jethro</v>
      </c>
      <c r="C563" t="str">
        <f>VLOOKUP(bron[[#This Row],[personeelsnr]],'data hastus'!$A:$C,2,0)</f>
        <v>Verstichel</v>
      </c>
      <c r="D563" t="str">
        <f>VLOOKUP(bron[[#This Row],[personeelsnr]],'data hastus'!$A:$C,3,0)</f>
        <v>Jethro</v>
      </c>
      <c r="E563" t="str">
        <f>VLOOKUP(bron[[#This Row],[personeelsnr]],'data hastus'!A:K,11,FALSE)</f>
        <v>Els Dewulf</v>
      </c>
      <c r="F563" s="10"/>
      <c r="G563" s="6">
        <v>1</v>
      </c>
      <c r="H563" s="6"/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45686</v>
      </c>
      <c r="U563" s="8" t="s">
        <v>1033</v>
      </c>
      <c r="V563" s="8"/>
      <c r="W563" s="8">
        <v>1</v>
      </c>
      <c r="X563" t="s">
        <v>3581</v>
      </c>
      <c r="Y563" t="s">
        <v>31</v>
      </c>
      <c r="Z563">
        <v>6368</v>
      </c>
      <c r="AA563" s="39" t="s">
        <v>3592</v>
      </c>
    </row>
    <row r="564" spans="1:27" hidden="1" x14ac:dyDescent="0.3">
      <c r="A564">
        <v>21509</v>
      </c>
      <c r="B564" t="str">
        <f>_xlfn.CONCAT(bron[[#This Row],[personeelsnr]]," ",bron[[#This Row],[achternaam]]," ",bron[[#This Row],[voornaam]])</f>
        <v>21509 De Craemer Kris</v>
      </c>
      <c r="C564" t="str">
        <f>VLOOKUP(bron[[#This Row],[personeelsnr]],'data hastus'!$A:$C,2,0)</f>
        <v>De Craemer</v>
      </c>
      <c r="D564" t="str">
        <f>VLOOKUP(bron[[#This Row],[personeelsnr]],'data hastus'!$A:$C,3,0)</f>
        <v>Kris</v>
      </c>
      <c r="E564" t="str">
        <f>VLOOKUP(bron[[#This Row],[personeelsnr]],'data hastus'!A:K,11,FALSE)</f>
        <v>Dominique De Clercq</v>
      </c>
      <c r="F564" s="10"/>
      <c r="G564" s="6"/>
      <c r="H564" s="6"/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0</v>
      </c>
      <c r="T564" s="3">
        <v>45684</v>
      </c>
      <c r="U564" s="8" t="s">
        <v>1305</v>
      </c>
      <c r="V564" s="8"/>
      <c r="W564" s="8">
        <v>1</v>
      </c>
      <c r="X564" t="s">
        <v>8</v>
      </c>
      <c r="Y564" t="s">
        <v>81</v>
      </c>
      <c r="Z564">
        <v>6303</v>
      </c>
      <c r="AA564" s="39" t="s">
        <v>3593</v>
      </c>
    </row>
    <row r="565" spans="1:27" hidden="1" x14ac:dyDescent="0.3">
      <c r="A565">
        <v>21509</v>
      </c>
      <c r="B565" t="str">
        <f>_xlfn.CONCAT(bron[[#This Row],[personeelsnr]]," ",bron[[#This Row],[achternaam]]," ",bron[[#This Row],[voornaam]])</f>
        <v>21509 De Craemer Kris</v>
      </c>
      <c r="C565" t="str">
        <f>VLOOKUP(bron[[#This Row],[personeelsnr]],'data hastus'!$A:$C,2,0)</f>
        <v>De Craemer</v>
      </c>
      <c r="D565" t="str">
        <f>VLOOKUP(bron[[#This Row],[personeelsnr]],'data hastus'!$A:$C,3,0)</f>
        <v>Kris</v>
      </c>
      <c r="E565" t="str">
        <f>VLOOKUP(bron[[#This Row],[personeelsnr]],'data hastus'!A:K,11,FALSE)</f>
        <v>Dominique De Clercq</v>
      </c>
      <c r="F565" s="10"/>
      <c r="G565" s="7"/>
      <c r="H565" s="7"/>
      <c r="I565" s="7"/>
      <c r="M565" s="5">
        <v>1</v>
      </c>
      <c r="S565" s="5">
        <f>SUM(bron[[#This Row],[Januari]:[December]])</f>
        <v>1</v>
      </c>
      <c r="T565" s="9">
        <v>45839</v>
      </c>
      <c r="U565" s="8" t="s">
        <v>1220</v>
      </c>
      <c r="V565" s="24"/>
      <c r="W565" s="24">
        <v>1</v>
      </c>
      <c r="X565" t="s">
        <v>3580</v>
      </c>
      <c r="Y565" t="s">
        <v>69</v>
      </c>
      <c r="Z565">
        <v>6319</v>
      </c>
      <c r="AA565" s="39" t="s">
        <v>3592</v>
      </c>
    </row>
    <row r="566" spans="1:27" hidden="1" x14ac:dyDescent="0.3">
      <c r="A566">
        <v>21581</v>
      </c>
      <c r="B566" t="str">
        <f>_xlfn.CONCAT(bron[[#This Row],[personeelsnr]]," ",bron[[#This Row],[achternaam]]," ",bron[[#This Row],[voornaam]])</f>
        <v>21581 Vanderstraeten Franky</v>
      </c>
      <c r="C566" t="str">
        <f>VLOOKUP(bron[[#This Row],[personeelsnr]],'data hastus'!$A:$C,2,0)</f>
        <v>Vanderstraeten</v>
      </c>
      <c r="D566" t="str">
        <f>VLOOKUP(bron[[#This Row],[personeelsnr]],'data hastus'!$A:$C,3,0)</f>
        <v>Franky</v>
      </c>
      <c r="E566" t="str">
        <f>VLOOKUP(bron[[#This Row],[personeelsnr]],'data hastus'!A:K,11,FALSE)</f>
        <v>Lucie Vande Velde</v>
      </c>
      <c r="F566" s="10"/>
      <c r="G566" s="6">
        <v>1</v>
      </c>
      <c r="H566" s="6"/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45678</v>
      </c>
      <c r="U566" s="8" t="s">
        <v>1324</v>
      </c>
      <c r="V566" s="8">
        <v>1</v>
      </c>
      <c r="W566" s="8"/>
      <c r="X566" t="s">
        <v>7</v>
      </c>
      <c r="Y566" t="s">
        <v>1325</v>
      </c>
      <c r="Z566">
        <v>5040</v>
      </c>
      <c r="AA566" s="39" t="s">
        <v>3593</v>
      </c>
    </row>
    <row r="567" spans="1:27" hidden="1" x14ac:dyDescent="0.3">
      <c r="A567">
        <v>21582</v>
      </c>
      <c r="B567" t="str">
        <f>_xlfn.CONCAT(bron[[#This Row],[personeelsnr]]," ",bron[[#This Row],[achternaam]]," ",bron[[#This Row],[voornaam]])</f>
        <v>21582 De Grom Patrick</v>
      </c>
      <c r="C567" t="str">
        <f>VLOOKUP(bron[[#This Row],[personeelsnr]],'data hastus'!$A:$C,2,0)</f>
        <v>De Grom</v>
      </c>
      <c r="D567" t="str">
        <f>VLOOKUP(bron[[#This Row],[personeelsnr]],'data hastus'!$A:$C,3,0)</f>
        <v>Patrick</v>
      </c>
      <c r="E567" t="str">
        <f>VLOOKUP(bron[[#This Row],[personeelsnr]],'data hastus'!A:K,11,FALSE)</f>
        <v>Steven Storm</v>
      </c>
      <c r="F567" s="10"/>
      <c r="G567" s="6"/>
      <c r="H567" s="6"/>
      <c r="I567" s="6"/>
      <c r="J567">
        <v>1</v>
      </c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45765</v>
      </c>
      <c r="U567" s="8" t="s">
        <v>1142</v>
      </c>
      <c r="V567" s="8"/>
      <c r="W567" s="8">
        <v>1</v>
      </c>
      <c r="X567" t="s">
        <v>3580</v>
      </c>
      <c r="Y567" t="s">
        <v>10</v>
      </c>
      <c r="Z567">
        <v>6305</v>
      </c>
      <c r="AA567" s="39" t="s">
        <v>3592</v>
      </c>
    </row>
    <row r="568" spans="1:27" hidden="1" x14ac:dyDescent="0.3">
      <c r="A568">
        <v>22052</v>
      </c>
      <c r="B568" t="str">
        <f>_xlfn.CONCAT(bron[[#This Row],[personeelsnr]]," ",bron[[#This Row],[achternaam]]," ",bron[[#This Row],[voornaam]])</f>
        <v>22052 Meyvaert Peter</v>
      </c>
      <c r="C568" t="str">
        <f>VLOOKUP(bron[[#This Row],[personeelsnr]],'data hastus'!$A:$C,2,0)</f>
        <v>Meyvaert</v>
      </c>
      <c r="D568" t="str">
        <f>VLOOKUP(bron[[#This Row],[personeelsnr]],'data hastus'!$A:$C,3,0)</f>
        <v>Peter</v>
      </c>
      <c r="E568" t="str">
        <f>VLOOKUP(bron[[#This Row],[personeelsnr]],'data hastus'!A:K,11,FALSE)</f>
        <v>Els Dewulf</v>
      </c>
      <c r="F568" s="10"/>
      <c r="G568" s="6">
        <v>1</v>
      </c>
      <c r="H568" s="6"/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45670</v>
      </c>
      <c r="U568" s="8" t="s">
        <v>1312</v>
      </c>
      <c r="V568" s="8">
        <v>1</v>
      </c>
      <c r="W568" s="8"/>
      <c r="X568" t="s">
        <v>7</v>
      </c>
      <c r="Y568" t="s">
        <v>113</v>
      </c>
      <c r="Z568">
        <v>5263</v>
      </c>
      <c r="AA568" s="39" t="s">
        <v>3593</v>
      </c>
    </row>
    <row r="569" spans="1:27" hidden="1" x14ac:dyDescent="0.3">
      <c r="A569">
        <v>22202</v>
      </c>
      <c r="B569" t="str">
        <f>_xlfn.CONCAT(bron[[#This Row],[personeelsnr]]," ",bron[[#This Row],[achternaam]]," ",bron[[#This Row],[voornaam]])</f>
        <v>22202 Pluym Pascal</v>
      </c>
      <c r="C569" t="str">
        <f>VLOOKUP(bron[[#This Row],[personeelsnr]],'data hastus'!$A:$C,2,0)</f>
        <v>Pluym</v>
      </c>
      <c r="D569" t="str">
        <f>VLOOKUP(bron[[#This Row],[personeelsnr]],'data hastus'!$A:$C,3,0)</f>
        <v>Pascal</v>
      </c>
      <c r="E569" t="str">
        <f>VLOOKUP(bron[[#This Row],[personeelsnr]],'data hastus'!A:K,11,FALSE)</f>
        <v>Steven Storm</v>
      </c>
      <c r="F569" s="10"/>
      <c r="G569" s="7"/>
      <c r="H569" s="7"/>
      <c r="I569" s="7"/>
      <c r="N569" s="5">
        <v>1</v>
      </c>
      <c r="S569" s="5">
        <f>SUM(bron[[#This Row],[Januari]:[December]])</f>
        <v>1</v>
      </c>
      <c r="T569" s="9">
        <v>45883</v>
      </c>
      <c r="U569" s="5" t="s">
        <v>1272</v>
      </c>
      <c r="V569" s="24">
        <v>1</v>
      </c>
      <c r="W569" s="24"/>
      <c r="X569" t="s">
        <v>3544</v>
      </c>
      <c r="Y569" t="s">
        <v>19</v>
      </c>
      <c r="Z569">
        <v>5266</v>
      </c>
      <c r="AA569" s="39" t="s">
        <v>3592</v>
      </c>
    </row>
    <row r="570" spans="1:27" hidden="1" x14ac:dyDescent="0.3">
      <c r="A570">
        <v>22240</v>
      </c>
      <c r="B570" t="str">
        <f>_xlfn.CONCAT(bron[[#This Row],[personeelsnr]]," ",bron[[#This Row],[achternaam]]," ",bron[[#This Row],[voornaam]])</f>
        <v>22240 Delahaye Karina</v>
      </c>
      <c r="C570" t="str">
        <f>VLOOKUP(bron[[#This Row],[personeelsnr]],'data hastus'!$A:$C,2,0)</f>
        <v>Delahaye</v>
      </c>
      <c r="D570" t="str">
        <f>VLOOKUP(bron[[#This Row],[personeelsnr]],'data hastus'!$A:$C,3,0)</f>
        <v>Karina</v>
      </c>
      <c r="E570" t="str">
        <f>VLOOKUP(bron[[#This Row],[personeelsnr]],'data hastus'!A:K,11,FALSE)</f>
        <v>Els Dewulf</v>
      </c>
      <c r="F570" s="10"/>
      <c r="G570" s="6">
        <v>1</v>
      </c>
      <c r="H570" s="6"/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45674</v>
      </c>
      <c r="U570" s="8" t="s">
        <v>1020</v>
      </c>
      <c r="V570" s="8"/>
      <c r="W570" s="8">
        <v>1</v>
      </c>
      <c r="X570" t="s">
        <v>3581</v>
      </c>
      <c r="Y570" t="s">
        <v>187</v>
      </c>
      <c r="Z570">
        <v>6355</v>
      </c>
      <c r="AA570" s="39" t="s">
        <v>3592</v>
      </c>
    </row>
    <row r="571" spans="1:27" hidden="1" x14ac:dyDescent="0.3">
      <c r="A571">
        <v>22416</v>
      </c>
      <c r="B571" t="str">
        <f>_xlfn.CONCAT(bron[[#This Row],[personeelsnr]]," ",bron[[#This Row],[achternaam]]," ",bron[[#This Row],[voornaam]])</f>
        <v>22416 Bicici Abdul Kadir</v>
      </c>
      <c r="C571" t="str">
        <f>VLOOKUP(bron[[#This Row],[personeelsnr]],'data hastus'!$A:$C,2,0)</f>
        <v>Bicici</v>
      </c>
      <c r="D571" t="str">
        <f>VLOOKUP(bron[[#This Row],[personeelsnr]],'data hastus'!$A:$C,3,0)</f>
        <v>Abdul Kadir</v>
      </c>
      <c r="E571" t="str">
        <f>VLOOKUP(bron[[#This Row],[personeelsnr]],'data hastus'!A:K,11,FALSE)</f>
        <v>Christoff Rotty</v>
      </c>
      <c r="F571" s="10"/>
      <c r="G571" s="7"/>
      <c r="H571" s="7"/>
      <c r="I571" s="7"/>
      <c r="M571" s="5">
        <v>1</v>
      </c>
      <c r="S571" s="5">
        <f>SUM(bron[[#This Row],[Januari]:[December]])</f>
        <v>1</v>
      </c>
      <c r="T571" s="9">
        <v>45843</v>
      </c>
      <c r="U571" s="8" t="s">
        <v>1227</v>
      </c>
      <c r="V571" s="24"/>
      <c r="W571" s="24">
        <v>1</v>
      </c>
      <c r="X571" t="s">
        <v>3581</v>
      </c>
      <c r="Y571" t="s">
        <v>231</v>
      </c>
      <c r="Z571">
        <v>6355</v>
      </c>
      <c r="AA571" s="39" t="s">
        <v>3592</v>
      </c>
    </row>
    <row r="572" spans="1:27" hidden="1" x14ac:dyDescent="0.3">
      <c r="A572">
        <v>22877</v>
      </c>
      <c r="B572" t="str">
        <f>_xlfn.CONCAT(bron[[#This Row],[personeelsnr]]," ",bron[[#This Row],[achternaam]]," ",bron[[#This Row],[voornaam]])</f>
        <v>22877 Goossens Gunther</v>
      </c>
      <c r="C572" t="str">
        <f>VLOOKUP(bron[[#This Row],[personeelsnr]],'data hastus'!$A:$C,2,0)</f>
        <v>Goossens</v>
      </c>
      <c r="D572" t="str">
        <f>VLOOKUP(bron[[#This Row],[personeelsnr]],'data hastus'!$A:$C,3,0)</f>
        <v>Gunther</v>
      </c>
      <c r="E572" t="str">
        <f>VLOOKUP(bron[[#This Row],[personeelsnr]],'data hastus'!A:K,11,FALSE)</f>
        <v>Els Dewulf</v>
      </c>
      <c r="F572" s="10"/>
      <c r="G572" s="7"/>
      <c r="H572" s="7"/>
      <c r="I572" s="7"/>
      <c r="M572" s="5">
        <v>1</v>
      </c>
      <c r="S572" s="5">
        <f>SUM(bron[[#This Row],[Januari]:[December]])</f>
        <v>1</v>
      </c>
      <c r="T572" s="9">
        <v>45847</v>
      </c>
      <c r="U572" s="8" t="s">
        <v>1235</v>
      </c>
      <c r="V572" s="24">
        <v>1</v>
      </c>
      <c r="W572" s="24"/>
      <c r="X572" t="s">
        <v>3544</v>
      </c>
      <c r="Y572" t="s">
        <v>125</v>
      </c>
      <c r="Z572">
        <v>2189</v>
      </c>
      <c r="AA572" s="39" t="s">
        <v>3592</v>
      </c>
    </row>
    <row r="573" spans="1:27" hidden="1" x14ac:dyDescent="0.3">
      <c r="A573">
        <v>23700</v>
      </c>
      <c r="B573" t="str">
        <f>_xlfn.CONCAT(bron[[#This Row],[personeelsnr]]," ",bron[[#This Row],[achternaam]]," ",bron[[#This Row],[voornaam]])</f>
        <v>23700 Byosière Christof</v>
      </c>
      <c r="C573" t="str">
        <f>VLOOKUP(bron[[#This Row],[personeelsnr]],'data hastus'!$A:$C,2,0)</f>
        <v>Byosière</v>
      </c>
      <c r="D573" t="str">
        <f>VLOOKUP(bron[[#This Row],[personeelsnr]],'data hastus'!$A:$C,3,0)</f>
        <v>Christof</v>
      </c>
      <c r="E573" t="str">
        <f>VLOOKUP(bron[[#This Row],[personeelsnr]],'data hastus'!A:K,11,FALSE)</f>
        <v>Dominique De Clercq</v>
      </c>
      <c r="F573" s="10"/>
      <c r="G573" s="6"/>
      <c r="H573" s="6"/>
      <c r="I573" s="6"/>
      <c r="J573">
        <v>1</v>
      </c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45763</v>
      </c>
      <c r="U573" s="8" t="s">
        <v>1308</v>
      </c>
      <c r="V573" s="8">
        <v>1</v>
      </c>
      <c r="W573" s="8"/>
      <c r="X573" t="s">
        <v>7</v>
      </c>
      <c r="Y573" t="s">
        <v>5</v>
      </c>
      <c r="Z573">
        <v>5235</v>
      </c>
      <c r="AA573" s="39" t="s">
        <v>3593</v>
      </c>
    </row>
    <row r="574" spans="1:27" hidden="1" x14ac:dyDescent="0.3">
      <c r="A574">
        <v>23918</v>
      </c>
      <c r="B574" t="str">
        <f>_xlfn.CONCAT(bron[[#This Row],[personeelsnr]]," ",bron[[#This Row],[achternaam]]," ",bron[[#This Row],[voornaam]])</f>
        <v>23918 D'Haeyere Bernard</v>
      </c>
      <c r="C574" t="str">
        <f>VLOOKUP(bron[[#This Row],[personeelsnr]],'data hastus'!$A:$C,2,0)</f>
        <v>D'Haeyere</v>
      </c>
      <c r="D574" t="str">
        <f>VLOOKUP(bron[[#This Row],[personeelsnr]],'data hastus'!$A:$C,3,0)</f>
        <v>Bernard</v>
      </c>
      <c r="E574" t="str">
        <f>VLOOKUP(bron[[#This Row],[personeelsnr]],'data hastus'!A:K,11,FALSE)</f>
        <v>Els Vanhoe</v>
      </c>
      <c r="F574" s="10"/>
      <c r="G574" s="7"/>
      <c r="H574" s="7"/>
      <c r="I574" s="7"/>
      <c r="M574" s="5">
        <v>1</v>
      </c>
      <c r="S574" s="5">
        <f>SUM(bron[[#This Row],[Januari]:[December]])</f>
        <v>1</v>
      </c>
      <c r="T574" s="9">
        <v>45862</v>
      </c>
      <c r="U574" s="8" t="s">
        <v>1256</v>
      </c>
      <c r="V574" s="24">
        <v>1</v>
      </c>
      <c r="W574" s="24"/>
      <c r="X574" t="s">
        <v>3545</v>
      </c>
      <c r="Y574" t="s">
        <v>16</v>
      </c>
      <c r="Z574">
        <v>5933</v>
      </c>
      <c r="AA574" s="39" t="s">
        <v>3592</v>
      </c>
    </row>
    <row r="575" spans="1:27" hidden="1" x14ac:dyDescent="0.3">
      <c r="A575">
        <v>23918</v>
      </c>
      <c r="B575" t="str">
        <f>_xlfn.CONCAT(bron[[#This Row],[personeelsnr]]," ",bron[[#This Row],[achternaam]]," ",bron[[#This Row],[voornaam]])</f>
        <v>23918 D'Haeyere Bernard</v>
      </c>
      <c r="C575" t="str">
        <f>VLOOKUP(bron[[#This Row],[personeelsnr]],'data hastus'!$A:$C,2,0)</f>
        <v>D'Haeyere</v>
      </c>
      <c r="D575" t="str">
        <f>VLOOKUP(bron[[#This Row],[personeelsnr]],'data hastus'!$A:$C,3,0)</f>
        <v>Bernard</v>
      </c>
      <c r="E575" t="str">
        <f>VLOOKUP(bron[[#This Row],[personeelsnr]],'data hastus'!A:K,11,FALSE)</f>
        <v>Els Vanhoe</v>
      </c>
      <c r="F575" s="10"/>
      <c r="G575" s="7"/>
      <c r="H575" s="7"/>
      <c r="I575" s="7"/>
      <c r="L575" s="5">
        <v>1</v>
      </c>
      <c r="S575" s="5">
        <f>SUM(bron[[#This Row],[Januari]:[December]])</f>
        <v>1</v>
      </c>
      <c r="T575" s="9">
        <v>45811</v>
      </c>
      <c r="U575" s="8" t="s">
        <v>1193</v>
      </c>
      <c r="V575" s="8">
        <v>1</v>
      </c>
      <c r="W575" s="8"/>
      <c r="X575" t="s">
        <v>3545</v>
      </c>
      <c r="Y575" t="s">
        <v>155</v>
      </c>
      <c r="Z575">
        <v>5931</v>
      </c>
      <c r="AA575" s="39" t="s">
        <v>3592</v>
      </c>
    </row>
    <row r="576" spans="1:27" hidden="1" x14ac:dyDescent="0.3">
      <c r="A576">
        <v>24155</v>
      </c>
      <c r="B576" t="str">
        <f>_xlfn.CONCAT(bron[[#This Row],[personeelsnr]]," ",bron[[#This Row],[achternaam]]," ",bron[[#This Row],[voornaam]])</f>
        <v>24155 Luttens Koen</v>
      </c>
      <c r="C576" t="str">
        <f>VLOOKUP(bron[[#This Row],[personeelsnr]],'data hastus'!$A:$C,2,0)</f>
        <v>Luttens</v>
      </c>
      <c r="D576" t="str">
        <f>VLOOKUP(bron[[#This Row],[personeelsnr]],'data hastus'!$A:$C,3,0)</f>
        <v>Koen</v>
      </c>
      <c r="E576" t="str">
        <f>VLOOKUP(bron[[#This Row],[personeelsnr]],'data hastus'!A:K,11,FALSE)</f>
        <v>Els Vanhoe</v>
      </c>
      <c r="F576" s="10"/>
      <c r="G576" s="6"/>
      <c r="H576" s="6"/>
      <c r="I576" s="6"/>
      <c r="J576">
        <v>1</v>
      </c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45776</v>
      </c>
      <c r="U576" s="8" t="s">
        <v>1157</v>
      </c>
      <c r="V576" s="8"/>
      <c r="W576" s="8">
        <v>1</v>
      </c>
      <c r="X576" t="s">
        <v>3581</v>
      </c>
      <c r="Y576" t="s">
        <v>223</v>
      </c>
      <c r="Z576">
        <v>6368</v>
      </c>
      <c r="AA576" s="39" t="s">
        <v>3592</v>
      </c>
    </row>
    <row r="577" spans="1:27" hidden="1" x14ac:dyDescent="0.3">
      <c r="A577">
        <v>24367</v>
      </c>
      <c r="B577" t="str">
        <f>_xlfn.CONCAT(bron[[#This Row],[personeelsnr]]," ",bron[[#This Row],[achternaam]]," ",bron[[#This Row],[voornaam]])</f>
        <v>24367 Tayefeh Arbab Ali</v>
      </c>
      <c r="C577" t="str">
        <f>VLOOKUP(bron[[#This Row],[personeelsnr]],'data hastus'!$A:$C,2,0)</f>
        <v>Tayefeh Arbab</v>
      </c>
      <c r="D577" t="str">
        <f>VLOOKUP(bron[[#This Row],[personeelsnr]],'data hastus'!$A:$C,3,0)</f>
        <v>Ali</v>
      </c>
      <c r="E577" t="str">
        <f>VLOOKUP(bron[[#This Row],[personeelsnr]],'data hastus'!A:K,11,FALSE)</f>
        <v>Bart Van Der Beken</v>
      </c>
      <c r="F577" s="10"/>
      <c r="G577" s="7"/>
      <c r="H577" s="7"/>
      <c r="I577" s="7"/>
      <c r="O577" s="5">
        <v>1</v>
      </c>
      <c r="S577" s="5">
        <f>SUM(bron[[#This Row],[Januari]:[December]])</f>
        <v>1</v>
      </c>
      <c r="T577" s="9">
        <v>45903</v>
      </c>
      <c r="U577" s="5" t="s">
        <v>3542</v>
      </c>
      <c r="V577" s="24"/>
      <c r="W577" s="24">
        <v>1</v>
      </c>
      <c r="X577" t="s">
        <v>3580</v>
      </c>
      <c r="Y577" t="s">
        <v>3543</v>
      </c>
      <c r="Z577">
        <v>6319</v>
      </c>
      <c r="AA577" s="39" t="s">
        <v>3592</v>
      </c>
    </row>
    <row r="578" spans="1:27" hidden="1" x14ac:dyDescent="0.3">
      <c r="A578">
        <v>25487</v>
      </c>
      <c r="B578" t="str">
        <f>_xlfn.CONCAT(bron[[#This Row],[personeelsnr]]," ",bron[[#This Row],[achternaam]]," ",bron[[#This Row],[voornaam]])</f>
        <v>25487 Devos Stefaan</v>
      </c>
      <c r="C578" t="str">
        <f>VLOOKUP(bron[[#This Row],[personeelsnr]],'data hastus'!$A:$C,2,0)</f>
        <v>Devos</v>
      </c>
      <c r="D578" t="str">
        <f>VLOOKUP(bron[[#This Row],[personeelsnr]],'data hastus'!$A:$C,3,0)</f>
        <v>Stefaan</v>
      </c>
      <c r="E578" t="str">
        <f>VLOOKUP(bron[[#This Row],[personeelsnr]],'data hastus'!A:K,11,FALSE)</f>
        <v>Steven Storm</v>
      </c>
      <c r="F578" s="10"/>
      <c r="G578" s="7"/>
      <c r="H578" s="7"/>
      <c r="I578" s="7"/>
      <c r="N578" s="5">
        <v>1</v>
      </c>
      <c r="S578" s="5">
        <f>SUM(bron[[#This Row],[Januari]:[December]])</f>
        <v>1</v>
      </c>
      <c r="T578" s="9">
        <v>45887</v>
      </c>
      <c r="U578" s="5" t="s">
        <v>1275</v>
      </c>
      <c r="V578" s="24"/>
      <c r="W578" s="24">
        <v>1</v>
      </c>
      <c r="X578" t="s">
        <v>3580</v>
      </c>
      <c r="Y578" t="s">
        <v>235</v>
      </c>
      <c r="Z578">
        <v>6315</v>
      </c>
      <c r="AA578" s="39" t="s">
        <v>3592</v>
      </c>
    </row>
    <row r="579" spans="1:27" hidden="1" x14ac:dyDescent="0.3">
      <c r="A579">
        <v>25487</v>
      </c>
      <c r="B579" t="str">
        <f>_xlfn.CONCAT(bron[[#This Row],[personeelsnr]]," ",bron[[#This Row],[achternaam]]," ",bron[[#This Row],[voornaam]])</f>
        <v>25487 Devos Stefaan</v>
      </c>
      <c r="C579" t="str">
        <f>VLOOKUP(bron[[#This Row],[personeelsnr]],'data hastus'!$A:$C,2,0)</f>
        <v>Devos</v>
      </c>
      <c r="D579" t="str">
        <f>VLOOKUP(bron[[#This Row],[personeelsnr]],'data hastus'!$A:$C,3,0)</f>
        <v>Stefaan</v>
      </c>
      <c r="E579" t="str">
        <f>VLOOKUP(bron[[#This Row],[personeelsnr]],'data hastus'!A:K,11,FALSE)</f>
        <v>Steven Storm</v>
      </c>
      <c r="F579" s="10"/>
      <c r="G579" s="6"/>
      <c r="H579" s="6"/>
      <c r="I579" s="6">
        <v>1</v>
      </c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45725</v>
      </c>
      <c r="U579" s="8" t="s">
        <v>1098</v>
      </c>
      <c r="V579" s="8"/>
      <c r="W579" s="8">
        <v>1</v>
      </c>
      <c r="X579" t="s">
        <v>3580</v>
      </c>
      <c r="Y579" t="s">
        <v>137</v>
      </c>
      <c r="Z579">
        <v>6303</v>
      </c>
      <c r="AA579" s="39" t="s">
        <v>3592</v>
      </c>
    </row>
    <row r="580" spans="1:27" hidden="1" x14ac:dyDescent="0.3">
      <c r="A580">
        <v>25487</v>
      </c>
      <c r="B580" t="str">
        <f>_xlfn.CONCAT(bron[[#This Row],[personeelsnr]]," ",bron[[#This Row],[achternaam]]," ",bron[[#This Row],[voornaam]])</f>
        <v>25487 Devos Stefaan</v>
      </c>
      <c r="C580" t="str">
        <f>VLOOKUP(bron[[#This Row],[personeelsnr]],'data hastus'!$A:$C,2,0)</f>
        <v>Devos</v>
      </c>
      <c r="D580" t="str">
        <f>VLOOKUP(bron[[#This Row],[personeelsnr]],'data hastus'!$A:$C,3,0)</f>
        <v>Stefaan</v>
      </c>
      <c r="E580" t="str">
        <f>VLOOKUP(bron[[#This Row],[personeelsnr]],'data hastus'!A:K,11,FALSE)</f>
        <v>Steven Storm</v>
      </c>
      <c r="F580" s="10"/>
      <c r="G580" s="6">
        <v>1</v>
      </c>
      <c r="H580" s="6"/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45671</v>
      </c>
      <c r="U580" s="8" t="s">
        <v>1014</v>
      </c>
      <c r="V580" s="8">
        <v>1</v>
      </c>
      <c r="W580" s="8"/>
      <c r="X580" t="s">
        <v>3545</v>
      </c>
      <c r="Y580" t="s">
        <v>92</v>
      </c>
      <c r="Z580">
        <v>5912</v>
      </c>
      <c r="AA580" s="39" t="s">
        <v>3592</v>
      </c>
    </row>
    <row r="581" spans="1:27" hidden="1" x14ac:dyDescent="0.3">
      <c r="A581">
        <v>25679</v>
      </c>
      <c r="B581" t="str">
        <f>_xlfn.CONCAT(bron[[#This Row],[personeelsnr]]," ",bron[[#This Row],[achternaam]]," ",bron[[#This Row],[voornaam]])</f>
        <v>25679 Vanrenterghem Serge</v>
      </c>
      <c r="C581" t="str">
        <f>VLOOKUP(bron[[#This Row],[personeelsnr]],'data hastus'!$A:$C,2,0)</f>
        <v>Vanrenterghem</v>
      </c>
      <c r="D581" t="str">
        <f>VLOOKUP(bron[[#This Row],[personeelsnr]],'data hastus'!$A:$C,3,0)</f>
        <v>Serge</v>
      </c>
      <c r="E581" t="str">
        <f>VLOOKUP(bron[[#This Row],[personeelsnr]],'data hastus'!A:K,11,FALSE)</f>
        <v>Christoff Rotty</v>
      </c>
      <c r="F581" s="10"/>
      <c r="G581" s="6"/>
      <c r="H581" s="6"/>
      <c r="I581" s="6"/>
      <c r="J581">
        <v>1</v>
      </c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45756</v>
      </c>
      <c r="U581" s="8" t="s">
        <v>1131</v>
      </c>
      <c r="V581" s="8"/>
      <c r="W581" s="8">
        <v>1</v>
      </c>
      <c r="X581" t="s">
        <v>3580</v>
      </c>
      <c r="Y581" t="s">
        <v>5</v>
      </c>
      <c r="Z581">
        <v>6308</v>
      </c>
      <c r="AA581" s="39" t="s">
        <v>3592</v>
      </c>
    </row>
    <row r="582" spans="1:27" hidden="1" x14ac:dyDescent="0.3">
      <c r="A582">
        <v>25679</v>
      </c>
      <c r="B582" t="str">
        <f>_xlfn.CONCAT(bron[[#This Row],[personeelsnr]]," ",bron[[#This Row],[achternaam]]," ",bron[[#This Row],[voornaam]])</f>
        <v>25679 Vanrenterghem Serge</v>
      </c>
      <c r="C582" t="str">
        <f>VLOOKUP(bron[[#This Row],[personeelsnr]],'data hastus'!$A:$C,2,0)</f>
        <v>Vanrenterghem</v>
      </c>
      <c r="D582" t="str">
        <f>VLOOKUP(bron[[#This Row],[personeelsnr]],'data hastus'!$A:$C,3,0)</f>
        <v>Serge</v>
      </c>
      <c r="E582" t="str">
        <f>VLOOKUP(bron[[#This Row],[personeelsnr]],'data hastus'!A:K,11,FALSE)</f>
        <v>Christoff Rotty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45699</v>
      </c>
      <c r="U582" s="8" t="s">
        <v>1053</v>
      </c>
      <c r="V582" s="8">
        <v>1</v>
      </c>
      <c r="W582" s="8"/>
      <c r="X582" t="s">
        <v>3545</v>
      </c>
      <c r="Y582" t="s">
        <v>10</v>
      </c>
      <c r="Z582">
        <v>4676</v>
      </c>
      <c r="AA582" s="39" t="s">
        <v>3592</v>
      </c>
    </row>
    <row r="583" spans="1:27" hidden="1" x14ac:dyDescent="0.3">
      <c r="A583">
        <v>25733</v>
      </c>
      <c r="B583" t="str">
        <f>_xlfn.CONCAT(bron[[#This Row],[personeelsnr]]," ",bron[[#This Row],[achternaam]]," ",bron[[#This Row],[voornaam]])</f>
        <v>25733 Simsek Abdullah</v>
      </c>
      <c r="C583" t="str">
        <f>VLOOKUP(bron[[#This Row],[personeelsnr]],'data hastus'!$A:$C,2,0)</f>
        <v>Simsek</v>
      </c>
      <c r="D583" t="str">
        <f>VLOOKUP(bron[[#This Row],[personeelsnr]],'data hastus'!$A:$C,3,0)</f>
        <v>Abdullah</v>
      </c>
      <c r="E583" t="str">
        <f>VLOOKUP(bron[[#This Row],[personeelsnr]],'data hastus'!A:K,11,FALSE)</f>
        <v>Els Vanhoe</v>
      </c>
      <c r="F583" s="10"/>
      <c r="G583" s="6"/>
      <c r="H583" s="6"/>
      <c r="I583" s="6"/>
      <c r="J583">
        <v>1</v>
      </c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45759</v>
      </c>
      <c r="U583" s="8" t="s">
        <v>1135</v>
      </c>
      <c r="V583" s="8"/>
      <c r="W583" s="8">
        <v>1</v>
      </c>
      <c r="X583" t="s">
        <v>3580</v>
      </c>
      <c r="Y583" t="s">
        <v>133</v>
      </c>
      <c r="Z583">
        <v>6329</v>
      </c>
      <c r="AA583" s="39" t="s">
        <v>3592</v>
      </c>
    </row>
    <row r="584" spans="1:27" hidden="1" x14ac:dyDescent="0.3">
      <c r="A584">
        <v>25829</v>
      </c>
      <c r="B584" t="str">
        <f>_xlfn.CONCAT(bron[[#This Row],[personeelsnr]]," ",bron[[#This Row],[achternaam]]," ",bron[[#This Row],[voornaam]])</f>
        <v>25829 Kayim Akin</v>
      </c>
      <c r="C584" t="str">
        <f>VLOOKUP(bron[[#This Row],[personeelsnr]],'data hastus'!$A:$C,2,0)</f>
        <v>Kayim</v>
      </c>
      <c r="D584" t="str">
        <f>VLOOKUP(bron[[#This Row],[personeelsnr]],'data hastus'!$A:$C,3,0)</f>
        <v>Akin</v>
      </c>
      <c r="E584" t="str">
        <f>VLOOKUP(bron[[#This Row],[personeelsnr]],'data hastus'!A:K,11,FALSE)</f>
        <v>Steven Storm</v>
      </c>
      <c r="F584" s="10"/>
      <c r="G584" s="7"/>
      <c r="H584" s="7"/>
      <c r="I584" s="7"/>
      <c r="N584" s="5">
        <v>1</v>
      </c>
      <c r="S584" s="5">
        <f>SUM(bron[[#This Row],[Januari]:[December]])</f>
        <v>1</v>
      </c>
      <c r="T584" s="9">
        <v>45891</v>
      </c>
      <c r="U584" s="5" t="s">
        <v>1338</v>
      </c>
      <c r="V584" s="24"/>
      <c r="W584" s="24">
        <v>1</v>
      </c>
      <c r="X584" t="s">
        <v>8</v>
      </c>
      <c r="Y584" t="s">
        <v>967</v>
      </c>
      <c r="Z584">
        <v>6307</v>
      </c>
      <c r="AA584" s="39" t="s">
        <v>3593</v>
      </c>
    </row>
    <row r="585" spans="1:27" hidden="1" x14ac:dyDescent="0.3">
      <c r="A585">
        <v>26137</v>
      </c>
      <c r="B585" t="str">
        <f>_xlfn.CONCAT(bron[[#This Row],[personeelsnr]]," ",bron[[#This Row],[achternaam]]," ",bron[[#This Row],[voornaam]])</f>
        <v>26137 Hublau Roland</v>
      </c>
      <c r="C585" t="str">
        <f>VLOOKUP(bron[[#This Row],[personeelsnr]],'data hastus'!$A:$C,2,0)</f>
        <v>Hublau</v>
      </c>
      <c r="D585" t="str">
        <f>VLOOKUP(bron[[#This Row],[personeelsnr]],'data hastus'!$A:$C,3,0)</f>
        <v>Roland</v>
      </c>
      <c r="E585" t="str">
        <f>VLOOKUP(bron[[#This Row],[personeelsnr]],'data hastus'!A:K,11,FALSE)</f>
        <v>Steven Storm</v>
      </c>
      <c r="F585" s="10"/>
      <c r="G585" s="7"/>
      <c r="H585" s="7"/>
      <c r="I585" s="7">
        <v>1</v>
      </c>
      <c r="S585" s="5">
        <f>SUM(bron[[#This Row],[Januari]:[December]])</f>
        <v>1</v>
      </c>
      <c r="T585" s="9">
        <v>45719</v>
      </c>
      <c r="U585" s="8" t="s">
        <v>1087</v>
      </c>
      <c r="V585" s="8"/>
      <c r="W585" s="8">
        <v>1</v>
      </c>
      <c r="X585" t="s">
        <v>3581</v>
      </c>
      <c r="Y585" t="s">
        <v>10</v>
      </c>
      <c r="Z585">
        <v>6375</v>
      </c>
      <c r="AA585" s="39" t="s">
        <v>3592</v>
      </c>
    </row>
    <row r="586" spans="1:27" hidden="1" x14ac:dyDescent="0.3">
      <c r="A586">
        <v>26199</v>
      </c>
      <c r="B586" t="str">
        <f>_xlfn.CONCAT(bron[[#This Row],[personeelsnr]]," ",bron[[#This Row],[achternaam]]," ",bron[[#This Row],[voornaam]])</f>
        <v>26199 Wauters Franky</v>
      </c>
      <c r="C586" t="str">
        <f>VLOOKUP(bron[[#This Row],[personeelsnr]],'data hastus'!$A:$C,2,0)</f>
        <v>Wauters</v>
      </c>
      <c r="D586" t="str">
        <f>VLOOKUP(bron[[#This Row],[personeelsnr]],'data hastus'!$A:$C,3,0)</f>
        <v>Franky</v>
      </c>
      <c r="E586" t="str">
        <f>VLOOKUP(bron[[#This Row],[personeelsnr]],'data hastus'!A:K,11,FALSE)</f>
        <v>Els Vanhoe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1062</v>
      </c>
      <c r="V586" s="8"/>
      <c r="W586" s="8">
        <v>1</v>
      </c>
      <c r="X586" t="s">
        <v>3581</v>
      </c>
      <c r="Y586" t="s">
        <v>163</v>
      </c>
      <c r="Z586">
        <v>6364</v>
      </c>
      <c r="AA586" s="39" t="s">
        <v>3592</v>
      </c>
    </row>
    <row r="587" spans="1:27" hidden="1" x14ac:dyDescent="0.3">
      <c r="A587">
        <v>26331</v>
      </c>
      <c r="B587" t="str">
        <f>_xlfn.CONCAT(bron[[#This Row],[personeelsnr]]," ",bron[[#This Row],[achternaam]]," ",bron[[#This Row],[voornaam]])</f>
        <v>26331 Van Semmertier Pascal</v>
      </c>
      <c r="C587" t="str">
        <f>VLOOKUP(bron[[#This Row],[personeelsnr]],'data hastus'!$A:$C,2,0)</f>
        <v>Van Semmertier</v>
      </c>
      <c r="D587" t="str">
        <f>VLOOKUP(bron[[#This Row],[personeelsnr]],'data hastus'!$A:$C,3,0)</f>
        <v>Pascal</v>
      </c>
      <c r="E587" t="str">
        <f>VLOOKUP(bron[[#This Row],[personeelsnr]],'data hastus'!A:K,11,FALSE)</f>
        <v>Bart Van Der Beken</v>
      </c>
      <c r="F587" s="10"/>
      <c r="G587" s="7"/>
      <c r="H587" s="7"/>
      <c r="I587" s="7"/>
      <c r="M587" s="5">
        <v>1</v>
      </c>
      <c r="S587" s="5">
        <f>SUM(bron[[#This Row],[Januari]:[December]])</f>
        <v>1</v>
      </c>
      <c r="T587" s="9">
        <v>45857</v>
      </c>
      <c r="U587" s="8" t="s">
        <v>1249</v>
      </c>
      <c r="V587" s="24">
        <v>1</v>
      </c>
      <c r="W587" s="24"/>
      <c r="X587" t="s">
        <v>3546</v>
      </c>
      <c r="Y587" t="s">
        <v>251</v>
      </c>
      <c r="Z587">
        <v>5266</v>
      </c>
      <c r="AA587" s="39" t="s">
        <v>3592</v>
      </c>
    </row>
    <row r="588" spans="1:27" hidden="1" x14ac:dyDescent="0.3">
      <c r="A588">
        <v>26695</v>
      </c>
      <c r="B588" t="str">
        <f>_xlfn.CONCAT(bron[[#This Row],[personeelsnr]]," ",bron[[#This Row],[achternaam]]," ",bron[[#This Row],[voornaam]])</f>
        <v>26695 Lippens Miguel</v>
      </c>
      <c r="C588" t="str">
        <f>VLOOKUP(bron[[#This Row],[personeelsnr]],'data hastus'!$A:$C,2,0)</f>
        <v>Lippens</v>
      </c>
      <c r="D588" t="str">
        <f>VLOOKUP(bron[[#This Row],[personeelsnr]],'data hastus'!$A:$C,3,0)</f>
        <v>Miguel</v>
      </c>
      <c r="E588" t="str">
        <f>VLOOKUP(bron[[#This Row],[personeelsnr]],'data hastus'!A:K,11,FALSE)</f>
        <v>Christoff Rotty</v>
      </c>
      <c r="F588" s="10"/>
      <c r="G588" s="7"/>
      <c r="H588" s="7"/>
      <c r="I588" s="7"/>
      <c r="L588" s="5">
        <v>1</v>
      </c>
      <c r="S588" s="5">
        <f>SUM(bron[[#This Row],[Januari]:[December]])</f>
        <v>1</v>
      </c>
      <c r="T588" s="9">
        <v>45821</v>
      </c>
      <c r="U588" s="8" t="s">
        <v>1204</v>
      </c>
      <c r="V588" s="24">
        <v>1</v>
      </c>
      <c r="W588" s="24"/>
      <c r="X588" t="s">
        <v>3545</v>
      </c>
      <c r="Y588" t="s">
        <v>94</v>
      </c>
      <c r="Z588">
        <v>5489</v>
      </c>
      <c r="AA588" s="39" t="s">
        <v>3593</v>
      </c>
    </row>
    <row r="589" spans="1:27" hidden="1" x14ac:dyDescent="0.3">
      <c r="A589">
        <v>26847</v>
      </c>
      <c r="B589" t="str">
        <f>_xlfn.CONCAT(bron[[#This Row],[personeelsnr]]," ",bron[[#This Row],[achternaam]]," ",bron[[#This Row],[voornaam]])</f>
        <v>26847 De Meester David</v>
      </c>
      <c r="C589" t="str">
        <f>VLOOKUP(bron[[#This Row],[personeelsnr]],'data hastus'!$A:$C,2,0)</f>
        <v>De Meester</v>
      </c>
      <c r="D589" t="str">
        <f>VLOOKUP(bron[[#This Row],[personeelsnr]],'data hastus'!$A:$C,3,0)</f>
        <v>David</v>
      </c>
      <c r="E589" t="str">
        <f>VLOOKUP(bron[[#This Row],[personeelsnr]],'data hastus'!A:K,11,FALSE)</f>
        <v>Bart Van Der Beken</v>
      </c>
      <c r="F589" s="10"/>
      <c r="G589" s="7"/>
      <c r="H589" s="7"/>
      <c r="I589" s="7"/>
      <c r="L589" s="5">
        <v>1</v>
      </c>
      <c r="S589" s="5">
        <f>SUM(bron[[#This Row],[Januari]:[December]])</f>
        <v>1</v>
      </c>
      <c r="T589" s="9">
        <v>45828</v>
      </c>
      <c r="U589" s="8" t="s">
        <v>1206</v>
      </c>
      <c r="V589" s="24"/>
      <c r="W589" s="24">
        <v>1</v>
      </c>
      <c r="X589" t="s">
        <v>3580</v>
      </c>
      <c r="Y589" t="s">
        <v>10</v>
      </c>
      <c r="Z589">
        <v>6361</v>
      </c>
      <c r="AA589" s="39" t="s">
        <v>3592</v>
      </c>
    </row>
    <row r="590" spans="1:27" hidden="1" x14ac:dyDescent="0.3">
      <c r="A590">
        <v>26960</v>
      </c>
      <c r="B590" t="str">
        <f>_xlfn.CONCAT(bron[[#This Row],[personeelsnr]]," ",bron[[#This Row],[achternaam]]," ",bron[[#This Row],[voornaam]])</f>
        <v>26960 Toubadie Mossa</v>
      </c>
      <c r="C590" t="str">
        <f>VLOOKUP(bron[[#This Row],[personeelsnr]],'data hastus'!$A:$C,2,0)</f>
        <v>Toubadie</v>
      </c>
      <c r="D590" t="str">
        <f>VLOOKUP(bron[[#This Row],[personeelsnr]],'data hastus'!$A:$C,3,0)</f>
        <v>Mossa</v>
      </c>
      <c r="E590" t="str">
        <f>VLOOKUP(bron[[#This Row],[personeelsnr]],'data hastus'!A:K,11,FALSE)</f>
        <v>Els Vanhoe</v>
      </c>
      <c r="F590" s="10"/>
      <c r="G590" s="7"/>
      <c r="H590" s="7"/>
      <c r="I590" s="7"/>
      <c r="K590" s="5">
        <v>1</v>
      </c>
      <c r="S590" s="5">
        <f>SUM(bron[[#This Row],[Januari]:[December]])</f>
        <v>1</v>
      </c>
      <c r="T590" s="23">
        <v>45798</v>
      </c>
      <c r="U590" s="8" t="s">
        <v>1316</v>
      </c>
      <c r="V590" s="8">
        <v>1</v>
      </c>
      <c r="W590" s="8"/>
      <c r="X590" t="s">
        <v>7</v>
      </c>
      <c r="Y590" t="s">
        <v>131</v>
      </c>
      <c r="Z590">
        <v>5935</v>
      </c>
      <c r="AA590" s="39" t="s">
        <v>3593</v>
      </c>
    </row>
    <row r="591" spans="1:27" hidden="1" x14ac:dyDescent="0.3">
      <c r="A591">
        <v>26960</v>
      </c>
      <c r="B591" t="str">
        <f>_xlfn.CONCAT(bron[[#This Row],[personeelsnr]]," ",bron[[#This Row],[achternaam]]," ",bron[[#This Row],[voornaam]])</f>
        <v>26960 Toubadie Mossa</v>
      </c>
      <c r="C591" t="str">
        <f>VLOOKUP(bron[[#This Row],[personeelsnr]],'data hastus'!$A:$C,2,0)</f>
        <v>Toubadie</v>
      </c>
      <c r="D591" t="str">
        <f>VLOOKUP(bron[[#This Row],[personeelsnr]],'data hastus'!$A:$C,3,0)</f>
        <v>Mossa</v>
      </c>
      <c r="E591" t="str">
        <f>VLOOKUP(bron[[#This Row],[personeelsnr]],'data hastus'!A:K,11,FALSE)</f>
        <v>Els Vanhoe</v>
      </c>
      <c r="F591" s="10"/>
      <c r="G591" s="6"/>
      <c r="H591" s="6"/>
      <c r="I591" s="6">
        <v>1</v>
      </c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45722</v>
      </c>
      <c r="U591" s="8" t="s">
        <v>1093</v>
      </c>
      <c r="V591" s="8">
        <v>1</v>
      </c>
      <c r="W591" s="8"/>
      <c r="X591" t="s">
        <v>3545</v>
      </c>
      <c r="Y591" t="s">
        <v>63</v>
      </c>
      <c r="Z591">
        <v>5916</v>
      </c>
      <c r="AA591" s="39" t="s">
        <v>3592</v>
      </c>
    </row>
    <row r="592" spans="1:27" hidden="1" x14ac:dyDescent="0.3">
      <c r="A592">
        <v>27672</v>
      </c>
      <c r="B592" t="str">
        <f>_xlfn.CONCAT(bron[[#This Row],[personeelsnr]]," ",bron[[#This Row],[achternaam]]," ",bron[[#This Row],[voornaam]])</f>
        <v>27672 Criel Veronique</v>
      </c>
      <c r="C592" t="str">
        <f>VLOOKUP(bron[[#This Row],[personeelsnr]],'data hastus'!$A:$C,2,0)</f>
        <v>Criel</v>
      </c>
      <c r="D592" t="str">
        <f>VLOOKUP(bron[[#This Row],[personeelsnr]],'data hastus'!$A:$C,3,0)</f>
        <v>Veronique</v>
      </c>
      <c r="E592" t="str">
        <f>VLOOKUP(bron[[#This Row],[personeelsnr]],'data hastus'!A:K,11,FALSE)</f>
        <v>Steven Storm</v>
      </c>
      <c r="F592" s="10"/>
      <c r="G592" s="6"/>
      <c r="H592" s="6"/>
      <c r="I592" s="6"/>
      <c r="J592"/>
      <c r="K592">
        <v>1</v>
      </c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45787</v>
      </c>
      <c r="U592" s="8" t="s">
        <v>1169</v>
      </c>
      <c r="V592" s="8"/>
      <c r="W592" s="8">
        <v>1</v>
      </c>
      <c r="X592" t="s">
        <v>3580</v>
      </c>
      <c r="Y592" t="s">
        <v>72</v>
      </c>
      <c r="Z592">
        <v>6311</v>
      </c>
      <c r="AA592" s="39" t="s">
        <v>3592</v>
      </c>
    </row>
    <row r="593" spans="1:27" hidden="1" x14ac:dyDescent="0.3">
      <c r="A593">
        <v>28737</v>
      </c>
      <c r="B593" t="str">
        <f>_xlfn.CONCAT(bron[[#This Row],[personeelsnr]]," ",bron[[#This Row],[achternaam]]," ",bron[[#This Row],[voornaam]])</f>
        <v>28737 El-Mohamed Mohamed</v>
      </c>
      <c r="C593" t="str">
        <f>VLOOKUP(bron[[#This Row],[personeelsnr]],'data hastus'!$A:$C,2,0)</f>
        <v>El-Mohamed</v>
      </c>
      <c r="D593" t="str">
        <f>VLOOKUP(bron[[#This Row],[personeelsnr]],'data hastus'!$A:$C,3,0)</f>
        <v>Mohamed</v>
      </c>
      <c r="E593" t="str">
        <f>VLOOKUP(bron[[#This Row],[personeelsnr]],'data hastus'!A:K,11,FALSE)</f>
        <v>Lucie Vande Velde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45715</v>
      </c>
      <c r="U593" s="8" t="s">
        <v>1327</v>
      </c>
      <c r="V593" s="8"/>
      <c r="W593" s="8">
        <v>1</v>
      </c>
      <c r="X593" t="s">
        <v>8</v>
      </c>
      <c r="Y593" t="s">
        <v>668</v>
      </c>
      <c r="Z593">
        <v>6320</v>
      </c>
      <c r="AA593" s="39" t="s">
        <v>3593</v>
      </c>
    </row>
    <row r="594" spans="1:27" hidden="1" x14ac:dyDescent="0.3">
      <c r="A594">
        <v>28737</v>
      </c>
      <c r="B594" t="str">
        <f>_xlfn.CONCAT(bron[[#This Row],[personeelsnr]]," ",bron[[#This Row],[achternaam]]," ",bron[[#This Row],[voornaam]])</f>
        <v>28737 El-Mohamed Mohamed</v>
      </c>
      <c r="C594" t="str">
        <f>VLOOKUP(bron[[#This Row],[personeelsnr]],'data hastus'!$A:$C,2,0)</f>
        <v>El-Mohamed</v>
      </c>
      <c r="D594" t="str">
        <f>VLOOKUP(bron[[#This Row],[personeelsnr]],'data hastus'!$A:$C,3,0)</f>
        <v>Mohamed</v>
      </c>
      <c r="E594" t="str">
        <f>VLOOKUP(bron[[#This Row],[personeelsnr]],'data hastus'!A:K,11,FALSE)</f>
        <v>Lucie Vande Velde</v>
      </c>
      <c r="F594" s="10"/>
      <c r="G594" s="7"/>
      <c r="H594" s="7"/>
      <c r="I594" s="7"/>
      <c r="M594" s="5">
        <v>1</v>
      </c>
      <c r="S594" s="5">
        <f>SUM(bron[[#This Row],[Januari]:[December]])</f>
        <v>1</v>
      </c>
      <c r="T594" s="9">
        <v>45842</v>
      </c>
      <c r="U594" s="8" t="s">
        <v>1226</v>
      </c>
      <c r="V594" s="24">
        <v>1</v>
      </c>
      <c r="W594" s="24"/>
      <c r="X594" t="s">
        <v>3544</v>
      </c>
      <c r="Y594" t="s">
        <v>537</v>
      </c>
      <c r="Z594">
        <v>5046</v>
      </c>
      <c r="AA594" s="39" t="s">
        <v>3592</v>
      </c>
    </row>
    <row r="595" spans="1:27" hidden="1" x14ac:dyDescent="0.3">
      <c r="A595">
        <v>28737</v>
      </c>
      <c r="B595" t="str">
        <f>_xlfn.CONCAT(bron[[#This Row],[personeelsnr]]," ",bron[[#This Row],[achternaam]]," ",bron[[#This Row],[voornaam]])</f>
        <v>28737 El-Mohamed Mohamed</v>
      </c>
      <c r="C595" t="str">
        <f>VLOOKUP(bron[[#This Row],[personeelsnr]],'data hastus'!$A:$C,2,0)</f>
        <v>El-Mohamed</v>
      </c>
      <c r="D595" t="str">
        <f>VLOOKUP(bron[[#This Row],[personeelsnr]],'data hastus'!$A:$C,3,0)</f>
        <v>Mohamed</v>
      </c>
      <c r="E595" t="str">
        <f>VLOOKUP(bron[[#This Row],[personeelsnr]],'data hastus'!A:K,11,FALSE)</f>
        <v>Lucie Vande Velde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45698</v>
      </c>
      <c r="U595" s="8" t="s">
        <v>1052</v>
      </c>
      <c r="V595" s="8"/>
      <c r="W595" s="8">
        <v>1</v>
      </c>
      <c r="X595" t="s">
        <v>3581</v>
      </c>
      <c r="Y595" t="s">
        <v>221</v>
      </c>
      <c r="Z595">
        <v>6369</v>
      </c>
      <c r="AA595" s="39" t="s">
        <v>3592</v>
      </c>
    </row>
    <row r="596" spans="1:27" hidden="1" x14ac:dyDescent="0.3">
      <c r="A596">
        <v>28910</v>
      </c>
      <c r="B596" t="str">
        <f>_xlfn.CONCAT(bron[[#This Row],[personeelsnr]]," ",bron[[#This Row],[achternaam]]," ",bron[[#This Row],[voornaam]])</f>
        <v>28910 Gassa Osmane</v>
      </c>
      <c r="C596" t="str">
        <f>VLOOKUP(bron[[#This Row],[personeelsnr]],'data hastus'!$A:$C,2,0)</f>
        <v>Gassa</v>
      </c>
      <c r="D596" t="str">
        <f>VLOOKUP(bron[[#This Row],[personeelsnr]],'data hastus'!$A:$C,3,0)</f>
        <v>Osmane</v>
      </c>
      <c r="E596" t="str">
        <f>VLOOKUP(bron[[#This Row],[personeelsnr]],'data hastus'!A:K,11,FALSE)</f>
        <v>Bart Van Der Beken</v>
      </c>
      <c r="F596" s="10"/>
      <c r="G596" s="6"/>
      <c r="H596" s="6"/>
      <c r="I596" s="6">
        <v>1</v>
      </c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45725</v>
      </c>
      <c r="U596" s="8" t="s">
        <v>1096</v>
      </c>
      <c r="V596" s="8">
        <v>1</v>
      </c>
      <c r="W596" s="8"/>
      <c r="X596" t="s">
        <v>3544</v>
      </c>
      <c r="Y596" t="s">
        <v>151</v>
      </c>
      <c r="Z596">
        <v>5040</v>
      </c>
      <c r="AA596" s="39" t="s">
        <v>3592</v>
      </c>
    </row>
    <row r="597" spans="1:27" hidden="1" x14ac:dyDescent="0.3">
      <c r="A597">
        <v>29646</v>
      </c>
      <c r="B597" t="str">
        <f>_xlfn.CONCAT(bron[[#This Row],[personeelsnr]]," ",bron[[#This Row],[achternaam]]," ",bron[[#This Row],[voornaam]])</f>
        <v>29646 Özer Mesut</v>
      </c>
      <c r="C597" t="str">
        <f>VLOOKUP(bron[[#This Row],[personeelsnr]],'data hastus'!$A:$C,2,0)</f>
        <v>Özer</v>
      </c>
      <c r="D597" t="str">
        <f>VLOOKUP(bron[[#This Row],[personeelsnr]],'data hastus'!$A:$C,3,0)</f>
        <v>Mesut</v>
      </c>
      <c r="E597" t="str">
        <f>VLOOKUP(bron[[#This Row],[personeelsnr]],'data hastus'!A:K,11,FALSE)</f>
        <v>Dominique De Clercq</v>
      </c>
      <c r="F597" s="10"/>
      <c r="G597" s="7"/>
      <c r="H597" s="7"/>
      <c r="I597" s="7"/>
      <c r="L597" s="5">
        <v>1</v>
      </c>
      <c r="S597" s="5">
        <f>SUM(bron[[#This Row],[Januari]:[December]])</f>
        <v>1</v>
      </c>
      <c r="T597" s="9">
        <v>45836</v>
      </c>
      <c r="U597" s="8" t="s">
        <v>1306</v>
      </c>
      <c r="V597" s="24">
        <v>1</v>
      </c>
      <c r="W597" s="24"/>
      <c r="X597" t="s">
        <v>7</v>
      </c>
      <c r="Y597" t="s">
        <v>1307</v>
      </c>
      <c r="Z597">
        <v>5912</v>
      </c>
      <c r="AA597" s="39" t="s">
        <v>3593</v>
      </c>
    </row>
    <row r="598" spans="1:27" hidden="1" x14ac:dyDescent="0.3">
      <c r="A598">
        <v>29674</v>
      </c>
      <c r="B598" t="str">
        <f>_xlfn.CONCAT(bron[[#This Row],[personeelsnr]]," ",bron[[#This Row],[achternaam]]," ",bron[[#This Row],[voornaam]])</f>
        <v>29674 Martens Geoffrey</v>
      </c>
      <c r="C598" t="str">
        <f>VLOOKUP(bron[[#This Row],[personeelsnr]],'data hastus'!$A:$C,2,0)</f>
        <v>Martens</v>
      </c>
      <c r="D598" t="str">
        <f>VLOOKUP(bron[[#This Row],[personeelsnr]],'data hastus'!$A:$C,3,0)</f>
        <v>Geoffrey</v>
      </c>
      <c r="E598" t="str">
        <f>VLOOKUP(bron[[#This Row],[personeelsnr]],'data hastus'!A:K,11,FALSE)</f>
        <v>Dominique De Clercq</v>
      </c>
      <c r="F598" s="10"/>
      <c r="G598" s="6"/>
      <c r="H598" s="6"/>
      <c r="I598" s="6">
        <v>1</v>
      </c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45722</v>
      </c>
      <c r="U598" s="8" t="s">
        <v>1092</v>
      </c>
      <c r="V598" s="8"/>
      <c r="W598" s="8">
        <v>1</v>
      </c>
      <c r="X598" t="s">
        <v>3580</v>
      </c>
      <c r="Y598" t="s">
        <v>5</v>
      </c>
      <c r="Z598">
        <v>6313</v>
      </c>
      <c r="AA598" s="39" t="s">
        <v>3592</v>
      </c>
    </row>
    <row r="599" spans="1:27" hidden="1" x14ac:dyDescent="0.3">
      <c r="A599">
        <v>29746</v>
      </c>
      <c r="B599" t="str">
        <f>_xlfn.CONCAT(bron[[#This Row],[personeelsnr]]," ",bron[[#This Row],[achternaam]]," ",bron[[#This Row],[voornaam]])</f>
        <v>29746 Huyse Annicke</v>
      </c>
      <c r="C599" t="str">
        <f>VLOOKUP(bron[[#This Row],[personeelsnr]],'data hastus'!$A:$C,2,0)</f>
        <v>Huyse</v>
      </c>
      <c r="D599" t="str">
        <f>VLOOKUP(bron[[#This Row],[personeelsnr]],'data hastus'!$A:$C,3,0)</f>
        <v>Annicke</v>
      </c>
      <c r="E599" t="str">
        <f>VLOOKUP(bron[[#This Row],[personeelsnr]],'data hastus'!A:K,11,FALSE)</f>
        <v>Bart Van Der Beken</v>
      </c>
      <c r="F599" s="10"/>
      <c r="G599" s="7"/>
      <c r="H599" s="7"/>
      <c r="I599" s="7"/>
      <c r="L599" s="5">
        <v>1</v>
      </c>
      <c r="S599" s="5">
        <f>SUM(bron[[#This Row],[Januari]:[December]])</f>
        <v>1</v>
      </c>
      <c r="T599" s="9">
        <v>45831</v>
      </c>
      <c r="U599" s="8" t="s">
        <v>1295</v>
      </c>
      <c r="V599" s="24"/>
      <c r="W599" s="24">
        <v>1</v>
      </c>
      <c r="X599" t="s">
        <v>8</v>
      </c>
      <c r="Y599" t="s">
        <v>739</v>
      </c>
      <c r="Z599">
        <v>6368</v>
      </c>
      <c r="AA599" s="39" t="s">
        <v>3593</v>
      </c>
    </row>
    <row r="600" spans="1:27" hidden="1" x14ac:dyDescent="0.3">
      <c r="A600">
        <v>29746</v>
      </c>
      <c r="B600" t="str">
        <f>_xlfn.CONCAT(bron[[#This Row],[personeelsnr]]," ",bron[[#This Row],[achternaam]]," ",bron[[#This Row],[voornaam]])</f>
        <v>29746 Huyse Annicke</v>
      </c>
      <c r="C600" t="str">
        <f>VLOOKUP(bron[[#This Row],[personeelsnr]],'data hastus'!$A:$C,2,0)</f>
        <v>Huyse</v>
      </c>
      <c r="D600" t="str">
        <f>VLOOKUP(bron[[#This Row],[personeelsnr]],'data hastus'!$A:$C,3,0)</f>
        <v>Annicke</v>
      </c>
      <c r="E600" t="str">
        <f>VLOOKUP(bron[[#This Row],[personeelsnr]],'data hastus'!A:K,11,FALSE)</f>
        <v>Bart Van Der Beken</v>
      </c>
      <c r="F600" s="10"/>
      <c r="G600" s="7"/>
      <c r="H600" s="7"/>
      <c r="I600" s="7"/>
      <c r="K600" s="5">
        <v>1</v>
      </c>
      <c r="S600" s="5">
        <f>SUM(bron[[#This Row],[Januari]:[December]])</f>
        <v>1</v>
      </c>
      <c r="T600" s="9">
        <v>45791</v>
      </c>
      <c r="U600" s="8" t="s">
        <v>1172</v>
      </c>
      <c r="V600" s="8">
        <v>1</v>
      </c>
      <c r="W600" s="8"/>
      <c r="X600" t="s">
        <v>3544</v>
      </c>
      <c r="Y600" t="s">
        <v>13</v>
      </c>
      <c r="Z600">
        <v>5231</v>
      </c>
      <c r="AA600" s="39" t="s">
        <v>3592</v>
      </c>
    </row>
    <row r="601" spans="1:27" hidden="1" x14ac:dyDescent="0.3">
      <c r="A601">
        <v>30119</v>
      </c>
      <c r="B601" t="str">
        <f>_xlfn.CONCAT(bron[[#This Row],[personeelsnr]]," ",bron[[#This Row],[achternaam]]," ",bron[[#This Row],[voornaam]])</f>
        <v>30119 Haerens Tom</v>
      </c>
      <c r="C601" t="str">
        <f>VLOOKUP(bron[[#This Row],[personeelsnr]],'data hastus'!$A:$C,2,0)</f>
        <v>Haerens</v>
      </c>
      <c r="D601" t="str">
        <f>VLOOKUP(bron[[#This Row],[personeelsnr]],'data hastus'!$A:$C,3,0)</f>
        <v>Tom</v>
      </c>
      <c r="E601" t="str">
        <f>VLOOKUP(bron[[#This Row],[personeelsnr]],'data hastus'!A:K,11,FALSE)</f>
        <v>Dominique De Clercq</v>
      </c>
      <c r="F601" s="10"/>
      <c r="G601" s="7"/>
      <c r="H601" s="7"/>
      <c r="I601" s="7"/>
      <c r="L601" s="5">
        <v>1</v>
      </c>
      <c r="S601" s="5">
        <f>SUM(bron[[#This Row],[Januari]:[December]])</f>
        <v>1</v>
      </c>
      <c r="T601" s="9">
        <v>45813</v>
      </c>
      <c r="U601" s="8" t="s">
        <v>1309</v>
      </c>
      <c r="V601" s="24"/>
      <c r="W601" s="24">
        <v>1</v>
      </c>
      <c r="X601" t="s">
        <v>8</v>
      </c>
      <c r="Y601" t="s">
        <v>31</v>
      </c>
      <c r="Z601">
        <v>6323</v>
      </c>
      <c r="AA601" s="39" t="s">
        <v>3593</v>
      </c>
    </row>
    <row r="602" spans="1:27" hidden="1" x14ac:dyDescent="0.3">
      <c r="A602">
        <v>30121</v>
      </c>
      <c r="B602" t="str">
        <f>_xlfn.CONCAT(bron[[#This Row],[personeelsnr]]," ",bron[[#This Row],[achternaam]]," ",bron[[#This Row],[voornaam]])</f>
        <v>30121 Simons Andreas</v>
      </c>
      <c r="C602" t="str">
        <f>VLOOKUP(bron[[#This Row],[personeelsnr]],'data hastus'!$A:$C,2,0)</f>
        <v>Simons</v>
      </c>
      <c r="D602" t="str">
        <f>VLOOKUP(bron[[#This Row],[personeelsnr]],'data hastus'!$A:$C,3,0)</f>
        <v>Andreas</v>
      </c>
      <c r="E602" t="str">
        <f>VLOOKUP(bron[[#This Row],[personeelsnr]],'data hastus'!A:K,11,FALSE)</f>
        <v>Christoff Rotty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45712</v>
      </c>
      <c r="U602" s="8" t="s">
        <v>1079</v>
      </c>
      <c r="V602" s="8">
        <v>1</v>
      </c>
      <c r="W602" s="8"/>
      <c r="X602" t="s">
        <v>3544</v>
      </c>
      <c r="Y602" t="s">
        <v>189</v>
      </c>
      <c r="Z602">
        <v>2206</v>
      </c>
      <c r="AA602" s="39" t="s">
        <v>3592</v>
      </c>
    </row>
    <row r="603" spans="1:27" hidden="1" x14ac:dyDescent="0.3">
      <c r="A603">
        <v>30271</v>
      </c>
      <c r="B603" t="str">
        <f>_xlfn.CONCAT(bron[[#This Row],[personeelsnr]]," ",bron[[#This Row],[achternaam]]," ",bron[[#This Row],[voornaam]])</f>
        <v>30271 Bracke Jeroen</v>
      </c>
      <c r="C603" t="str">
        <f>VLOOKUP(bron[[#This Row],[personeelsnr]],'data hastus'!$A:$C,2,0)</f>
        <v>Bracke</v>
      </c>
      <c r="D603" t="str">
        <f>VLOOKUP(bron[[#This Row],[personeelsnr]],'data hastus'!$A:$C,3,0)</f>
        <v>Jeroen</v>
      </c>
      <c r="E603" t="str">
        <f>VLOOKUP(bron[[#This Row],[personeelsnr]],'data hastus'!A:K,11,FALSE)</f>
        <v>Els Dewulf</v>
      </c>
      <c r="F603" s="10"/>
      <c r="G603" s="7"/>
      <c r="H603" s="7"/>
      <c r="I603" s="7"/>
      <c r="M603" s="5">
        <v>1</v>
      </c>
      <c r="S603" s="5">
        <f>SUM(bron[[#This Row],[Januari]:[December]])</f>
        <v>1</v>
      </c>
      <c r="T603" s="9">
        <v>45854</v>
      </c>
      <c r="U603" s="8" t="s">
        <v>1248</v>
      </c>
      <c r="V603" s="24">
        <v>1</v>
      </c>
      <c r="W603" s="24"/>
      <c r="X603" t="s">
        <v>3544</v>
      </c>
      <c r="Y603" t="s">
        <v>10</v>
      </c>
      <c r="Z603">
        <v>2807</v>
      </c>
      <c r="AA603" s="39" t="s">
        <v>3592</v>
      </c>
    </row>
    <row r="604" spans="1:27" hidden="1" x14ac:dyDescent="0.3">
      <c r="A604">
        <v>30967</v>
      </c>
      <c r="B604" t="str">
        <f>_xlfn.CONCAT(bron[[#This Row],[personeelsnr]]," ",bron[[#This Row],[achternaam]]," ",bron[[#This Row],[voornaam]])</f>
        <v>30967 Taser Fatih</v>
      </c>
      <c r="C604" t="str">
        <f>VLOOKUP(bron[[#This Row],[personeelsnr]],'data hastus'!$A:$C,2,0)</f>
        <v>Taser</v>
      </c>
      <c r="D604" t="str">
        <f>VLOOKUP(bron[[#This Row],[personeelsnr]],'data hastus'!$A:$C,3,0)</f>
        <v>Fatih</v>
      </c>
      <c r="E604" t="str">
        <f>VLOOKUP(bron[[#This Row],[personeelsnr]],'data hastus'!A:K,11,FALSE)</f>
        <v>Dominique De Clercq</v>
      </c>
      <c r="F604" s="10"/>
      <c r="G604" s="7"/>
      <c r="H604" s="7"/>
      <c r="I604" s="7"/>
      <c r="K604" s="12">
        <v>1</v>
      </c>
      <c r="S604" s="5">
        <f>SUM(bron[[#This Row],[Januari]:[December]])</f>
        <v>1</v>
      </c>
      <c r="T604" s="9">
        <v>45778</v>
      </c>
      <c r="U604" s="8" t="s">
        <v>1160</v>
      </c>
      <c r="V604" s="8">
        <v>1</v>
      </c>
      <c r="W604" s="8"/>
      <c r="X604" t="s">
        <v>3544</v>
      </c>
      <c r="Y604" t="s">
        <v>19</v>
      </c>
      <c r="Z604">
        <v>2205</v>
      </c>
      <c r="AA604" s="39" t="s">
        <v>3592</v>
      </c>
    </row>
    <row r="605" spans="1:27" hidden="1" x14ac:dyDescent="0.3">
      <c r="A605">
        <v>30967</v>
      </c>
      <c r="B605" t="str">
        <f>_xlfn.CONCAT(bron[[#This Row],[personeelsnr]]," ",bron[[#This Row],[achternaam]]," ",bron[[#This Row],[voornaam]])</f>
        <v>30967 Taser Fatih</v>
      </c>
      <c r="C605" t="str">
        <f>VLOOKUP(bron[[#This Row],[personeelsnr]],'data hastus'!$A:$C,2,0)</f>
        <v>Taser</v>
      </c>
      <c r="D605" t="str">
        <f>VLOOKUP(bron[[#This Row],[personeelsnr]],'data hastus'!$A:$C,3,0)</f>
        <v>Fatih</v>
      </c>
      <c r="E605" t="str">
        <f>VLOOKUP(bron[[#This Row],[personeelsnr]],'data hastus'!A:K,11,FALSE)</f>
        <v>Dominique De Clercq</v>
      </c>
      <c r="F605" s="10"/>
      <c r="G605" s="6">
        <v>1</v>
      </c>
      <c r="H605" s="6"/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45672</v>
      </c>
      <c r="U605" s="8" t="s">
        <v>1017</v>
      </c>
      <c r="V605" s="8"/>
      <c r="W605" s="8">
        <v>1</v>
      </c>
      <c r="X605" t="s">
        <v>3580</v>
      </c>
      <c r="Y605" t="s">
        <v>63</v>
      </c>
      <c r="Z605">
        <v>6334</v>
      </c>
      <c r="AA605" s="39" t="s">
        <v>3592</v>
      </c>
    </row>
    <row r="606" spans="1:27" hidden="1" x14ac:dyDescent="0.3">
      <c r="A606">
        <v>31118</v>
      </c>
      <c r="B606" t="str">
        <f>_xlfn.CONCAT(bron[[#This Row],[personeelsnr]]," ",bron[[#This Row],[achternaam]]," ",bron[[#This Row],[voornaam]])</f>
        <v>31118 De Sutter Michiel</v>
      </c>
      <c r="C606" t="str">
        <f>VLOOKUP(bron[[#This Row],[personeelsnr]],'data hastus'!$A:$C,2,0)</f>
        <v>De Sutter</v>
      </c>
      <c r="D606" t="str">
        <f>VLOOKUP(bron[[#This Row],[personeelsnr]],'data hastus'!$A:$C,3,0)</f>
        <v>Michiel</v>
      </c>
      <c r="E606" t="str">
        <f>VLOOKUP(bron[[#This Row],[personeelsnr]],'data hastus'!A:K,11,FALSE)</f>
        <v>Els Dewulf</v>
      </c>
      <c r="F606" s="10"/>
      <c r="G606" s="6"/>
      <c r="H606" s="6"/>
      <c r="I606" s="6">
        <v>1</v>
      </c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45743</v>
      </c>
      <c r="U606" s="8" t="s">
        <v>1117</v>
      </c>
      <c r="V606" s="8">
        <v>1</v>
      </c>
      <c r="W606" s="8"/>
      <c r="X606" t="s">
        <v>3545</v>
      </c>
      <c r="Y606" t="s">
        <v>514</v>
      </c>
      <c r="Z606">
        <v>5922</v>
      </c>
      <c r="AA606" s="39" t="s">
        <v>3592</v>
      </c>
    </row>
    <row r="607" spans="1:27" hidden="1" x14ac:dyDescent="0.3">
      <c r="A607">
        <v>31150</v>
      </c>
      <c r="B607" t="str">
        <f>_xlfn.CONCAT(bron[[#This Row],[personeelsnr]]," ",bron[[#This Row],[achternaam]]," ",bron[[#This Row],[voornaam]])</f>
        <v>31150 Oueslati Mohamed Ali</v>
      </c>
      <c r="C607" t="str">
        <f>VLOOKUP(bron[[#This Row],[personeelsnr]],'data hastus'!$A:$C,2,0)</f>
        <v>Oueslati</v>
      </c>
      <c r="D607" t="str">
        <f>VLOOKUP(bron[[#This Row],[personeelsnr]],'data hastus'!$A:$C,3,0)</f>
        <v>Mohamed Ali</v>
      </c>
      <c r="E607" t="str">
        <f>VLOOKUP(bron[[#This Row],[personeelsnr]],'data hastus'!A:K,11,FALSE)</f>
        <v>Kenneth De Rick</v>
      </c>
      <c r="F607" s="10"/>
      <c r="G607" s="7"/>
      <c r="H607" s="7"/>
      <c r="I607" s="7"/>
      <c r="L607" s="5">
        <v>1</v>
      </c>
      <c r="S607" s="5">
        <f>SUM(bron[[#This Row],[Januari]:[December]])</f>
        <v>1</v>
      </c>
      <c r="T607" s="9">
        <v>45820</v>
      </c>
      <c r="U607" s="8" t="s">
        <v>1203</v>
      </c>
      <c r="V607" s="24">
        <v>1</v>
      </c>
      <c r="W607" s="24"/>
      <c r="X607" t="s">
        <v>3544</v>
      </c>
      <c r="Y607" t="s">
        <v>19</v>
      </c>
      <c r="Z607">
        <v>5039</v>
      </c>
      <c r="AA607" s="39" t="s">
        <v>3592</v>
      </c>
    </row>
    <row r="608" spans="1:27" hidden="1" x14ac:dyDescent="0.3">
      <c r="A608">
        <v>31165</v>
      </c>
      <c r="B608" t="str">
        <f>_xlfn.CONCAT(bron[[#This Row],[personeelsnr]]," ",bron[[#This Row],[achternaam]]," ",bron[[#This Row],[voornaam]])</f>
        <v>31165 Govaerts Sandro</v>
      </c>
      <c r="C608" t="str">
        <f>VLOOKUP(bron[[#This Row],[personeelsnr]],'data hastus'!$A:$C,2,0)</f>
        <v>Govaerts</v>
      </c>
      <c r="D608" t="str">
        <f>VLOOKUP(bron[[#This Row],[personeelsnr]],'data hastus'!$A:$C,3,0)</f>
        <v>Sandro</v>
      </c>
      <c r="E608" t="str">
        <f>VLOOKUP(bron[[#This Row],[personeelsnr]],'data hastus'!A:K,11,FALSE)</f>
        <v>Lucie Vande Velde</v>
      </c>
      <c r="F608" s="10"/>
      <c r="G608" s="6"/>
      <c r="H608" s="6"/>
      <c r="I608" s="6"/>
      <c r="J608"/>
      <c r="K608">
        <v>1</v>
      </c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45787</v>
      </c>
      <c r="U608" s="8" t="s">
        <v>1168</v>
      </c>
      <c r="V608" s="8">
        <v>1</v>
      </c>
      <c r="W608" s="8"/>
      <c r="X608" t="s">
        <v>3544</v>
      </c>
      <c r="Y608" t="s">
        <v>135</v>
      </c>
      <c r="Z608">
        <v>5048</v>
      </c>
      <c r="AA608" s="39" t="s">
        <v>3592</v>
      </c>
    </row>
    <row r="609" spans="1:27" hidden="1" x14ac:dyDescent="0.3">
      <c r="A609">
        <v>31231</v>
      </c>
      <c r="B609" t="str">
        <f>_xlfn.CONCAT(bron[[#This Row],[personeelsnr]]," ",bron[[#This Row],[achternaam]]," ",bron[[#This Row],[voornaam]])</f>
        <v>31231 Colaes Dylan</v>
      </c>
      <c r="C609" t="str">
        <f>VLOOKUP(bron[[#This Row],[personeelsnr]],'data hastus'!$A:$C,2,0)</f>
        <v>Colaes</v>
      </c>
      <c r="D609" t="str">
        <f>VLOOKUP(bron[[#This Row],[personeelsnr]],'data hastus'!$A:$C,3,0)</f>
        <v>Dylan</v>
      </c>
      <c r="E609" t="str">
        <f>VLOOKUP(bron[[#This Row],[personeelsnr]],'data hastus'!A:K,11,FALSE)</f>
        <v>Els Vanhoe</v>
      </c>
      <c r="F609" s="10"/>
      <c r="G609" s="6">
        <v>1</v>
      </c>
      <c r="H609" s="6"/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45660</v>
      </c>
      <c r="U609" s="8" t="s">
        <v>998</v>
      </c>
      <c r="V609" s="8"/>
      <c r="W609" s="8">
        <v>1</v>
      </c>
      <c r="X609" t="s">
        <v>3580</v>
      </c>
      <c r="Y609" t="s">
        <v>169</v>
      </c>
      <c r="Z609">
        <v>6312</v>
      </c>
      <c r="AA609" s="39" t="s">
        <v>3592</v>
      </c>
    </row>
    <row r="610" spans="1:27" hidden="1" x14ac:dyDescent="0.3">
      <c r="A610">
        <v>31360</v>
      </c>
      <c r="B610" t="str">
        <f>_xlfn.CONCAT(bron[[#This Row],[personeelsnr]]," ",bron[[#This Row],[achternaam]]," ",bron[[#This Row],[voornaam]])</f>
        <v>31360 Simsek Fatih</v>
      </c>
      <c r="C610" t="str">
        <f>VLOOKUP(bron[[#This Row],[personeelsnr]],'data hastus'!$A:$C,2,0)</f>
        <v>Simsek</v>
      </c>
      <c r="D610" t="str">
        <f>VLOOKUP(bron[[#This Row],[personeelsnr]],'data hastus'!$A:$C,3,0)</f>
        <v>Fatih</v>
      </c>
      <c r="E610" t="str">
        <f>VLOOKUP(bron[[#This Row],[personeelsnr]],'data hastus'!A:K,11,FALSE)</f>
        <v>Dominique De Clercq</v>
      </c>
      <c r="F610" s="10"/>
      <c r="G610" s="6">
        <v>1</v>
      </c>
      <c r="H610" s="6"/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45680</v>
      </c>
      <c r="U610" s="8" t="s">
        <v>1027</v>
      </c>
      <c r="V610" s="8"/>
      <c r="W610" s="8">
        <v>1</v>
      </c>
      <c r="X610" t="s">
        <v>3580</v>
      </c>
      <c r="Y610" t="s">
        <v>75</v>
      </c>
      <c r="Z610">
        <v>6325</v>
      </c>
      <c r="AA610" s="39" t="s">
        <v>3592</v>
      </c>
    </row>
    <row r="611" spans="1:27" hidden="1" x14ac:dyDescent="0.3">
      <c r="A611">
        <v>31490</v>
      </c>
      <c r="B611" t="str">
        <f>_xlfn.CONCAT(bron[[#This Row],[personeelsnr]]," ",bron[[#This Row],[achternaam]]," ",bron[[#This Row],[voornaam]])</f>
        <v>31490 De Weirdt Steph</v>
      </c>
      <c r="C611" t="s">
        <v>1000</v>
      </c>
      <c r="D611" t="s">
        <v>1001</v>
      </c>
      <c r="E611" t="s">
        <v>76</v>
      </c>
      <c r="F611" s="10"/>
      <c r="G611" s="6">
        <v>1</v>
      </c>
      <c r="H611" s="6"/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45660</v>
      </c>
      <c r="U611" s="8" t="s">
        <v>1002</v>
      </c>
      <c r="V611" s="8">
        <v>1</v>
      </c>
      <c r="W611" s="8"/>
      <c r="X611" t="s">
        <v>3545</v>
      </c>
      <c r="Y611" t="s">
        <v>16</v>
      </c>
      <c r="Z611">
        <v>5934</v>
      </c>
      <c r="AA611" s="39" t="s">
        <v>3592</v>
      </c>
    </row>
    <row r="612" spans="1:27" hidden="1" x14ac:dyDescent="0.3">
      <c r="A612">
        <v>31600</v>
      </c>
      <c r="B612" t="str">
        <f>_xlfn.CONCAT(bron[[#This Row],[personeelsnr]]," ",bron[[#This Row],[achternaam]]," ",bron[[#This Row],[voornaam]])</f>
        <v>31600 Mertens Tom</v>
      </c>
      <c r="C612" t="str">
        <f>VLOOKUP(bron[[#This Row],[personeelsnr]],'data hastus'!$A:$C,2,0)</f>
        <v>Mertens</v>
      </c>
      <c r="D612" t="str">
        <f>VLOOKUP(bron[[#This Row],[personeelsnr]],'data hastus'!$A:$C,3,0)</f>
        <v>Tom</v>
      </c>
      <c r="E612" t="str">
        <f>VLOOKUP(bron[[#This Row],[personeelsnr]],'data hastus'!A:K,11,FALSE)</f>
        <v>Els Dewulf</v>
      </c>
      <c r="F612" s="10"/>
      <c r="G612" s="6"/>
      <c r="H612" s="6"/>
      <c r="I612" s="6">
        <v>1</v>
      </c>
      <c r="J612"/>
      <c r="K612"/>
      <c r="L612"/>
      <c r="M612"/>
      <c r="N612"/>
      <c r="O612"/>
      <c r="P612"/>
      <c r="Q612"/>
      <c r="R612"/>
      <c r="S612">
        <f>SUM(bron[[#This Row],[Januari]:[December]])</f>
        <v>1</v>
      </c>
      <c r="T612" s="3">
        <v>45737</v>
      </c>
      <c r="U612" s="8" t="s">
        <v>1313</v>
      </c>
      <c r="V612" s="8">
        <v>1</v>
      </c>
      <c r="W612" s="8"/>
      <c r="X612" t="s">
        <v>7</v>
      </c>
      <c r="Y612" t="s">
        <v>1314</v>
      </c>
      <c r="Z612">
        <v>2197</v>
      </c>
      <c r="AA612" s="39" t="s">
        <v>3593</v>
      </c>
    </row>
    <row r="613" spans="1:27" hidden="1" x14ac:dyDescent="0.3">
      <c r="A613">
        <v>31668</v>
      </c>
      <c r="B613" t="str">
        <f>_xlfn.CONCAT(bron[[#This Row],[personeelsnr]]," ",bron[[#This Row],[achternaam]]," ",bron[[#This Row],[voornaam]])</f>
        <v>31668 Weemhof Maurice</v>
      </c>
      <c r="C613" t="str">
        <f>VLOOKUP(bron[[#This Row],[personeelsnr]],'data hastus'!$A:$C,2,0)</f>
        <v>Weemhof</v>
      </c>
      <c r="D613" t="str">
        <f>VLOOKUP(bron[[#This Row],[personeelsnr]],'data hastus'!$A:$C,3,0)</f>
        <v>Maurice</v>
      </c>
      <c r="E613" t="str">
        <f>VLOOKUP(bron[[#This Row],[personeelsnr]],'data hastus'!A:K,11,FALSE)</f>
        <v>Dominique De Clercq</v>
      </c>
      <c r="F613" s="10"/>
      <c r="G613" s="7"/>
      <c r="H613" s="7"/>
      <c r="I613" s="7"/>
      <c r="M613" s="5">
        <v>1</v>
      </c>
      <c r="S613" s="5">
        <f>SUM(bron[[#This Row],[Januari]:[December]])</f>
        <v>1</v>
      </c>
      <c r="T613" s="9">
        <v>45848</v>
      </c>
      <c r="U613" s="8" t="s">
        <v>1237</v>
      </c>
      <c r="V613" s="24">
        <v>1</v>
      </c>
      <c r="W613" s="24"/>
      <c r="X613" t="s">
        <v>3544</v>
      </c>
      <c r="Y613" t="s">
        <v>16</v>
      </c>
      <c r="Z613">
        <v>2196</v>
      </c>
      <c r="AA613" s="39" t="s">
        <v>3592</v>
      </c>
    </row>
    <row r="614" spans="1:27" hidden="1" x14ac:dyDescent="0.3">
      <c r="A614">
        <v>31668</v>
      </c>
      <c r="B614" t="str">
        <f>_xlfn.CONCAT(bron[[#This Row],[personeelsnr]]," ",bron[[#This Row],[achternaam]]," ",bron[[#This Row],[voornaam]])</f>
        <v>31668 Weemhof Maurice</v>
      </c>
      <c r="C614" t="str">
        <f>VLOOKUP(bron[[#This Row],[personeelsnr]],'data hastus'!$A:$C,2,0)</f>
        <v>Weemhof</v>
      </c>
      <c r="D614" t="str">
        <f>VLOOKUP(bron[[#This Row],[personeelsnr]],'data hastus'!$A:$C,3,0)</f>
        <v>Maurice</v>
      </c>
      <c r="E614" t="str">
        <f>VLOOKUP(bron[[#This Row],[personeelsnr]],'data hastus'!A:K,11,FALSE)</f>
        <v>Dominique De Clercq</v>
      </c>
      <c r="F614" s="10"/>
      <c r="G614" s="6"/>
      <c r="H614" s="6"/>
      <c r="I614" s="6">
        <v>1</v>
      </c>
      <c r="J614"/>
      <c r="K614"/>
      <c r="L614"/>
      <c r="M614"/>
      <c r="N614"/>
      <c r="O614"/>
      <c r="P614"/>
      <c r="Q614"/>
      <c r="R614"/>
      <c r="S614">
        <f>SUM(bron[[#This Row],[Januari]:[December]])</f>
        <v>1</v>
      </c>
      <c r="T614" s="3">
        <v>45745</v>
      </c>
      <c r="U614" s="8" t="s">
        <v>1121</v>
      </c>
      <c r="V614" s="8">
        <v>1</v>
      </c>
      <c r="W614" s="8"/>
      <c r="X614" t="s">
        <v>3545</v>
      </c>
      <c r="Y614" t="s">
        <v>10</v>
      </c>
      <c r="Z614">
        <v>5918</v>
      </c>
      <c r="AA614" s="39" t="s">
        <v>3592</v>
      </c>
    </row>
    <row r="615" spans="1:27" hidden="1" x14ac:dyDescent="0.3">
      <c r="A615">
        <v>31776</v>
      </c>
      <c r="B615" t="str">
        <f>_xlfn.CONCAT(bron[[#This Row],[personeelsnr]]," ",bron[[#This Row],[achternaam]]," ",bron[[#This Row],[voornaam]])</f>
        <v>31776 Famelaer Steve</v>
      </c>
      <c r="C615" t="str">
        <f>VLOOKUP(bron[[#This Row],[personeelsnr]],'data hastus'!$A:$C,2,0)</f>
        <v>Famelaer</v>
      </c>
      <c r="D615" t="str">
        <f>VLOOKUP(bron[[#This Row],[personeelsnr]],'data hastus'!$A:$C,3,0)</f>
        <v>Steve</v>
      </c>
      <c r="E615" t="str">
        <f>VLOOKUP(bron[[#This Row],[personeelsnr]],'data hastus'!A:K,11,FALSE)</f>
        <v>Dominique De Clercq</v>
      </c>
      <c r="F615" s="10"/>
      <c r="G615" s="7"/>
      <c r="H615" s="7"/>
      <c r="I615" s="7"/>
      <c r="M615" s="5">
        <v>1</v>
      </c>
      <c r="S615" s="5">
        <f>SUM(bron[[#This Row],[Januari]:[December]])</f>
        <v>1</v>
      </c>
      <c r="T615" s="9">
        <v>45845</v>
      </c>
      <c r="U615" s="8" t="s">
        <v>1229</v>
      </c>
      <c r="V615" s="24">
        <v>1</v>
      </c>
      <c r="W615" s="24"/>
      <c r="X615" t="s">
        <v>3544</v>
      </c>
      <c r="Y615" t="s">
        <v>19</v>
      </c>
      <c r="Z615">
        <v>2198</v>
      </c>
      <c r="AA615" s="39" t="s">
        <v>3592</v>
      </c>
    </row>
    <row r="616" spans="1:27" hidden="1" x14ac:dyDescent="0.3">
      <c r="A616">
        <v>32002</v>
      </c>
      <c r="B616" t="str">
        <f>_xlfn.CONCAT(bron[[#This Row],[personeelsnr]]," ",bron[[#This Row],[achternaam]]," ",bron[[#This Row],[voornaam]])</f>
        <v>32002 Hasni Helmi</v>
      </c>
      <c r="C616" t="str">
        <f>VLOOKUP(bron[[#This Row],[personeelsnr]],'data hastus'!$A:$C,2,0)</f>
        <v>Hasni</v>
      </c>
      <c r="D616" t="str">
        <f>VLOOKUP(bron[[#This Row],[personeelsnr]],'data hastus'!$A:$C,3,0)</f>
        <v>Helmi</v>
      </c>
      <c r="E616" t="str">
        <f>VLOOKUP(bron[[#This Row],[personeelsnr]],'data hastus'!A:K,11,FALSE)</f>
        <v>Steven Storm</v>
      </c>
      <c r="F616" s="10"/>
      <c r="G616" s="7"/>
      <c r="H616" s="7"/>
      <c r="I616" s="7"/>
      <c r="M616" s="5">
        <v>1</v>
      </c>
      <c r="S616" s="5">
        <f>SUM(bron[[#This Row],[Januari]:[December]])</f>
        <v>1</v>
      </c>
      <c r="T616" s="9">
        <v>45848</v>
      </c>
      <c r="U616" s="8" t="s">
        <v>1240</v>
      </c>
      <c r="V616" s="24"/>
      <c r="W616" s="24">
        <v>1</v>
      </c>
      <c r="X616" t="s">
        <v>3581</v>
      </c>
      <c r="Y616" t="s">
        <v>181</v>
      </c>
      <c r="Z616">
        <v>6355</v>
      </c>
      <c r="AA616" s="39" t="s">
        <v>3592</v>
      </c>
    </row>
    <row r="617" spans="1:27" hidden="1" x14ac:dyDescent="0.3">
      <c r="A617">
        <v>32002</v>
      </c>
      <c r="B617" t="str">
        <f>_xlfn.CONCAT(bron[[#This Row],[personeelsnr]]," ",bron[[#This Row],[achternaam]]," ",bron[[#This Row],[voornaam]])</f>
        <v>32002 Hasni Helmi</v>
      </c>
      <c r="C617" t="str">
        <f>VLOOKUP(bron[[#This Row],[personeelsnr]],'data hastus'!$A:$C,2,0)</f>
        <v>Hasni</v>
      </c>
      <c r="D617" t="str">
        <f>VLOOKUP(bron[[#This Row],[personeelsnr]],'data hastus'!$A:$C,3,0)</f>
        <v>Helmi</v>
      </c>
      <c r="E617" t="str">
        <f>VLOOKUP(bron[[#This Row],[personeelsnr]],'data hastus'!A:K,11,FALSE)</f>
        <v>Steven Storm</v>
      </c>
      <c r="F617" s="10"/>
      <c r="G617" s="6"/>
      <c r="H617" s="6"/>
      <c r="I617" s="6"/>
      <c r="J617">
        <v>1</v>
      </c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45773</v>
      </c>
      <c r="U617" s="8" t="s">
        <v>1337</v>
      </c>
      <c r="V617" s="8"/>
      <c r="W617" s="8">
        <v>1</v>
      </c>
      <c r="X617" t="s">
        <v>8</v>
      </c>
      <c r="Y617" t="s">
        <v>5</v>
      </c>
      <c r="Z617">
        <v>6372</v>
      </c>
      <c r="AA617" s="39" t="s">
        <v>3593</v>
      </c>
    </row>
    <row r="618" spans="1:27" hidden="1" x14ac:dyDescent="0.3">
      <c r="A618">
        <v>32091</v>
      </c>
      <c r="B618" t="str">
        <f>_xlfn.CONCAT(bron[[#This Row],[personeelsnr]]," ",bron[[#This Row],[achternaam]]," ",bron[[#This Row],[voornaam]])</f>
        <v>32091 Köroglu Ercan</v>
      </c>
      <c r="C618" t="str">
        <f>VLOOKUP(bron[[#This Row],[personeelsnr]],'data hastus'!$A:$C,2,0)</f>
        <v>Köroglu</v>
      </c>
      <c r="D618" t="str">
        <f>VLOOKUP(bron[[#This Row],[personeelsnr]],'data hastus'!$A:$C,3,0)</f>
        <v>Ercan</v>
      </c>
      <c r="E618" t="str">
        <f>VLOOKUP(bron[[#This Row],[personeelsnr]],'data hastus'!A:K,11,FALSE)</f>
        <v>Kenneth De Rick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1094</v>
      </c>
      <c r="V618" s="8">
        <v>1</v>
      </c>
      <c r="W618" s="8"/>
      <c r="X618" t="s">
        <v>3545</v>
      </c>
      <c r="Y618" t="s">
        <v>10</v>
      </c>
      <c r="Z618">
        <v>5911</v>
      </c>
      <c r="AA618" s="39" t="s">
        <v>3592</v>
      </c>
    </row>
    <row r="619" spans="1:27" hidden="1" x14ac:dyDescent="0.3">
      <c r="A619">
        <v>32245</v>
      </c>
      <c r="B619" t="str">
        <f>_xlfn.CONCAT(bron[[#This Row],[personeelsnr]]," ",bron[[#This Row],[achternaam]]," ",bron[[#This Row],[voornaam]])</f>
        <v>32245 Verlinden Bianca</v>
      </c>
      <c r="C619" t="str">
        <f>VLOOKUP(bron[[#This Row],[personeelsnr]],'data hastus'!$A:$C,2,0)</f>
        <v>Verlinden</v>
      </c>
      <c r="D619" t="str">
        <f>VLOOKUP(bron[[#This Row],[personeelsnr]],'data hastus'!$A:$C,3,0)</f>
        <v>Bianca</v>
      </c>
      <c r="E619" t="str">
        <f>VLOOKUP(bron[[#This Row],[personeelsnr]],'data hastus'!A:K,11,FALSE)</f>
        <v>Els Vanhoe</v>
      </c>
      <c r="F619" s="10"/>
      <c r="G619" s="6"/>
      <c r="H619" s="6"/>
      <c r="I619" s="6"/>
      <c r="J619">
        <v>1</v>
      </c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45766</v>
      </c>
      <c r="U619" s="8" t="s">
        <v>1145</v>
      </c>
      <c r="V619" s="8">
        <v>1</v>
      </c>
      <c r="W619" s="8"/>
      <c r="X619" t="s">
        <v>3545</v>
      </c>
      <c r="Y619" t="s">
        <v>13</v>
      </c>
      <c r="Z619">
        <v>5918</v>
      </c>
      <c r="AA619" s="39" t="s">
        <v>3592</v>
      </c>
    </row>
    <row r="620" spans="1:27" hidden="1" x14ac:dyDescent="0.3">
      <c r="A620">
        <v>32387</v>
      </c>
      <c r="B620" t="str">
        <f>_xlfn.CONCAT(bron[[#This Row],[personeelsnr]]," ",bron[[#This Row],[achternaam]]," ",bron[[#This Row],[voornaam]])</f>
        <v>32387 Meersman Herman</v>
      </c>
      <c r="C620" t="str">
        <f>VLOOKUP(bron[[#This Row],[personeelsnr]],'data hastus'!$A:$C,2,0)</f>
        <v>Meersman</v>
      </c>
      <c r="D620" t="str">
        <f>VLOOKUP(bron[[#This Row],[personeelsnr]],'data hastus'!$A:$C,3,0)</f>
        <v>Herman</v>
      </c>
      <c r="E620" t="str">
        <f>VLOOKUP(bron[[#This Row],[personeelsnr]],'data hastus'!A:K,11,FALSE)</f>
        <v>Steven Storm</v>
      </c>
      <c r="F620" s="10"/>
      <c r="G620" s="6"/>
      <c r="H620" s="6">
        <v>1</v>
      </c>
      <c r="I620" s="6"/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45711</v>
      </c>
      <c r="U620" s="8" t="s">
        <v>1077</v>
      </c>
      <c r="V620" s="8">
        <v>1</v>
      </c>
      <c r="W620" s="8"/>
      <c r="X620" t="s">
        <v>3545</v>
      </c>
      <c r="Y620" t="s">
        <v>28</v>
      </c>
      <c r="Z620">
        <v>5771</v>
      </c>
      <c r="AA620" s="39" t="s">
        <v>3592</v>
      </c>
    </row>
    <row r="621" spans="1:27" hidden="1" x14ac:dyDescent="0.3">
      <c r="A621">
        <v>32528</v>
      </c>
      <c r="B621" t="str">
        <f>_xlfn.CONCAT(bron[[#This Row],[personeelsnr]]," ",bron[[#This Row],[achternaam]]," ",bron[[#This Row],[voornaam]])</f>
        <v>32528 Benjilali Abdelhak</v>
      </c>
      <c r="C621" t="str">
        <f>VLOOKUP(bron[[#This Row],[personeelsnr]],'data hastus'!$A:$C,2,0)</f>
        <v>Benjilali</v>
      </c>
      <c r="D621" t="str">
        <f>VLOOKUP(bron[[#This Row],[personeelsnr]],'data hastus'!$A:$C,3,0)</f>
        <v>Abdelhak</v>
      </c>
      <c r="E621" t="str">
        <f>VLOOKUP(bron[[#This Row],[personeelsnr]],'data hastus'!A:K,11,FALSE)</f>
        <v>Steven Storm</v>
      </c>
      <c r="F621" s="10"/>
      <c r="G621" s="7"/>
      <c r="H621" s="7"/>
      <c r="I621" s="7"/>
      <c r="M621" s="5">
        <v>1</v>
      </c>
      <c r="S621" s="5">
        <f>SUM(bron[[#This Row],[Januari]:[December]])</f>
        <v>1</v>
      </c>
      <c r="T621" s="9">
        <v>45839</v>
      </c>
      <c r="U621" s="8" t="s">
        <v>1222</v>
      </c>
      <c r="V621" s="24">
        <v>1</v>
      </c>
      <c r="W621" s="24"/>
      <c r="X621" t="s">
        <v>3544</v>
      </c>
      <c r="Y621" t="s">
        <v>66</v>
      </c>
      <c r="Z621">
        <v>5264</v>
      </c>
      <c r="AA621" s="39" t="s">
        <v>3592</v>
      </c>
    </row>
    <row r="622" spans="1:27" hidden="1" x14ac:dyDescent="0.3">
      <c r="A622">
        <v>32611</v>
      </c>
      <c r="B622" t="str">
        <f>_xlfn.CONCAT(bron[[#This Row],[personeelsnr]]," ",bron[[#This Row],[achternaam]]," ",bron[[#This Row],[voornaam]])</f>
        <v>32611 Özer Özgur</v>
      </c>
      <c r="C622" t="str">
        <f>VLOOKUP(bron[[#This Row],[personeelsnr]],'data hastus'!$A:$C,2,0)</f>
        <v>Özer</v>
      </c>
      <c r="D622" t="str">
        <f>VLOOKUP(bron[[#This Row],[personeelsnr]],'data hastus'!$A:$C,3,0)</f>
        <v>Özgur</v>
      </c>
      <c r="E622" t="str">
        <f>VLOOKUP(bron[[#This Row],[personeelsnr]],'data hastus'!A:K,11,FALSE)</f>
        <v>Kenneth De Rick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45737</v>
      </c>
      <c r="U622" s="8" t="s">
        <v>1113</v>
      </c>
      <c r="V622" s="8">
        <v>1</v>
      </c>
      <c r="W622" s="8"/>
      <c r="X622" t="s">
        <v>3545</v>
      </c>
      <c r="Y622" t="s">
        <v>60</v>
      </c>
      <c r="Z622">
        <v>5922</v>
      </c>
      <c r="AA622" s="39" t="s">
        <v>3592</v>
      </c>
    </row>
    <row r="623" spans="1:27" hidden="1" x14ac:dyDescent="0.3">
      <c r="A623">
        <v>32620</v>
      </c>
      <c r="B623" t="str">
        <f>_xlfn.CONCAT(bron[[#This Row],[personeelsnr]]," ",bron[[#This Row],[achternaam]]," ",bron[[#This Row],[voornaam]])</f>
        <v>32620 Saey Elias</v>
      </c>
      <c r="C623" t="str">
        <f>VLOOKUP(bron[[#This Row],[personeelsnr]],'data hastus'!$A:$C,2,0)</f>
        <v>Saey</v>
      </c>
      <c r="D623" t="str">
        <f>VLOOKUP(bron[[#This Row],[personeelsnr]],'data hastus'!$A:$C,3,0)</f>
        <v>Elias</v>
      </c>
      <c r="E623" t="str">
        <f>VLOOKUP(bron[[#This Row],[personeelsnr]],'data hastus'!A:K,11,FALSE)</f>
        <v>Els Vanhoe</v>
      </c>
      <c r="F623" s="10"/>
      <c r="G623" s="6"/>
      <c r="H623" s="6"/>
      <c r="I623" s="6"/>
      <c r="J623">
        <v>1</v>
      </c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45749</v>
      </c>
      <c r="U623" s="8" t="s">
        <v>1122</v>
      </c>
      <c r="V623" s="8"/>
      <c r="W623" s="8">
        <v>1</v>
      </c>
      <c r="X623" t="s">
        <v>3580</v>
      </c>
      <c r="Y623" t="s">
        <v>46</v>
      </c>
      <c r="Z623">
        <v>6929</v>
      </c>
      <c r="AA623" s="39" t="s">
        <v>3592</v>
      </c>
    </row>
    <row r="624" spans="1:27" hidden="1" x14ac:dyDescent="0.3">
      <c r="A624">
        <v>32951</v>
      </c>
      <c r="B624" t="str">
        <f>_xlfn.CONCAT(bron[[#This Row],[personeelsnr]]," ",bron[[#This Row],[achternaam]]," ",bron[[#This Row],[voornaam]])</f>
        <v>32951 De Bruyne Sonia</v>
      </c>
      <c r="C624" t="str">
        <f>VLOOKUP(bron[[#This Row],[personeelsnr]],'data hastus'!$A:$C,2,0)</f>
        <v>De Bruyne</v>
      </c>
      <c r="D624" t="str">
        <f>VLOOKUP(bron[[#This Row],[personeelsnr]],'data hastus'!$A:$C,3,0)</f>
        <v>Sonia</v>
      </c>
      <c r="E624" t="str">
        <f>VLOOKUP(bron[[#This Row],[personeelsnr]],'data hastus'!A:K,11,FALSE)</f>
        <v>Lucie Vande Velde</v>
      </c>
      <c r="F624" s="10"/>
      <c r="G624" s="6"/>
      <c r="H624" s="6"/>
      <c r="I624" s="6"/>
      <c r="J624">
        <v>1</v>
      </c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45751</v>
      </c>
      <c r="U624" s="8" t="s">
        <v>1125</v>
      </c>
      <c r="V624" s="8">
        <v>1</v>
      </c>
      <c r="W624" s="8"/>
      <c r="X624" t="s">
        <v>3546</v>
      </c>
      <c r="Y624" t="s">
        <v>43</v>
      </c>
      <c r="Z624">
        <v>2198</v>
      </c>
      <c r="AA624" s="39" t="s">
        <v>3592</v>
      </c>
    </row>
    <row r="625" spans="1:27" hidden="1" x14ac:dyDescent="0.3">
      <c r="A625">
        <v>33085</v>
      </c>
      <c r="B625" t="str">
        <f>_xlfn.CONCAT(bron[[#This Row],[personeelsnr]]," ",bron[[#This Row],[achternaam]]," ",bron[[#This Row],[voornaam]])</f>
        <v>33085 Van Hoe Ivo</v>
      </c>
      <c r="C625" t="str">
        <f>VLOOKUP(bron[[#This Row],[personeelsnr]],'data hastus'!$A:$C,2,0)</f>
        <v>Van Hoe</v>
      </c>
      <c r="D625" t="str">
        <f>VLOOKUP(bron[[#This Row],[personeelsnr]],'data hastus'!$A:$C,3,0)</f>
        <v>Ivo</v>
      </c>
      <c r="E625" t="str">
        <f>VLOOKUP(bron[[#This Row],[personeelsnr]],'data hastus'!A:K,11,FALSE)</f>
        <v>Kenneth De Rick</v>
      </c>
      <c r="F625" s="10"/>
      <c r="G625" s="6"/>
      <c r="H625" s="6"/>
      <c r="I625" s="6"/>
      <c r="J625">
        <v>1</v>
      </c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45773</v>
      </c>
      <c r="U625" s="8" t="s">
        <v>1153</v>
      </c>
      <c r="V625" s="8">
        <v>1</v>
      </c>
      <c r="W625" s="8"/>
      <c r="X625" t="s">
        <v>3546</v>
      </c>
      <c r="Y625" t="s">
        <v>139</v>
      </c>
      <c r="Z625">
        <v>2198</v>
      </c>
      <c r="AA625" s="39" t="s">
        <v>3592</v>
      </c>
    </row>
    <row r="626" spans="1:27" hidden="1" x14ac:dyDescent="0.3">
      <c r="A626">
        <v>33085</v>
      </c>
      <c r="B626" t="str">
        <f>_xlfn.CONCAT(bron[[#This Row],[personeelsnr]]," ",bron[[#This Row],[achternaam]]," ",bron[[#This Row],[voornaam]])</f>
        <v>33085 Van Hoe Ivo</v>
      </c>
      <c r="C626" t="str">
        <f>VLOOKUP(bron[[#This Row],[personeelsnr]],'data hastus'!$A:$C,2,0)</f>
        <v>Van Hoe</v>
      </c>
      <c r="D626" t="str">
        <f>VLOOKUP(bron[[#This Row],[personeelsnr]],'data hastus'!$A:$C,3,0)</f>
        <v>Ivo</v>
      </c>
      <c r="E626" t="str">
        <f>VLOOKUP(bron[[#This Row],[personeelsnr]],'data hastus'!A:K,11,FALSE)</f>
        <v>Kenneth De Rick</v>
      </c>
      <c r="F626" s="10"/>
      <c r="G626" s="7"/>
      <c r="H626" s="7"/>
      <c r="I626" s="7"/>
      <c r="O626" s="5">
        <v>1</v>
      </c>
      <c r="S626" s="5">
        <f>SUM(bron[[#This Row],[Januari]:[December]])</f>
        <v>1</v>
      </c>
      <c r="T626" s="9">
        <v>45904</v>
      </c>
      <c r="U626" s="5" t="s">
        <v>3531</v>
      </c>
      <c r="V626" s="24"/>
      <c r="W626" s="24">
        <v>1</v>
      </c>
      <c r="X626" t="s">
        <v>3580</v>
      </c>
      <c r="Y626" t="s">
        <v>5</v>
      </c>
      <c r="Z626">
        <v>6316</v>
      </c>
      <c r="AA626" s="39" t="s">
        <v>3592</v>
      </c>
    </row>
    <row r="627" spans="1:27" hidden="1" x14ac:dyDescent="0.3">
      <c r="A627">
        <v>33640</v>
      </c>
      <c r="B627" t="str">
        <f>_xlfn.CONCAT(bron[[#This Row],[personeelsnr]]," ",bron[[#This Row],[achternaam]]," ",bron[[#This Row],[voornaam]])</f>
        <v>33640 Verschraegen Patrick</v>
      </c>
      <c r="C627" t="str">
        <f>VLOOKUP(bron[[#This Row],[personeelsnr]],'data hastus'!$A:$C,2,0)</f>
        <v>Verschraegen</v>
      </c>
      <c r="D627" t="str">
        <f>VLOOKUP(bron[[#This Row],[personeelsnr]],'data hastus'!$A:$C,3,0)</f>
        <v>Patrick</v>
      </c>
      <c r="E627" t="str">
        <f>VLOOKUP(bron[[#This Row],[personeelsnr]],'data hastus'!A:K,11,FALSE)</f>
        <v>Steven Storm</v>
      </c>
      <c r="F627" s="10"/>
      <c r="G627" s="6">
        <v>1</v>
      </c>
      <c r="H627" s="6"/>
      <c r="I627" s="6"/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45686</v>
      </c>
      <c r="U627" s="8" t="s">
        <v>1035</v>
      </c>
      <c r="V627" s="8">
        <v>1</v>
      </c>
      <c r="W627" s="8"/>
      <c r="X627" t="s">
        <v>3545</v>
      </c>
      <c r="Y627" t="s">
        <v>215</v>
      </c>
      <c r="Z627">
        <v>5763</v>
      </c>
      <c r="AA627" s="39" t="s">
        <v>3592</v>
      </c>
    </row>
    <row r="628" spans="1:27" hidden="1" x14ac:dyDescent="0.3">
      <c r="A628">
        <v>33965</v>
      </c>
      <c r="B628" t="str">
        <f>_xlfn.CONCAT(bron[[#This Row],[personeelsnr]]," ",bron[[#This Row],[achternaam]]," ",bron[[#This Row],[voornaam]])</f>
        <v>33965 Van de Gehuchte Gilles</v>
      </c>
      <c r="C628" t="str">
        <f>VLOOKUP(bron[[#This Row],[personeelsnr]],'data hastus'!$A:$C,2,0)</f>
        <v>Van de Gehuchte</v>
      </c>
      <c r="D628" t="str">
        <f>VLOOKUP(bron[[#This Row],[personeelsnr]],'data hastus'!$A:$C,3,0)</f>
        <v>Gilles</v>
      </c>
      <c r="E628" t="str">
        <f>VLOOKUP(bron[[#This Row],[personeelsnr]],'data hastus'!A:K,11,FALSE)</f>
        <v>Kenneth De Rick</v>
      </c>
      <c r="F628" s="10"/>
      <c r="G628" s="7"/>
      <c r="H628" s="7"/>
      <c r="I628" s="7"/>
      <c r="K628" s="12">
        <v>1</v>
      </c>
      <c r="S628" s="5">
        <f>SUM(bron[[#This Row],[Januari]:[December]])</f>
        <v>1</v>
      </c>
      <c r="T628" s="9">
        <v>45781</v>
      </c>
      <c r="U628" s="8" t="s">
        <v>1163</v>
      </c>
      <c r="V628" s="8"/>
      <c r="W628" s="8">
        <v>1</v>
      </c>
      <c r="X628" t="s">
        <v>3580</v>
      </c>
      <c r="Y628" t="s">
        <v>5</v>
      </c>
      <c r="Z628">
        <v>6325</v>
      </c>
      <c r="AA628" s="39" t="s">
        <v>3592</v>
      </c>
    </row>
    <row r="629" spans="1:27" hidden="1" x14ac:dyDescent="0.3">
      <c r="A629">
        <v>33965</v>
      </c>
      <c r="B629" t="str">
        <f>_xlfn.CONCAT(bron[[#This Row],[personeelsnr]]," ",bron[[#This Row],[achternaam]]," ",bron[[#This Row],[voornaam]])</f>
        <v>33965 Van de Gehuchte Gilles</v>
      </c>
      <c r="C629" t="str">
        <f>VLOOKUP(bron[[#This Row],[personeelsnr]],'data hastus'!$A:$C,2,0)</f>
        <v>Van de Gehuchte</v>
      </c>
      <c r="D629" t="str">
        <f>VLOOKUP(bron[[#This Row],[personeelsnr]],'data hastus'!$A:$C,3,0)</f>
        <v>Gilles</v>
      </c>
      <c r="E629" t="str">
        <f>VLOOKUP(bron[[#This Row],[personeelsnr]],'data hastus'!A:K,11,FALSE)</f>
        <v>Kenneth De Rick</v>
      </c>
      <c r="F629" s="10"/>
      <c r="G629" s="6"/>
      <c r="H629" s="6"/>
      <c r="I629" s="6"/>
      <c r="J629">
        <v>1</v>
      </c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45771</v>
      </c>
      <c r="U629" s="8" t="s">
        <v>1151</v>
      </c>
      <c r="V629" s="8">
        <v>1</v>
      </c>
      <c r="W629" s="8"/>
      <c r="X629" t="s">
        <v>3545</v>
      </c>
      <c r="Y629" t="s">
        <v>66</v>
      </c>
      <c r="Z629">
        <v>5917</v>
      </c>
      <c r="AA629" s="39" t="s">
        <v>3592</v>
      </c>
    </row>
    <row r="630" spans="1:27" hidden="1" x14ac:dyDescent="0.3">
      <c r="A630">
        <v>33965</v>
      </c>
      <c r="B630" t="str">
        <f>_xlfn.CONCAT(bron[[#This Row],[personeelsnr]]," ",bron[[#This Row],[achternaam]]," ",bron[[#This Row],[voornaam]])</f>
        <v>33965 Van de Gehuchte Gilles</v>
      </c>
      <c r="C630" t="str">
        <f>VLOOKUP(bron[[#This Row],[personeelsnr]],'data hastus'!$A:$C,2,0)</f>
        <v>Van de Gehuchte</v>
      </c>
      <c r="D630" t="str">
        <f>VLOOKUP(bron[[#This Row],[personeelsnr]],'data hastus'!$A:$C,3,0)</f>
        <v>Gilles</v>
      </c>
      <c r="E630" t="str">
        <f>VLOOKUP(bron[[#This Row],[personeelsnr]],'data hastus'!A:K,11,FALSE)</f>
        <v>Kenneth De Rick</v>
      </c>
      <c r="F630" s="10"/>
      <c r="G630" s="6">
        <v>1</v>
      </c>
      <c r="H630" s="6"/>
      <c r="I630" s="6"/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45677</v>
      </c>
      <c r="U630" s="8" t="s">
        <v>1021</v>
      </c>
      <c r="V630" s="8"/>
      <c r="W630" s="8">
        <v>1</v>
      </c>
      <c r="X630" t="s">
        <v>3580</v>
      </c>
      <c r="Y630" t="s">
        <v>31</v>
      </c>
      <c r="Z630">
        <v>6327</v>
      </c>
      <c r="AA630" s="39" t="s">
        <v>3592</v>
      </c>
    </row>
    <row r="631" spans="1:27" hidden="1" x14ac:dyDescent="0.3">
      <c r="A631">
        <v>33986</v>
      </c>
      <c r="B631" t="str">
        <f>_xlfn.CONCAT(bron[[#This Row],[personeelsnr]]," ",bron[[#This Row],[achternaam]]," ",bron[[#This Row],[voornaam]])</f>
        <v>33986 Göktas Muharrem</v>
      </c>
      <c r="C631" t="str">
        <f>VLOOKUP(bron[[#This Row],[personeelsnr]],'data hastus'!$A:$C,2,0)</f>
        <v>Göktas</v>
      </c>
      <c r="D631" t="str">
        <f>VLOOKUP(bron[[#This Row],[personeelsnr]],'data hastus'!$A:$C,3,0)</f>
        <v>Muharrem</v>
      </c>
      <c r="E631" t="str">
        <f>VLOOKUP(bron[[#This Row],[personeelsnr]],'data hastus'!A:K,11,FALSE)</f>
        <v>Kenneth De Rick</v>
      </c>
      <c r="F631" s="10"/>
      <c r="G631" s="6"/>
      <c r="H631" s="6"/>
      <c r="I631" s="6"/>
      <c r="J631"/>
      <c r="K631"/>
      <c r="L631"/>
      <c r="M631"/>
      <c r="N631"/>
      <c r="O631"/>
      <c r="P631"/>
      <c r="Q631"/>
      <c r="R631"/>
      <c r="S631">
        <f>SUM(bron[[#This Row],[Januari]:[December]])</f>
        <v>0</v>
      </c>
      <c r="T631" s="3">
        <v>45669</v>
      </c>
      <c r="U631" s="8" t="s">
        <v>1010</v>
      </c>
      <c r="V631" s="8">
        <v>1</v>
      </c>
      <c r="W631" s="8"/>
      <c r="X631" t="s">
        <v>3546</v>
      </c>
      <c r="Y631" t="s">
        <v>249</v>
      </c>
      <c r="Z631">
        <v>5267</v>
      </c>
      <c r="AA631" s="39" t="s">
        <v>3592</v>
      </c>
    </row>
    <row r="632" spans="1:27" hidden="1" x14ac:dyDescent="0.3">
      <c r="A632">
        <v>34019</v>
      </c>
      <c r="B632" t="str">
        <f>_xlfn.CONCAT(bron[[#This Row],[personeelsnr]]," ",bron[[#This Row],[achternaam]]," ",bron[[#This Row],[voornaam]])</f>
        <v>34019 Hoste Tom</v>
      </c>
      <c r="C632" t="str">
        <f>VLOOKUP(bron[[#This Row],[personeelsnr]],'data hastus'!$A:$C,2,0)</f>
        <v>Hoste</v>
      </c>
      <c r="D632" t="str">
        <f>VLOOKUP(bron[[#This Row],[personeelsnr]],'data hastus'!$A:$C,3,0)</f>
        <v>Tom</v>
      </c>
      <c r="E632" t="str">
        <f>VLOOKUP(bron[[#This Row],[personeelsnr]],'data hastus'!A:K,11,FALSE)</f>
        <v>Christoff Rotty</v>
      </c>
      <c r="F632" s="10"/>
      <c r="G632" s="6"/>
      <c r="H632" s="6"/>
      <c r="I632" s="6">
        <v>1</v>
      </c>
      <c r="J632"/>
      <c r="K632"/>
      <c r="L632"/>
      <c r="M632"/>
      <c r="N632"/>
      <c r="O632"/>
      <c r="P632"/>
      <c r="Q632"/>
      <c r="R632"/>
      <c r="S632">
        <f>SUM(bron[[#This Row],[Januari]:[December]])</f>
        <v>1</v>
      </c>
      <c r="T632" s="3">
        <v>45721</v>
      </c>
      <c r="U632" s="8" t="s">
        <v>1089</v>
      </c>
      <c r="V632" s="8">
        <v>1</v>
      </c>
      <c r="W632" s="8"/>
      <c r="X632" t="s">
        <v>3545</v>
      </c>
      <c r="Y632" t="s">
        <v>127</v>
      </c>
      <c r="Z632">
        <v>5911</v>
      </c>
      <c r="AA632" s="39" t="s">
        <v>3592</v>
      </c>
    </row>
    <row r="633" spans="1:27" hidden="1" x14ac:dyDescent="0.3">
      <c r="A633">
        <v>34198</v>
      </c>
      <c r="B633" t="str">
        <f>_xlfn.CONCAT(bron[[#This Row],[personeelsnr]]," ",bron[[#This Row],[achternaam]]," ",bron[[#This Row],[voornaam]])</f>
        <v>34198 Pelfrene Toby</v>
      </c>
      <c r="C633" t="str">
        <f>VLOOKUP(bron[[#This Row],[personeelsnr]],'data hastus'!$A:$C,2,0)</f>
        <v>Pelfrene</v>
      </c>
      <c r="D633" t="str">
        <f>VLOOKUP(bron[[#This Row],[personeelsnr]],'data hastus'!$A:$C,3,0)</f>
        <v>Toby</v>
      </c>
      <c r="E633" t="str">
        <f>VLOOKUP(bron[[#This Row],[personeelsnr]],'data hastus'!A:K,11,FALSE)</f>
        <v>Els Vanhoe</v>
      </c>
      <c r="F633" s="10"/>
      <c r="G633" s="7"/>
      <c r="H633" s="7"/>
      <c r="I633" s="7"/>
      <c r="N633" s="5">
        <v>1</v>
      </c>
      <c r="S633" s="5">
        <f>SUM(bron[[#This Row],[Januari]:[December]])</f>
        <v>1</v>
      </c>
      <c r="T633" s="9">
        <v>45895</v>
      </c>
      <c r="U633" s="5" t="s">
        <v>1283</v>
      </c>
      <c r="V633" s="24"/>
      <c r="W633" s="24">
        <v>1</v>
      </c>
      <c r="X633" t="s">
        <v>3580</v>
      </c>
      <c r="Y633" t="s">
        <v>5</v>
      </c>
      <c r="Z633">
        <v>6308</v>
      </c>
      <c r="AA633" s="39" t="s">
        <v>3592</v>
      </c>
    </row>
    <row r="634" spans="1:27" hidden="1" x14ac:dyDescent="0.3">
      <c r="A634">
        <v>34325</v>
      </c>
      <c r="B634" t="str">
        <f>_xlfn.CONCAT(bron[[#This Row],[personeelsnr]]," ",bron[[#This Row],[achternaam]]," ",bron[[#This Row],[voornaam]])</f>
        <v>34325 Eid Mathyn</v>
      </c>
      <c r="C634" t="str">
        <f>VLOOKUP(bron[[#This Row],[personeelsnr]],'data hastus'!$A:$C,2,0)</f>
        <v>Eid</v>
      </c>
      <c r="D634" t="str">
        <f>VLOOKUP(bron[[#This Row],[personeelsnr]],'data hastus'!$A:$C,3,0)</f>
        <v>Mathyn</v>
      </c>
      <c r="E634" t="str">
        <f>VLOOKUP(bron[[#This Row],[personeelsnr]],'data hastus'!A:K,11,FALSE)</f>
        <v>Steven Storm</v>
      </c>
      <c r="F634" s="10"/>
      <c r="G634" s="6"/>
      <c r="H634" s="6"/>
      <c r="I634" s="6"/>
      <c r="J634">
        <v>1</v>
      </c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45757</v>
      </c>
      <c r="U634" s="8" t="s">
        <v>1132</v>
      </c>
      <c r="V634" s="8"/>
      <c r="W634" s="8">
        <v>1</v>
      </c>
      <c r="X634" t="s">
        <v>3581</v>
      </c>
      <c r="Y634" t="s">
        <v>275</v>
      </c>
      <c r="Z634">
        <v>6364</v>
      </c>
      <c r="AA634" s="39" t="s">
        <v>3592</v>
      </c>
    </row>
    <row r="635" spans="1:27" hidden="1" x14ac:dyDescent="0.3">
      <c r="A635">
        <v>34351</v>
      </c>
      <c r="B635" t="str">
        <f>_xlfn.CONCAT(bron[[#This Row],[personeelsnr]]," ",bron[[#This Row],[achternaam]]," ",bron[[#This Row],[voornaam]])</f>
        <v>34351 Callant Dieter</v>
      </c>
      <c r="C635" t="str">
        <f>VLOOKUP(bron[[#This Row],[personeelsnr]],'data hastus'!$A:$C,2,0)</f>
        <v>Callant</v>
      </c>
      <c r="D635" t="str">
        <f>VLOOKUP(bron[[#This Row],[personeelsnr]],'data hastus'!$A:$C,3,0)</f>
        <v>Dieter</v>
      </c>
      <c r="E635" t="str">
        <f>VLOOKUP(bron[[#This Row],[personeelsnr]],'data hastus'!A:K,11,FALSE)</f>
        <v>Els Vanhoe</v>
      </c>
      <c r="F635" s="10"/>
      <c r="G635" s="6">
        <v>1</v>
      </c>
      <c r="H635" s="6"/>
      <c r="I635" s="6"/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45679</v>
      </c>
      <c r="U635" s="8" t="s">
        <v>1026</v>
      </c>
      <c r="V635" s="8"/>
      <c r="W635" s="8">
        <v>1</v>
      </c>
      <c r="X635" t="s">
        <v>3580</v>
      </c>
      <c r="Y635" t="s">
        <v>159</v>
      </c>
      <c r="Z635">
        <v>6324</v>
      </c>
      <c r="AA635" s="39" t="s">
        <v>3592</v>
      </c>
    </row>
    <row r="636" spans="1:27" hidden="1" x14ac:dyDescent="0.3">
      <c r="A636">
        <v>34445</v>
      </c>
      <c r="B636" t="str">
        <f>_xlfn.CONCAT(bron[[#This Row],[personeelsnr]]," ",bron[[#This Row],[achternaam]]," ",bron[[#This Row],[voornaam]])</f>
        <v>34445 Wulleput Illya</v>
      </c>
      <c r="C636" t="str">
        <f>VLOOKUP(bron[[#This Row],[personeelsnr]],'data hastus'!$A:$C,2,0)</f>
        <v>Wulleput</v>
      </c>
      <c r="D636" t="str">
        <f>VLOOKUP(bron[[#This Row],[personeelsnr]],'data hastus'!$A:$C,3,0)</f>
        <v>Illya</v>
      </c>
      <c r="E636" t="str">
        <f>VLOOKUP(bron[[#This Row],[personeelsnr]],'data hastus'!A:K,11,FALSE)</f>
        <v>Dominique De Clercq</v>
      </c>
      <c r="F636" s="10"/>
      <c r="G636" s="6"/>
      <c r="H636" s="6"/>
      <c r="I636" s="6"/>
      <c r="J636">
        <v>1</v>
      </c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45763</v>
      </c>
      <c r="U636" s="8" t="s">
        <v>1138</v>
      </c>
      <c r="V636" s="8"/>
      <c r="W636" s="8">
        <v>1</v>
      </c>
      <c r="X636" t="s">
        <v>3581</v>
      </c>
      <c r="Y636" t="s">
        <v>46</v>
      </c>
      <c r="Z636">
        <v>6357</v>
      </c>
      <c r="AA636" s="39" t="s">
        <v>3592</v>
      </c>
    </row>
    <row r="637" spans="1:27" hidden="1" x14ac:dyDescent="0.3">
      <c r="A637">
        <v>35216</v>
      </c>
      <c r="B637" t="str">
        <f>_xlfn.CONCAT(bron[[#This Row],[personeelsnr]]," ",bron[[#This Row],[achternaam]]," ",bron[[#This Row],[voornaam]])</f>
        <v>35216 Coban Mehmet</v>
      </c>
      <c r="C637" t="str">
        <f>VLOOKUP(bron[[#This Row],[personeelsnr]],'data hastus'!$A:$C,2,0)</f>
        <v>Coban</v>
      </c>
      <c r="D637" t="str">
        <f>VLOOKUP(bron[[#This Row],[personeelsnr]],'data hastus'!$A:$C,3,0)</f>
        <v>Mehmet</v>
      </c>
      <c r="E637" t="str">
        <f>VLOOKUP(bron[[#This Row],[personeelsnr]],'data hastus'!A:K,11,FALSE)</f>
        <v>Lucie Vande Velde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45735</v>
      </c>
      <c r="U637" s="8" t="s">
        <v>1111</v>
      </c>
      <c r="V637" s="8">
        <v>1</v>
      </c>
      <c r="W637" s="8"/>
      <c r="X637" t="s">
        <v>3545</v>
      </c>
      <c r="Y637" t="s">
        <v>153</v>
      </c>
      <c r="Z637">
        <v>5924</v>
      </c>
      <c r="AA637" s="39" t="s">
        <v>3592</v>
      </c>
    </row>
    <row r="638" spans="1:27" hidden="1" x14ac:dyDescent="0.3">
      <c r="A638">
        <v>35246</v>
      </c>
      <c r="B638" t="str">
        <f>_xlfn.CONCAT(bron[[#This Row],[personeelsnr]]," ",bron[[#This Row],[achternaam]]," ",bron[[#This Row],[voornaam]])</f>
        <v>35246 De Meyer Karel</v>
      </c>
      <c r="C638" t="str">
        <f>VLOOKUP(bron[[#This Row],[personeelsnr]],'data hastus'!$A:$C,2,0)</f>
        <v>De Meyer</v>
      </c>
      <c r="D638" t="str">
        <f>VLOOKUP(bron[[#This Row],[personeelsnr]],'data hastus'!$A:$C,3,0)</f>
        <v>Karel</v>
      </c>
      <c r="E638" t="str">
        <f>VLOOKUP(bron[[#This Row],[personeelsnr]],'data hastus'!A:K,11,FALSE)</f>
        <v>Els Vanhoe</v>
      </c>
      <c r="F638" s="10"/>
      <c r="G638" s="6"/>
      <c r="H638" s="6"/>
      <c r="I638" s="6">
        <v>1</v>
      </c>
      <c r="J638"/>
      <c r="K638"/>
      <c r="L638"/>
      <c r="M638"/>
      <c r="N638"/>
      <c r="O638"/>
      <c r="P638"/>
      <c r="Q638"/>
      <c r="R638"/>
      <c r="S638">
        <f>SUM(bron[[#This Row],[Januari]:[December]])</f>
        <v>1</v>
      </c>
      <c r="T638" s="3">
        <v>45734</v>
      </c>
      <c r="U638" s="8" t="s">
        <v>1109</v>
      </c>
      <c r="V638" s="8">
        <v>1</v>
      </c>
      <c r="W638" s="8"/>
      <c r="X638" t="s">
        <v>3545</v>
      </c>
      <c r="Y638" t="s">
        <v>78</v>
      </c>
      <c r="Z638">
        <v>5922</v>
      </c>
      <c r="AA638" s="39" t="s">
        <v>3592</v>
      </c>
    </row>
    <row r="639" spans="1:27" hidden="1" x14ac:dyDescent="0.3">
      <c r="A639">
        <v>35379</v>
      </c>
      <c r="B639" t="str">
        <f>_xlfn.CONCAT(bron[[#This Row],[personeelsnr]]," ",bron[[#This Row],[achternaam]]," ",bron[[#This Row],[voornaam]])</f>
        <v>35379 Engels Sam</v>
      </c>
      <c r="C639" t="str">
        <f>VLOOKUP(bron[[#This Row],[personeelsnr]],'data hastus'!$A:$C,2,0)</f>
        <v>Engels</v>
      </c>
      <c r="D639" t="str">
        <f>VLOOKUP(bron[[#This Row],[personeelsnr]],'data hastus'!$A:$C,3,0)</f>
        <v>Sam</v>
      </c>
      <c r="E639" t="str">
        <f>VLOOKUP(bron[[#This Row],[personeelsnr]],'data hastus'!A:K,11,FALSE)</f>
        <v>Els Vanhoe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45729</v>
      </c>
      <c r="U639" s="8" t="s">
        <v>1103</v>
      </c>
      <c r="V639" s="8">
        <v>1</v>
      </c>
      <c r="W639" s="8"/>
      <c r="X639" t="s">
        <v>3546</v>
      </c>
      <c r="Y639" t="s">
        <v>115</v>
      </c>
      <c r="Z639">
        <v>5240</v>
      </c>
      <c r="AA639" s="39" t="s">
        <v>3592</v>
      </c>
    </row>
    <row r="640" spans="1:27" hidden="1" x14ac:dyDescent="0.3">
      <c r="A640">
        <v>35395</v>
      </c>
      <c r="B640" t="str">
        <f>_xlfn.CONCAT(bron[[#This Row],[personeelsnr]]," ",bron[[#This Row],[achternaam]]," ",bron[[#This Row],[voornaam]])</f>
        <v>35395 Limbourg Heidi</v>
      </c>
      <c r="C640" t="str">
        <f>VLOOKUP(bron[[#This Row],[personeelsnr]],'data hastus'!$A:$C,2,0)</f>
        <v>Limbourg</v>
      </c>
      <c r="D640" t="str">
        <f>VLOOKUP(bron[[#This Row],[personeelsnr]],'data hastus'!$A:$C,3,0)</f>
        <v>Heidi</v>
      </c>
      <c r="E640" t="str">
        <f>VLOOKUP(bron[[#This Row],[personeelsnr]],'data hastus'!A:K,11,FALSE)</f>
        <v>Steven Storm</v>
      </c>
      <c r="F640" s="10"/>
      <c r="G640" s="6">
        <v>1</v>
      </c>
      <c r="H640" s="6"/>
      <c r="I640" s="6"/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45680</v>
      </c>
      <c r="U640" s="8" t="s">
        <v>1028</v>
      </c>
      <c r="V640" s="8"/>
      <c r="W640" s="8">
        <v>1</v>
      </c>
      <c r="X640" t="s">
        <v>3580</v>
      </c>
      <c r="Y640" t="s">
        <v>171</v>
      </c>
      <c r="Z640">
        <v>6320</v>
      </c>
      <c r="AA640" s="39" t="s">
        <v>3592</v>
      </c>
    </row>
    <row r="641" spans="1:27" hidden="1" x14ac:dyDescent="0.3">
      <c r="A641">
        <v>35397</v>
      </c>
      <c r="B641" t="str">
        <f>_xlfn.CONCAT(bron[[#This Row],[personeelsnr]]," ",bron[[#This Row],[achternaam]]," ",bron[[#This Row],[voornaam]])</f>
        <v>35397 Minbari Ako</v>
      </c>
      <c r="C641" t="str">
        <f>VLOOKUP(bron[[#This Row],[personeelsnr]],'data hastus'!$A:$C,2,0)</f>
        <v>Minbari</v>
      </c>
      <c r="D641" t="str">
        <f>VLOOKUP(bron[[#This Row],[personeelsnr]],'data hastus'!$A:$C,3,0)</f>
        <v>Ako</v>
      </c>
      <c r="E641" t="str">
        <f>VLOOKUP(bron[[#This Row],[personeelsnr]],'data hastus'!A:K,11,FALSE)</f>
        <v>Lucie Vande Velde</v>
      </c>
      <c r="F641" s="10"/>
      <c r="G641" s="7"/>
      <c r="H641" s="7"/>
      <c r="I641" s="7"/>
      <c r="M641" s="5">
        <v>1</v>
      </c>
      <c r="S641" s="5">
        <f>SUM(bron[[#This Row],[Januari]:[December]])</f>
        <v>1</v>
      </c>
      <c r="T641" s="9">
        <v>45861</v>
      </c>
      <c r="U641" s="8" t="s">
        <v>1254</v>
      </c>
      <c r="V641" s="24"/>
      <c r="W641" s="24">
        <v>1</v>
      </c>
      <c r="X641" t="s">
        <v>3580</v>
      </c>
      <c r="Y641" t="s">
        <v>267</v>
      </c>
      <c r="Z641">
        <v>6323</v>
      </c>
      <c r="AA641" s="39" t="s">
        <v>3592</v>
      </c>
    </row>
    <row r="642" spans="1:27" hidden="1" x14ac:dyDescent="0.3">
      <c r="A642">
        <v>35397</v>
      </c>
      <c r="B642" t="str">
        <f>_xlfn.CONCAT(bron[[#This Row],[personeelsnr]]," ",bron[[#This Row],[achternaam]]," ",bron[[#This Row],[voornaam]])</f>
        <v>35397 Minbari Ako</v>
      </c>
      <c r="C642" t="str">
        <f>VLOOKUP(bron[[#This Row],[personeelsnr]],'data hastus'!$A:$C,2,0)</f>
        <v>Minbari</v>
      </c>
      <c r="D642" t="str">
        <f>VLOOKUP(bron[[#This Row],[personeelsnr]],'data hastus'!$A:$C,3,0)</f>
        <v>Ako</v>
      </c>
      <c r="E642" t="str">
        <f>VLOOKUP(bron[[#This Row],[personeelsnr]],'data hastus'!A:K,11,FALSE)</f>
        <v>Lucie Vande Velde</v>
      </c>
      <c r="F642" s="10"/>
      <c r="G642" s="6"/>
      <c r="H642" s="6">
        <v>1</v>
      </c>
      <c r="I642" s="6"/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45713</v>
      </c>
      <c r="U642" s="8" t="s">
        <v>1080</v>
      </c>
      <c r="V642" s="8">
        <v>1</v>
      </c>
      <c r="W642" s="8"/>
      <c r="X642" t="s">
        <v>3544</v>
      </c>
      <c r="Y642" t="s">
        <v>108</v>
      </c>
      <c r="Z642">
        <v>5914</v>
      </c>
      <c r="AA642" s="39" t="s">
        <v>3592</v>
      </c>
    </row>
    <row r="643" spans="1:27" hidden="1" x14ac:dyDescent="0.3">
      <c r="A643">
        <v>35450</v>
      </c>
      <c r="B643" t="str">
        <f>_xlfn.CONCAT(bron[[#This Row],[personeelsnr]]," ",bron[[#This Row],[achternaam]]," ",bron[[#This Row],[voornaam]])</f>
        <v>35450 Roos Hugo</v>
      </c>
      <c r="C643" t="str">
        <f>VLOOKUP(bron[[#This Row],[personeelsnr]],'data hastus'!$A:$C,2,0)</f>
        <v>Roos</v>
      </c>
      <c r="D643" t="str">
        <f>VLOOKUP(bron[[#This Row],[personeelsnr]],'data hastus'!$A:$C,3,0)</f>
        <v>Hugo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45735</v>
      </c>
      <c r="U643" s="8" t="s">
        <v>1110</v>
      </c>
      <c r="V643" s="8">
        <v>1</v>
      </c>
      <c r="W643" s="8"/>
      <c r="X643" t="s">
        <v>3545</v>
      </c>
      <c r="Y643" t="s">
        <v>255</v>
      </c>
      <c r="Z643">
        <v>4665</v>
      </c>
      <c r="AA643" s="39" t="s">
        <v>3592</v>
      </c>
    </row>
    <row r="644" spans="1:27" hidden="1" x14ac:dyDescent="0.3">
      <c r="A644">
        <v>35490</v>
      </c>
      <c r="B644" t="str">
        <f>_xlfn.CONCAT(bron[[#This Row],[personeelsnr]]," ",bron[[#This Row],[achternaam]]," ",bron[[#This Row],[voornaam]])</f>
        <v>35490 Nguetto Brisco Romeo</v>
      </c>
      <c r="C644" t="str">
        <f>VLOOKUP(bron[[#This Row],[personeelsnr]],'data hastus'!$A:$C,2,0)</f>
        <v>Nguetto</v>
      </c>
      <c r="D644" t="str">
        <f>VLOOKUP(bron[[#This Row],[personeelsnr]],'data hastus'!$A:$C,3,0)</f>
        <v>Brisco Romeo</v>
      </c>
      <c r="E644" t="str">
        <f>VLOOKUP(bron[[#This Row],[personeelsnr]],'data hastus'!A:K,11,FALSE)</f>
        <v>Steven Storm</v>
      </c>
      <c r="F644" s="10"/>
      <c r="G644" s="6"/>
      <c r="H644" s="6">
        <v>1</v>
      </c>
      <c r="I644" s="6"/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45706</v>
      </c>
      <c r="U644" s="8" t="s">
        <v>1336</v>
      </c>
      <c r="V644" s="8">
        <v>1</v>
      </c>
      <c r="W644" s="8"/>
      <c r="X644" t="s">
        <v>7</v>
      </c>
      <c r="Y644" t="s">
        <v>219</v>
      </c>
      <c r="Z644">
        <v>5912</v>
      </c>
      <c r="AA644" s="39" t="s">
        <v>3593</v>
      </c>
    </row>
    <row r="645" spans="1:27" hidden="1" x14ac:dyDescent="0.3">
      <c r="A645">
        <v>35491</v>
      </c>
      <c r="B645" t="str">
        <f>_xlfn.CONCAT(bron[[#This Row],[personeelsnr]]," ",bron[[#This Row],[achternaam]]," ",bron[[#This Row],[voornaam]])</f>
        <v>35491 Toubadie Zakaria</v>
      </c>
      <c r="C645" t="str">
        <f>VLOOKUP(bron[[#This Row],[personeelsnr]],'data hastus'!$A:$C,2,0)</f>
        <v>Toubadie</v>
      </c>
      <c r="D645" t="str">
        <f>VLOOKUP(bron[[#This Row],[personeelsnr]],'data hastus'!$A:$C,3,0)</f>
        <v>Zakaria</v>
      </c>
      <c r="E645" t="str">
        <f>VLOOKUP(bron[[#This Row],[personeelsnr]],'data hastus'!A:K,11,FALSE)</f>
        <v>Els Vanhoe</v>
      </c>
      <c r="F645" s="10"/>
      <c r="G645" s="6">
        <v>1</v>
      </c>
      <c r="H645" s="6"/>
      <c r="I645" s="6"/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45685</v>
      </c>
      <c r="U645" s="8" t="s">
        <v>1032</v>
      </c>
      <c r="V645" s="8">
        <v>1</v>
      </c>
      <c r="W645" s="8"/>
      <c r="X645" t="s">
        <v>3544</v>
      </c>
      <c r="Y645" t="s">
        <v>22</v>
      </c>
      <c r="Z645">
        <v>5235</v>
      </c>
      <c r="AA645" s="39" t="s">
        <v>3592</v>
      </c>
    </row>
    <row r="646" spans="1:27" hidden="1" x14ac:dyDescent="0.3">
      <c r="A646">
        <v>35495</v>
      </c>
      <c r="B646" t="str">
        <f>_xlfn.CONCAT(bron[[#This Row],[personeelsnr]]," ",bron[[#This Row],[achternaam]]," ",bron[[#This Row],[voornaam]])</f>
        <v>35495 Razzaz Mahmoud</v>
      </c>
      <c r="C646" t="str">
        <f>VLOOKUP(bron[[#This Row],[personeelsnr]],'data hastus'!$A:$C,2,0)</f>
        <v>Razzaz</v>
      </c>
      <c r="D646" t="str">
        <f>VLOOKUP(bron[[#This Row],[personeelsnr]],'data hastus'!$A:$C,3,0)</f>
        <v>Mahmoud</v>
      </c>
      <c r="E646" t="str">
        <f>VLOOKUP(bron[[#This Row],[personeelsnr]],'data hastus'!A:K,11,FALSE)</f>
        <v>Kenneth De Rick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45731</v>
      </c>
      <c r="U646" s="8" t="s">
        <v>1321</v>
      </c>
      <c r="V646" s="8"/>
      <c r="W646" s="8">
        <v>1</v>
      </c>
      <c r="X646" t="s">
        <v>8</v>
      </c>
      <c r="Y646" t="s">
        <v>967</v>
      </c>
      <c r="Z646">
        <v>6326</v>
      </c>
      <c r="AA646" s="39" t="s">
        <v>3593</v>
      </c>
    </row>
    <row r="647" spans="1:27" hidden="1" x14ac:dyDescent="0.3">
      <c r="A647">
        <v>35588</v>
      </c>
      <c r="B647" t="str">
        <f>_xlfn.CONCAT(bron[[#This Row],[personeelsnr]]," ",bron[[#This Row],[achternaam]]," ",bron[[#This Row],[voornaam]])</f>
        <v>35588 Smesman Glenn</v>
      </c>
      <c r="C647" t="str">
        <f>VLOOKUP(bron[[#This Row],[personeelsnr]],'data hastus'!$A:$C,2,0)</f>
        <v>Smesman</v>
      </c>
      <c r="D647" t="str">
        <f>VLOOKUP(bron[[#This Row],[personeelsnr]],'data hastus'!$A:$C,3,0)</f>
        <v>Glenn</v>
      </c>
      <c r="E647" t="str">
        <f>VLOOKUP(bron[[#This Row],[personeelsnr]],'data hastus'!A:K,11,FALSE)</f>
        <v>Lucie Vande Velde</v>
      </c>
      <c r="F647" s="10"/>
      <c r="G647" s="6">
        <v>1</v>
      </c>
      <c r="H647" s="6"/>
      <c r="I647" s="6"/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45675</v>
      </c>
      <c r="U647" s="8" t="s">
        <v>1329</v>
      </c>
      <c r="V647" s="8"/>
      <c r="W647" s="8">
        <v>1</v>
      </c>
      <c r="X647" t="s">
        <v>8</v>
      </c>
      <c r="Y647" t="s">
        <v>72</v>
      </c>
      <c r="Z647">
        <v>6356</v>
      </c>
      <c r="AA647" s="39" t="s">
        <v>3593</v>
      </c>
    </row>
    <row r="648" spans="1:27" hidden="1" x14ac:dyDescent="0.3">
      <c r="A648">
        <v>35619</v>
      </c>
      <c r="B648" t="str">
        <f>_xlfn.CONCAT(bron[[#This Row],[personeelsnr]]," ",bron[[#This Row],[achternaam]]," ",bron[[#This Row],[voornaam]])</f>
        <v>35619 El Mezroui Zouheir</v>
      </c>
      <c r="C648" t="str">
        <f>VLOOKUP(bron[[#This Row],[personeelsnr]],'data hastus'!$A:$C,2,0)</f>
        <v>El Mezroui</v>
      </c>
      <c r="D648" t="str">
        <f>VLOOKUP(bron[[#This Row],[personeelsnr]],'data hastus'!$A:$C,3,0)</f>
        <v>Zouheir</v>
      </c>
      <c r="E648" t="str">
        <f>VLOOKUP(bron[[#This Row],[personeelsnr]],'data hastus'!A:K,11,FALSE)</f>
        <v>Steven Storm</v>
      </c>
      <c r="F648" s="10"/>
      <c r="G648" s="6"/>
      <c r="H648" s="6"/>
      <c r="I648" s="6"/>
      <c r="J648">
        <v>1</v>
      </c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45755</v>
      </c>
      <c r="U648" s="8" t="s">
        <v>1127</v>
      </c>
      <c r="V648" s="8"/>
      <c r="W648" s="8">
        <v>1</v>
      </c>
      <c r="X648" t="s">
        <v>3580</v>
      </c>
      <c r="Y648" t="s">
        <v>69</v>
      </c>
      <c r="Z648">
        <v>6306</v>
      </c>
      <c r="AA648" s="39" t="s">
        <v>3592</v>
      </c>
    </row>
    <row r="649" spans="1:27" hidden="1" x14ac:dyDescent="0.3">
      <c r="A649">
        <v>35645</v>
      </c>
      <c r="B649" t="str">
        <f>_xlfn.CONCAT(bron[[#This Row],[personeelsnr]]," ",bron[[#This Row],[achternaam]]," ",bron[[#This Row],[voornaam]])</f>
        <v>35645 Jalili Yaseeb</v>
      </c>
      <c r="C649" t="str">
        <f>VLOOKUP(bron[[#This Row],[personeelsnr]],'data hastus'!$A:$C,2,0)</f>
        <v>Jalili</v>
      </c>
      <c r="D649" t="str">
        <f>VLOOKUP(bron[[#This Row],[personeelsnr]],'data hastus'!$A:$C,3,0)</f>
        <v>Yaseeb</v>
      </c>
      <c r="E649" t="str">
        <f>VLOOKUP(bron[[#This Row],[personeelsnr]],'data hastus'!A:K,11,FALSE)</f>
        <v>Steven Storm</v>
      </c>
      <c r="F649" s="10"/>
      <c r="G649" s="6"/>
      <c r="H649" s="6"/>
      <c r="I649" s="6"/>
      <c r="J649">
        <v>1</v>
      </c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45758</v>
      </c>
      <c r="U649" s="8" t="s">
        <v>1133</v>
      </c>
      <c r="V649" s="8">
        <v>1</v>
      </c>
      <c r="W649" s="8"/>
      <c r="X649" t="s">
        <v>3544</v>
      </c>
      <c r="Y649" t="s">
        <v>13</v>
      </c>
      <c r="Z649">
        <v>5238</v>
      </c>
      <c r="AA649" s="39" t="s">
        <v>3592</v>
      </c>
    </row>
    <row r="650" spans="1:27" hidden="1" x14ac:dyDescent="0.3">
      <c r="A650">
        <v>35645</v>
      </c>
      <c r="B650" t="str">
        <f>_xlfn.CONCAT(bron[[#This Row],[personeelsnr]]," ",bron[[#This Row],[achternaam]]," ",bron[[#This Row],[voornaam]])</f>
        <v>35645 Jalili Yaseeb</v>
      </c>
      <c r="C650" t="str">
        <f>VLOOKUP(bron[[#This Row],[personeelsnr]],'data hastus'!$A:$C,2,0)</f>
        <v>Jalili</v>
      </c>
      <c r="D650" t="str">
        <f>VLOOKUP(bron[[#This Row],[personeelsnr]],'data hastus'!$A:$C,3,0)</f>
        <v>Yaseeb</v>
      </c>
      <c r="E650" t="str">
        <f>VLOOKUP(bron[[#This Row],[personeelsnr]],'data hastus'!A:K,11,FALSE)</f>
        <v>Steven Storm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45726</v>
      </c>
      <c r="U650" s="8" t="s">
        <v>1099</v>
      </c>
      <c r="V650" s="8">
        <v>1</v>
      </c>
      <c r="W650" s="8"/>
      <c r="X650" t="s">
        <v>3545</v>
      </c>
      <c r="Y650" t="s">
        <v>46</v>
      </c>
      <c r="Z650">
        <v>5938</v>
      </c>
      <c r="AA650" s="39" t="s">
        <v>3592</v>
      </c>
    </row>
    <row r="651" spans="1:27" hidden="1" x14ac:dyDescent="0.3">
      <c r="A651">
        <v>36021</v>
      </c>
      <c r="B651" t="str">
        <f>_xlfn.CONCAT(bron[[#This Row],[personeelsnr]]," ",bron[[#This Row],[achternaam]]," ",bron[[#This Row],[voornaam]])</f>
        <v>36021 Boelaert Frederik</v>
      </c>
      <c r="C651" t="str">
        <f>VLOOKUP(bron[[#This Row],[personeelsnr]],'data hastus'!$A:$C,2,0)</f>
        <v>Boelaert</v>
      </c>
      <c r="D651" t="str">
        <f>VLOOKUP(bron[[#This Row],[personeelsnr]],'data hastus'!$A:$C,3,0)</f>
        <v>Frederik</v>
      </c>
      <c r="E651" t="str">
        <f>VLOOKUP(bron[[#This Row],[personeelsnr]],'data hastus'!A:K,11,FALSE)</f>
        <v>Lucie Vande Velde</v>
      </c>
      <c r="F651" s="10"/>
      <c r="G651" s="7"/>
      <c r="H651" s="7"/>
      <c r="I651" s="7"/>
      <c r="N651" s="5">
        <v>1</v>
      </c>
      <c r="S651" s="5">
        <f>SUM(bron[[#This Row],[Januari]:[December]])</f>
        <v>1</v>
      </c>
      <c r="T651" s="9">
        <v>45874</v>
      </c>
      <c r="U651" s="24" t="s">
        <v>1335</v>
      </c>
      <c r="V651" s="24">
        <v>1</v>
      </c>
      <c r="W651" s="24"/>
      <c r="X651" t="s">
        <v>7</v>
      </c>
      <c r="Y651" t="s">
        <v>51</v>
      </c>
      <c r="Z651">
        <v>5042</v>
      </c>
      <c r="AA651" s="39" t="s">
        <v>3593</v>
      </c>
    </row>
    <row r="652" spans="1:27" hidden="1" x14ac:dyDescent="0.3">
      <c r="A652">
        <v>36154</v>
      </c>
      <c r="B652" t="str">
        <f>_xlfn.CONCAT(bron[[#This Row],[personeelsnr]]," ",bron[[#This Row],[achternaam]]," ",bron[[#This Row],[voornaam]])</f>
        <v>36154 De Clercq Sven</v>
      </c>
      <c r="C652" t="str">
        <f>VLOOKUP(bron[[#This Row],[personeelsnr]],'data hastus'!$A:$C,2,0)</f>
        <v>De Clercq</v>
      </c>
      <c r="D652" t="str">
        <f>VLOOKUP(bron[[#This Row],[personeelsnr]],'data hastus'!$A:$C,3,0)</f>
        <v>Sven</v>
      </c>
      <c r="E652" t="str">
        <f>VLOOKUP(bron[[#This Row],[personeelsnr]],'data hastus'!A:K,11,FALSE)</f>
        <v>Lucie Vande Velde</v>
      </c>
      <c r="F652" s="10"/>
      <c r="G652" s="7"/>
      <c r="H652" s="7"/>
      <c r="I652" s="7"/>
      <c r="L652" s="5">
        <v>1</v>
      </c>
      <c r="S652" s="5">
        <f>SUM(bron[[#This Row],[Januari]:[December]])</f>
        <v>1</v>
      </c>
      <c r="T652" s="9">
        <v>45811</v>
      </c>
      <c r="U652" s="8" t="s">
        <v>1194</v>
      </c>
      <c r="V652" s="8"/>
      <c r="W652" s="8">
        <v>1</v>
      </c>
      <c r="X652" t="s">
        <v>3581</v>
      </c>
      <c r="Y652" t="s">
        <v>81</v>
      </c>
      <c r="Z652">
        <v>6356</v>
      </c>
      <c r="AA652" s="39" t="s">
        <v>3592</v>
      </c>
    </row>
    <row r="653" spans="1:27" hidden="1" x14ac:dyDescent="0.3">
      <c r="A653">
        <v>36289</v>
      </c>
      <c r="B653" t="str">
        <f>_xlfn.CONCAT(bron[[#This Row],[personeelsnr]]," ",bron[[#This Row],[achternaam]]," ",bron[[#This Row],[voornaam]])</f>
        <v>36289 Van Rentergem Steve</v>
      </c>
      <c r="C653" t="str">
        <f>VLOOKUP(bron[[#This Row],[personeelsnr]],'data hastus'!$A:$C,2,0)</f>
        <v>Van Rentergem</v>
      </c>
      <c r="D653" t="str">
        <f>VLOOKUP(bron[[#This Row],[personeelsnr]],'data hastus'!$A:$C,3,0)</f>
        <v>Steve</v>
      </c>
      <c r="E653" t="str">
        <f>VLOOKUP(bron[[#This Row],[personeelsnr]],'data hastus'!A:K,11,FALSE)</f>
        <v>Els Vanhoe</v>
      </c>
      <c r="F653" s="10"/>
      <c r="G653" s="6">
        <v>1</v>
      </c>
      <c r="H653" s="6"/>
      <c r="I653" s="6"/>
      <c r="J653"/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45660</v>
      </c>
      <c r="U653" s="8" t="s">
        <v>999</v>
      </c>
      <c r="V653" s="8">
        <v>1</v>
      </c>
      <c r="W653" s="8"/>
      <c r="X653" t="s">
        <v>3544</v>
      </c>
      <c r="Y653" t="s">
        <v>19</v>
      </c>
      <c r="Z653">
        <v>5048</v>
      </c>
      <c r="AA653" s="39" t="s">
        <v>3592</v>
      </c>
    </row>
    <row r="654" spans="1:27" hidden="1" x14ac:dyDescent="0.3">
      <c r="A654">
        <v>36358</v>
      </c>
      <c r="B654" t="str">
        <f>_xlfn.CONCAT(bron[[#This Row],[personeelsnr]]," ",bron[[#This Row],[achternaam]]," ",bron[[#This Row],[voornaam]])</f>
        <v>36358 De Nys Elise</v>
      </c>
      <c r="C654" t="str">
        <f>VLOOKUP(bron[[#This Row],[personeelsnr]],'data hastus'!$A:$C,2,0)</f>
        <v>De Nys</v>
      </c>
      <c r="D654" t="str">
        <f>VLOOKUP(bron[[#This Row],[personeelsnr]],'data hastus'!$A:$C,3,0)</f>
        <v>Elise</v>
      </c>
      <c r="E654" t="str">
        <f>VLOOKUP(bron[[#This Row],[personeelsnr]],'data hastus'!A:K,11,FALSE)</f>
        <v>Els Dewulf</v>
      </c>
      <c r="F654" s="10"/>
      <c r="G654" s="6"/>
      <c r="H654" s="6"/>
      <c r="I654" s="6">
        <v>1</v>
      </c>
      <c r="J654"/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45744</v>
      </c>
      <c r="U654" s="8" t="s">
        <v>1119</v>
      </c>
      <c r="V654" s="8"/>
      <c r="W654" s="8">
        <v>1</v>
      </c>
      <c r="X654" t="s">
        <v>3581</v>
      </c>
      <c r="Y654" t="s">
        <v>63</v>
      </c>
      <c r="Z654">
        <v>6370</v>
      </c>
      <c r="AA654" s="39" t="s">
        <v>3592</v>
      </c>
    </row>
    <row r="655" spans="1:27" hidden="1" x14ac:dyDescent="0.3">
      <c r="A655">
        <v>36426</v>
      </c>
      <c r="B655" t="str">
        <f>_xlfn.CONCAT(bron[[#This Row],[personeelsnr]]," ",bron[[#This Row],[achternaam]]," ",bron[[#This Row],[voornaam]])</f>
        <v>36426 Mohamed Yassin Abdulhamid</v>
      </c>
      <c r="C655" t="str">
        <f>VLOOKUP(bron[[#This Row],[personeelsnr]],'data hastus'!$A:$C,2,0)</f>
        <v>Mohamed Yassin</v>
      </c>
      <c r="D655" t="str">
        <f>VLOOKUP(bron[[#This Row],[personeelsnr]],'data hastus'!$A:$C,3,0)</f>
        <v>Abdulhamid</v>
      </c>
      <c r="E655" t="str">
        <f>VLOOKUP(bron[[#This Row],[personeelsnr]],'data hastus'!A:K,11,FALSE)</f>
        <v>Bart Van Der Beken</v>
      </c>
      <c r="F655" s="10"/>
      <c r="G655" s="7"/>
      <c r="H655" s="7"/>
      <c r="I655" s="7"/>
      <c r="L655" s="5">
        <v>1</v>
      </c>
      <c r="S655" s="5">
        <f>SUM(bron[[#This Row],[Januari]:[December]])</f>
        <v>1</v>
      </c>
      <c r="T655" s="9">
        <v>45828</v>
      </c>
      <c r="U655" s="8" t="s">
        <v>1205</v>
      </c>
      <c r="V655" s="24"/>
      <c r="W655" s="24">
        <v>1</v>
      </c>
      <c r="X655" t="s">
        <v>3581</v>
      </c>
      <c r="Y655" t="s">
        <v>301</v>
      </c>
      <c r="Z655">
        <v>6364</v>
      </c>
      <c r="AA655" s="39" t="s">
        <v>3592</v>
      </c>
    </row>
    <row r="656" spans="1:27" hidden="1" x14ac:dyDescent="0.3">
      <c r="A656">
        <v>36426</v>
      </c>
      <c r="B656" t="str">
        <f>_xlfn.CONCAT(bron[[#This Row],[personeelsnr]]," ",bron[[#This Row],[achternaam]]," ",bron[[#This Row],[voornaam]])</f>
        <v>36426 Mohamed Yassin Abdulhamid</v>
      </c>
      <c r="C656" t="str">
        <f>VLOOKUP(bron[[#This Row],[personeelsnr]],'data hastus'!$A:$C,2,0)</f>
        <v>Mohamed Yassin</v>
      </c>
      <c r="D656" t="str">
        <f>VLOOKUP(bron[[#This Row],[personeelsnr]],'data hastus'!$A:$C,3,0)</f>
        <v>Abdulhamid</v>
      </c>
      <c r="E656" t="str">
        <f>VLOOKUP(bron[[#This Row],[personeelsnr]],'data hastus'!A:K,11,FALSE)</f>
        <v>Bart Van Der Beken</v>
      </c>
      <c r="F656" s="10"/>
      <c r="G656" s="6">
        <v>1</v>
      </c>
      <c r="H656" s="6"/>
      <c r="I656" s="6"/>
      <c r="J656"/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45660</v>
      </c>
      <c r="U656" s="8" t="s">
        <v>1290</v>
      </c>
      <c r="V656" s="8"/>
      <c r="W656" s="8">
        <v>1</v>
      </c>
      <c r="X656" t="s">
        <v>8</v>
      </c>
      <c r="Y656" t="s">
        <v>235</v>
      </c>
      <c r="Z656">
        <v>6311</v>
      </c>
      <c r="AA656" s="39" t="s">
        <v>3593</v>
      </c>
    </row>
    <row r="657" spans="1:27" hidden="1" x14ac:dyDescent="0.3">
      <c r="A657">
        <v>36428</v>
      </c>
      <c r="B657" t="str">
        <f>_xlfn.CONCAT(bron[[#This Row],[personeelsnr]]," ",bron[[#This Row],[achternaam]]," ",bron[[#This Row],[voornaam]])</f>
        <v>36428 Abdi Shaiye Rashid</v>
      </c>
      <c r="C657" t="str">
        <f>VLOOKUP(bron[[#This Row],[personeelsnr]],'data hastus'!$A:$C,2,0)</f>
        <v>Abdi Shaiye</v>
      </c>
      <c r="D657" t="str">
        <f>VLOOKUP(bron[[#This Row],[personeelsnr]],'data hastus'!$A:$C,3,0)</f>
        <v>Rashid</v>
      </c>
      <c r="E657" t="str">
        <f>VLOOKUP(bron[[#This Row],[personeelsnr]],'data hastus'!A:K,11,FALSE)</f>
        <v>Lucie Vande Velde</v>
      </c>
      <c r="F657" s="10"/>
      <c r="G657" s="7"/>
      <c r="H657" s="7"/>
      <c r="I657" s="7"/>
      <c r="M657" s="5">
        <v>1</v>
      </c>
      <c r="S657" s="5">
        <f>SUM(bron[[#This Row],[Januari]:[December]])</f>
        <v>1</v>
      </c>
      <c r="T657" s="9">
        <v>45851</v>
      </c>
      <c r="U657" s="8" t="s">
        <v>1243</v>
      </c>
      <c r="V657" s="24">
        <v>1</v>
      </c>
      <c r="W657" s="24"/>
      <c r="X657" t="s">
        <v>3545</v>
      </c>
      <c r="Y657" t="s">
        <v>201</v>
      </c>
      <c r="Z657">
        <v>5763</v>
      </c>
      <c r="AA657" s="39" t="s">
        <v>3592</v>
      </c>
    </row>
    <row r="658" spans="1:27" hidden="1" x14ac:dyDescent="0.3">
      <c r="A658">
        <v>36428</v>
      </c>
      <c r="B658" t="str">
        <f>_xlfn.CONCAT(bron[[#This Row],[personeelsnr]]," ",bron[[#This Row],[achternaam]]," ",bron[[#This Row],[voornaam]])</f>
        <v>36428 Abdi Shaiye Rashid</v>
      </c>
      <c r="C658" t="str">
        <f>VLOOKUP(bron[[#This Row],[personeelsnr]],'data hastus'!$A:$C,2,0)</f>
        <v>Abdi Shaiye</v>
      </c>
      <c r="D658" t="str">
        <f>VLOOKUP(bron[[#This Row],[personeelsnr]],'data hastus'!$A:$C,3,0)</f>
        <v>Rashid</v>
      </c>
      <c r="E658" t="str">
        <f>VLOOKUP(bron[[#This Row],[personeelsnr]],'data hastus'!A:K,11,FALSE)</f>
        <v>Lucie Vande Velde</v>
      </c>
      <c r="F658" s="10"/>
      <c r="G658" s="7"/>
      <c r="H658" s="7"/>
      <c r="I658" s="7"/>
      <c r="K658" s="5">
        <v>1</v>
      </c>
      <c r="S658" s="5">
        <f>SUM(bron[[#This Row],[Januari]:[December]])</f>
        <v>1</v>
      </c>
      <c r="T658" s="9">
        <v>45792</v>
      </c>
      <c r="U658" s="8" t="s">
        <v>1174</v>
      </c>
      <c r="V658" s="8"/>
      <c r="W658" s="8">
        <v>1</v>
      </c>
      <c r="X658" t="s">
        <v>3581</v>
      </c>
      <c r="Y658" t="s">
        <v>10</v>
      </c>
      <c r="Z658">
        <v>6367</v>
      </c>
      <c r="AA658" s="39" t="s">
        <v>3592</v>
      </c>
    </row>
    <row r="659" spans="1:27" hidden="1" x14ac:dyDescent="0.3">
      <c r="A659">
        <v>36428</v>
      </c>
      <c r="B659" t="str">
        <f>_xlfn.CONCAT(bron[[#This Row],[personeelsnr]]," ",bron[[#This Row],[achternaam]]," ",bron[[#This Row],[voornaam]])</f>
        <v>36428 Abdi Shaiye Rashid</v>
      </c>
      <c r="C659" t="str">
        <f>VLOOKUP(bron[[#This Row],[personeelsnr]],'data hastus'!$A:$C,2,0)</f>
        <v>Abdi Shaiye</v>
      </c>
      <c r="D659" t="str">
        <f>VLOOKUP(bron[[#This Row],[personeelsnr]],'data hastus'!$A:$C,3,0)</f>
        <v>Rashid</v>
      </c>
      <c r="E659" t="str">
        <f>VLOOKUP(bron[[#This Row],[personeelsnr]],'data hastus'!A:K,11,FALSE)</f>
        <v>Lucie Vande Velde</v>
      </c>
      <c r="F659" s="10"/>
      <c r="G659" s="6">
        <v>1</v>
      </c>
      <c r="H659" s="6"/>
      <c r="I659" s="6"/>
      <c r="J659"/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45669</v>
      </c>
      <c r="U659" s="8" t="s">
        <v>1011</v>
      </c>
      <c r="V659" s="8">
        <v>1</v>
      </c>
      <c r="W659" s="8"/>
      <c r="X659" t="s">
        <v>3544</v>
      </c>
      <c r="Y659" t="s">
        <v>13</v>
      </c>
      <c r="Z659">
        <v>5328</v>
      </c>
      <c r="AA659" s="39" t="s">
        <v>3592</v>
      </c>
    </row>
    <row r="660" spans="1:27" hidden="1" x14ac:dyDescent="0.3">
      <c r="A660">
        <v>36438</v>
      </c>
      <c r="B660" t="str">
        <f>_xlfn.CONCAT(bron[[#This Row],[personeelsnr]]," ",bron[[#This Row],[achternaam]]," ",bron[[#This Row],[voornaam]])</f>
        <v>36438 Agil Birol</v>
      </c>
      <c r="C660" t="str">
        <f>VLOOKUP(bron[[#This Row],[personeelsnr]],'data hastus'!$A:$C,2,0)</f>
        <v>Agil</v>
      </c>
      <c r="D660" t="str">
        <f>VLOOKUP(bron[[#This Row],[personeelsnr]],'data hastus'!$A:$C,3,0)</f>
        <v>Birol</v>
      </c>
      <c r="E660" t="str">
        <f>VLOOKUP(bron[[#This Row],[personeelsnr]],'data hastus'!A:K,11,FALSE)</f>
        <v>Bart Van Der Beken</v>
      </c>
      <c r="F660" s="10"/>
      <c r="G660" s="6"/>
      <c r="H660" s="6"/>
      <c r="I660" s="6"/>
      <c r="J660"/>
      <c r="K660">
        <v>1</v>
      </c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45803</v>
      </c>
      <c r="U660" s="8" t="s">
        <v>1183</v>
      </c>
      <c r="V660" s="8"/>
      <c r="W660" s="8">
        <v>1</v>
      </c>
      <c r="X660" t="s">
        <v>3580</v>
      </c>
      <c r="Y660" t="s">
        <v>75</v>
      </c>
      <c r="Z660">
        <v>6314</v>
      </c>
      <c r="AA660" s="39" t="s">
        <v>3592</v>
      </c>
    </row>
    <row r="661" spans="1:27" hidden="1" x14ac:dyDescent="0.3">
      <c r="A661">
        <v>36512</v>
      </c>
      <c r="B661" t="str">
        <f>_xlfn.CONCAT(bron[[#This Row],[personeelsnr]]," ",bron[[#This Row],[achternaam]]," ",bron[[#This Row],[voornaam]])</f>
        <v>36512 Van Herreweghe Branco</v>
      </c>
      <c r="C661" t="str">
        <f>VLOOKUP(bron[[#This Row],[personeelsnr]],'data hastus'!$A:$C,2,0)</f>
        <v>Van Herreweghe</v>
      </c>
      <c r="D661" t="str">
        <f>VLOOKUP(bron[[#This Row],[personeelsnr]],'data hastus'!$A:$C,3,0)</f>
        <v>Branco</v>
      </c>
      <c r="E661" t="str">
        <f>VLOOKUP(bron[[#This Row],[personeelsnr]],'data hastus'!A:K,11,FALSE)</f>
        <v>Steven Storm</v>
      </c>
      <c r="F661" s="10"/>
      <c r="G661" s="7"/>
      <c r="H661" s="7"/>
      <c r="I661" s="7"/>
      <c r="L661" s="5">
        <v>1</v>
      </c>
      <c r="S661" s="5">
        <f>SUM(bron[[#This Row],[Januari]:[December]])</f>
        <v>1</v>
      </c>
      <c r="T661" s="9">
        <v>45819</v>
      </c>
      <c r="U661" s="8" t="s">
        <v>1201</v>
      </c>
      <c r="V661" s="24">
        <v>1</v>
      </c>
      <c r="W661" s="24"/>
      <c r="X661" t="s">
        <v>3545</v>
      </c>
      <c r="Y661" t="s">
        <v>86</v>
      </c>
      <c r="Z661">
        <v>5934</v>
      </c>
      <c r="AA661" s="39" t="s">
        <v>3592</v>
      </c>
    </row>
    <row r="662" spans="1:27" hidden="1" x14ac:dyDescent="0.3">
      <c r="A662">
        <v>36512</v>
      </c>
      <c r="B662" t="str">
        <f>_xlfn.CONCAT(bron[[#This Row],[personeelsnr]]," ",bron[[#This Row],[achternaam]]," ",bron[[#This Row],[voornaam]])</f>
        <v>36512 Van Herreweghe Branco</v>
      </c>
      <c r="C662" t="str">
        <f>VLOOKUP(bron[[#This Row],[personeelsnr]],'data hastus'!$A:$C,2,0)</f>
        <v>Van Herreweghe</v>
      </c>
      <c r="D662" t="str">
        <f>VLOOKUP(bron[[#This Row],[personeelsnr]],'data hastus'!$A:$C,3,0)</f>
        <v>Branco</v>
      </c>
      <c r="E662" t="str">
        <f>VLOOKUP(bron[[#This Row],[personeelsnr]],'data hastus'!A:K,11,FALSE)</f>
        <v>Steven Storm</v>
      </c>
      <c r="F662" s="10"/>
      <c r="G662" s="7"/>
      <c r="H662" s="7"/>
      <c r="I662" s="7"/>
      <c r="J662" s="5">
        <v>1</v>
      </c>
      <c r="S662" s="5">
        <f>SUM(bron[[#This Row],[Januari]:[December]])</f>
        <v>1</v>
      </c>
      <c r="T662" s="9">
        <v>45770</v>
      </c>
      <c r="U662" s="8" t="s">
        <v>1149</v>
      </c>
      <c r="V662" s="24"/>
      <c r="W662" s="24">
        <v>1</v>
      </c>
      <c r="X662" t="s">
        <v>3580</v>
      </c>
      <c r="Y662" t="s">
        <v>31</v>
      </c>
      <c r="Z662">
        <v>6313</v>
      </c>
      <c r="AA662" s="39" t="s">
        <v>3592</v>
      </c>
    </row>
    <row r="663" spans="1:27" hidden="1" x14ac:dyDescent="0.3">
      <c r="A663">
        <v>36559</v>
      </c>
      <c r="B663" t="str">
        <f>_xlfn.CONCAT(bron[[#This Row],[personeelsnr]]," ",bron[[#This Row],[achternaam]]," ",bron[[#This Row],[voornaam]])</f>
        <v>36559 De Staercke Sandra</v>
      </c>
      <c r="C663" t="str">
        <f>VLOOKUP(bron[[#This Row],[personeelsnr]],'data hastus'!$A:$C,2,0)</f>
        <v>De Staercke</v>
      </c>
      <c r="D663" t="str">
        <f>VLOOKUP(bron[[#This Row],[personeelsnr]],'data hastus'!$A:$C,3,0)</f>
        <v>Sandra</v>
      </c>
      <c r="E663" t="str">
        <f>VLOOKUP(bron[[#This Row],[personeelsnr]],'data hastus'!A:K,11,FALSE)</f>
        <v>Kenneth De Rick</v>
      </c>
      <c r="F663" s="10"/>
      <c r="G663" s="6">
        <v>1</v>
      </c>
      <c r="H663" s="6"/>
      <c r="I663" s="6"/>
      <c r="J663"/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45667</v>
      </c>
      <c r="U663" s="8" t="s">
        <v>1009</v>
      </c>
      <c r="V663" s="8"/>
      <c r="W663" s="8">
        <v>1</v>
      </c>
      <c r="X663" t="s">
        <v>3581</v>
      </c>
      <c r="Y663" t="s">
        <v>297</v>
      </c>
      <c r="Z663">
        <v>6366</v>
      </c>
      <c r="AA663" s="39" t="s">
        <v>3592</v>
      </c>
    </row>
    <row r="664" spans="1:27" hidden="1" x14ac:dyDescent="0.3">
      <c r="A664">
        <v>36569</v>
      </c>
      <c r="B664" t="str">
        <f>_xlfn.CONCAT(bron[[#This Row],[personeelsnr]]," ",bron[[#This Row],[achternaam]]," ",bron[[#This Row],[voornaam]])</f>
        <v>36569 Stroobandt Jonas</v>
      </c>
      <c r="C664" t="str">
        <f>VLOOKUP(bron[[#This Row],[personeelsnr]],'data hastus'!$A:$C,2,0)</f>
        <v>Stroobandt</v>
      </c>
      <c r="D664" t="str">
        <f>VLOOKUP(bron[[#This Row],[personeelsnr]],'data hastus'!$A:$C,3,0)</f>
        <v>Jonas</v>
      </c>
      <c r="E664" t="str">
        <f>VLOOKUP(bron[[#This Row],[personeelsnr]],'data hastus'!A:K,11,FALSE)</f>
        <v>Els Vanhoe</v>
      </c>
      <c r="F664" s="10"/>
      <c r="G664" s="7"/>
      <c r="H664" s="7"/>
      <c r="I664" s="7"/>
      <c r="L664" s="5">
        <v>1</v>
      </c>
      <c r="S664" s="5">
        <f>SUM(bron[[#This Row],[Januari]:[December]])</f>
        <v>1</v>
      </c>
      <c r="T664" s="9">
        <v>45828</v>
      </c>
      <c r="U664" s="8" t="s">
        <v>1207</v>
      </c>
      <c r="V664" s="24"/>
      <c r="W664" s="24">
        <v>1</v>
      </c>
      <c r="X664" t="s">
        <v>3580</v>
      </c>
      <c r="Y664" t="s">
        <v>31</v>
      </c>
      <c r="Z664">
        <v>6321</v>
      </c>
      <c r="AA664" s="39" t="s">
        <v>3592</v>
      </c>
    </row>
    <row r="665" spans="1:27" hidden="1" x14ac:dyDescent="0.3">
      <c r="A665">
        <v>36569</v>
      </c>
      <c r="B665" t="str">
        <f>_xlfn.CONCAT(bron[[#This Row],[personeelsnr]]," ",bron[[#This Row],[achternaam]]," ",bron[[#This Row],[voornaam]])</f>
        <v>36569 Stroobandt Jonas</v>
      </c>
      <c r="C665" t="str">
        <f>VLOOKUP(bron[[#This Row],[personeelsnr]],'data hastus'!$A:$C,2,0)</f>
        <v>Stroobandt</v>
      </c>
      <c r="D665" t="str">
        <f>VLOOKUP(bron[[#This Row],[personeelsnr]],'data hastus'!$A:$C,3,0)</f>
        <v>Jonas</v>
      </c>
      <c r="E665" t="str">
        <f>VLOOKUP(bron[[#This Row],[personeelsnr]],'data hastus'!A:K,11,FALSE)</f>
        <v>Els Vanhoe</v>
      </c>
      <c r="F665" s="10"/>
      <c r="G665" s="6"/>
      <c r="H665" s="6"/>
      <c r="I665" s="6">
        <v>1</v>
      </c>
      <c r="J665"/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45744</v>
      </c>
      <c r="U665" s="8" t="s">
        <v>1120</v>
      </c>
      <c r="V665" s="8"/>
      <c r="W665" s="8">
        <v>1</v>
      </c>
      <c r="X665" t="s">
        <v>3580</v>
      </c>
      <c r="Y665" t="s">
        <v>167</v>
      </c>
      <c r="Z665">
        <v>6325</v>
      </c>
      <c r="AA665" s="39" t="s">
        <v>3592</v>
      </c>
    </row>
    <row r="666" spans="1:27" hidden="1" x14ac:dyDescent="0.3">
      <c r="A666">
        <v>36569</v>
      </c>
      <c r="B666" t="str">
        <f>_xlfn.CONCAT(bron[[#This Row],[personeelsnr]]," ",bron[[#This Row],[achternaam]]," ",bron[[#This Row],[voornaam]])</f>
        <v>36569 Stroobandt Jonas</v>
      </c>
      <c r="C666" t="str">
        <f>VLOOKUP(bron[[#This Row],[personeelsnr]],'data hastus'!$A:$C,2,0)</f>
        <v>Stroobandt</v>
      </c>
      <c r="D666" t="str">
        <f>VLOOKUP(bron[[#This Row],[personeelsnr]],'data hastus'!$A:$C,3,0)</f>
        <v>Jonas</v>
      </c>
      <c r="E666" t="str">
        <f>VLOOKUP(bron[[#This Row],[personeelsnr]],'data hastus'!A:K,11,FALSE)</f>
        <v>Els Vanhoe</v>
      </c>
      <c r="F666" s="10"/>
      <c r="G666" s="6"/>
      <c r="H666" s="6">
        <v>1</v>
      </c>
      <c r="I666" s="6"/>
      <c r="J666"/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45708</v>
      </c>
      <c r="U666" s="8" t="s">
        <v>1068</v>
      </c>
      <c r="V666" s="8"/>
      <c r="W666" s="8">
        <v>1</v>
      </c>
      <c r="X666" t="s">
        <v>3580</v>
      </c>
      <c r="Y666" t="s">
        <v>5</v>
      </c>
      <c r="Z666">
        <v>6333</v>
      </c>
      <c r="AA666" s="39" t="s">
        <v>3592</v>
      </c>
    </row>
    <row r="667" spans="1:27" hidden="1" x14ac:dyDescent="0.3">
      <c r="A667">
        <v>36577</v>
      </c>
      <c r="B667" t="str">
        <f>_xlfn.CONCAT(bron[[#This Row],[personeelsnr]]," ",bron[[#This Row],[achternaam]]," ",bron[[#This Row],[voornaam]])</f>
        <v>36577 De Smet Martine</v>
      </c>
      <c r="C667" t="str">
        <f>VLOOKUP(bron[[#This Row],[personeelsnr]],'data hastus'!$A:$C,2,0)</f>
        <v>De Smet</v>
      </c>
      <c r="D667" t="str">
        <f>VLOOKUP(bron[[#This Row],[personeelsnr]],'data hastus'!$A:$C,3,0)</f>
        <v>Martine</v>
      </c>
      <c r="E667" t="str">
        <f>VLOOKUP(bron[[#This Row],[personeelsnr]],'data hastus'!A:K,11,FALSE)</f>
        <v>Els Dewulf</v>
      </c>
      <c r="F667" s="10"/>
      <c r="G667" s="7"/>
      <c r="H667" s="7"/>
      <c r="I667" s="7"/>
      <c r="M667" s="5">
        <v>1</v>
      </c>
      <c r="S667" s="5">
        <f>SUM(bron[[#This Row],[Januari]:[December]])</f>
        <v>1</v>
      </c>
      <c r="T667" s="9">
        <v>45852</v>
      </c>
      <c r="U667" s="8" t="s">
        <v>1245</v>
      </c>
      <c r="V667" s="24"/>
      <c r="W667" s="24">
        <v>1</v>
      </c>
      <c r="X667" t="s">
        <v>3581</v>
      </c>
      <c r="Y667" t="s">
        <v>69</v>
      </c>
      <c r="Z667">
        <v>6353</v>
      </c>
      <c r="AA667" s="39" t="s">
        <v>3592</v>
      </c>
    </row>
    <row r="668" spans="1:27" hidden="1" x14ac:dyDescent="0.3">
      <c r="A668">
        <v>36624</v>
      </c>
      <c r="B668" t="str">
        <f>_xlfn.CONCAT(bron[[#This Row],[personeelsnr]]," ",bron[[#This Row],[achternaam]]," ",bron[[#This Row],[voornaam]])</f>
        <v>36624 De Meulenaere Kurt</v>
      </c>
      <c r="C668" t="str">
        <f>VLOOKUP(bron[[#This Row],[personeelsnr]],'data hastus'!$A:$C,2,0)</f>
        <v>De Meulenaere</v>
      </c>
      <c r="D668" t="str">
        <f>VLOOKUP(bron[[#This Row],[personeelsnr]],'data hastus'!$A:$C,3,0)</f>
        <v>Kurt</v>
      </c>
      <c r="E668" t="str">
        <f>VLOOKUP(bron[[#This Row],[personeelsnr]],'data hastus'!A:K,11,FALSE)</f>
        <v>Dominique De Clercq</v>
      </c>
      <c r="F668" s="10"/>
      <c r="G668" s="7"/>
      <c r="H668" s="7"/>
      <c r="I668" s="7"/>
      <c r="L668" s="5">
        <v>1</v>
      </c>
      <c r="S668" s="5">
        <f>SUM(bron[[#This Row],[Januari]:[December]])</f>
        <v>1</v>
      </c>
      <c r="T668" s="9">
        <v>45829</v>
      </c>
      <c r="U668" s="8" t="s">
        <v>1209</v>
      </c>
      <c r="V668" s="24">
        <v>1</v>
      </c>
      <c r="W668" s="24"/>
      <c r="X668" t="s">
        <v>3545</v>
      </c>
      <c r="Y668" t="s">
        <v>259</v>
      </c>
      <c r="Z668">
        <v>5910</v>
      </c>
      <c r="AA668" s="39" t="s">
        <v>3592</v>
      </c>
    </row>
    <row r="669" spans="1:27" hidden="1" x14ac:dyDescent="0.3">
      <c r="A669">
        <v>36626</v>
      </c>
      <c r="B669" t="str">
        <f>_xlfn.CONCAT(bron[[#This Row],[personeelsnr]]," ",bron[[#This Row],[achternaam]]," ",bron[[#This Row],[voornaam]])</f>
        <v>36626 Kartal Kadir</v>
      </c>
      <c r="C669" t="str">
        <f>VLOOKUP(bron[[#This Row],[personeelsnr]],'data hastus'!$A:$C,2,0)</f>
        <v>Kartal</v>
      </c>
      <c r="D669" t="str">
        <f>VLOOKUP(bron[[#This Row],[personeelsnr]],'data hastus'!$A:$C,3,0)</f>
        <v>Kadir</v>
      </c>
      <c r="E669" t="str">
        <f>VLOOKUP(bron[[#This Row],[personeelsnr]],'data hastus'!A:K,11,FALSE)</f>
        <v>Els Dewulf</v>
      </c>
      <c r="F669" s="10"/>
      <c r="G669" s="6">
        <v>1</v>
      </c>
      <c r="H669" s="6"/>
      <c r="I669" s="6"/>
      <c r="J669"/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45673</v>
      </c>
      <c r="U669" s="8" t="s">
        <v>1018</v>
      </c>
      <c r="V669" s="8"/>
      <c r="W669" s="8">
        <v>1</v>
      </c>
      <c r="X669" t="s">
        <v>3581</v>
      </c>
      <c r="Y669" t="s">
        <v>5</v>
      </c>
      <c r="Z669">
        <v>6357</v>
      </c>
      <c r="AA669" s="39" t="s">
        <v>3592</v>
      </c>
    </row>
    <row r="670" spans="1:27" hidden="1" x14ac:dyDescent="0.3">
      <c r="A670">
        <v>36626</v>
      </c>
      <c r="B670" t="str">
        <f>_xlfn.CONCAT(bron[[#This Row],[personeelsnr]]," ",bron[[#This Row],[achternaam]]," ",bron[[#This Row],[voornaam]])</f>
        <v>36626 Kartal Kadir</v>
      </c>
      <c r="C670" t="str">
        <f>VLOOKUP(bron[[#This Row],[personeelsnr]],'data hastus'!$A:$C,2,0)</f>
        <v>Kartal</v>
      </c>
      <c r="D670" t="str">
        <f>VLOOKUP(bron[[#This Row],[personeelsnr]],'data hastus'!$A:$C,3,0)</f>
        <v>Kadir</v>
      </c>
      <c r="E670" t="str">
        <f>VLOOKUP(bron[[#This Row],[personeelsnr]],'data hastus'!A:K,11,FALSE)</f>
        <v>Els Dewulf</v>
      </c>
      <c r="F670" s="10"/>
      <c r="G670" s="6">
        <v>1</v>
      </c>
      <c r="H670" s="6"/>
      <c r="I670" s="6"/>
      <c r="J670"/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45671</v>
      </c>
      <c r="U670" s="8" t="s">
        <v>1013</v>
      </c>
      <c r="V670" s="8">
        <v>1</v>
      </c>
      <c r="W670" s="8"/>
      <c r="X670" t="s">
        <v>3545</v>
      </c>
      <c r="Y670" t="s">
        <v>22</v>
      </c>
      <c r="Z670">
        <v>5927</v>
      </c>
      <c r="AA670" s="39" t="s">
        <v>3592</v>
      </c>
    </row>
    <row r="671" spans="1:27" hidden="1" x14ac:dyDescent="0.3">
      <c r="A671">
        <v>36627</v>
      </c>
      <c r="B671" t="str">
        <f>_xlfn.CONCAT(bron[[#This Row],[personeelsnr]]," ",bron[[#This Row],[achternaam]]," ",bron[[#This Row],[voornaam]])</f>
        <v>36627 Dobbelaere David</v>
      </c>
      <c r="C671" t="str">
        <f>VLOOKUP(bron[[#This Row],[personeelsnr]],'data hastus'!$A:$C,2,0)</f>
        <v>Dobbelaere</v>
      </c>
      <c r="D671" t="str">
        <f>VLOOKUP(bron[[#This Row],[personeelsnr]],'data hastus'!$A:$C,3,0)</f>
        <v>David</v>
      </c>
      <c r="E671" t="str">
        <f>VLOOKUP(bron[[#This Row],[personeelsnr]],'data hastus'!A:K,11,FALSE)</f>
        <v>Els Dewulf</v>
      </c>
      <c r="F671" s="10"/>
      <c r="G671" s="7"/>
      <c r="H671" s="7"/>
      <c r="I671" s="7"/>
      <c r="L671" s="5">
        <v>1</v>
      </c>
      <c r="S671" s="5">
        <f>SUM(bron[[#This Row],[Januari]:[December]])</f>
        <v>1</v>
      </c>
      <c r="T671" s="9">
        <v>45814</v>
      </c>
      <c r="U671" s="8" t="s">
        <v>1198</v>
      </c>
      <c r="V671" s="24"/>
      <c r="W671" s="24">
        <v>1</v>
      </c>
      <c r="X671" t="s">
        <v>3581</v>
      </c>
      <c r="Y671" t="s">
        <v>72</v>
      </c>
      <c r="Z671">
        <v>6374</v>
      </c>
      <c r="AA671" s="39" t="s">
        <v>3592</v>
      </c>
    </row>
    <row r="672" spans="1:27" hidden="1" x14ac:dyDescent="0.3">
      <c r="A672">
        <v>36635</v>
      </c>
      <c r="B672" t="str">
        <f>_xlfn.CONCAT(bron[[#This Row],[personeelsnr]]," ",bron[[#This Row],[achternaam]]," ",bron[[#This Row],[voornaam]])</f>
        <v>36635 Fadel Husam</v>
      </c>
      <c r="C672" t="str">
        <f>VLOOKUP(bron[[#This Row],[personeelsnr]],'data hastus'!$A:$C,2,0)</f>
        <v>Fadel</v>
      </c>
      <c r="D672" t="str">
        <f>VLOOKUP(bron[[#This Row],[personeelsnr]],'data hastus'!$A:$C,3,0)</f>
        <v>Husam</v>
      </c>
      <c r="E672" t="str">
        <f>VLOOKUP(bron[[#This Row],[personeelsnr]],'data hastus'!A:K,11,FALSE)</f>
        <v>Kenneth De Rick</v>
      </c>
      <c r="F672" s="10"/>
      <c r="G672" s="6"/>
      <c r="H672" s="6"/>
      <c r="I672" s="6">
        <v>1</v>
      </c>
      <c r="J672"/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45733</v>
      </c>
      <c r="U672" s="8" t="s">
        <v>1105</v>
      </c>
      <c r="V672" s="8"/>
      <c r="W672" s="8">
        <v>1</v>
      </c>
      <c r="X672" t="s">
        <v>3580</v>
      </c>
      <c r="Y672" t="s">
        <v>104</v>
      </c>
      <c r="Z672">
        <v>6331</v>
      </c>
      <c r="AA672" s="39" t="s">
        <v>3592</v>
      </c>
    </row>
    <row r="673" spans="1:27" hidden="1" x14ac:dyDescent="0.3">
      <c r="A673">
        <v>36663</v>
      </c>
      <c r="B673" t="str">
        <f>_xlfn.CONCAT(bron[[#This Row],[personeelsnr]]," ",bron[[#This Row],[achternaam]]," ",bron[[#This Row],[voornaam]])</f>
        <v>36663 Cesmeli Achraf</v>
      </c>
      <c r="C673" t="str">
        <f>VLOOKUP(bron[[#This Row],[personeelsnr]],'data hastus'!$A:$C,2,0)</f>
        <v>Cesmeli</v>
      </c>
      <c r="D673" t="str">
        <f>VLOOKUP(bron[[#This Row],[personeelsnr]],'data hastus'!$A:$C,3,0)</f>
        <v>Achraf</v>
      </c>
      <c r="E673" t="str">
        <f>VLOOKUP(bron[[#This Row],[personeelsnr]],'data hastus'!A:K,11,FALSE)</f>
        <v>Dominique De Clercq</v>
      </c>
      <c r="F673" s="10"/>
      <c r="G673" s="6">
        <v>1</v>
      </c>
      <c r="H673" s="6"/>
      <c r="I673" s="6"/>
      <c r="J673"/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45688</v>
      </c>
      <c r="U673" s="8" t="s">
        <v>1037</v>
      </c>
      <c r="V673" s="8">
        <v>1</v>
      </c>
      <c r="W673" s="8"/>
      <c r="X673" t="s">
        <v>3545</v>
      </c>
      <c r="Y673" t="s">
        <v>13</v>
      </c>
      <c r="Z673">
        <v>5053</v>
      </c>
      <c r="AA673" s="39" t="s">
        <v>3592</v>
      </c>
    </row>
    <row r="674" spans="1:27" hidden="1" x14ac:dyDescent="0.3">
      <c r="A674">
        <v>36663</v>
      </c>
      <c r="B674" t="str">
        <f>_xlfn.CONCAT(bron[[#This Row],[personeelsnr]]," ",bron[[#This Row],[achternaam]]," ",bron[[#This Row],[voornaam]])</f>
        <v>36663 Cesmeli Achraf</v>
      </c>
      <c r="C674" t="str">
        <f>VLOOKUP(bron[[#This Row],[personeelsnr]],'data hastus'!$A:$C,2,0)</f>
        <v>Cesmeli</v>
      </c>
      <c r="D674" t="str">
        <f>VLOOKUP(bron[[#This Row],[personeelsnr]],'data hastus'!$A:$C,3,0)</f>
        <v>Achraf</v>
      </c>
      <c r="E674" t="str">
        <f>VLOOKUP(bron[[#This Row],[personeelsnr]],'data hastus'!A:K,11,FALSE)</f>
        <v>Dominique De Clercq</v>
      </c>
      <c r="F674" s="10"/>
      <c r="G674" s="6">
        <v>1</v>
      </c>
      <c r="H674" s="6"/>
      <c r="I674" s="6"/>
      <c r="J674"/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45684</v>
      </c>
      <c r="U674" s="8" t="s">
        <v>1030</v>
      </c>
      <c r="V674" s="8">
        <v>1</v>
      </c>
      <c r="W674" s="8"/>
      <c r="X674" t="s">
        <v>3546</v>
      </c>
      <c r="Y674" t="s">
        <v>81</v>
      </c>
      <c r="Z674">
        <v>5267</v>
      </c>
      <c r="AA674" s="39" t="s">
        <v>3592</v>
      </c>
    </row>
    <row r="675" spans="1:27" hidden="1" x14ac:dyDescent="0.3">
      <c r="A675">
        <v>36663</v>
      </c>
      <c r="B675" t="str">
        <f>_xlfn.CONCAT(bron[[#This Row],[personeelsnr]]," ",bron[[#This Row],[achternaam]]," ",bron[[#This Row],[voornaam]])</f>
        <v>36663 Cesmeli Achraf</v>
      </c>
      <c r="C675" t="str">
        <f>VLOOKUP(bron[[#This Row],[personeelsnr]],'data hastus'!$A:$C,2,0)</f>
        <v>Cesmeli</v>
      </c>
      <c r="D675" t="str">
        <f>VLOOKUP(bron[[#This Row],[personeelsnr]],'data hastus'!$A:$C,3,0)</f>
        <v>Achraf</v>
      </c>
      <c r="E675" t="str">
        <f>VLOOKUP(bron[[#This Row],[personeelsnr]],'data hastus'!A:K,11,FALSE)</f>
        <v>Dominique De Clercq</v>
      </c>
      <c r="F675" s="10"/>
      <c r="G675" s="6">
        <v>1</v>
      </c>
      <c r="H675" s="6"/>
      <c r="I675" s="6"/>
      <c r="J675"/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45661</v>
      </c>
      <c r="U675" t="s">
        <v>1004</v>
      </c>
      <c r="V675" s="8">
        <v>1</v>
      </c>
      <c r="W675"/>
      <c r="X675" t="s">
        <v>3545</v>
      </c>
      <c r="Z675" t="s">
        <v>391</v>
      </c>
      <c r="AA675" s="39" t="s">
        <v>3592</v>
      </c>
    </row>
    <row r="676" spans="1:27" hidden="1" x14ac:dyDescent="0.3">
      <c r="A676">
        <v>36820</v>
      </c>
      <c r="B676" t="str">
        <f>_xlfn.CONCAT(bron[[#This Row],[personeelsnr]]," ",bron[[#This Row],[achternaam]]," ",bron[[#This Row],[voornaam]])</f>
        <v>36820 Haché Philip</v>
      </c>
      <c r="C676" t="str">
        <f>VLOOKUP(bron[[#This Row],[personeelsnr]],'data hastus'!$A:$C,2,0)</f>
        <v>Haché</v>
      </c>
      <c r="D676" t="str">
        <f>VLOOKUP(bron[[#This Row],[personeelsnr]],'data hastus'!$A:$C,3,0)</f>
        <v>Philip</v>
      </c>
      <c r="E676" t="str">
        <f>VLOOKUP(bron[[#This Row],[personeelsnr]],'data hastus'!A:K,11,FALSE)</f>
        <v>Steven Storm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45759</v>
      </c>
      <c r="U676" s="8" t="s">
        <v>1136</v>
      </c>
      <c r="V676" s="8">
        <v>1</v>
      </c>
      <c r="W676" s="8"/>
      <c r="X676" t="s">
        <v>3546</v>
      </c>
      <c r="Y676" t="s">
        <v>514</v>
      </c>
      <c r="Z676">
        <v>5229</v>
      </c>
      <c r="AA676" s="39" t="s">
        <v>3592</v>
      </c>
    </row>
    <row r="677" spans="1:27" hidden="1" x14ac:dyDescent="0.3">
      <c r="A677">
        <v>37132</v>
      </c>
      <c r="B677" t="str">
        <f>_xlfn.CONCAT(bron[[#This Row],[personeelsnr]]," ",bron[[#This Row],[achternaam]]," ",bron[[#This Row],[voornaam]])</f>
        <v>37132 Dacic Esmir</v>
      </c>
      <c r="C677" t="str">
        <f>VLOOKUP(bron[[#This Row],[personeelsnr]],'data hastus'!$A:$C,2,0)</f>
        <v>Dacic</v>
      </c>
      <c r="D677" t="str">
        <f>VLOOKUP(bron[[#This Row],[personeelsnr]],'data hastus'!$A:$C,3,0)</f>
        <v>Esmir</v>
      </c>
      <c r="E677" t="str">
        <f>VLOOKUP(bron[[#This Row],[personeelsnr]],'data hastus'!A:K,11,FALSE)</f>
        <v>Dominique De Clercq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45770</v>
      </c>
      <c r="U677" s="8" t="s">
        <v>1148</v>
      </c>
      <c r="V677" s="8"/>
      <c r="W677" s="8">
        <v>1</v>
      </c>
      <c r="X677" t="s">
        <v>3580</v>
      </c>
      <c r="Y677" t="s">
        <v>279</v>
      </c>
      <c r="Z677">
        <v>6320</v>
      </c>
      <c r="AA677" s="39" t="s">
        <v>3592</v>
      </c>
    </row>
    <row r="678" spans="1:27" hidden="1" x14ac:dyDescent="0.3">
      <c r="A678">
        <v>37179</v>
      </c>
      <c r="B678" t="str">
        <f>_xlfn.CONCAT(bron[[#This Row],[personeelsnr]]," ",bron[[#This Row],[achternaam]]," ",bron[[#This Row],[voornaam]])</f>
        <v>37179 Bashir Muhammad Salman</v>
      </c>
      <c r="C678" t="str">
        <f>VLOOKUP(bron[[#This Row],[personeelsnr]],'data hastus'!$A:$C,2,0)</f>
        <v>Bashir</v>
      </c>
      <c r="D678" t="str">
        <f>VLOOKUP(bron[[#This Row],[personeelsnr]],'data hastus'!$A:$C,3,0)</f>
        <v>Muhammad Salman</v>
      </c>
      <c r="E678" t="str">
        <f>VLOOKUP(bron[[#This Row],[personeelsnr]],'data hastus'!A:K,11,FALSE)</f>
        <v>Bart Van Der Beken</v>
      </c>
      <c r="F678" s="10"/>
      <c r="G678" s="6"/>
      <c r="H678" s="6"/>
      <c r="I678" s="6">
        <v>1</v>
      </c>
      <c r="J678"/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45742</v>
      </c>
      <c r="U678" s="8" t="s">
        <v>1115</v>
      </c>
      <c r="V678" s="8">
        <v>1</v>
      </c>
      <c r="W678" s="8"/>
      <c r="X678" t="s">
        <v>3546</v>
      </c>
      <c r="Y678" t="s">
        <v>48</v>
      </c>
      <c r="Z678">
        <v>5266</v>
      </c>
      <c r="AA678" s="39" t="s">
        <v>3592</v>
      </c>
    </row>
    <row r="679" spans="1:27" hidden="1" x14ac:dyDescent="0.3">
      <c r="A679">
        <v>37208</v>
      </c>
      <c r="B679" t="str">
        <f>_xlfn.CONCAT(bron[[#This Row],[personeelsnr]]," ",bron[[#This Row],[achternaam]]," ",bron[[#This Row],[voornaam]])</f>
        <v>37208 Catar Gökhan</v>
      </c>
      <c r="C679" t="str">
        <f>VLOOKUP(bron[[#This Row],[personeelsnr]],'data hastus'!$A:$C,2,0)</f>
        <v>Catar</v>
      </c>
      <c r="D679" t="str">
        <f>VLOOKUP(bron[[#This Row],[personeelsnr]],'data hastus'!$A:$C,3,0)</f>
        <v>Gökhan</v>
      </c>
      <c r="E679" t="str">
        <f>VLOOKUP(bron[[#This Row],[personeelsnr]],'data hastus'!A:K,11,FALSE)</f>
        <v>Kenneth De Rick</v>
      </c>
      <c r="F679" s="10"/>
      <c r="G679" s="7"/>
      <c r="H679" s="7"/>
      <c r="I679" s="7"/>
      <c r="L679" s="5">
        <v>1</v>
      </c>
      <c r="S679" s="5">
        <f>SUM(bron[[#This Row],[Januari]:[December]])</f>
        <v>1</v>
      </c>
      <c r="T679" s="9">
        <v>45815</v>
      </c>
      <c r="U679" s="8" t="s">
        <v>1199</v>
      </c>
      <c r="V679" s="24"/>
      <c r="W679" s="24">
        <v>1</v>
      </c>
      <c r="X679" t="s">
        <v>3580</v>
      </c>
      <c r="Y679" t="s">
        <v>10</v>
      </c>
      <c r="Z679">
        <v>6329</v>
      </c>
      <c r="AA679" s="39" t="s">
        <v>3592</v>
      </c>
    </row>
    <row r="680" spans="1:27" hidden="1" x14ac:dyDescent="0.3">
      <c r="A680">
        <v>37254</v>
      </c>
      <c r="B680" t="str">
        <f>_xlfn.CONCAT(bron[[#This Row],[personeelsnr]]," ",bron[[#This Row],[achternaam]]," ",bron[[#This Row],[voornaam]])</f>
        <v>37254 Coulon Rayan</v>
      </c>
      <c r="C680" t="str">
        <f>VLOOKUP(bron[[#This Row],[personeelsnr]],'data hastus'!$A:$C,2,0)</f>
        <v>Coulon</v>
      </c>
      <c r="D680" t="str">
        <f>VLOOKUP(bron[[#This Row],[personeelsnr]],'data hastus'!$A:$C,3,0)</f>
        <v>Rayan</v>
      </c>
      <c r="E680" t="str">
        <f>VLOOKUP(bron[[#This Row],[personeelsnr]],'data hastus'!A:K,11,FALSE)</f>
        <v>Kenneth De Rick</v>
      </c>
      <c r="F680" s="10"/>
      <c r="G680" s="7"/>
      <c r="H680" s="7"/>
      <c r="I680" s="7"/>
      <c r="N680" s="5">
        <v>1</v>
      </c>
      <c r="S680" s="5">
        <f>SUM(bron[[#This Row],[Januari]:[December]])</f>
        <v>1</v>
      </c>
      <c r="T680" s="9">
        <v>45876</v>
      </c>
      <c r="U680" s="24" t="s">
        <v>1269</v>
      </c>
      <c r="V680" s="24">
        <v>1</v>
      </c>
      <c r="W680" s="24"/>
      <c r="X680" t="s">
        <v>3546</v>
      </c>
      <c r="Y680" t="s">
        <v>34</v>
      </c>
      <c r="Z680">
        <v>5053</v>
      </c>
      <c r="AA680" s="39" t="s">
        <v>3592</v>
      </c>
    </row>
    <row r="681" spans="1:27" hidden="1" x14ac:dyDescent="0.3">
      <c r="A681">
        <v>37258</v>
      </c>
      <c r="B681" t="str">
        <f>_xlfn.CONCAT(bron[[#This Row],[personeelsnr]]," ",bron[[#This Row],[achternaam]]," ",bron[[#This Row],[voornaam]])</f>
        <v>37258 Ouchir Louay</v>
      </c>
      <c r="C681" t="str">
        <f>VLOOKUP(bron[[#This Row],[personeelsnr]],'data hastus'!$A:$C,2,0)</f>
        <v>Ouchir</v>
      </c>
      <c r="D681" t="str">
        <f>VLOOKUP(bron[[#This Row],[personeelsnr]],'data hastus'!$A:$C,3,0)</f>
        <v>Louay</v>
      </c>
      <c r="E681" t="str">
        <f>VLOOKUP(bron[[#This Row],[personeelsnr]],'data hastus'!A:K,11,FALSE)</f>
        <v>Els Vanhoe</v>
      </c>
      <c r="F681" s="10"/>
      <c r="G681" s="7"/>
      <c r="H681" s="7"/>
      <c r="I681" s="7"/>
      <c r="M681" s="5">
        <v>1</v>
      </c>
      <c r="S681" s="5">
        <f>SUM(bron[[#This Row],[Januari]:[December]])</f>
        <v>1</v>
      </c>
      <c r="T681" s="9">
        <v>45866</v>
      </c>
      <c r="U681" s="8" t="s">
        <v>1259</v>
      </c>
      <c r="V681" s="24">
        <v>1</v>
      </c>
      <c r="W681" s="24"/>
      <c r="X681" t="s">
        <v>3546</v>
      </c>
      <c r="Y681" t="s">
        <v>19</v>
      </c>
      <c r="Z681">
        <v>2195</v>
      </c>
      <c r="AA681" s="39" t="s">
        <v>3592</v>
      </c>
    </row>
    <row r="682" spans="1:27" hidden="1" x14ac:dyDescent="0.3">
      <c r="A682">
        <v>37345</v>
      </c>
      <c r="B682" t="str">
        <f>_xlfn.CONCAT(bron[[#This Row],[personeelsnr]]," ",bron[[#This Row],[achternaam]]," ",bron[[#This Row],[voornaam]])</f>
        <v>37345 Walleyn Renaat</v>
      </c>
      <c r="C682" t="str">
        <f>VLOOKUP(bron[[#This Row],[personeelsnr]],'data hastus'!$A:$C,2,0)</f>
        <v>Walleyn</v>
      </c>
      <c r="D682" t="str">
        <f>VLOOKUP(bron[[#This Row],[personeelsnr]],'data hastus'!$A:$C,3,0)</f>
        <v>Renaat</v>
      </c>
      <c r="E682" t="str">
        <f>VLOOKUP(bron[[#This Row],[personeelsnr]],'data hastus'!A:K,11,FALSE)</f>
        <v>Lucie Vande Velde</v>
      </c>
      <c r="F682" s="10"/>
      <c r="G682" s="7"/>
      <c r="H682" s="7"/>
      <c r="I682" s="7"/>
      <c r="N682" s="5">
        <v>1</v>
      </c>
      <c r="S682" s="5">
        <f>SUM(bron[[#This Row],[Januari]:[December]])</f>
        <v>1</v>
      </c>
      <c r="T682" s="9">
        <v>45874</v>
      </c>
      <c r="U682" s="24" t="s">
        <v>1267</v>
      </c>
      <c r="V682" s="24"/>
      <c r="W682" s="24">
        <v>1</v>
      </c>
      <c r="X682" t="s">
        <v>3581</v>
      </c>
      <c r="Y682" t="s">
        <v>10</v>
      </c>
      <c r="Z682">
        <v>6372</v>
      </c>
      <c r="AA682" s="39" t="s">
        <v>3592</v>
      </c>
    </row>
    <row r="683" spans="1:27" hidden="1" x14ac:dyDescent="0.3">
      <c r="A683">
        <v>37439</v>
      </c>
      <c r="B683" t="str">
        <f>_xlfn.CONCAT(bron[[#This Row],[personeelsnr]]," ",bron[[#This Row],[achternaam]]," ",bron[[#This Row],[voornaam]])</f>
        <v>37439 Demirkazik Mustafa</v>
      </c>
      <c r="C683" t="str">
        <f>VLOOKUP(bron[[#This Row],[personeelsnr]],'data hastus'!$A:$C,2,0)</f>
        <v>Demirkazik</v>
      </c>
      <c r="D683" t="str">
        <f>VLOOKUP(bron[[#This Row],[personeelsnr]],'data hastus'!$A:$C,3,0)</f>
        <v>Mustafa</v>
      </c>
      <c r="E683" t="str">
        <f>VLOOKUP(bron[[#This Row],[personeelsnr]],'data hastus'!A:K,11,FALSE)</f>
        <v>Kenneth De Rick</v>
      </c>
      <c r="F683" s="10"/>
      <c r="G683" s="7"/>
      <c r="H683" s="7"/>
      <c r="I683" s="7"/>
      <c r="M683" s="5">
        <v>1</v>
      </c>
      <c r="S683" s="5">
        <f>SUM(bron[[#This Row],[Januari]:[December]])</f>
        <v>1</v>
      </c>
      <c r="T683" s="9">
        <v>45845</v>
      </c>
      <c r="U683" s="8" t="s">
        <v>1233</v>
      </c>
      <c r="V683" s="24">
        <v>1</v>
      </c>
      <c r="W683" s="24"/>
      <c r="X683" t="s">
        <v>3545</v>
      </c>
      <c r="Y683" t="s">
        <v>106</v>
      </c>
      <c r="Z683">
        <v>5486</v>
      </c>
      <c r="AA683" s="39" t="s">
        <v>3592</v>
      </c>
    </row>
    <row r="684" spans="1:27" hidden="1" x14ac:dyDescent="0.3">
      <c r="A684">
        <v>37496</v>
      </c>
      <c r="B684" t="str">
        <f>_xlfn.CONCAT(bron[[#This Row],[personeelsnr]]," ",bron[[#This Row],[achternaam]]," ",bron[[#This Row],[voornaam]])</f>
        <v>37496 Oosterlinck Willy</v>
      </c>
      <c r="C684" t="str">
        <f>VLOOKUP(bron[[#This Row],[personeelsnr]],'data hastus'!$A:$C,2,0)</f>
        <v>Oosterlinck</v>
      </c>
      <c r="D684" t="str">
        <f>VLOOKUP(bron[[#This Row],[personeelsnr]],'data hastus'!$A:$C,3,0)</f>
        <v>Willy</v>
      </c>
      <c r="E684" t="str">
        <f>VLOOKUP(bron[[#This Row],[personeelsnr]],'data hastus'!A:K,11,FALSE)</f>
        <v>Dominique De Clercq</v>
      </c>
      <c r="F684" s="10"/>
      <c r="G684" s="6"/>
      <c r="H684" s="6">
        <v>1</v>
      </c>
      <c r="I684" s="6"/>
      <c r="J684"/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45702</v>
      </c>
      <c r="U684" s="8" t="s">
        <v>1059</v>
      </c>
      <c r="V684" s="8"/>
      <c r="W684" s="8">
        <v>1</v>
      </c>
      <c r="X684" t="s">
        <v>3580</v>
      </c>
      <c r="Y684" t="s">
        <v>88</v>
      </c>
      <c r="Z684">
        <v>6322</v>
      </c>
      <c r="AA684" s="39" t="s">
        <v>3592</v>
      </c>
    </row>
    <row r="685" spans="1:27" hidden="1" x14ac:dyDescent="0.3">
      <c r="A685">
        <v>37496</v>
      </c>
      <c r="B685" t="str">
        <f>_xlfn.CONCAT(bron[[#This Row],[personeelsnr]]," ",bron[[#This Row],[achternaam]]," ",bron[[#This Row],[voornaam]])</f>
        <v>37496 Oosterlinck Willy</v>
      </c>
      <c r="C685" t="str">
        <f>VLOOKUP(bron[[#This Row],[personeelsnr]],'data hastus'!$A:$C,2,0)</f>
        <v>Oosterlinck</v>
      </c>
      <c r="D685" t="str">
        <f>VLOOKUP(bron[[#This Row],[personeelsnr]],'data hastus'!$A:$C,3,0)</f>
        <v>Willy</v>
      </c>
      <c r="E685" t="str">
        <f>VLOOKUP(bron[[#This Row],[personeelsnr]],'data hastus'!A:K,11,FALSE)</f>
        <v>Dominique De Clercq</v>
      </c>
      <c r="F685" s="10"/>
      <c r="G685" s="6"/>
      <c r="H685" s="6">
        <v>1</v>
      </c>
      <c r="I685" s="6"/>
      <c r="J685"/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45690</v>
      </c>
      <c r="U685" s="8" t="s">
        <v>1039</v>
      </c>
      <c r="V685" s="8"/>
      <c r="W685" s="8">
        <v>1</v>
      </c>
      <c r="X685" t="s">
        <v>3580</v>
      </c>
      <c r="Y685" t="s">
        <v>5</v>
      </c>
      <c r="Z685">
        <v>6327</v>
      </c>
      <c r="AA685" s="39" t="s">
        <v>3592</v>
      </c>
    </row>
    <row r="686" spans="1:27" hidden="1" x14ac:dyDescent="0.3">
      <c r="A686">
        <v>37509</v>
      </c>
      <c r="B686" t="str">
        <f>_xlfn.CONCAT(bron[[#This Row],[personeelsnr]]," ",bron[[#This Row],[achternaam]]," ",bron[[#This Row],[voornaam]])</f>
        <v>37509 Abdulkader Sabah</v>
      </c>
      <c r="C686" t="str">
        <f>VLOOKUP(bron[[#This Row],[personeelsnr]],'data hastus'!$A:$C,2,0)</f>
        <v>Abdulkader</v>
      </c>
      <c r="D686" t="str">
        <f>VLOOKUP(bron[[#This Row],[personeelsnr]],'data hastus'!$A:$C,3,0)</f>
        <v>Sabah</v>
      </c>
      <c r="E686" t="str">
        <f>VLOOKUP(bron[[#This Row],[personeelsnr]],'data hastus'!A:K,11,FALSE)</f>
        <v>Bart Van Der Beken</v>
      </c>
      <c r="F686" s="10"/>
      <c r="G686" s="6"/>
      <c r="H686" s="6">
        <v>1</v>
      </c>
      <c r="I686" s="6"/>
      <c r="J686"/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45710</v>
      </c>
      <c r="U686" s="8" t="s">
        <v>1073</v>
      </c>
      <c r="V686" s="8">
        <v>1</v>
      </c>
      <c r="W686" s="8"/>
      <c r="X686" t="s">
        <v>3546</v>
      </c>
      <c r="Y686" t="s">
        <v>514</v>
      </c>
      <c r="Z686">
        <v>5043</v>
      </c>
      <c r="AA686" s="39" t="s">
        <v>3592</v>
      </c>
    </row>
    <row r="687" spans="1:27" hidden="1" x14ac:dyDescent="0.3">
      <c r="A687">
        <v>37509</v>
      </c>
      <c r="B687" t="str">
        <f>_xlfn.CONCAT(bron[[#This Row],[personeelsnr]]," ",bron[[#This Row],[achternaam]]," ",bron[[#This Row],[voornaam]])</f>
        <v>37509 Abdulkader Sabah</v>
      </c>
      <c r="C687" t="str">
        <f>VLOOKUP(bron[[#This Row],[personeelsnr]],'data hastus'!$A:$C,2,0)</f>
        <v>Abdulkader</v>
      </c>
      <c r="D687" t="str">
        <f>VLOOKUP(bron[[#This Row],[personeelsnr]],'data hastus'!$A:$C,3,0)</f>
        <v>Sabah</v>
      </c>
      <c r="E687" t="str">
        <f>VLOOKUP(bron[[#This Row],[personeelsnr]],'data hastus'!A:K,11,FALSE)</f>
        <v>Bart Van Der Beken</v>
      </c>
      <c r="F687" s="10"/>
      <c r="G687" s="6"/>
      <c r="H687" s="6">
        <v>1</v>
      </c>
      <c r="I687" s="6"/>
      <c r="J687"/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45706</v>
      </c>
      <c r="U687" s="8" t="s">
        <v>1292</v>
      </c>
      <c r="V687" s="8">
        <v>1</v>
      </c>
      <c r="W687" s="8"/>
      <c r="X687" t="s">
        <v>7</v>
      </c>
      <c r="Y687" t="s">
        <v>1293</v>
      </c>
      <c r="Z687">
        <v>2200</v>
      </c>
      <c r="AA687" s="39" t="s">
        <v>3593</v>
      </c>
    </row>
    <row r="688" spans="1:27" hidden="1" x14ac:dyDescent="0.3">
      <c r="A688">
        <v>37542</v>
      </c>
      <c r="B688" t="str">
        <f>_xlfn.CONCAT(bron[[#This Row],[personeelsnr]]," ",bron[[#This Row],[achternaam]]," ",bron[[#This Row],[voornaam]])</f>
        <v>37542 De Tandt Hans</v>
      </c>
      <c r="C688" t="str">
        <f>VLOOKUP(bron[[#This Row],[personeelsnr]],'data hastus'!$A:$C,2,0)</f>
        <v>De Tandt</v>
      </c>
      <c r="D688" t="str">
        <f>VLOOKUP(bron[[#This Row],[personeelsnr]],'data hastus'!$A:$C,3,0)</f>
        <v>Hans</v>
      </c>
      <c r="E688" t="str">
        <f>VLOOKUP(bron[[#This Row],[personeelsnr]],'data hastus'!A:K,11,FALSE)</f>
        <v>Bart Van Der Beken</v>
      </c>
      <c r="F688" s="10"/>
      <c r="G688" s="7"/>
      <c r="H688" s="7"/>
      <c r="I688" s="7"/>
      <c r="M688" s="5">
        <v>1</v>
      </c>
      <c r="S688" s="5">
        <f>SUM(bron[[#This Row],[Januari]:[December]])</f>
        <v>1</v>
      </c>
      <c r="T688" s="9">
        <v>45840</v>
      </c>
      <c r="U688" s="8" t="s">
        <v>1223</v>
      </c>
      <c r="V688" s="24"/>
      <c r="W688" s="24">
        <v>1</v>
      </c>
      <c r="X688" t="s">
        <v>3581</v>
      </c>
      <c r="Y688" t="s">
        <v>46</v>
      </c>
      <c r="Z688">
        <v>6362</v>
      </c>
      <c r="AA688" s="39" t="s">
        <v>3592</v>
      </c>
    </row>
    <row r="689" spans="1:27" hidden="1" x14ac:dyDescent="0.3">
      <c r="A689">
        <v>37543</v>
      </c>
      <c r="B689" t="str">
        <f>_xlfn.CONCAT(bron[[#This Row],[personeelsnr]]," ",bron[[#This Row],[achternaam]]," ",bron[[#This Row],[voornaam]])</f>
        <v>37543 Öztürk Bilgehan</v>
      </c>
      <c r="C689" t="str">
        <f>VLOOKUP(bron[[#This Row],[personeelsnr]],'data hastus'!$A:$C,2,0)</f>
        <v>Öztürk</v>
      </c>
      <c r="D689" t="str">
        <f>VLOOKUP(bron[[#This Row],[personeelsnr]],'data hastus'!$A:$C,3,0)</f>
        <v>Bilgehan</v>
      </c>
      <c r="E689" t="str">
        <f>VLOOKUP(bron[[#This Row],[personeelsnr]],'data hastus'!A:K,11,FALSE)</f>
        <v>Kenneth De Rick</v>
      </c>
      <c r="F689" s="10"/>
      <c r="G689" s="6"/>
      <c r="H689" s="6">
        <v>1</v>
      </c>
      <c r="I689" s="6"/>
      <c r="J689"/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45703</v>
      </c>
      <c r="U689" s="8" t="s">
        <v>1318</v>
      </c>
      <c r="V689" s="8">
        <v>1</v>
      </c>
      <c r="W689" s="8"/>
      <c r="X689" t="s">
        <v>7</v>
      </c>
      <c r="Y689" t="s">
        <v>106</v>
      </c>
      <c r="Z689">
        <v>2208</v>
      </c>
      <c r="AA689" s="39" t="s">
        <v>3593</v>
      </c>
    </row>
    <row r="690" spans="1:27" hidden="1" x14ac:dyDescent="0.3">
      <c r="A690">
        <v>37662</v>
      </c>
      <c r="B690" t="str">
        <f>_xlfn.CONCAT(bron[[#This Row],[personeelsnr]]," ",bron[[#This Row],[achternaam]]," ",bron[[#This Row],[voornaam]])</f>
        <v>37662 Van den Meerssche Steven</v>
      </c>
      <c r="C690" t="str">
        <f>VLOOKUP(bron[[#This Row],[personeelsnr]],'data hastus'!$A:$C,2,0)</f>
        <v>Van den Meerssche</v>
      </c>
      <c r="D690" t="str">
        <f>VLOOKUP(bron[[#This Row],[personeelsnr]],'data hastus'!$A:$C,3,0)</f>
        <v>Steven</v>
      </c>
      <c r="E690" t="str">
        <f>VLOOKUP(bron[[#This Row],[personeelsnr]],'data hastus'!A:K,11,FALSE)</f>
        <v>Bart Van Der Beken</v>
      </c>
      <c r="F690" s="10"/>
      <c r="G690" s="6"/>
      <c r="H690" s="6"/>
      <c r="I690" s="6">
        <v>1</v>
      </c>
      <c r="J690"/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45729</v>
      </c>
      <c r="U690" s="8" t="s">
        <v>1102</v>
      </c>
      <c r="V690" s="8">
        <v>1</v>
      </c>
      <c r="W690" s="8"/>
      <c r="X690" t="s">
        <v>3545</v>
      </c>
      <c r="Y690" t="s">
        <v>123</v>
      </c>
      <c r="Z690">
        <v>5915</v>
      </c>
      <c r="AA690" s="39" t="s">
        <v>3592</v>
      </c>
    </row>
    <row r="691" spans="1:27" hidden="1" x14ac:dyDescent="0.3">
      <c r="A691">
        <v>37662</v>
      </c>
      <c r="B691" t="str">
        <f>_xlfn.CONCAT(bron[[#This Row],[personeelsnr]]," ",bron[[#This Row],[achternaam]]," ",bron[[#This Row],[voornaam]])</f>
        <v>37662 Van den Meerssche Steven</v>
      </c>
      <c r="C691" t="str">
        <f>VLOOKUP(bron[[#This Row],[personeelsnr]],'data hastus'!$A:$C,2,0)</f>
        <v>Van den Meerssche</v>
      </c>
      <c r="D691" t="str">
        <f>VLOOKUP(bron[[#This Row],[personeelsnr]],'data hastus'!$A:$C,3,0)</f>
        <v>Steven</v>
      </c>
      <c r="E691" t="str">
        <f>VLOOKUP(bron[[#This Row],[personeelsnr]],'data hastus'!A:K,11,FALSE)</f>
        <v>Bart Van Der Beken</v>
      </c>
      <c r="F691" s="10"/>
      <c r="G691" s="6"/>
      <c r="H691" s="6">
        <v>1</v>
      </c>
      <c r="I691" s="6"/>
      <c r="J691"/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45702</v>
      </c>
      <c r="U691" s="8" t="s">
        <v>1057</v>
      </c>
      <c r="V691" s="8">
        <v>1</v>
      </c>
      <c r="W691" s="8"/>
      <c r="X691" t="s">
        <v>3544</v>
      </c>
      <c r="Y691" t="s">
        <v>217</v>
      </c>
      <c r="Z691">
        <v>5052</v>
      </c>
      <c r="AA691" s="39" t="s">
        <v>3592</v>
      </c>
    </row>
    <row r="692" spans="1:27" hidden="1" x14ac:dyDescent="0.3">
      <c r="A692">
        <v>37662</v>
      </c>
      <c r="B692" t="str">
        <f>_xlfn.CONCAT(bron[[#This Row],[personeelsnr]]," ",bron[[#This Row],[achternaam]]," ",bron[[#This Row],[voornaam]])</f>
        <v>37662 Van den Meerssche Steven</v>
      </c>
      <c r="C692" t="str">
        <f>VLOOKUP(bron[[#This Row],[personeelsnr]],'data hastus'!$A:$C,2,0)</f>
        <v>Van den Meerssche</v>
      </c>
      <c r="D692" t="str">
        <f>VLOOKUP(bron[[#This Row],[personeelsnr]],'data hastus'!$A:$C,3,0)</f>
        <v>Steven</v>
      </c>
      <c r="E692" t="str">
        <f>VLOOKUP(bron[[#This Row],[personeelsnr]],'data hastus'!A:K,11,FALSE)</f>
        <v>Bart Van Der Beken</v>
      </c>
      <c r="F692" s="10"/>
      <c r="G692" s="6"/>
      <c r="H692" s="6"/>
      <c r="I692" s="6"/>
      <c r="J692"/>
      <c r="K692">
        <v>1</v>
      </c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45783</v>
      </c>
      <c r="U692" s="8" t="s">
        <v>1294</v>
      </c>
      <c r="V692" s="8">
        <v>1</v>
      </c>
      <c r="W692" s="8"/>
      <c r="X692" t="s">
        <v>7</v>
      </c>
      <c r="Y692" t="s">
        <v>34</v>
      </c>
      <c r="Z692">
        <v>5044</v>
      </c>
      <c r="AA692" s="39" t="s">
        <v>3593</v>
      </c>
    </row>
    <row r="693" spans="1:27" hidden="1" x14ac:dyDescent="0.3">
      <c r="A693">
        <v>37744</v>
      </c>
      <c r="B693" t="str">
        <f>_xlfn.CONCAT(bron[[#This Row],[personeelsnr]]," ",bron[[#This Row],[achternaam]]," ",bron[[#This Row],[voornaam]])</f>
        <v>37744 De Lange Frank</v>
      </c>
      <c r="C693" t="str">
        <f>VLOOKUP(bron[[#This Row],[personeelsnr]],'data hastus'!$A:$C,2,0)</f>
        <v>De Lange</v>
      </c>
      <c r="D693" t="str">
        <f>VLOOKUP(bron[[#This Row],[personeelsnr]],'data hastus'!$A:$C,3,0)</f>
        <v>Frank</v>
      </c>
      <c r="E693" t="str">
        <f>VLOOKUP(bron[[#This Row],[personeelsnr]],'data hastus'!A:K,11,FALSE)</f>
        <v>Dominique De Clercq</v>
      </c>
      <c r="F693" s="10"/>
      <c r="G693" s="6"/>
      <c r="H693" s="6"/>
      <c r="I693" s="6"/>
      <c r="J693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45765</v>
      </c>
      <c r="U693" s="8" t="s">
        <v>1139</v>
      </c>
      <c r="V693" s="8">
        <v>1</v>
      </c>
      <c r="W693" s="8"/>
      <c r="X693" t="s">
        <v>3544</v>
      </c>
      <c r="Y693" t="s">
        <v>86</v>
      </c>
      <c r="Z693">
        <v>5325</v>
      </c>
      <c r="AA693" s="39" t="s">
        <v>3592</v>
      </c>
    </row>
    <row r="694" spans="1:27" hidden="1" x14ac:dyDescent="0.3">
      <c r="A694">
        <v>37809</v>
      </c>
      <c r="B694" t="str">
        <f>_xlfn.CONCAT(bron[[#This Row],[personeelsnr]]," ",bron[[#This Row],[achternaam]]," ",bron[[#This Row],[voornaam]])</f>
        <v>37809 Sturtewagen Kenny</v>
      </c>
      <c r="C694" t="str">
        <f>VLOOKUP(bron[[#This Row],[personeelsnr]],'data hastus'!$A:$C,2,0)</f>
        <v>Sturtewagen</v>
      </c>
      <c r="D694" t="str">
        <f>VLOOKUP(bron[[#This Row],[personeelsnr]],'data hastus'!$A:$C,3,0)</f>
        <v>Kenny</v>
      </c>
      <c r="E694" t="str">
        <f>VLOOKUP(bron[[#This Row],[personeelsnr]],'data hastus'!A:K,11,FALSE)</f>
        <v>Steven Storm</v>
      </c>
      <c r="F694" s="10"/>
      <c r="G694" s="6"/>
      <c r="H694" s="6"/>
      <c r="I694" s="6">
        <v>1</v>
      </c>
      <c r="J694"/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45740</v>
      </c>
      <c r="U694" s="8" t="s">
        <v>1114</v>
      </c>
      <c r="V694" s="8">
        <v>1</v>
      </c>
      <c r="W694" s="8"/>
      <c r="X694" t="s">
        <v>3544</v>
      </c>
      <c r="Y694" t="s">
        <v>22</v>
      </c>
      <c r="Z694">
        <v>5235</v>
      </c>
      <c r="AA694" s="39" t="s">
        <v>3592</v>
      </c>
    </row>
    <row r="695" spans="1:27" hidden="1" x14ac:dyDescent="0.3">
      <c r="A695">
        <v>37908</v>
      </c>
      <c r="B695" t="str">
        <f>_xlfn.CONCAT(bron[[#This Row],[personeelsnr]]," ",bron[[#This Row],[achternaam]]," ",bron[[#This Row],[voornaam]])</f>
        <v>37908 Vandenberghe Michael</v>
      </c>
      <c r="C695" t="str">
        <f>VLOOKUP(bron[[#This Row],[personeelsnr]],'data hastus'!$A:$C,2,0)</f>
        <v>Vandenberghe</v>
      </c>
      <c r="D695" t="str">
        <f>VLOOKUP(bron[[#This Row],[personeelsnr]],'data hastus'!$A:$C,3,0)</f>
        <v>Michael</v>
      </c>
      <c r="E695" t="str">
        <f>VLOOKUP(bron[[#This Row],[personeelsnr]],'data hastus'!A:K,11,FALSE)</f>
        <v>Steven Storm</v>
      </c>
      <c r="F695" s="10"/>
      <c r="G695" s="6"/>
      <c r="H695" s="6"/>
      <c r="I695" s="6"/>
      <c r="J695" s="11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1159</v>
      </c>
      <c r="V695" s="8">
        <v>1</v>
      </c>
      <c r="W695" s="8"/>
      <c r="X695" t="s">
        <v>3544</v>
      </c>
      <c r="Y695" t="s">
        <v>25</v>
      </c>
      <c r="Z695">
        <v>5054</v>
      </c>
      <c r="AA695" s="39" t="s">
        <v>3592</v>
      </c>
    </row>
    <row r="696" spans="1:27" hidden="1" x14ac:dyDescent="0.3">
      <c r="A696">
        <v>37936</v>
      </c>
      <c r="B696" t="str">
        <f>_xlfn.CONCAT(bron[[#This Row],[personeelsnr]]," ",bron[[#This Row],[achternaam]]," ",bron[[#This Row],[voornaam]])</f>
        <v>37936 Detaeye Alexander</v>
      </c>
      <c r="C696" t="str">
        <f>VLOOKUP(bron[[#This Row],[personeelsnr]],'data hastus'!$A:$C,2,0)</f>
        <v>Detaeye</v>
      </c>
      <c r="D696" t="str">
        <f>VLOOKUP(bron[[#This Row],[personeelsnr]],'data hastus'!$A:$C,3,0)</f>
        <v>Alexander</v>
      </c>
      <c r="E696" t="str">
        <f>VLOOKUP(bron[[#This Row],[personeelsnr]],'data hastus'!A:K,11,FALSE)</f>
        <v>Steven Storm</v>
      </c>
      <c r="F696" s="10"/>
      <c r="G696" s="7"/>
      <c r="H696" s="7"/>
      <c r="I696" s="7"/>
      <c r="M696" s="5">
        <v>1</v>
      </c>
      <c r="S696" s="5">
        <f>SUM(bron[[#This Row],[Januari]:[December]])</f>
        <v>1</v>
      </c>
      <c r="T696" s="9">
        <v>45851</v>
      </c>
      <c r="U696" s="8" t="s">
        <v>1244</v>
      </c>
      <c r="V696" s="24">
        <v>1</v>
      </c>
      <c r="W696" s="24"/>
      <c r="X696" t="s">
        <v>3545</v>
      </c>
      <c r="Y696" t="s">
        <v>229</v>
      </c>
      <c r="Z696">
        <v>5911</v>
      </c>
      <c r="AA696" s="39" t="s">
        <v>3592</v>
      </c>
    </row>
    <row r="697" spans="1:27" hidden="1" x14ac:dyDescent="0.3">
      <c r="A697">
        <v>37950</v>
      </c>
      <c r="B697" t="str">
        <f>_xlfn.CONCAT(bron[[#This Row],[personeelsnr]]," ",bron[[#This Row],[achternaam]]," ",bron[[#This Row],[voornaam]])</f>
        <v>37950 De Naegel Bruno</v>
      </c>
      <c r="C697" t="str">
        <f>VLOOKUP(bron[[#This Row],[personeelsnr]],'data hastus'!$A:$C,2,0)</f>
        <v>De Naegel</v>
      </c>
      <c r="D697" t="str">
        <f>VLOOKUP(bron[[#This Row],[personeelsnr]],'data hastus'!$A:$C,3,0)</f>
        <v>Bruno</v>
      </c>
      <c r="E697" t="str">
        <f>VLOOKUP(bron[[#This Row],[personeelsnr]],'data hastus'!A:K,11,FALSE)</f>
        <v>Dominique De Clercq</v>
      </c>
      <c r="F697" s="10"/>
      <c r="G697" s="6">
        <v>1</v>
      </c>
      <c r="H697" s="6"/>
      <c r="I697" s="6"/>
      <c r="J697"/>
      <c r="K697"/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45665</v>
      </c>
      <c r="U697" s="8" t="s">
        <v>1005</v>
      </c>
      <c r="V697" s="8">
        <v>1</v>
      </c>
      <c r="W697" s="8"/>
      <c r="X697" t="s">
        <v>3545</v>
      </c>
      <c r="Y697" t="s">
        <v>117</v>
      </c>
      <c r="Z697">
        <v>5931</v>
      </c>
      <c r="AA697" s="39" t="s">
        <v>3592</v>
      </c>
    </row>
    <row r="698" spans="1:27" hidden="1" x14ac:dyDescent="0.3">
      <c r="A698">
        <v>38035</v>
      </c>
      <c r="B698" t="str">
        <f>_xlfn.CONCAT(bron[[#This Row],[personeelsnr]]," ",bron[[#This Row],[achternaam]]," ",bron[[#This Row],[voornaam]])</f>
        <v>38035 Simsek Isa</v>
      </c>
      <c r="C698" t="str">
        <f>VLOOKUP(bron[[#This Row],[personeelsnr]],'data hastus'!$A:$C,2,0)</f>
        <v>Simsek</v>
      </c>
      <c r="D698" t="str">
        <f>VLOOKUP(bron[[#This Row],[personeelsnr]],'data hastus'!$A:$C,3,0)</f>
        <v>Isa</v>
      </c>
      <c r="E698" t="str">
        <f>VLOOKUP(bron[[#This Row],[personeelsnr]],'data hastus'!A:K,11,FALSE)</f>
        <v>Bart Van Der Beken</v>
      </c>
      <c r="F698" s="10"/>
      <c r="G698" s="6"/>
      <c r="H698" s="6"/>
      <c r="I698" s="6"/>
      <c r="J698">
        <v>1</v>
      </c>
      <c r="K698"/>
      <c r="L698"/>
      <c r="M698"/>
      <c r="N698"/>
      <c r="O698"/>
      <c r="P698"/>
      <c r="Q698"/>
      <c r="R698"/>
      <c r="S698">
        <f>SUM(bron[[#This Row],[Januari]:[December]])</f>
        <v>1</v>
      </c>
      <c r="T698" s="3">
        <v>45756</v>
      </c>
      <c r="U698" s="8" t="s">
        <v>1128</v>
      </c>
      <c r="V698" s="8">
        <v>1</v>
      </c>
      <c r="W698" s="8"/>
      <c r="X698" t="s">
        <v>3545</v>
      </c>
      <c r="Y698" t="s">
        <v>22</v>
      </c>
      <c r="Z698">
        <v>5765</v>
      </c>
      <c r="AA698" s="39" t="s">
        <v>3592</v>
      </c>
    </row>
    <row r="699" spans="1:27" hidden="1" x14ac:dyDescent="0.3">
      <c r="A699">
        <v>38475</v>
      </c>
      <c r="B699" t="str">
        <f>_xlfn.CONCAT(bron[[#This Row],[personeelsnr]]," ",bron[[#This Row],[achternaam]]," ",bron[[#This Row],[voornaam]])</f>
        <v>38475 Verschraegen Katleen</v>
      </c>
      <c r="C699" t="str">
        <f>VLOOKUP(bron[[#This Row],[personeelsnr]],'data hastus'!$A:$C,2,0)</f>
        <v>Verschraegen</v>
      </c>
      <c r="D699" t="str">
        <f>VLOOKUP(bron[[#This Row],[personeelsnr]],'data hastus'!$A:$C,3,0)</f>
        <v>Katleen</v>
      </c>
      <c r="E699" t="str">
        <f>VLOOKUP(bron[[#This Row],[personeelsnr]],'data hastus'!A:K,11,FALSE)</f>
        <v>Els Dewulf</v>
      </c>
      <c r="F699" s="10"/>
      <c r="G699" s="6"/>
      <c r="H699" s="6"/>
      <c r="I699" s="6"/>
      <c r="J699">
        <v>1</v>
      </c>
      <c r="K699"/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45775</v>
      </c>
      <c r="U699" s="8" t="s">
        <v>1156</v>
      </c>
      <c r="V699" s="8">
        <v>1</v>
      </c>
      <c r="W699" s="8"/>
      <c r="X699" t="s">
        <v>3545</v>
      </c>
      <c r="Y699" t="s">
        <v>84</v>
      </c>
      <c r="Z699">
        <v>5930</v>
      </c>
      <c r="AA699" s="39" t="s">
        <v>3592</v>
      </c>
    </row>
    <row r="700" spans="1:27" hidden="1" x14ac:dyDescent="0.3">
      <c r="A700">
        <v>38475</v>
      </c>
      <c r="B700" t="str">
        <f>_xlfn.CONCAT(bron[[#This Row],[personeelsnr]]," ",bron[[#This Row],[achternaam]]," ",bron[[#This Row],[voornaam]])</f>
        <v>38475 Verschraegen Katleen</v>
      </c>
      <c r="C700" t="str">
        <f>VLOOKUP(bron[[#This Row],[personeelsnr]],'data hastus'!$A:$C,2,0)</f>
        <v>Verschraegen</v>
      </c>
      <c r="D700" t="str">
        <f>VLOOKUP(bron[[#This Row],[personeelsnr]],'data hastus'!$A:$C,3,0)</f>
        <v>Katleen</v>
      </c>
      <c r="E700" t="str">
        <f>VLOOKUP(bron[[#This Row],[personeelsnr]],'data hastus'!A:K,11,FALSE)</f>
        <v>Els Dewulf</v>
      </c>
      <c r="F700" s="10"/>
      <c r="G700" s="6"/>
      <c r="H700" s="6"/>
      <c r="I700" s="6"/>
      <c r="J700">
        <v>1</v>
      </c>
      <c r="K700"/>
      <c r="L700"/>
      <c r="M700"/>
      <c r="N700"/>
      <c r="O700"/>
      <c r="P700"/>
      <c r="Q700"/>
      <c r="R700"/>
      <c r="S700">
        <f>SUM(bron[[#This Row],[Januari]:[December]])</f>
        <v>1</v>
      </c>
      <c r="T700" s="3">
        <v>45771</v>
      </c>
      <c r="U700" s="8" t="s">
        <v>1150</v>
      </c>
      <c r="V700" s="8">
        <v>1</v>
      </c>
      <c r="W700" s="8"/>
      <c r="X700" t="s">
        <v>3545</v>
      </c>
      <c r="Y700" t="s">
        <v>197</v>
      </c>
      <c r="Z700">
        <v>5933</v>
      </c>
      <c r="AA700" s="39" t="s">
        <v>3592</v>
      </c>
    </row>
    <row r="701" spans="1:27" hidden="1" x14ac:dyDescent="0.3">
      <c r="A701">
        <v>38481</v>
      </c>
      <c r="B701" t="str">
        <f>_xlfn.CONCAT(bron[[#This Row],[personeelsnr]]," ",bron[[#This Row],[achternaam]]," ",bron[[#This Row],[voornaam]])</f>
        <v>38481 Sari Devrim</v>
      </c>
      <c r="C701" t="str">
        <f>VLOOKUP(bron[[#This Row],[personeelsnr]],'data hastus'!$A:$C,2,0)</f>
        <v>Sari</v>
      </c>
      <c r="D701" t="str">
        <f>VLOOKUP(bron[[#This Row],[personeelsnr]],'data hastus'!$A:$C,3,0)</f>
        <v>Devrim</v>
      </c>
      <c r="E701" t="str">
        <f>VLOOKUP(bron[[#This Row],[personeelsnr]],'data hastus'!A:K,11,FALSE)</f>
        <v>Kenneth De Rick</v>
      </c>
      <c r="F701" s="10"/>
      <c r="G701" s="7"/>
      <c r="H701" s="7"/>
      <c r="I701" s="7"/>
      <c r="L701" s="5">
        <v>1</v>
      </c>
      <c r="S701" s="5">
        <f>SUM(bron[[#This Row],[Januari]:[December]])</f>
        <v>1</v>
      </c>
      <c r="T701" s="9">
        <v>45812</v>
      </c>
      <c r="U701" s="8" t="s">
        <v>1195</v>
      </c>
      <c r="V701" s="24">
        <v>1</v>
      </c>
      <c r="W701" s="24"/>
      <c r="X701" t="s">
        <v>3545</v>
      </c>
      <c r="Y701" t="s">
        <v>247</v>
      </c>
      <c r="Z701" t="s">
        <v>3595</v>
      </c>
      <c r="AA701" s="39" t="s">
        <v>3592</v>
      </c>
    </row>
    <row r="702" spans="1:27" hidden="1" x14ac:dyDescent="0.3">
      <c r="A702">
        <v>38580</v>
      </c>
      <c r="B702" t="str">
        <f>_xlfn.CONCAT(bron[[#This Row],[personeelsnr]]," ",bron[[#This Row],[achternaam]]," ",bron[[#This Row],[voornaam]])</f>
        <v>38580 Smajla Samet</v>
      </c>
      <c r="C702" t="str">
        <f>VLOOKUP(bron[[#This Row],[personeelsnr]],'data hastus'!$A:$C,2,0)</f>
        <v>Smajla</v>
      </c>
      <c r="D702" t="str">
        <f>VLOOKUP(bron[[#This Row],[personeelsnr]],'data hastus'!$A:$C,3,0)</f>
        <v>Samet</v>
      </c>
      <c r="E702" t="str">
        <f>VLOOKUP(bron[[#This Row],[personeelsnr]],'data hastus'!A:K,11,FALSE)</f>
        <v>Els Dewulf</v>
      </c>
      <c r="F702" s="10"/>
      <c r="G702" s="6"/>
      <c r="H702" s="6"/>
      <c r="I702" s="6">
        <v>1</v>
      </c>
      <c r="J702"/>
      <c r="K702"/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45742</v>
      </c>
      <c r="U702" s="8" t="s">
        <v>1116</v>
      </c>
      <c r="V702" s="8">
        <v>1</v>
      </c>
      <c r="W702" s="8"/>
      <c r="X702" t="s">
        <v>3544</v>
      </c>
      <c r="Y702" t="s">
        <v>106</v>
      </c>
      <c r="Z702">
        <v>5043</v>
      </c>
      <c r="AA702" s="39" t="s">
        <v>3592</v>
      </c>
    </row>
    <row r="703" spans="1:27" hidden="1" x14ac:dyDescent="0.3">
      <c r="A703">
        <v>38633</v>
      </c>
      <c r="B703" t="str">
        <f>_xlfn.CONCAT(bron[[#This Row],[personeelsnr]]," ",bron[[#This Row],[achternaam]]," ",bron[[#This Row],[voornaam]])</f>
        <v>38633 Stomphorst Mattanja</v>
      </c>
      <c r="C703" t="str">
        <f>VLOOKUP(bron[[#This Row],[personeelsnr]],'data hastus'!$A:$C,2,0)</f>
        <v>Stomphorst</v>
      </c>
      <c r="D703" t="str">
        <f>VLOOKUP(bron[[#This Row],[personeelsnr]],'data hastus'!$A:$C,3,0)</f>
        <v>Mattanja</v>
      </c>
      <c r="E703" t="str">
        <f>VLOOKUP(bron[[#This Row],[personeelsnr]],'data hastus'!A:K,11,FALSE)</f>
        <v>Els Dewulf</v>
      </c>
      <c r="F703" s="10"/>
      <c r="G703" s="7"/>
      <c r="H703" s="7"/>
      <c r="I703" s="7"/>
      <c r="L703" s="5">
        <v>1</v>
      </c>
      <c r="S703" s="5">
        <f>SUM(bron[[#This Row],[Januari]:[December]])</f>
        <v>1</v>
      </c>
      <c r="T703" s="9">
        <v>45831</v>
      </c>
      <c r="U703" s="8" t="s">
        <v>1214</v>
      </c>
      <c r="V703" s="24">
        <v>1</v>
      </c>
      <c r="W703" s="24"/>
      <c r="X703" t="s">
        <v>3544</v>
      </c>
      <c r="Y703" t="s">
        <v>28</v>
      </c>
      <c r="Z703">
        <v>2269</v>
      </c>
      <c r="AA703" s="39" t="s">
        <v>3592</v>
      </c>
    </row>
    <row r="704" spans="1:27" hidden="1" x14ac:dyDescent="0.3">
      <c r="A704">
        <v>38634</v>
      </c>
      <c r="B704" t="str">
        <f>_xlfn.CONCAT(bron[[#This Row],[personeelsnr]]," ",bron[[#This Row],[achternaam]]," ",bron[[#This Row],[voornaam]])</f>
        <v>38634 Asskale Zouhir</v>
      </c>
      <c r="C704" t="str">
        <f>VLOOKUP(bron[[#This Row],[personeelsnr]],'data hastus'!$A:$C,2,0)</f>
        <v>Asskale</v>
      </c>
      <c r="D704" t="str">
        <f>VLOOKUP(bron[[#This Row],[personeelsnr]],'data hastus'!$A:$C,3,0)</f>
        <v>Zouhir</v>
      </c>
      <c r="E704" t="str">
        <f>VLOOKUP(bron[[#This Row],[personeelsnr]],'data hastus'!A:K,11,FALSE)</f>
        <v>Bart Van Der Beken</v>
      </c>
      <c r="F704" s="10"/>
      <c r="G704" s="7"/>
      <c r="H704" s="7"/>
      <c r="I704" s="7"/>
      <c r="L704" s="5">
        <v>1</v>
      </c>
      <c r="S704" s="5">
        <f>SUM(bron[[#This Row],[Januari]:[December]])</f>
        <v>1</v>
      </c>
      <c r="T704" s="9">
        <v>45832</v>
      </c>
      <c r="U704" s="8" t="s">
        <v>1215</v>
      </c>
      <c r="V704" s="24"/>
      <c r="W704" s="24">
        <v>1</v>
      </c>
      <c r="X704" t="s">
        <v>3580</v>
      </c>
      <c r="Y704" t="s">
        <v>239</v>
      </c>
      <c r="Z704">
        <v>6339</v>
      </c>
      <c r="AA704" s="39" t="s">
        <v>3592</v>
      </c>
    </row>
    <row r="705" spans="1:27" hidden="1" x14ac:dyDescent="0.3">
      <c r="A705">
        <v>38648</v>
      </c>
      <c r="B705" t="str">
        <f>_xlfn.CONCAT(bron[[#This Row],[personeelsnr]]," ",bron[[#This Row],[achternaam]]," ",bron[[#This Row],[voornaam]])</f>
        <v>38648 Uckuyulu Muhammet Emin</v>
      </c>
      <c r="C705" t="str">
        <f>VLOOKUP(bron[[#This Row],[personeelsnr]],'data hastus'!$A:$C,2,0)</f>
        <v>Uckuyulu</v>
      </c>
      <c r="D705" t="str">
        <f>VLOOKUP(bron[[#This Row],[personeelsnr]],'data hastus'!$A:$C,3,0)</f>
        <v>Muhammet Emin</v>
      </c>
      <c r="E705" t="str">
        <f>VLOOKUP(bron[[#This Row],[personeelsnr]],'data hastus'!A:K,11,FALSE)</f>
        <v>Lucie Vande Velde</v>
      </c>
      <c r="F705" s="10"/>
      <c r="G705" s="7"/>
      <c r="H705" s="7"/>
      <c r="I705" s="7"/>
      <c r="M705" s="5">
        <v>1</v>
      </c>
      <c r="S705" s="5">
        <f>SUM(bron[[#This Row],[Januari]:[December]])</f>
        <v>1</v>
      </c>
      <c r="T705" s="9">
        <v>45840</v>
      </c>
      <c r="U705" s="8" t="s">
        <v>1224</v>
      </c>
      <c r="V705" s="24"/>
      <c r="W705" s="24">
        <v>1</v>
      </c>
      <c r="X705" t="s">
        <v>3581</v>
      </c>
      <c r="Y705" t="s">
        <v>5</v>
      </c>
      <c r="Z705">
        <v>6368</v>
      </c>
      <c r="AA705" s="39" t="s">
        <v>3592</v>
      </c>
    </row>
    <row r="706" spans="1:27" hidden="1" x14ac:dyDescent="0.3">
      <c r="A706">
        <v>38648</v>
      </c>
      <c r="B706" t="str">
        <f>_xlfn.CONCAT(bron[[#This Row],[personeelsnr]]," ",bron[[#This Row],[achternaam]]," ",bron[[#This Row],[voornaam]])</f>
        <v>38648 Uckuyulu Muhammet Emin</v>
      </c>
      <c r="C706" t="str">
        <f>VLOOKUP(bron[[#This Row],[personeelsnr]],'data hastus'!$A:$C,2,0)</f>
        <v>Uckuyulu</v>
      </c>
      <c r="D706" t="str">
        <f>VLOOKUP(bron[[#This Row],[personeelsnr]],'data hastus'!$A:$C,3,0)</f>
        <v>Muhammet Emin</v>
      </c>
      <c r="E706" t="str">
        <f>VLOOKUP(bron[[#This Row],[personeelsnr]],'data hastus'!A:K,11,FALSE)</f>
        <v>Lucie Vande Velde</v>
      </c>
      <c r="F706" s="10"/>
      <c r="G706" s="7"/>
      <c r="H706" s="7"/>
      <c r="I706" s="7"/>
      <c r="K706" s="5">
        <v>1</v>
      </c>
      <c r="S706" s="5">
        <f>SUM(bron[[#This Row],[Januari]:[December]])</f>
        <v>1</v>
      </c>
      <c r="T706" s="9">
        <v>45798</v>
      </c>
      <c r="U706" s="8" t="s">
        <v>1177</v>
      </c>
      <c r="V706" s="8"/>
      <c r="W706" s="8">
        <v>1</v>
      </c>
      <c r="X706" t="s">
        <v>3580</v>
      </c>
      <c r="Y706" t="s">
        <v>173</v>
      </c>
      <c r="Z706">
        <v>6333</v>
      </c>
      <c r="AA706" s="39" t="s">
        <v>3592</v>
      </c>
    </row>
    <row r="707" spans="1:27" hidden="1" x14ac:dyDescent="0.3">
      <c r="A707">
        <v>38731</v>
      </c>
      <c r="B707" t="str">
        <f>_xlfn.CONCAT(bron[[#This Row],[personeelsnr]]," ",bron[[#This Row],[achternaam]]," ",bron[[#This Row],[voornaam]])</f>
        <v>38731 Ben Sidhom Samir</v>
      </c>
      <c r="C707" t="str">
        <f>VLOOKUP(bron[[#This Row],[personeelsnr]],'data hastus'!$A:$C,2,0)</f>
        <v>Ben Sidhom</v>
      </c>
      <c r="D707" t="str">
        <f>VLOOKUP(bron[[#This Row],[personeelsnr]],'data hastus'!$A:$C,3,0)</f>
        <v>Samir</v>
      </c>
      <c r="E707" t="str">
        <f>VLOOKUP(bron[[#This Row],[personeelsnr]],'data hastus'!A:K,11,FALSE)</f>
        <v>Christoff Rotty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45782</v>
      </c>
      <c r="U707" s="8" t="s">
        <v>1164</v>
      </c>
      <c r="V707" s="8">
        <v>1</v>
      </c>
      <c r="W707" s="8"/>
      <c r="X707" t="s">
        <v>3546</v>
      </c>
      <c r="Y707" t="s">
        <v>13</v>
      </c>
      <c r="Z707">
        <v>5053</v>
      </c>
      <c r="AA707" s="39" t="s">
        <v>3592</v>
      </c>
    </row>
    <row r="708" spans="1:27" hidden="1" x14ac:dyDescent="0.3">
      <c r="A708">
        <v>38740</v>
      </c>
      <c r="B708" t="str">
        <f>_xlfn.CONCAT(bron[[#This Row],[personeelsnr]]," ",bron[[#This Row],[achternaam]]," ",bron[[#This Row],[voornaam]])</f>
        <v>38740 Meskens Anthony</v>
      </c>
      <c r="C708" t="str">
        <f>VLOOKUP(bron[[#This Row],[personeelsnr]],'data hastus'!$A:$C,2,0)</f>
        <v>Meskens</v>
      </c>
      <c r="D708" t="str">
        <f>VLOOKUP(bron[[#This Row],[personeelsnr]],'data hastus'!$A:$C,3,0)</f>
        <v>Anthony</v>
      </c>
      <c r="E708" t="str">
        <f>VLOOKUP(bron[[#This Row],[personeelsnr]],'data hastus'!A:K,11,FALSE)</f>
        <v>Christoff Rotty</v>
      </c>
      <c r="F708" s="10"/>
      <c r="G708" s="7"/>
      <c r="H708" s="7"/>
      <c r="I708" s="7"/>
      <c r="N708" s="5">
        <v>1</v>
      </c>
      <c r="S708" s="5">
        <f>SUM(bron[[#This Row],[Januari]:[December]])</f>
        <v>1</v>
      </c>
      <c r="T708" s="9">
        <v>45879</v>
      </c>
      <c r="U708" s="24" t="s">
        <v>1271</v>
      </c>
      <c r="V708" s="24"/>
      <c r="W708" s="24">
        <v>1</v>
      </c>
      <c r="X708" t="s">
        <v>3580</v>
      </c>
      <c r="Y708" t="s">
        <v>5</v>
      </c>
      <c r="Z708">
        <v>6321</v>
      </c>
      <c r="AA708" s="39" t="s">
        <v>3592</v>
      </c>
    </row>
    <row r="709" spans="1:27" hidden="1" x14ac:dyDescent="0.3">
      <c r="A709">
        <v>38740</v>
      </c>
      <c r="B709" t="str">
        <f>_xlfn.CONCAT(bron[[#This Row],[personeelsnr]]," ",bron[[#This Row],[achternaam]]," ",bron[[#This Row],[voornaam]])</f>
        <v>38740 Meskens Anthony</v>
      </c>
      <c r="C709" t="str">
        <f>VLOOKUP(bron[[#This Row],[personeelsnr]],'data hastus'!$A:$C,2,0)</f>
        <v>Meskens</v>
      </c>
      <c r="D709" t="str">
        <f>VLOOKUP(bron[[#This Row],[personeelsnr]],'data hastus'!$A:$C,3,0)</f>
        <v>Anthony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>
        <v>1</v>
      </c>
      <c r="K709"/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45777</v>
      </c>
      <c r="U709" s="8" t="s">
        <v>1300</v>
      </c>
      <c r="V709" s="8"/>
      <c r="W709" s="8">
        <v>1</v>
      </c>
      <c r="X709" t="s">
        <v>8</v>
      </c>
      <c r="Y709" t="s">
        <v>859</v>
      </c>
      <c r="Z709">
        <v>6322</v>
      </c>
      <c r="AA709" s="39" t="s">
        <v>3593</v>
      </c>
    </row>
    <row r="710" spans="1:27" hidden="1" x14ac:dyDescent="0.3">
      <c r="A710">
        <v>38807</v>
      </c>
      <c r="B710" t="str">
        <f>_xlfn.CONCAT(bron[[#This Row],[personeelsnr]]," ",bron[[#This Row],[achternaam]]," ",bron[[#This Row],[voornaam]])</f>
        <v>38807 Dossche Caroline</v>
      </c>
      <c r="C710" t="str">
        <f>VLOOKUP(bron[[#This Row],[personeelsnr]],'data hastus'!$A:$C,2,0)</f>
        <v>Dossche</v>
      </c>
      <c r="D710" t="str">
        <f>VLOOKUP(bron[[#This Row],[personeelsnr]],'data hastus'!$A:$C,3,0)</f>
        <v>Caroline</v>
      </c>
      <c r="E710" t="str">
        <f>VLOOKUP(bron[[#This Row],[personeelsnr]],'data hastus'!A:K,11,FALSE)</f>
        <v>Christoff Rotty</v>
      </c>
      <c r="F710" s="10"/>
      <c r="G710" s="6"/>
      <c r="H710" s="6"/>
      <c r="I710" s="6"/>
      <c r="J710">
        <v>1</v>
      </c>
      <c r="K710"/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45750</v>
      </c>
      <c r="U710" s="8" t="s">
        <v>1123</v>
      </c>
      <c r="V710" s="8">
        <v>1</v>
      </c>
      <c r="W710" s="8"/>
      <c r="X710" t="s">
        <v>3546</v>
      </c>
      <c r="Y710" t="s">
        <v>40</v>
      </c>
      <c r="Z710">
        <v>5046</v>
      </c>
      <c r="AA710" s="39" t="s">
        <v>3592</v>
      </c>
    </row>
    <row r="711" spans="1:27" hidden="1" x14ac:dyDescent="0.3">
      <c r="A711">
        <v>38807</v>
      </c>
      <c r="B711" t="str">
        <f>_xlfn.CONCAT(bron[[#This Row],[personeelsnr]]," ",bron[[#This Row],[achternaam]]," ",bron[[#This Row],[voornaam]])</f>
        <v>38807 Dossche Caroline</v>
      </c>
      <c r="C711" t="str">
        <f>VLOOKUP(bron[[#This Row],[personeelsnr]],'data hastus'!$A:$C,2,0)</f>
        <v>Dossche</v>
      </c>
      <c r="D711" t="str">
        <f>VLOOKUP(bron[[#This Row],[personeelsnr]],'data hastus'!$A:$C,3,0)</f>
        <v>Caroline</v>
      </c>
      <c r="E711" t="str">
        <f>VLOOKUP(bron[[#This Row],[personeelsnr]],'data hastus'!A:K,11,FALSE)</f>
        <v>Christoff Rotty</v>
      </c>
      <c r="F711" s="10"/>
      <c r="G711" s="6"/>
      <c r="H711" s="6"/>
      <c r="I711" s="6">
        <v>1</v>
      </c>
      <c r="J711"/>
      <c r="K711"/>
      <c r="L711"/>
      <c r="M711"/>
      <c r="N711"/>
      <c r="O711"/>
      <c r="P711"/>
      <c r="Q711"/>
      <c r="R711"/>
      <c r="S711">
        <f>SUM(bron[[#This Row],[Januari]:[December]])</f>
        <v>1</v>
      </c>
      <c r="T711" s="3">
        <v>45718</v>
      </c>
      <c r="U711" s="8" t="s">
        <v>1086</v>
      </c>
      <c r="V711" s="8">
        <v>1</v>
      </c>
      <c r="W711" s="8"/>
      <c r="X711" t="s">
        <v>3545</v>
      </c>
      <c r="Y711" t="s">
        <v>78</v>
      </c>
      <c r="Z711">
        <v>5929</v>
      </c>
      <c r="AA711" s="39" t="s">
        <v>3592</v>
      </c>
    </row>
    <row r="712" spans="1:27" hidden="1" x14ac:dyDescent="0.3">
      <c r="A712">
        <v>38808</v>
      </c>
      <c r="B712" t="str">
        <f>_xlfn.CONCAT(bron[[#This Row],[personeelsnr]]," ",bron[[#This Row],[achternaam]]," ",bron[[#This Row],[voornaam]])</f>
        <v>38808 Wasen Jens</v>
      </c>
      <c r="C712" t="str">
        <f>VLOOKUP(bron[[#This Row],[personeelsnr]],'data hastus'!$A:$C,2,0)</f>
        <v>Wasen</v>
      </c>
      <c r="D712" t="str">
        <f>VLOOKUP(bron[[#This Row],[personeelsnr]],'data hastus'!$A:$C,3,0)</f>
        <v>Jens</v>
      </c>
      <c r="E712" t="str">
        <f>VLOOKUP(bron[[#This Row],[personeelsnr]],'data hastus'!A:K,11,FALSE)</f>
        <v>Els Dewulf</v>
      </c>
      <c r="F712" s="10"/>
      <c r="G712" s="7"/>
      <c r="H712" s="7"/>
      <c r="I712" s="7"/>
      <c r="L712" s="5">
        <v>1</v>
      </c>
      <c r="S712" s="5">
        <f>SUM(bron[[#This Row],[Januari]:[December]])</f>
        <v>1</v>
      </c>
      <c r="T712" s="9">
        <v>45830</v>
      </c>
      <c r="U712" s="8" t="s">
        <v>1211</v>
      </c>
      <c r="V712" s="24">
        <v>1</v>
      </c>
      <c r="W712" s="24"/>
      <c r="X712" t="s">
        <v>3545</v>
      </c>
      <c r="Y712" t="s">
        <v>16</v>
      </c>
      <c r="Z712">
        <v>5926</v>
      </c>
      <c r="AA712" s="39" t="s">
        <v>3592</v>
      </c>
    </row>
    <row r="713" spans="1:27" hidden="1" x14ac:dyDescent="0.3">
      <c r="A713">
        <v>38931</v>
      </c>
      <c r="B713" t="str">
        <f>_xlfn.CONCAT(bron[[#This Row],[personeelsnr]]," ",bron[[#This Row],[achternaam]]," ",bron[[#This Row],[voornaam]])</f>
        <v>38931 Sancak Eyuphan</v>
      </c>
      <c r="C713" t="str">
        <f>VLOOKUP(bron[[#This Row],[personeelsnr]],'data hastus'!$A:$C,2,0)</f>
        <v>Sancak</v>
      </c>
      <c r="D713" t="str">
        <f>VLOOKUP(bron[[#This Row],[personeelsnr]],'data hastus'!$A:$C,3,0)</f>
        <v>Eyuphan</v>
      </c>
      <c r="E713" t="str">
        <f>VLOOKUP(bron[[#This Row],[personeelsnr]],'data hastus'!A:K,11,FALSE)</f>
        <v>Bart Van Der Beken</v>
      </c>
      <c r="G713" s="6"/>
      <c r="H713" s="6"/>
      <c r="I713" s="6"/>
      <c r="J713"/>
      <c r="K713">
        <v>1</v>
      </c>
      <c r="L713"/>
      <c r="M713"/>
      <c r="N713"/>
      <c r="O713"/>
      <c r="P713"/>
      <c r="Q713"/>
      <c r="R713"/>
      <c r="S713">
        <f>SUM(bron[[#This Row],[Januari]:[December]])</f>
        <v>1</v>
      </c>
      <c r="T713" s="3">
        <v>45786</v>
      </c>
      <c r="U713" s="8" t="s">
        <v>1167</v>
      </c>
      <c r="V713" s="8">
        <v>1</v>
      </c>
      <c r="W713" s="8"/>
      <c r="X713" t="s">
        <v>3545</v>
      </c>
      <c r="Y713" t="s">
        <v>165</v>
      </c>
      <c r="Z713">
        <v>4678</v>
      </c>
      <c r="AA713" s="39" t="s">
        <v>3592</v>
      </c>
    </row>
    <row r="714" spans="1:27" hidden="1" x14ac:dyDescent="0.3">
      <c r="A714">
        <v>38938</v>
      </c>
      <c r="B714" t="str">
        <f>_xlfn.CONCAT(bron[[#This Row],[personeelsnr]]," ",bron[[#This Row],[achternaam]]," ",bron[[#This Row],[voornaam]])</f>
        <v>38938 Sedighi Hamid</v>
      </c>
      <c r="C714" t="str">
        <f>VLOOKUP(bron[[#This Row],[personeelsnr]],'data hastus'!$A:$C,2,0)</f>
        <v>Sedighi</v>
      </c>
      <c r="D714" t="str">
        <f>VLOOKUP(bron[[#This Row],[personeelsnr]],'data hastus'!$A:$C,3,0)</f>
        <v>Hamid</v>
      </c>
      <c r="E714" t="str">
        <f>VLOOKUP(bron[[#This Row],[personeelsnr]],'data hastus'!A:K,11,FALSE)</f>
        <v>Lucie Vande Velde</v>
      </c>
      <c r="F714" s="10"/>
      <c r="G714" s="6"/>
      <c r="H714" s="6"/>
      <c r="I714" s="6"/>
      <c r="J714">
        <v>1</v>
      </c>
      <c r="K714"/>
      <c r="L714"/>
      <c r="M714"/>
      <c r="N714"/>
      <c r="O714"/>
      <c r="P714"/>
      <c r="Q714"/>
      <c r="R714"/>
      <c r="S714">
        <f>SUM(bron[[#This Row],[Januari]:[December]])</f>
        <v>1</v>
      </c>
      <c r="T714" s="3">
        <v>45765</v>
      </c>
      <c r="U714" s="8" t="s">
        <v>1141</v>
      </c>
      <c r="V714" s="8"/>
      <c r="W714" s="8">
        <v>1</v>
      </c>
      <c r="X714" t="s">
        <v>3580</v>
      </c>
      <c r="Y714" t="s">
        <v>88</v>
      </c>
      <c r="Z714">
        <v>6339</v>
      </c>
      <c r="AA714" s="39" t="s">
        <v>3592</v>
      </c>
    </row>
    <row r="715" spans="1:27" hidden="1" x14ac:dyDescent="0.3">
      <c r="A715">
        <v>39014</v>
      </c>
      <c r="B715" t="str">
        <f>_xlfn.CONCAT(bron[[#This Row],[personeelsnr]]," ",bron[[#This Row],[achternaam]]," ",bron[[#This Row],[voornaam]])</f>
        <v>39014 Genbrugge Kyllian</v>
      </c>
      <c r="C715" t="str">
        <f>VLOOKUP(bron[[#This Row],[personeelsnr]],'data hastus'!$A:$C,2,0)</f>
        <v>Genbrugge</v>
      </c>
      <c r="D715" t="str">
        <f>VLOOKUP(bron[[#This Row],[personeelsnr]],'data hastus'!$A:$C,3,0)</f>
        <v>Kyllian</v>
      </c>
      <c r="E715" t="str">
        <f>VLOOKUP(bron[[#This Row],[personeelsnr]],'data hastus'!A:K,11,FALSE)</f>
        <v>Bart Van Der Beken</v>
      </c>
      <c r="F715" s="10"/>
      <c r="G715" s="6">
        <v>1</v>
      </c>
      <c r="H715" s="6"/>
      <c r="I715" s="6"/>
      <c r="J715"/>
      <c r="K715"/>
      <c r="L715"/>
      <c r="M715"/>
      <c r="N715"/>
      <c r="O715"/>
      <c r="P715"/>
      <c r="Q715"/>
      <c r="R715"/>
      <c r="S715">
        <f>SUM(bron[[#This Row],[Januari]:[December]])</f>
        <v>1</v>
      </c>
      <c r="T715" s="3">
        <v>45660</v>
      </c>
      <c r="U715" s="8" t="s">
        <v>996</v>
      </c>
      <c r="V715" s="8">
        <v>1</v>
      </c>
      <c r="W715" s="8"/>
      <c r="X715" t="s">
        <v>3546</v>
      </c>
      <c r="Y715" t="s">
        <v>263</v>
      </c>
      <c r="Z715">
        <v>5048</v>
      </c>
      <c r="AA715" s="39" t="s">
        <v>3592</v>
      </c>
    </row>
    <row r="716" spans="1:27" hidden="1" x14ac:dyDescent="0.3">
      <c r="A716">
        <v>39267</v>
      </c>
      <c r="B716" t="str">
        <f>_xlfn.CONCAT(bron[[#This Row],[personeelsnr]]," ",bron[[#This Row],[achternaam]]," ",bron[[#This Row],[voornaam]])</f>
        <v>39267 Van Holsbeeck Jens</v>
      </c>
      <c r="C716" t="str">
        <f>VLOOKUP(bron[[#This Row],[personeelsnr]],'data hastus'!$A:$C,2,0)</f>
        <v>Van Holsbeeck</v>
      </c>
      <c r="D716" t="str">
        <f>VLOOKUP(bron[[#This Row],[personeelsnr]],'data hastus'!$A:$C,3,0)</f>
        <v>Jens</v>
      </c>
      <c r="E716" t="str">
        <f>VLOOKUP(bron[[#This Row],[personeelsnr]],'data hastus'!A:K,11,FALSE)</f>
        <v>Christoff Rotty</v>
      </c>
      <c r="F716" s="10"/>
      <c r="G716" s="6"/>
      <c r="H716" s="6">
        <v>1</v>
      </c>
      <c r="I716" s="6"/>
      <c r="J716"/>
      <c r="K716"/>
      <c r="L716"/>
      <c r="M716"/>
      <c r="N716"/>
      <c r="O716"/>
      <c r="P716"/>
      <c r="Q716"/>
      <c r="R716"/>
      <c r="S716">
        <f>SUM(bron[[#This Row],[Januari]:[December]])</f>
        <v>1</v>
      </c>
      <c r="T716" s="3">
        <v>45700</v>
      </c>
      <c r="U716" s="8" t="s">
        <v>1055</v>
      </c>
      <c r="V716" s="8"/>
      <c r="W716" s="8">
        <v>1</v>
      </c>
      <c r="X716" t="s">
        <v>3580</v>
      </c>
      <c r="Y716" t="s">
        <v>81</v>
      </c>
      <c r="Z716">
        <v>6317</v>
      </c>
      <c r="AA716" s="39" t="s">
        <v>3592</v>
      </c>
    </row>
    <row r="717" spans="1:27" hidden="1" x14ac:dyDescent="0.3">
      <c r="A717">
        <v>39358</v>
      </c>
      <c r="B717" t="str">
        <f>_xlfn.CONCAT(bron[[#This Row],[personeelsnr]]," ",bron[[#This Row],[achternaam]]," ",bron[[#This Row],[voornaam]])</f>
        <v>39358 Weeks Aracena Jimmy Alexander</v>
      </c>
      <c r="C717" t="str">
        <f>VLOOKUP(bron[[#This Row],[personeelsnr]],'data hastus'!$A:$C,2,0)</f>
        <v>Weeks Aracena</v>
      </c>
      <c r="D717" t="str">
        <f>VLOOKUP(bron[[#This Row],[personeelsnr]],'data hastus'!$A:$C,3,0)</f>
        <v>Jimmy Alexander</v>
      </c>
      <c r="E717" t="str">
        <f>VLOOKUP(bron[[#This Row],[personeelsnr]],'data hastus'!A:K,11,FALSE)</f>
        <v>Christoff Rotty</v>
      </c>
      <c r="F717" s="10"/>
      <c r="G717" s="6"/>
      <c r="H717" s="6"/>
      <c r="I717" s="6"/>
      <c r="J717">
        <v>1</v>
      </c>
      <c r="K717"/>
      <c r="L717"/>
      <c r="M717"/>
      <c r="N717"/>
      <c r="O717"/>
      <c r="P717"/>
      <c r="Q717"/>
      <c r="R717"/>
      <c r="S717">
        <f>SUM(bron[[#This Row],[Januari]:[December]])</f>
        <v>1</v>
      </c>
      <c r="T717" s="3">
        <v>45756</v>
      </c>
      <c r="U717" s="8" t="s">
        <v>1130</v>
      </c>
      <c r="V717" s="8">
        <v>1</v>
      </c>
      <c r="W717" s="8"/>
      <c r="X717" t="s">
        <v>3546</v>
      </c>
      <c r="Y717" t="s">
        <v>25</v>
      </c>
      <c r="Z717">
        <v>5238</v>
      </c>
      <c r="AA717" s="39" t="s">
        <v>3592</v>
      </c>
    </row>
    <row r="718" spans="1:27" hidden="1" x14ac:dyDescent="0.3">
      <c r="A718">
        <v>39358</v>
      </c>
      <c r="B718" t="str">
        <f>_xlfn.CONCAT(bron[[#This Row],[personeelsnr]]," ",bron[[#This Row],[achternaam]]," ",bron[[#This Row],[voornaam]])</f>
        <v>39358 Weeks Aracena Jimmy Alexander</v>
      </c>
      <c r="C718" t="str">
        <f>VLOOKUP(bron[[#This Row],[personeelsnr]],'data hastus'!$A:$C,2,0)</f>
        <v>Weeks Aracena</v>
      </c>
      <c r="D718" t="str">
        <f>VLOOKUP(bron[[#This Row],[personeelsnr]],'data hastus'!$A:$C,3,0)</f>
        <v>Jimmy Alexander</v>
      </c>
      <c r="E718" t="str">
        <f>VLOOKUP(bron[[#This Row],[personeelsnr]],'data hastus'!A:K,11,FALSE)</f>
        <v>Christoff Rotty</v>
      </c>
      <c r="F718" s="10"/>
      <c r="G718" s="6">
        <v>1</v>
      </c>
      <c r="H718" s="6"/>
      <c r="I718" s="6"/>
      <c r="J718"/>
      <c r="K718"/>
      <c r="L718"/>
      <c r="M718"/>
      <c r="N718"/>
      <c r="O718"/>
      <c r="P718"/>
      <c r="Q718"/>
      <c r="R718"/>
      <c r="S718">
        <f>SUM(bron[[#This Row],[Januari]:[December]])</f>
        <v>1</v>
      </c>
      <c r="T718" s="3">
        <v>45660</v>
      </c>
      <c r="U718" s="8" t="s">
        <v>997</v>
      </c>
      <c r="V718" s="8">
        <v>1</v>
      </c>
      <c r="W718" s="8"/>
      <c r="X718" t="s">
        <v>3546</v>
      </c>
      <c r="Y718" t="s">
        <v>13</v>
      </c>
      <c r="Z718">
        <v>5229</v>
      </c>
      <c r="AA718" s="39" t="s">
        <v>3592</v>
      </c>
    </row>
    <row r="719" spans="1:27" hidden="1" x14ac:dyDescent="0.3">
      <c r="A719">
        <v>39529</v>
      </c>
      <c r="B719" t="str">
        <f>_xlfn.CONCAT(bron[[#This Row],[personeelsnr]]," ",bron[[#This Row],[achternaam]]," ",bron[[#This Row],[voornaam]])</f>
        <v>39529 Desmet Patricia</v>
      </c>
      <c r="C719" t="str">
        <f>VLOOKUP(bron[[#This Row],[personeelsnr]],'data hastus'!$A:$C,2,0)</f>
        <v>Desmet</v>
      </c>
      <c r="D719" t="str">
        <f>VLOOKUP(bron[[#This Row],[personeelsnr]],'data hastus'!$A:$C,3,0)</f>
        <v>Patricia</v>
      </c>
      <c r="E719" t="str">
        <f>VLOOKUP(bron[[#This Row],[personeelsnr]],'data hastus'!A:K,11,FALSE)</f>
        <v>Christoff Rotty</v>
      </c>
      <c r="F719" s="10"/>
      <c r="G719" s="7"/>
      <c r="H719" s="7"/>
      <c r="I719" s="7"/>
      <c r="M719" s="5">
        <v>1</v>
      </c>
      <c r="S719" s="5">
        <f>SUM(bron[[#This Row],[Januari]:[December]])</f>
        <v>1</v>
      </c>
      <c r="T719" s="9">
        <v>45853</v>
      </c>
      <c r="U719" s="8" t="s">
        <v>1304</v>
      </c>
      <c r="V719" s="24"/>
      <c r="W719" s="24">
        <v>1</v>
      </c>
      <c r="X719" t="s">
        <v>8</v>
      </c>
      <c r="Y719" t="s">
        <v>962</v>
      </c>
      <c r="Z719">
        <v>6375</v>
      </c>
      <c r="AA719" s="39" t="s">
        <v>3593</v>
      </c>
    </row>
    <row r="720" spans="1:27" hidden="1" x14ac:dyDescent="0.3">
      <c r="A720">
        <v>39532</v>
      </c>
      <c r="B720" t="str">
        <f>_xlfn.CONCAT(bron[[#This Row],[personeelsnr]]," ",bron[[#This Row],[achternaam]]," ",bron[[#This Row],[voornaam]])</f>
        <v>39532 Sahin Orhan</v>
      </c>
      <c r="C720" t="str">
        <f>VLOOKUP(bron[[#This Row],[personeelsnr]],'data hastus'!$A:$C,2,0)</f>
        <v>Sahin</v>
      </c>
      <c r="D720" t="str">
        <f>VLOOKUP(bron[[#This Row],[personeelsnr]],'data hastus'!$A:$C,3,0)</f>
        <v>Orhan</v>
      </c>
      <c r="E720" t="str">
        <f>VLOOKUP(bron[[#This Row],[personeelsnr]],'data hastus'!A:K,11,FALSE)</f>
        <v>Christoff Rotty</v>
      </c>
      <c r="F720" s="10"/>
      <c r="G720" s="7"/>
      <c r="H720" s="7"/>
      <c r="I720" s="7">
        <v>1</v>
      </c>
      <c r="S720" s="5">
        <f>SUM(bron[[#This Row],[Januari]:[December]])</f>
        <v>1</v>
      </c>
      <c r="T720" s="9">
        <v>45728</v>
      </c>
      <c r="U720" s="8" t="s">
        <v>1101</v>
      </c>
      <c r="V720" s="8">
        <v>1</v>
      </c>
      <c r="W720" s="8"/>
      <c r="X720" t="s">
        <v>3546</v>
      </c>
      <c r="Y720" t="s">
        <v>100</v>
      </c>
      <c r="Z720">
        <v>5237</v>
      </c>
      <c r="AA720" s="39" t="s">
        <v>3592</v>
      </c>
    </row>
    <row r="721" spans="1:27" hidden="1" x14ac:dyDescent="0.3">
      <c r="A721">
        <v>39532</v>
      </c>
      <c r="B721" t="str">
        <f>_xlfn.CONCAT(bron[[#This Row],[personeelsnr]]," ",bron[[#This Row],[achternaam]]," ",bron[[#This Row],[voornaam]])</f>
        <v>39532 Sahin Orhan</v>
      </c>
      <c r="C721" t="str">
        <f>VLOOKUP(bron[[#This Row],[personeelsnr]],'data hastus'!$A:$C,2,0)</f>
        <v>Sahin</v>
      </c>
      <c r="D721" t="str">
        <f>VLOOKUP(bron[[#This Row],[personeelsnr]],'data hastus'!$A:$C,3,0)</f>
        <v>Orhan</v>
      </c>
      <c r="E721" t="str">
        <f>VLOOKUP(bron[[#This Row],[personeelsnr]],'data hastus'!A:K,11,FALSE)</f>
        <v>Christoff Rotty</v>
      </c>
      <c r="G721" s="6"/>
      <c r="H721" s="6">
        <v>1</v>
      </c>
      <c r="I721" s="6"/>
      <c r="J721"/>
      <c r="K721"/>
      <c r="L721"/>
      <c r="M721"/>
      <c r="N721"/>
      <c r="O721"/>
      <c r="P721"/>
      <c r="Q721"/>
      <c r="R721"/>
      <c r="S721">
        <f>SUM(bron[[#This Row],[Januari]:[December]])</f>
        <v>1</v>
      </c>
      <c r="T721" s="3">
        <v>45689</v>
      </c>
      <c r="U721" s="8" t="s">
        <v>1038</v>
      </c>
      <c r="V721" s="8">
        <v>1</v>
      </c>
      <c r="W721" s="8"/>
      <c r="X721" t="s">
        <v>3546</v>
      </c>
      <c r="Y721" t="s">
        <v>13</v>
      </c>
      <c r="Z721">
        <v>5048</v>
      </c>
      <c r="AA721" s="39" t="s">
        <v>3592</v>
      </c>
    </row>
    <row r="722" spans="1:27" hidden="1" x14ac:dyDescent="0.3">
      <c r="A722">
        <v>39581</v>
      </c>
      <c r="B722" t="str">
        <f>_xlfn.CONCAT(bron[[#This Row],[personeelsnr]]," ",bron[[#This Row],[achternaam]]," ",bron[[#This Row],[voornaam]])</f>
        <v>39581 Vandenhaute Linus</v>
      </c>
      <c r="C722" t="str">
        <f>VLOOKUP(bron[[#This Row],[personeelsnr]],'data hastus'!$A:$C,2,0)</f>
        <v>Vandenhaute</v>
      </c>
      <c r="D722" t="str">
        <f>VLOOKUP(bron[[#This Row],[personeelsnr]],'data hastus'!$A:$C,3,0)</f>
        <v>Linus</v>
      </c>
      <c r="E722" t="str">
        <f>VLOOKUP(bron[[#This Row],[personeelsnr]],'data hastus'!A:K,11,FALSE)</f>
        <v>Els Dewulf</v>
      </c>
      <c r="F722" s="10"/>
      <c r="G722" s="7"/>
      <c r="H722" s="7"/>
      <c r="I722" s="7"/>
      <c r="M722" s="5">
        <v>1</v>
      </c>
      <c r="S722" s="5">
        <f>SUM(bron[[#This Row],[Januari]:[December]])</f>
        <v>1</v>
      </c>
      <c r="T722" s="9">
        <v>45861</v>
      </c>
      <c r="U722" s="8" t="s">
        <v>1253</v>
      </c>
      <c r="V722" s="24">
        <v>1</v>
      </c>
      <c r="W722" s="24"/>
      <c r="X722" t="s">
        <v>3546</v>
      </c>
      <c r="Y722" t="s">
        <v>113</v>
      </c>
      <c r="Z722">
        <v>5260</v>
      </c>
      <c r="AA722" s="39" t="s">
        <v>3592</v>
      </c>
    </row>
    <row r="723" spans="1:27" hidden="1" x14ac:dyDescent="0.3">
      <c r="A723">
        <v>39581</v>
      </c>
      <c r="B723" t="str">
        <f>_xlfn.CONCAT(bron[[#This Row],[personeelsnr]]," ",bron[[#This Row],[achternaam]]," ",bron[[#This Row],[voornaam]])</f>
        <v>39581 Vandenhaute Linus</v>
      </c>
      <c r="C723" t="str">
        <f>VLOOKUP(bron[[#This Row],[personeelsnr]],'data hastus'!$A:$C,2,0)</f>
        <v>Vandenhaute</v>
      </c>
      <c r="D723" t="str">
        <f>VLOOKUP(bron[[#This Row],[personeelsnr]],'data hastus'!$A:$C,3,0)</f>
        <v>Linus</v>
      </c>
      <c r="E723" t="str">
        <f>VLOOKUP(bron[[#This Row],[personeelsnr]],'data hastus'!A:K,11,FALSE)</f>
        <v>Els Dewulf</v>
      </c>
      <c r="F723" s="10"/>
      <c r="G723" s="6"/>
      <c r="H723" s="6"/>
      <c r="I723" s="6">
        <v>1</v>
      </c>
      <c r="J723"/>
      <c r="K723"/>
      <c r="L723"/>
      <c r="M723"/>
      <c r="N723"/>
      <c r="O723"/>
      <c r="P723"/>
      <c r="Q723"/>
      <c r="R723"/>
      <c r="S723">
        <f>SUM(bron[[#This Row],[Januari]:[December]])</f>
        <v>1</v>
      </c>
      <c r="T723" s="3">
        <v>45744</v>
      </c>
      <c r="U723" s="8" t="s">
        <v>1118</v>
      </c>
      <c r="V723" s="8">
        <v>1</v>
      </c>
      <c r="W723" s="8"/>
      <c r="X723" t="s">
        <v>3546</v>
      </c>
      <c r="Y723" t="s">
        <v>48</v>
      </c>
      <c r="Z723">
        <v>5261</v>
      </c>
      <c r="AA723" s="39" t="s">
        <v>3592</v>
      </c>
    </row>
    <row r="724" spans="1:27" hidden="1" x14ac:dyDescent="0.3">
      <c r="A724">
        <v>39633</v>
      </c>
      <c r="B724" t="str">
        <f>_xlfn.CONCAT(bron[[#This Row],[personeelsnr]]," ",bron[[#This Row],[achternaam]]," ",bron[[#This Row],[voornaam]])</f>
        <v>39633 Duyck Kimberly</v>
      </c>
      <c r="C724" t="str">
        <f>VLOOKUP(bron[[#This Row],[personeelsnr]],'data hastus'!$A:$C,2,0)</f>
        <v>Duyck</v>
      </c>
      <c r="D724" t="str">
        <f>VLOOKUP(bron[[#This Row],[personeelsnr]],'data hastus'!$A:$C,3,0)</f>
        <v>Kimberly</v>
      </c>
      <c r="E724" t="str">
        <f>VLOOKUP(bron[[#This Row],[personeelsnr]],'data hastus'!A:K,11,FALSE)</f>
        <v>Lucie Vande Velde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45782</v>
      </c>
      <c r="U724" s="8" t="s">
        <v>1326</v>
      </c>
      <c r="V724" s="8">
        <v>1</v>
      </c>
      <c r="W724" s="8"/>
      <c r="X724" t="s">
        <v>7</v>
      </c>
      <c r="Y724" t="s">
        <v>489</v>
      </c>
      <c r="Z724">
        <v>4667</v>
      </c>
      <c r="AA724" s="39" t="s">
        <v>3593</v>
      </c>
    </row>
    <row r="725" spans="1:27" hidden="1" x14ac:dyDescent="0.3">
      <c r="A725">
        <v>39651</v>
      </c>
      <c r="B725" t="str">
        <f>_xlfn.CONCAT(bron[[#This Row],[personeelsnr]]," ",bron[[#This Row],[achternaam]]," ",bron[[#This Row],[voornaam]])</f>
        <v>39651 Kallenbach Sunny</v>
      </c>
      <c r="C725" t="str">
        <f>VLOOKUP(bron[[#This Row],[personeelsnr]],'data hastus'!$A:$C,2,0)</f>
        <v>Kallenbach</v>
      </c>
      <c r="D725" t="str">
        <f>VLOOKUP(bron[[#This Row],[personeelsnr]],'data hastus'!$A:$C,3,0)</f>
        <v>Sunny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K725" s="5">
        <v>1</v>
      </c>
      <c r="S725" s="5">
        <f>SUM(bron[[#This Row],[Januari]:[December]])</f>
        <v>1</v>
      </c>
      <c r="T725" s="9">
        <v>45800</v>
      </c>
      <c r="U725" s="8" t="s">
        <v>1181</v>
      </c>
      <c r="V725" s="24">
        <v>1</v>
      </c>
      <c r="W725" s="24"/>
      <c r="X725" t="s">
        <v>3545</v>
      </c>
      <c r="Y725" t="s">
        <v>10</v>
      </c>
      <c r="Z725">
        <v>5238</v>
      </c>
      <c r="AA725" s="39" t="s">
        <v>3593</v>
      </c>
    </row>
    <row r="726" spans="1:27" hidden="1" x14ac:dyDescent="0.3">
      <c r="A726">
        <v>39660</v>
      </c>
      <c r="B726" t="str">
        <f>_xlfn.CONCAT(bron[[#This Row],[personeelsnr]]," ",bron[[#This Row],[achternaam]]," ",bron[[#This Row],[voornaam]])</f>
        <v>39660 Lloyd Glenn</v>
      </c>
      <c r="C726" t="str">
        <f>VLOOKUP(bron[[#This Row],[personeelsnr]],'data hastus'!$A:$C,2,0)</f>
        <v>Lloyd</v>
      </c>
      <c r="D726" t="str">
        <f>VLOOKUP(bron[[#This Row],[personeelsnr]],'data hastus'!$A:$C,3,0)</f>
        <v>Glenn</v>
      </c>
      <c r="E726" t="str">
        <f>VLOOKUP(bron[[#This Row],[personeelsnr]],'data hastus'!A:K,11,FALSE)</f>
        <v>Bart Van Der Beken</v>
      </c>
      <c r="F726" s="10"/>
      <c r="G726" s="6"/>
      <c r="H726" s="6">
        <v>1</v>
      </c>
      <c r="I726" s="6"/>
      <c r="J726"/>
      <c r="K726"/>
      <c r="L726"/>
      <c r="M726"/>
      <c r="N726"/>
      <c r="O726"/>
      <c r="P726"/>
      <c r="Q726"/>
      <c r="R726"/>
      <c r="S726">
        <f>SUM(bron[[#This Row],[Januari]:[December]])</f>
        <v>1</v>
      </c>
      <c r="T726" s="3">
        <v>45707</v>
      </c>
      <c r="U726" s="8" t="s">
        <v>1066</v>
      </c>
      <c r="V726" s="8">
        <v>1</v>
      </c>
      <c r="W726" s="8"/>
      <c r="X726" t="s">
        <v>3546</v>
      </c>
      <c r="Y726" t="s">
        <v>43</v>
      </c>
      <c r="Z726">
        <v>2195</v>
      </c>
      <c r="AA726" s="39" t="s">
        <v>3592</v>
      </c>
    </row>
    <row r="727" spans="1:27" hidden="1" x14ac:dyDescent="0.3">
      <c r="A727">
        <v>39660</v>
      </c>
      <c r="B727" t="str">
        <f>_xlfn.CONCAT(bron[[#This Row],[personeelsnr]]," ",bron[[#This Row],[achternaam]]," ",bron[[#This Row],[voornaam]])</f>
        <v>39660 Lloyd Glenn</v>
      </c>
      <c r="C727" t="str">
        <f>VLOOKUP(bron[[#This Row],[personeelsnr]],'data hastus'!$A:$C,2,0)</f>
        <v>Lloyd</v>
      </c>
      <c r="D727" t="str">
        <f>VLOOKUP(bron[[#This Row],[personeelsnr]],'data hastus'!$A:$C,3,0)</f>
        <v>Glenn</v>
      </c>
      <c r="E727" t="str">
        <f>VLOOKUP(bron[[#This Row],[personeelsnr]],'data hastus'!A:K,11,FALSE)</f>
        <v>Bart Van Der Beken</v>
      </c>
      <c r="F727" s="10"/>
      <c r="G727" s="6">
        <v>1</v>
      </c>
      <c r="H727" s="6"/>
      <c r="I727" s="6"/>
      <c r="J727"/>
      <c r="K727"/>
      <c r="L727"/>
      <c r="M727"/>
      <c r="N727"/>
      <c r="O727"/>
      <c r="P727"/>
      <c r="Q727"/>
      <c r="R727"/>
      <c r="S727">
        <f>SUM(bron[[#This Row],[Januari]:[December]])</f>
        <v>1</v>
      </c>
      <c r="T727" s="3">
        <v>45679</v>
      </c>
      <c r="U727" s="8" t="s">
        <v>1024</v>
      </c>
      <c r="V727" s="8">
        <v>1</v>
      </c>
      <c r="W727" s="8"/>
      <c r="X727" t="s">
        <v>3546</v>
      </c>
      <c r="Y727" t="s">
        <v>48</v>
      </c>
      <c r="Z727">
        <v>5264</v>
      </c>
      <c r="AA727" s="39" t="s">
        <v>3592</v>
      </c>
    </row>
    <row r="728" spans="1:27" hidden="1" x14ac:dyDescent="0.3">
      <c r="A728">
        <v>39660</v>
      </c>
      <c r="B728" t="str">
        <f>_xlfn.CONCAT(bron[[#This Row],[personeelsnr]]," ",bron[[#This Row],[achternaam]]," ",bron[[#This Row],[voornaam]])</f>
        <v>39660 Lloyd Glenn</v>
      </c>
      <c r="C728" t="str">
        <f>VLOOKUP(bron[[#This Row],[personeelsnr]],'data hastus'!$A:$C,2,0)</f>
        <v>Lloyd</v>
      </c>
      <c r="D728" t="str">
        <f>VLOOKUP(bron[[#This Row],[personeelsnr]],'data hastus'!$A:$C,3,0)</f>
        <v>Glenn</v>
      </c>
      <c r="E728" t="str">
        <f>VLOOKUP(bron[[#This Row],[personeelsnr]],'data hastus'!A:K,11,FALSE)</f>
        <v>Bart Van Der Beken</v>
      </c>
      <c r="F728" s="10"/>
      <c r="G728" s="7"/>
      <c r="H728" s="7"/>
      <c r="I728" s="7"/>
      <c r="M728" s="5">
        <v>1</v>
      </c>
      <c r="S728" s="5">
        <f>SUM(bron[[#This Row],[Januari]:[December]])</f>
        <v>1</v>
      </c>
      <c r="T728" s="9">
        <v>45842</v>
      </c>
      <c r="U728" s="8" t="s">
        <v>1297</v>
      </c>
      <c r="V728" s="24">
        <v>1</v>
      </c>
      <c r="W728" s="24"/>
      <c r="X728" t="s">
        <v>7</v>
      </c>
      <c r="Y728" t="s">
        <v>227</v>
      </c>
      <c r="Z728">
        <v>2190</v>
      </c>
      <c r="AA728" s="39" t="s">
        <v>3593</v>
      </c>
    </row>
    <row r="729" spans="1:27" hidden="1" x14ac:dyDescent="0.3">
      <c r="A729">
        <v>39673</v>
      </c>
      <c r="B729" t="str">
        <f>_xlfn.CONCAT(bron[[#This Row],[personeelsnr]]," ",bron[[#This Row],[achternaam]]," ",bron[[#This Row],[voornaam]])</f>
        <v>39673 Steurbaut Henri</v>
      </c>
      <c r="C729" t="str">
        <f>VLOOKUP(bron[[#This Row],[personeelsnr]],'data hastus'!$A:$C,2,0)</f>
        <v>Steurbaut</v>
      </c>
      <c r="D729" t="str">
        <f>VLOOKUP(bron[[#This Row],[personeelsnr]],'data hastus'!$A:$C,3,0)</f>
        <v>Henri</v>
      </c>
      <c r="E729" t="str">
        <f>VLOOKUP(bron[[#This Row],[personeelsnr]],'data hastus'!A:K,11,FALSE)</f>
        <v>Els Vanhoe</v>
      </c>
      <c r="F729" s="10"/>
      <c r="G729" s="7"/>
      <c r="H729" s="7"/>
      <c r="I729" s="7"/>
      <c r="M729" s="5">
        <v>1</v>
      </c>
      <c r="S729" s="5">
        <f>SUM(bron[[#This Row],[Januari]:[December]])</f>
        <v>1</v>
      </c>
      <c r="T729" s="9">
        <v>45866</v>
      </c>
      <c r="U729" s="8" t="s">
        <v>1258</v>
      </c>
      <c r="V729" s="24">
        <v>1</v>
      </c>
      <c r="W729" s="24"/>
      <c r="X729" t="s">
        <v>3546</v>
      </c>
      <c r="Y729" t="s">
        <v>265</v>
      </c>
      <c r="Z729">
        <v>2192</v>
      </c>
      <c r="AA729" s="39" t="s">
        <v>3592</v>
      </c>
    </row>
    <row r="730" spans="1:27" hidden="1" x14ac:dyDescent="0.3">
      <c r="A730">
        <v>39673</v>
      </c>
      <c r="B730" t="str">
        <f>_xlfn.CONCAT(bron[[#This Row],[personeelsnr]]," ",bron[[#This Row],[achternaam]]," ",bron[[#This Row],[voornaam]])</f>
        <v>39673 Steurbaut Henri</v>
      </c>
      <c r="C730" t="str">
        <f>VLOOKUP(bron[[#This Row],[personeelsnr]],'data hastus'!$A:$C,2,0)</f>
        <v>Steurbaut</v>
      </c>
      <c r="D730" t="str">
        <f>VLOOKUP(bron[[#This Row],[personeelsnr]],'data hastus'!$A:$C,3,0)</f>
        <v>Henri</v>
      </c>
      <c r="E730" t="str">
        <f>VLOOKUP(bron[[#This Row],[personeelsnr]],'data hastus'!A:K,11,FALSE)</f>
        <v>Els Vanhoe</v>
      </c>
      <c r="F730" s="10"/>
      <c r="G730" s="6">
        <v>1</v>
      </c>
      <c r="H730" s="6"/>
      <c r="I730" s="6"/>
      <c r="J730"/>
      <c r="K730"/>
      <c r="L730"/>
      <c r="M730"/>
      <c r="N730"/>
      <c r="O730"/>
      <c r="P730"/>
      <c r="Q730"/>
      <c r="R730"/>
      <c r="S730">
        <f>SUM(bron[[#This Row],[Januari]:[December]])</f>
        <v>1</v>
      </c>
      <c r="T730" s="3">
        <v>45678</v>
      </c>
      <c r="U730" s="8" t="s">
        <v>1023</v>
      </c>
      <c r="V730" s="8">
        <v>1</v>
      </c>
      <c r="W730" s="8"/>
      <c r="X730" t="s">
        <v>3545</v>
      </c>
      <c r="Y730" t="s">
        <v>92</v>
      </c>
      <c r="Z730">
        <v>5922</v>
      </c>
      <c r="AA730" s="39" t="s">
        <v>3592</v>
      </c>
    </row>
    <row r="731" spans="1:27" hidden="1" x14ac:dyDescent="0.3">
      <c r="A731">
        <v>39677</v>
      </c>
      <c r="B731" t="str">
        <f>_xlfn.CONCAT(bron[[#This Row],[personeelsnr]]," ",bron[[#This Row],[achternaam]]," ",bron[[#This Row],[voornaam]])</f>
        <v>39677 Tacq Joey</v>
      </c>
      <c r="C731" t="str">
        <f>VLOOKUP(bron[[#This Row],[personeelsnr]],'data hastus'!$A:$C,2,0)</f>
        <v>Tacq</v>
      </c>
      <c r="D731" t="str">
        <f>VLOOKUP(bron[[#This Row],[personeelsnr]],'data hastus'!$A:$C,3,0)</f>
        <v>Joey</v>
      </c>
      <c r="E731" t="str">
        <f>VLOOKUP(bron[[#This Row],[personeelsnr]],'data hastus'!A:K,11,FALSE)</f>
        <v>Kenneth De Rick</v>
      </c>
      <c r="F731" s="10"/>
      <c r="G731" s="6"/>
      <c r="H731" s="6"/>
      <c r="I731" s="6"/>
      <c r="J731">
        <v>1</v>
      </c>
      <c r="K731"/>
      <c r="L731"/>
      <c r="M731"/>
      <c r="N731"/>
      <c r="O731"/>
      <c r="P731"/>
      <c r="Q731"/>
      <c r="R731"/>
      <c r="S731">
        <f>SUM(bron[[#This Row],[Januari]:[December]])</f>
        <v>1</v>
      </c>
      <c r="T731" s="3">
        <v>45754</v>
      </c>
      <c r="U731" s="8" t="s">
        <v>1319</v>
      </c>
      <c r="V731" s="8">
        <v>1</v>
      </c>
      <c r="W731" s="8"/>
      <c r="X731" t="s">
        <v>7</v>
      </c>
      <c r="Y731" t="s">
        <v>1320</v>
      </c>
      <c r="Z731">
        <v>2197</v>
      </c>
      <c r="AA731" s="39" t="s">
        <v>3593</v>
      </c>
    </row>
    <row r="732" spans="1:27" hidden="1" x14ac:dyDescent="0.3">
      <c r="A732">
        <v>39712</v>
      </c>
      <c r="B732" t="str">
        <f>_xlfn.CONCAT(bron[[#This Row],[personeelsnr]]," ",bron[[#This Row],[achternaam]]," ",bron[[#This Row],[voornaam]])</f>
        <v>39712 Repaj Ramazan</v>
      </c>
      <c r="C732" t="str">
        <f>VLOOKUP(bron[[#This Row],[personeelsnr]],'data hastus'!$A:$C,2,0)</f>
        <v>Repaj</v>
      </c>
      <c r="D732" t="str">
        <f>VLOOKUP(bron[[#This Row],[personeelsnr]],'data hastus'!$A:$C,3,0)</f>
        <v>Ramazan</v>
      </c>
      <c r="E732" t="str">
        <f>VLOOKUP(bron[[#This Row],[personeelsnr]],'data hastus'!A:K,11,FALSE)</f>
        <v>Bart Van Der Beken</v>
      </c>
      <c r="F732" s="10"/>
      <c r="G732" s="6"/>
      <c r="H732" s="6">
        <v>1</v>
      </c>
      <c r="I732" s="6"/>
      <c r="J732"/>
      <c r="K732"/>
      <c r="L732"/>
      <c r="M732"/>
      <c r="N732"/>
      <c r="O732"/>
      <c r="P732"/>
      <c r="Q732"/>
      <c r="R732"/>
      <c r="S732">
        <f>SUM(bron[[#This Row],[Januari]:[December]])</f>
        <v>1</v>
      </c>
      <c r="T732" s="3">
        <v>45709</v>
      </c>
      <c r="U732"/>
      <c r="V732" s="8">
        <v>1</v>
      </c>
      <c r="W732"/>
      <c r="X732" t="s">
        <v>3546</v>
      </c>
      <c r="Z732" t="s">
        <v>391</v>
      </c>
      <c r="AA732" s="39" t="s">
        <v>3592</v>
      </c>
    </row>
    <row r="733" spans="1:27" hidden="1" x14ac:dyDescent="0.3">
      <c r="A733">
        <v>39779</v>
      </c>
      <c r="B733" t="str">
        <f>_xlfn.CONCAT(bron[[#This Row],[personeelsnr]]," ",bron[[#This Row],[achternaam]]," ",bron[[#This Row],[voornaam]])</f>
        <v>39779 Avci Muhammet Abdullah</v>
      </c>
      <c r="C733" t="str">
        <f>VLOOKUP(bron[[#This Row],[personeelsnr]],'data hastus'!$A:$C,2,0)</f>
        <v>Avci</v>
      </c>
      <c r="D733" t="str">
        <f>VLOOKUP(bron[[#This Row],[personeelsnr]],'data hastus'!$A:$C,3,0)</f>
        <v>Muhammet Abdullah</v>
      </c>
      <c r="E733" t="str">
        <f>VLOOKUP(bron[[#This Row],[personeelsnr]],'data hastus'!A:K,11,FALSE)</f>
        <v>Bart Van Der Beken</v>
      </c>
      <c r="F733" s="10"/>
      <c r="G733" s="6"/>
      <c r="H733" s="6">
        <v>1</v>
      </c>
      <c r="I733" s="6"/>
      <c r="J733"/>
      <c r="K733"/>
      <c r="L733"/>
      <c r="M733"/>
      <c r="N733"/>
      <c r="O733"/>
      <c r="P733"/>
      <c r="Q733"/>
      <c r="R733"/>
      <c r="S733">
        <f>SUM(bron[[#This Row],[Januari]:[December]])</f>
        <v>1</v>
      </c>
      <c r="T733" s="3">
        <v>45715</v>
      </c>
      <c r="U733" s="8" t="s">
        <v>1082</v>
      </c>
      <c r="V733" s="8">
        <v>1</v>
      </c>
      <c r="W733" s="8"/>
      <c r="X733" t="s">
        <v>3545</v>
      </c>
      <c r="Y733" t="s">
        <v>277</v>
      </c>
      <c r="Z733">
        <v>5923</v>
      </c>
      <c r="AA733" s="39" t="s">
        <v>3592</v>
      </c>
    </row>
    <row r="734" spans="1:27" hidden="1" x14ac:dyDescent="0.3">
      <c r="A734">
        <v>39779</v>
      </c>
      <c r="B734" t="str">
        <f>_xlfn.CONCAT(bron[[#This Row],[personeelsnr]]," ",bron[[#This Row],[achternaam]]," ",bron[[#This Row],[voornaam]])</f>
        <v>39779 Avci Muhammet Abdullah</v>
      </c>
      <c r="C734" t="str">
        <f>VLOOKUP(bron[[#This Row],[personeelsnr]],'data hastus'!$A:$C,2,0)</f>
        <v>Avci</v>
      </c>
      <c r="D734" t="str">
        <f>VLOOKUP(bron[[#This Row],[personeelsnr]],'data hastus'!$A:$C,3,0)</f>
        <v>Muhammet Abdullah</v>
      </c>
      <c r="E734" t="str">
        <f>VLOOKUP(bron[[#This Row],[personeelsnr]],'data hastus'!A:K,11,FALSE)</f>
        <v>Bart Van Der Beken</v>
      </c>
      <c r="F734" s="10"/>
      <c r="G734" s="6"/>
      <c r="H734" s="6"/>
      <c r="I734" s="6">
        <v>1</v>
      </c>
      <c r="J734"/>
      <c r="K734"/>
      <c r="L734"/>
      <c r="M734"/>
      <c r="N734"/>
      <c r="O734"/>
      <c r="P734"/>
      <c r="Q734"/>
      <c r="R734"/>
      <c r="S734">
        <f>SUM(bron[[#This Row],[Januari]:[December]])</f>
        <v>1</v>
      </c>
      <c r="T734" s="3">
        <v>45735</v>
      </c>
      <c r="U734" s="8" t="s">
        <v>1296</v>
      </c>
      <c r="V734" s="8">
        <v>1</v>
      </c>
      <c r="W734" s="8"/>
      <c r="X734" t="s">
        <v>7</v>
      </c>
      <c r="Y734" t="s">
        <v>72</v>
      </c>
      <c r="Z734">
        <v>5054</v>
      </c>
      <c r="AA734" s="39" t="s">
        <v>3593</v>
      </c>
    </row>
    <row r="735" spans="1:27" hidden="1" x14ac:dyDescent="0.3">
      <c r="A735">
        <v>39818</v>
      </c>
      <c r="B735" t="e">
        <f>_xlfn.CONCAT(bron[[#This Row],[personeelsnr]]," ",bron[[#This Row],[achternaam]]," ",bron[[#This Row],[voornaam]])</f>
        <v>#N/A</v>
      </c>
      <c r="C735" t="e">
        <f>VLOOKUP(bron[[#This Row],[personeelsnr]],'data hastus'!$A:$C,2,0)</f>
        <v>#N/A</v>
      </c>
      <c r="D735" t="e">
        <f>VLOOKUP(bron[[#This Row],[personeelsnr]],'data hastus'!$A:$C,3,0)</f>
        <v>#N/A</v>
      </c>
      <c r="E735" t="s">
        <v>79</v>
      </c>
      <c r="G735" s="7"/>
      <c r="H735" s="7">
        <v>1</v>
      </c>
      <c r="I735" s="7"/>
      <c r="S735" s="5">
        <f>SUM(bron[[#This Row],[Januari]:[December]])</f>
        <v>1</v>
      </c>
      <c r="T735" s="9">
        <v>45710</v>
      </c>
      <c r="U735" s="8" t="s">
        <v>1074</v>
      </c>
      <c r="V735" s="8">
        <v>1</v>
      </c>
      <c r="W735" s="8"/>
      <c r="X735" t="s">
        <v>3545</v>
      </c>
      <c r="Y735" t="s">
        <v>1075</v>
      </c>
      <c r="Z735">
        <v>5929</v>
      </c>
      <c r="AA735" s="39" t="s">
        <v>3592</v>
      </c>
    </row>
    <row r="736" spans="1:27" hidden="1" x14ac:dyDescent="0.3">
      <c r="A736">
        <v>39829</v>
      </c>
      <c r="B736" t="str">
        <f>_xlfn.CONCAT(bron[[#This Row],[personeelsnr]]," ",bron[[#This Row],[achternaam]]," ",bron[[#This Row],[voornaam]])</f>
        <v>39829 Demirkaya Serkan</v>
      </c>
      <c r="C736" t="str">
        <f>VLOOKUP(bron[[#This Row],[personeelsnr]],'data hastus'!$A:$C,2,0)</f>
        <v>Demirkaya</v>
      </c>
      <c r="D736" t="str">
        <f>VLOOKUP(bron[[#This Row],[personeelsnr]],'data hastus'!$A:$C,3,0)</f>
        <v>Serkan</v>
      </c>
      <c r="E736" t="str">
        <f>VLOOKUP(bron[[#This Row],[personeelsnr]],'data hastus'!A:K,11,FALSE)</f>
        <v>Lucie Vande Velde</v>
      </c>
      <c r="F736" s="10"/>
      <c r="G736" s="6"/>
      <c r="H736" s="6">
        <v>1</v>
      </c>
      <c r="I736" s="6"/>
      <c r="J736"/>
      <c r="K736"/>
      <c r="L736"/>
      <c r="M736"/>
      <c r="N736"/>
      <c r="O736"/>
      <c r="P736"/>
      <c r="Q736"/>
      <c r="R736"/>
      <c r="S736">
        <f>SUM(bron[[#This Row],[Januari]:[December]])</f>
        <v>1</v>
      </c>
      <c r="T736" s="3">
        <v>45715</v>
      </c>
      <c r="U736" s="8" t="s">
        <v>1083</v>
      </c>
      <c r="V736" s="8">
        <v>1</v>
      </c>
      <c r="W736" s="8"/>
      <c r="X736" t="s">
        <v>3544</v>
      </c>
      <c r="Y736" t="s">
        <v>5</v>
      </c>
      <c r="Z736">
        <v>5046</v>
      </c>
      <c r="AA736" s="39" t="s">
        <v>3592</v>
      </c>
    </row>
    <row r="737" spans="1:27" hidden="1" x14ac:dyDescent="0.3">
      <c r="A737">
        <v>39831</v>
      </c>
      <c r="B737" t="str">
        <f>_xlfn.CONCAT(bron[[#This Row],[personeelsnr]]," ",bron[[#This Row],[achternaam]]," ",bron[[#This Row],[voornaam]])</f>
        <v>39831 Dolgiev Mukhamed</v>
      </c>
      <c r="C737" t="str">
        <f>VLOOKUP(bron[[#This Row],[personeelsnr]],'data hastus'!$A:$C,2,0)</f>
        <v>Dolgiev</v>
      </c>
      <c r="D737" t="str">
        <f>VLOOKUP(bron[[#This Row],[personeelsnr]],'data hastus'!$A:$C,3,0)</f>
        <v>Mukhamed</v>
      </c>
      <c r="E737" t="str">
        <f>VLOOKUP(bron[[#This Row],[personeelsnr]],'data hastus'!A:K,11,FALSE)</f>
        <v>Els Dewulf</v>
      </c>
      <c r="F737" s="10"/>
      <c r="G737" s="6"/>
      <c r="H737" s="6">
        <v>1</v>
      </c>
      <c r="I737" s="6"/>
      <c r="J737"/>
      <c r="K737"/>
      <c r="L737"/>
      <c r="M737"/>
      <c r="N737"/>
      <c r="O737"/>
      <c r="P737"/>
      <c r="Q737"/>
      <c r="R737"/>
      <c r="S737">
        <f>SUM(bron[[#This Row],[Januari]:[December]])</f>
        <v>1</v>
      </c>
      <c r="T737" s="3">
        <v>45710</v>
      </c>
      <c r="U737" s="8" t="s">
        <v>1311</v>
      </c>
      <c r="V737" s="8">
        <v>1</v>
      </c>
      <c r="W737" s="8"/>
      <c r="X737" t="s">
        <v>7</v>
      </c>
      <c r="Y737" t="s">
        <v>113</v>
      </c>
      <c r="Z737">
        <v>5043</v>
      </c>
      <c r="AA737" s="39" t="s">
        <v>3593</v>
      </c>
    </row>
    <row r="738" spans="1:27" hidden="1" x14ac:dyDescent="0.3">
      <c r="A738">
        <v>39850</v>
      </c>
      <c r="B738" t="str">
        <f>_xlfn.CONCAT(bron[[#This Row],[personeelsnr]]," ",bron[[#This Row],[achternaam]]," ",bron[[#This Row],[voornaam]])</f>
        <v>39850 Helleputte William</v>
      </c>
      <c r="C738" t="str">
        <f>VLOOKUP(bron[[#This Row],[personeelsnr]],'data hastus'!$A:$C,2,0)</f>
        <v>Helleputte</v>
      </c>
      <c r="D738" t="str">
        <f>VLOOKUP(bron[[#This Row],[personeelsnr]],'data hastus'!$A:$C,3,0)</f>
        <v>William</v>
      </c>
      <c r="E738" t="str">
        <f>VLOOKUP(bron[[#This Row],[personeelsnr]],'data hastus'!A:K,11,FALSE)</f>
        <v>Dominique De Clercq</v>
      </c>
      <c r="F738" s="10"/>
      <c r="G738" s="7"/>
      <c r="H738" s="7"/>
      <c r="I738" s="7"/>
      <c r="L738" s="5">
        <v>1</v>
      </c>
      <c r="S738" s="5">
        <f>SUM(bron[[#This Row],[Januari]:[December]])</f>
        <v>1</v>
      </c>
      <c r="T738" s="9">
        <v>45837</v>
      </c>
      <c r="U738" s="8" t="s">
        <v>1218</v>
      </c>
      <c r="V738" s="24">
        <v>1</v>
      </c>
      <c r="W738" s="24"/>
      <c r="X738" t="s">
        <v>3544</v>
      </c>
      <c r="Y738" t="s">
        <v>119</v>
      </c>
      <c r="Z738">
        <v>5042</v>
      </c>
      <c r="AA738" s="39" t="s">
        <v>3592</v>
      </c>
    </row>
    <row r="739" spans="1:27" hidden="1" x14ac:dyDescent="0.3">
      <c r="A739">
        <v>39856</v>
      </c>
      <c r="B739" t="str">
        <f>_xlfn.CONCAT(bron[[#This Row],[personeelsnr]]," ",bron[[#This Row],[achternaam]]," ",bron[[#This Row],[voornaam]])</f>
        <v>39856 Curukcu Bayram</v>
      </c>
      <c r="C739" t="str">
        <f>VLOOKUP(bron[[#This Row],[personeelsnr]],'data hastus'!$A:$C,2,0)</f>
        <v>Curukcu</v>
      </c>
      <c r="D739" t="str">
        <f>VLOOKUP(bron[[#This Row],[personeelsnr]],'data hastus'!$A:$C,3,0)</f>
        <v>Bayram</v>
      </c>
      <c r="E739" t="str">
        <f>VLOOKUP(bron[[#This Row],[personeelsnr]],'data hastus'!A:K,11,FALSE)</f>
        <v>Kenneth De Rick</v>
      </c>
      <c r="F739" s="10"/>
      <c r="G739" s="6"/>
      <c r="H739" s="6"/>
      <c r="I739" s="6"/>
      <c r="J739"/>
      <c r="K739">
        <v>1</v>
      </c>
      <c r="L739"/>
      <c r="M739"/>
      <c r="N739"/>
      <c r="O739"/>
      <c r="P739"/>
      <c r="Q739"/>
      <c r="R739"/>
      <c r="S739">
        <f>SUM(bron[[#This Row],[Januari]:[December]])</f>
        <v>1</v>
      </c>
      <c r="T739" s="3">
        <v>45790</v>
      </c>
      <c r="U739" s="8" t="s">
        <v>1171</v>
      </c>
      <c r="V739" s="8">
        <v>1</v>
      </c>
      <c r="W739" s="8"/>
      <c r="X739" t="s">
        <v>3544</v>
      </c>
      <c r="Y739" t="s">
        <v>161</v>
      </c>
      <c r="Z739">
        <v>5265</v>
      </c>
      <c r="AA739" s="39" t="s">
        <v>3592</v>
      </c>
    </row>
    <row r="740" spans="1:27" hidden="1" x14ac:dyDescent="0.3">
      <c r="A740">
        <v>39927</v>
      </c>
      <c r="B740" t="str">
        <f>_xlfn.CONCAT(bron[[#This Row],[personeelsnr]]," ",bron[[#This Row],[achternaam]]," ",bron[[#This Row],[voornaam]])</f>
        <v>39927 De Wilde Jordy</v>
      </c>
      <c r="C740" t="str">
        <f>VLOOKUP(bron[[#This Row],[personeelsnr]],'data hastus'!$A:$C,2,0)</f>
        <v>De Wilde</v>
      </c>
      <c r="D740" t="str">
        <f>VLOOKUP(bron[[#This Row],[personeelsnr]],'data hastus'!$A:$C,3,0)</f>
        <v>Jordy</v>
      </c>
      <c r="E740" t="str">
        <f>VLOOKUP(bron[[#This Row],[personeelsnr]],'data hastus'!A:K,11,FALSE)</f>
        <v>Christoff Rotty</v>
      </c>
      <c r="F740" s="10"/>
      <c r="G740" s="7"/>
      <c r="H740" s="7"/>
      <c r="I740" s="7"/>
      <c r="K740" s="5">
        <v>1</v>
      </c>
      <c r="S740" s="5">
        <f>SUM(bron[[#This Row],[Januari]:[December]])</f>
        <v>1</v>
      </c>
      <c r="T740" s="9">
        <v>45808</v>
      </c>
      <c r="U740" s="8" t="s">
        <v>1187</v>
      </c>
      <c r="V740" s="8"/>
      <c r="W740" s="8">
        <v>1</v>
      </c>
      <c r="X740" t="s">
        <v>3581</v>
      </c>
      <c r="Y740" t="s">
        <v>5</v>
      </c>
      <c r="Z740">
        <v>6355</v>
      </c>
      <c r="AA740" s="39" t="s">
        <v>3592</v>
      </c>
    </row>
    <row r="741" spans="1:27" hidden="1" x14ac:dyDescent="0.3">
      <c r="A741">
        <v>39929</v>
      </c>
      <c r="B741" t="str">
        <f>_xlfn.CONCAT(bron[[#This Row],[personeelsnr]]," ",bron[[#This Row],[achternaam]]," ",bron[[#This Row],[voornaam]])</f>
        <v>39929 Staneva Mariyana</v>
      </c>
      <c r="C741" t="str">
        <f>VLOOKUP(bron[[#This Row],[personeelsnr]],'data hastus'!$A:$C,2,0)</f>
        <v>Staneva</v>
      </c>
      <c r="D741" t="str">
        <f>VLOOKUP(bron[[#This Row],[personeelsnr]],'data hastus'!$A:$C,3,0)</f>
        <v>Mariyana</v>
      </c>
      <c r="E741" t="str">
        <f>VLOOKUP(bron[[#This Row],[personeelsnr]],'data hastus'!A:K,11,FALSE)</f>
        <v>Christoff Rotty</v>
      </c>
      <c r="F741" s="10"/>
      <c r="G741" s="6"/>
      <c r="H741" s="6"/>
      <c r="I741" s="6"/>
      <c r="J741">
        <v>1</v>
      </c>
      <c r="K741"/>
      <c r="L741"/>
      <c r="M741"/>
      <c r="N741"/>
      <c r="O741"/>
      <c r="P741"/>
      <c r="Q741"/>
      <c r="R741"/>
      <c r="S741">
        <f>SUM(bron[[#This Row],[Januari]:[December]])</f>
        <v>1</v>
      </c>
      <c r="T741" s="3">
        <v>45756</v>
      </c>
      <c r="U741" s="8" t="s">
        <v>1129</v>
      </c>
      <c r="V741" s="8">
        <v>1</v>
      </c>
      <c r="W741" s="8"/>
      <c r="X741" t="s">
        <v>3544</v>
      </c>
      <c r="Y741" t="s">
        <v>253</v>
      </c>
      <c r="Z741">
        <v>2197</v>
      </c>
      <c r="AA741" s="39" t="s">
        <v>3592</v>
      </c>
    </row>
    <row r="742" spans="1:27" hidden="1" x14ac:dyDescent="0.3">
      <c r="A742">
        <v>39972</v>
      </c>
      <c r="B742" t="str">
        <f>_xlfn.CONCAT(bron[[#This Row],[personeelsnr]]," ",bron[[#This Row],[achternaam]]," ",bron[[#This Row],[voornaam]])</f>
        <v>39972 Repaj Ramazav</v>
      </c>
      <c r="C742" t="s">
        <v>1069</v>
      </c>
      <c r="D742" t="s">
        <v>1070</v>
      </c>
      <c r="E742" t="s">
        <v>55</v>
      </c>
      <c r="F742" s="10"/>
      <c r="G742" s="6"/>
      <c r="H742" s="6">
        <v>1</v>
      </c>
      <c r="I742" s="6"/>
      <c r="J742"/>
      <c r="K742"/>
      <c r="L742"/>
      <c r="M742"/>
      <c r="N742"/>
      <c r="O742"/>
      <c r="P742"/>
      <c r="Q742"/>
      <c r="R742"/>
      <c r="S742">
        <f>SUM(bron[[#This Row],[Januari]:[December]])</f>
        <v>1</v>
      </c>
      <c r="T742" s="3">
        <v>45709</v>
      </c>
      <c r="U742" s="8" t="s">
        <v>1071</v>
      </c>
      <c r="V742" s="8">
        <v>1</v>
      </c>
      <c r="W742" s="8"/>
      <c r="X742" t="s">
        <v>3544</v>
      </c>
      <c r="Y742" t="s">
        <v>25</v>
      </c>
      <c r="Z742">
        <v>5229</v>
      </c>
      <c r="AA742" s="39" t="s">
        <v>3592</v>
      </c>
    </row>
    <row r="743" spans="1:27" hidden="1" x14ac:dyDescent="0.3">
      <c r="A743">
        <v>40005</v>
      </c>
      <c r="B743" t="str">
        <f>_xlfn.CONCAT(bron[[#This Row],[personeelsnr]]," ",bron[[#This Row],[achternaam]]," ",bron[[#This Row],[voornaam]])</f>
        <v>40005 Bernaerts Philip</v>
      </c>
      <c r="C743" t="str">
        <f>VLOOKUP(bron[[#This Row],[personeelsnr]],'data hastus'!$A:$C,2,0)</f>
        <v>Bernaerts</v>
      </c>
      <c r="D743" t="str">
        <f>VLOOKUP(bron[[#This Row],[personeelsnr]],'data hastus'!$A:$C,3,0)</f>
        <v>Philip</v>
      </c>
      <c r="E743" t="str">
        <f>VLOOKUP(bron[[#This Row],[personeelsnr]],'data hastus'!A:K,11,FALSE)</f>
        <v>Christoff Rotty</v>
      </c>
      <c r="F743" s="10"/>
      <c r="G743" s="6">
        <v>1</v>
      </c>
      <c r="H743" s="6"/>
      <c r="I743" s="6"/>
      <c r="J743"/>
      <c r="K743"/>
      <c r="L743"/>
      <c r="M743"/>
      <c r="N743"/>
      <c r="O743"/>
      <c r="P743"/>
      <c r="Q743"/>
      <c r="R743"/>
      <c r="S743">
        <f>SUM(bron[[#This Row],[Januari]:[December]])</f>
        <v>1</v>
      </c>
      <c r="T743" s="3">
        <v>45672</v>
      </c>
      <c r="U743" s="8" t="s">
        <v>1016</v>
      </c>
      <c r="V743" s="8">
        <v>1</v>
      </c>
      <c r="W743" s="8"/>
      <c r="X743" t="s">
        <v>3545</v>
      </c>
      <c r="Y743" t="s">
        <v>185</v>
      </c>
      <c r="Z743">
        <v>5920</v>
      </c>
      <c r="AA743" s="39" t="s">
        <v>3592</v>
      </c>
    </row>
    <row r="744" spans="1:27" hidden="1" x14ac:dyDescent="0.3">
      <c r="A744">
        <v>40036</v>
      </c>
      <c r="B744" t="str">
        <f>_xlfn.CONCAT(bron[[#This Row],[personeelsnr]]," ",bron[[#This Row],[achternaam]]," ",bron[[#This Row],[voornaam]])</f>
        <v>40036 Karakaya Oguz</v>
      </c>
      <c r="C744" t="str">
        <f>VLOOKUP(bron[[#This Row],[personeelsnr]],'data hastus'!$A:$C,2,0)</f>
        <v>Karakaya</v>
      </c>
      <c r="D744" t="str">
        <f>VLOOKUP(bron[[#This Row],[personeelsnr]],'data hastus'!$A:$C,3,0)</f>
        <v>Oguz</v>
      </c>
      <c r="E744" t="str">
        <f>VLOOKUP(bron[[#This Row],[personeelsnr]],'data hastus'!A:K,11,FALSE)</f>
        <v>Dominique De Clercq</v>
      </c>
      <c r="F744" s="10"/>
      <c r="G744" s="7"/>
      <c r="H744" s="7"/>
      <c r="I744" s="7"/>
      <c r="L744" s="5">
        <v>1</v>
      </c>
      <c r="S744" s="5">
        <f>SUM(bron[[#This Row],[Januari]:[December]])</f>
        <v>1</v>
      </c>
      <c r="T744" s="9">
        <v>45810</v>
      </c>
      <c r="U744" s="8" t="s">
        <v>1190</v>
      </c>
      <c r="V744" s="8">
        <v>1</v>
      </c>
      <c r="W744" s="8"/>
      <c r="X744" t="s">
        <v>3545</v>
      </c>
      <c r="Y744" t="s">
        <v>60</v>
      </c>
      <c r="Z744">
        <v>5931</v>
      </c>
      <c r="AA744" s="39" t="s">
        <v>3592</v>
      </c>
    </row>
    <row r="745" spans="1:27" hidden="1" x14ac:dyDescent="0.3">
      <c r="A745">
        <v>40055</v>
      </c>
      <c r="B745" t="str">
        <f>_xlfn.CONCAT(bron[[#This Row],[personeelsnr]]," ",bron[[#This Row],[achternaam]]," ",bron[[#This Row],[voornaam]])</f>
        <v>40055 Afara Ammar</v>
      </c>
      <c r="C745" t="str">
        <f>VLOOKUP(bron[[#This Row],[personeelsnr]],'data hastus'!$A:$C,2,0)</f>
        <v>Afara</v>
      </c>
      <c r="D745" t="str">
        <f>VLOOKUP(bron[[#This Row],[personeelsnr]],'data hastus'!$A:$C,3,0)</f>
        <v>Ammar</v>
      </c>
      <c r="E745" t="str">
        <f>VLOOKUP(bron[[#This Row],[personeelsnr]],'data hastus'!A:K,11,FALSE)</f>
        <v>Els Vanhoe</v>
      </c>
      <c r="F745" s="10"/>
      <c r="G745" s="6"/>
      <c r="H745" s="6">
        <v>1</v>
      </c>
      <c r="I745" s="6"/>
      <c r="J745"/>
      <c r="K745"/>
      <c r="L745"/>
      <c r="M745"/>
      <c r="N745"/>
      <c r="O745"/>
      <c r="P745"/>
      <c r="Q745"/>
      <c r="R745"/>
      <c r="S745">
        <f>SUM(bron[[#This Row],[Januari]:[December]])</f>
        <v>1</v>
      </c>
      <c r="T745" s="3">
        <v>45695</v>
      </c>
      <c r="U745" s="8" t="s">
        <v>1050</v>
      </c>
      <c r="V745" s="8">
        <v>1</v>
      </c>
      <c r="W745" s="8"/>
      <c r="X745" t="s">
        <v>3544</v>
      </c>
      <c r="Y745" t="s">
        <v>19</v>
      </c>
      <c r="Z745">
        <v>5261</v>
      </c>
      <c r="AA745" s="39" t="s">
        <v>3592</v>
      </c>
    </row>
    <row r="746" spans="1:27" hidden="1" x14ac:dyDescent="0.3">
      <c r="A746">
        <v>40058</v>
      </c>
      <c r="B746" t="str">
        <f>_xlfn.CONCAT(bron[[#This Row],[personeelsnr]]," ",bron[[#This Row],[achternaam]]," ",bron[[#This Row],[voornaam]])</f>
        <v>40058 Sögüt Can</v>
      </c>
      <c r="C746" t="str">
        <f>VLOOKUP(bron[[#This Row],[personeelsnr]],'data hastus'!$A:$C,2,0)</f>
        <v>Sögüt</v>
      </c>
      <c r="D746" t="str">
        <f>VLOOKUP(bron[[#This Row],[personeelsnr]],'data hastus'!$A:$C,3,0)</f>
        <v>Can</v>
      </c>
      <c r="E746" t="str">
        <f>VLOOKUP(bron[[#This Row],[personeelsnr]],'data hastus'!A:K,11,FALSE)</f>
        <v>Christoff Rotty</v>
      </c>
      <c r="F746" s="10"/>
      <c r="G746" s="6"/>
      <c r="H746" s="6"/>
      <c r="I746" s="6"/>
      <c r="J746"/>
      <c r="K746"/>
      <c r="L746"/>
      <c r="M746"/>
      <c r="N746"/>
      <c r="O746"/>
      <c r="P746"/>
      <c r="Q746"/>
      <c r="R746"/>
      <c r="S746">
        <f>SUM(bron[[#This Row],[Januari]:[December]])</f>
        <v>0</v>
      </c>
      <c r="T746" s="3">
        <v>45660</v>
      </c>
      <c r="U746" s="8" t="s">
        <v>1299</v>
      </c>
      <c r="V746" s="8">
        <v>1</v>
      </c>
      <c r="W746" s="8"/>
      <c r="X746" t="s">
        <v>7</v>
      </c>
      <c r="Y746" t="s">
        <v>119</v>
      </c>
      <c r="Z746">
        <v>5047</v>
      </c>
      <c r="AA746" s="39" t="s">
        <v>3593</v>
      </c>
    </row>
    <row r="747" spans="1:27" hidden="1" x14ac:dyDescent="0.3">
      <c r="A747">
        <v>40110</v>
      </c>
      <c r="B747" t="str">
        <f>_xlfn.CONCAT(bron[[#This Row],[personeelsnr]]," ",bron[[#This Row],[achternaam]]," ",bron[[#This Row],[voornaam]])</f>
        <v>40110 Vanlerberghe Sandra</v>
      </c>
      <c r="C747" t="str">
        <f>VLOOKUP(bron[[#This Row],[personeelsnr]],'data hastus'!$A:$C,2,0)</f>
        <v>Vanlerberghe</v>
      </c>
      <c r="D747" t="str">
        <f>VLOOKUP(bron[[#This Row],[personeelsnr]],'data hastus'!$A:$C,3,0)</f>
        <v>Sandra</v>
      </c>
      <c r="E747" t="str">
        <f>VLOOKUP(bron[[#This Row],[personeelsnr]],'data hastus'!A:K,11,FALSE)</f>
        <v>Christoff Rotty</v>
      </c>
      <c r="F747" s="10"/>
      <c r="G747" s="6"/>
      <c r="H747" s="6"/>
      <c r="I747" s="6"/>
      <c r="J747">
        <v>1</v>
      </c>
      <c r="K747"/>
      <c r="L747"/>
      <c r="M747"/>
      <c r="N747"/>
      <c r="O747"/>
      <c r="P747"/>
      <c r="Q747"/>
      <c r="R747"/>
      <c r="S747">
        <f>SUM(bron[[#This Row],[Januari]:[December]])</f>
        <v>1</v>
      </c>
      <c r="T747" s="3">
        <v>45766</v>
      </c>
      <c r="U747" s="8" t="s">
        <v>1143</v>
      </c>
      <c r="V747" s="8">
        <v>1</v>
      </c>
      <c r="W747" s="8"/>
      <c r="X747" t="s">
        <v>3544</v>
      </c>
      <c r="Y747" t="s">
        <v>177</v>
      </c>
      <c r="Z747">
        <v>2197</v>
      </c>
      <c r="AA747" s="39" t="s">
        <v>3592</v>
      </c>
    </row>
    <row r="748" spans="1:27" hidden="1" x14ac:dyDescent="0.3">
      <c r="A748">
        <v>40134</v>
      </c>
      <c r="B748" t="str">
        <f>_xlfn.CONCAT(bron[[#This Row],[personeelsnr]]," ",bron[[#This Row],[achternaam]]," ",bron[[#This Row],[voornaam]])</f>
        <v>40134 Cardon Sharon</v>
      </c>
      <c r="C748" t="str">
        <f>VLOOKUP(bron[[#This Row],[personeelsnr]],'data hastus'!$A:$C,2,0)</f>
        <v>Cardon</v>
      </c>
      <c r="D748" t="str">
        <f>VLOOKUP(bron[[#This Row],[personeelsnr]],'data hastus'!$A:$C,3,0)</f>
        <v>Sharon</v>
      </c>
      <c r="E748" t="str">
        <f>VLOOKUP(bron[[#This Row],[personeelsnr]],'data hastus'!A:K,11,FALSE)</f>
        <v>Dominique De Clercq</v>
      </c>
      <c r="F748" s="10"/>
      <c r="G748" s="6"/>
      <c r="H748" s="6"/>
      <c r="I748" s="6"/>
      <c r="J748">
        <v>1</v>
      </c>
      <c r="K748"/>
      <c r="L748"/>
      <c r="M748"/>
      <c r="N748"/>
      <c r="O748"/>
      <c r="P748"/>
      <c r="Q748"/>
      <c r="R748"/>
      <c r="S748">
        <f>SUM(bron[[#This Row],[Januari]:[December]])</f>
        <v>1</v>
      </c>
      <c r="T748" s="3">
        <v>45775</v>
      </c>
      <c r="U748" s="8" t="s">
        <v>1155</v>
      </c>
      <c r="V748" s="8">
        <v>1</v>
      </c>
      <c r="W748" s="8"/>
      <c r="X748" t="s">
        <v>3545</v>
      </c>
      <c r="Y748" t="s">
        <v>179</v>
      </c>
      <c r="Z748">
        <v>5770</v>
      </c>
      <c r="AA748" s="39" t="s">
        <v>3592</v>
      </c>
    </row>
    <row r="749" spans="1:27" hidden="1" x14ac:dyDescent="0.3">
      <c r="A749">
        <v>40138</v>
      </c>
      <c r="B749" t="str">
        <f>_xlfn.CONCAT(bron[[#This Row],[personeelsnr]]," ",bron[[#This Row],[achternaam]]," ",bron[[#This Row],[voornaam]])</f>
        <v>40138 Moerman Tjimmy</v>
      </c>
      <c r="C749" t="str">
        <f>VLOOKUP(bron[[#This Row],[personeelsnr]],'data hastus'!$A:$C,2,0)</f>
        <v>Moerman</v>
      </c>
      <c r="D749" t="str">
        <f>VLOOKUP(bron[[#This Row],[personeelsnr]],'data hastus'!$A:$C,3,0)</f>
        <v>Tjimmy</v>
      </c>
      <c r="E749" t="str">
        <f>VLOOKUP(bron[[#This Row],[personeelsnr]],'data hastus'!A:K,11,FALSE)</f>
        <v>Christoff Rotty</v>
      </c>
      <c r="F749" s="10"/>
      <c r="G749" s="7"/>
      <c r="H749" s="7"/>
      <c r="I749" s="7"/>
      <c r="N749" s="5">
        <v>1</v>
      </c>
      <c r="S749" s="5">
        <f>SUM(bron[[#This Row],[Januari]:[December]])</f>
        <v>1</v>
      </c>
      <c r="T749" s="9">
        <v>45871</v>
      </c>
      <c r="U749" s="8" t="s">
        <v>1264</v>
      </c>
      <c r="V749" s="24">
        <v>1</v>
      </c>
      <c r="W749" s="24"/>
      <c r="X749" t="s">
        <v>3545</v>
      </c>
      <c r="Y749" t="s">
        <v>25</v>
      </c>
      <c r="Z749">
        <v>5915</v>
      </c>
      <c r="AA749" s="39" t="s">
        <v>3592</v>
      </c>
    </row>
    <row r="750" spans="1:27" hidden="1" x14ac:dyDescent="0.3">
      <c r="A750">
        <v>40138</v>
      </c>
      <c r="B750" t="str">
        <f>_xlfn.CONCAT(bron[[#This Row],[personeelsnr]]," ",bron[[#This Row],[achternaam]]," ",bron[[#This Row],[voornaam]])</f>
        <v>40138 Moerman Tjimmy</v>
      </c>
      <c r="C750" t="str">
        <f>VLOOKUP(bron[[#This Row],[personeelsnr]],'data hastus'!$A:$C,2,0)</f>
        <v>Moerman</v>
      </c>
      <c r="D750" t="str">
        <f>VLOOKUP(bron[[#This Row],[personeelsnr]],'data hastus'!$A:$C,3,0)</f>
        <v>Tjimmy</v>
      </c>
      <c r="E750" t="str">
        <f>VLOOKUP(bron[[#This Row],[personeelsnr]],'data hastus'!A:K,11,FALSE)</f>
        <v>Christoff Rotty</v>
      </c>
      <c r="F750" s="10"/>
      <c r="G750" s="6"/>
      <c r="H750" s="6"/>
      <c r="I750" s="6"/>
      <c r="J750"/>
      <c r="K750">
        <v>1</v>
      </c>
      <c r="L750"/>
      <c r="M750"/>
      <c r="N750"/>
      <c r="O750"/>
      <c r="P750"/>
      <c r="Q750"/>
      <c r="R750"/>
      <c r="S750">
        <f>SUM(bron[[#This Row],[Januari]:[December]])</f>
        <v>1</v>
      </c>
      <c r="T750" s="3">
        <v>45788</v>
      </c>
      <c r="U750" s="8" t="s">
        <v>1170</v>
      </c>
      <c r="V750" s="8">
        <v>1</v>
      </c>
      <c r="W750" s="8"/>
      <c r="X750" t="s">
        <v>3546</v>
      </c>
      <c r="Y750" t="s">
        <v>25</v>
      </c>
      <c r="Z750">
        <v>5047</v>
      </c>
      <c r="AA750" s="39" t="s">
        <v>3592</v>
      </c>
    </row>
    <row r="751" spans="1:27" hidden="1" x14ac:dyDescent="0.3">
      <c r="A751">
        <v>40138</v>
      </c>
      <c r="B751" t="str">
        <f>_xlfn.CONCAT(bron[[#This Row],[personeelsnr]]," ",bron[[#This Row],[achternaam]]," ",bron[[#This Row],[voornaam]])</f>
        <v>40138 Moerman Tjimmy</v>
      </c>
      <c r="C751" t="str">
        <f>VLOOKUP(bron[[#This Row],[personeelsnr]],'data hastus'!$A:$C,2,0)</f>
        <v>Moerman</v>
      </c>
      <c r="D751" t="str">
        <f>VLOOKUP(bron[[#This Row],[personeelsnr]],'data hastus'!$A:$C,3,0)</f>
        <v>Tjimmy</v>
      </c>
      <c r="E751" t="str">
        <f>VLOOKUP(bron[[#This Row],[personeelsnr]],'data hastus'!A:K,11,FALSE)</f>
        <v>Christoff Rotty</v>
      </c>
      <c r="F751" s="10"/>
      <c r="G751" s="6"/>
      <c r="H751" s="6"/>
      <c r="I751" s="6">
        <v>1</v>
      </c>
      <c r="J751"/>
      <c r="K751"/>
      <c r="L751"/>
      <c r="M751"/>
      <c r="N751"/>
      <c r="O751"/>
      <c r="P751"/>
      <c r="Q751"/>
      <c r="R751"/>
      <c r="S751">
        <f>SUM(bron[[#This Row],[Januari]:[December]])</f>
        <v>1</v>
      </c>
      <c r="T751" s="3">
        <v>45727</v>
      </c>
      <c r="U751" s="8" t="s">
        <v>1100</v>
      </c>
      <c r="V751" s="8">
        <v>1</v>
      </c>
      <c r="W751" s="8"/>
      <c r="X751" t="s">
        <v>3546</v>
      </c>
      <c r="Y751" t="s">
        <v>40</v>
      </c>
      <c r="Z751">
        <v>5325</v>
      </c>
      <c r="AA751" s="39" t="s">
        <v>3592</v>
      </c>
    </row>
    <row r="752" spans="1:27" hidden="1" x14ac:dyDescent="0.3">
      <c r="A752" s="15">
        <v>40138</v>
      </c>
      <c r="B752" t="str">
        <f>_xlfn.CONCAT(bron[[#This Row],[personeelsnr]]," ",bron[[#This Row],[achternaam]]," ",bron[[#This Row],[voornaam]])</f>
        <v>40138 Moerman Tjimmy</v>
      </c>
      <c r="C752" s="15" t="str">
        <f>VLOOKUP(bron[[#This Row],[personeelsnr]],'data hastus'!$A:$C,2,0)</f>
        <v>Moerman</v>
      </c>
      <c r="D752" s="15" t="str">
        <f>VLOOKUP(bron[[#This Row],[personeelsnr]],'data hastus'!$A:$C,3,0)</f>
        <v>Tjimmy</v>
      </c>
      <c r="E752" s="15" t="str">
        <f>VLOOKUP(bron[[#This Row],[personeelsnr]],'data hastus'!A:K,11,FALSE)</f>
        <v>Christoff Rotty</v>
      </c>
      <c r="F752" s="16"/>
      <c r="G752" s="21"/>
      <c r="H752" s="21"/>
      <c r="I752" s="21">
        <v>1</v>
      </c>
      <c r="J752" s="15"/>
      <c r="K752" s="15"/>
      <c r="L752" s="15"/>
      <c r="M752" s="15"/>
      <c r="N752" s="15"/>
      <c r="O752" s="15"/>
      <c r="P752" s="15"/>
      <c r="Q752" s="15"/>
      <c r="R752" s="15"/>
      <c r="S752" s="15">
        <f>SUM(bron[[#This Row],[Januari]:[December]])</f>
        <v>1</v>
      </c>
      <c r="T752" s="22">
        <v>45717</v>
      </c>
      <c r="U752" s="20" t="s">
        <v>1085</v>
      </c>
      <c r="V752" s="8">
        <v>1</v>
      </c>
      <c r="W752" s="20"/>
      <c r="X752" t="s">
        <v>3545</v>
      </c>
      <c r="Y752" s="15" t="s">
        <v>287</v>
      </c>
      <c r="Z752">
        <v>5047</v>
      </c>
      <c r="AA752" s="39" t="s">
        <v>3592</v>
      </c>
    </row>
    <row r="753" spans="1:27" hidden="1" x14ac:dyDescent="0.3">
      <c r="A753">
        <v>40138</v>
      </c>
      <c r="B753" t="str">
        <f>_xlfn.CONCAT(bron[[#This Row],[personeelsnr]]," ",bron[[#This Row],[achternaam]]," ",bron[[#This Row],[voornaam]])</f>
        <v>40138 Moerman Tjimmy</v>
      </c>
      <c r="C753" t="str">
        <f>VLOOKUP(bron[[#This Row],[personeelsnr]],'data hastus'!$A:$C,2,0)</f>
        <v>Moerman</v>
      </c>
      <c r="D753" t="str">
        <f>VLOOKUP(bron[[#This Row],[personeelsnr]],'data hastus'!$A:$C,3,0)</f>
        <v>Tjimmy</v>
      </c>
      <c r="E753" t="str">
        <f>VLOOKUP(bron[[#This Row],[personeelsnr]],'data hastus'!A:K,11,FALSE)</f>
        <v>Christoff Rotty</v>
      </c>
      <c r="F753" s="10"/>
      <c r="G753" s="6">
        <v>1</v>
      </c>
      <c r="H753" s="6"/>
      <c r="I753" s="6"/>
      <c r="J753"/>
      <c r="K753"/>
      <c r="L753"/>
      <c r="M753"/>
      <c r="N753"/>
      <c r="O753"/>
      <c r="P753"/>
      <c r="Q753"/>
      <c r="R753"/>
      <c r="S753">
        <f>SUM(bron[[#This Row],[Januari]:[December]])</f>
        <v>1</v>
      </c>
      <c r="T753" s="3">
        <v>45685</v>
      </c>
      <c r="U753" s="8" t="s">
        <v>1031</v>
      </c>
      <c r="V753" s="8">
        <v>1</v>
      </c>
      <c r="W753" s="8"/>
      <c r="X753" t="s">
        <v>3545</v>
      </c>
      <c r="Y753" t="s">
        <v>54</v>
      </c>
      <c r="Z753">
        <v>5923</v>
      </c>
      <c r="AA753" s="39" t="s">
        <v>3592</v>
      </c>
    </row>
    <row r="754" spans="1:27" hidden="1" x14ac:dyDescent="0.3">
      <c r="A754">
        <v>40138</v>
      </c>
      <c r="B754" t="str">
        <f>_xlfn.CONCAT(bron[[#This Row],[personeelsnr]]," ",bron[[#This Row],[achternaam]]," ",bron[[#This Row],[voornaam]])</f>
        <v>40138 Moerman Tjimmy</v>
      </c>
      <c r="C754" t="str">
        <f>VLOOKUP(bron[[#This Row],[personeelsnr]],'data hastus'!$A:$C,2,0)</f>
        <v>Moerman</v>
      </c>
      <c r="D754" t="str">
        <f>VLOOKUP(bron[[#This Row],[personeelsnr]],'data hastus'!$A:$C,3,0)</f>
        <v>Tjimmy</v>
      </c>
      <c r="E754" t="str">
        <f>VLOOKUP(bron[[#This Row],[personeelsnr]],'data hastus'!A:K,11,FALSE)</f>
        <v>Christoff Rotty</v>
      </c>
      <c r="F754" s="10"/>
      <c r="G754" s="6">
        <v>1</v>
      </c>
      <c r="H754" s="6"/>
      <c r="I754" s="6"/>
      <c r="J754"/>
      <c r="K754"/>
      <c r="L754"/>
      <c r="M754"/>
      <c r="N754"/>
      <c r="O754"/>
      <c r="P754"/>
      <c r="Q754"/>
      <c r="R754"/>
      <c r="S754">
        <f>SUM(bron[[#This Row],[Januari]:[December]])</f>
        <v>1</v>
      </c>
      <c r="T754" s="3">
        <v>45661</v>
      </c>
      <c r="U754" s="8" t="s">
        <v>1003</v>
      </c>
      <c r="V754" s="8">
        <v>1</v>
      </c>
      <c r="W754" s="8"/>
      <c r="X754" t="s">
        <v>3546</v>
      </c>
      <c r="Y754" t="s">
        <v>257</v>
      </c>
      <c r="Z754">
        <v>5051</v>
      </c>
      <c r="AA754" s="39" t="s">
        <v>3592</v>
      </c>
    </row>
    <row r="755" spans="1:27" hidden="1" x14ac:dyDescent="0.3">
      <c r="A755">
        <v>40223</v>
      </c>
      <c r="B755" t="str">
        <f>_xlfn.CONCAT(bron[[#This Row],[personeelsnr]]," ",bron[[#This Row],[achternaam]]," ",bron[[#This Row],[voornaam]])</f>
        <v>40223 Teetaert Billy</v>
      </c>
      <c r="C755" t="str">
        <f>VLOOKUP(bron[[#This Row],[personeelsnr]],'data hastus'!$A:$C,2,0)</f>
        <v>Teetaert</v>
      </c>
      <c r="D755" t="str">
        <f>VLOOKUP(bron[[#This Row],[personeelsnr]],'data hastus'!$A:$C,3,0)</f>
        <v>Billy</v>
      </c>
      <c r="E755" t="str">
        <f>VLOOKUP(bron[[#This Row],[personeelsnr]],'data hastus'!A:K,11,FALSE)</f>
        <v>Dominique De Clercq</v>
      </c>
      <c r="F755" s="10"/>
      <c r="G755" s="7"/>
      <c r="H755" s="7"/>
      <c r="I755" s="7"/>
      <c r="L755" s="5">
        <v>1</v>
      </c>
      <c r="S755" s="5">
        <f>SUM(bron[[#This Row],[Januari]:[December]])</f>
        <v>1</v>
      </c>
      <c r="T755" s="9">
        <v>45837</v>
      </c>
      <c r="U755" s="8" t="s">
        <v>1219</v>
      </c>
      <c r="V755" s="24">
        <v>1</v>
      </c>
      <c r="W755" s="24"/>
      <c r="X755" t="s">
        <v>3546</v>
      </c>
      <c r="Y755" t="s">
        <v>271</v>
      </c>
      <c r="Z755">
        <v>5047</v>
      </c>
      <c r="AA755" s="39" t="s">
        <v>3592</v>
      </c>
    </row>
    <row r="756" spans="1:27" hidden="1" x14ac:dyDescent="0.3">
      <c r="A756">
        <v>40223</v>
      </c>
      <c r="B756" t="str">
        <f>_xlfn.CONCAT(bron[[#This Row],[personeelsnr]]," ",bron[[#This Row],[achternaam]]," ",bron[[#This Row],[voornaam]])</f>
        <v>40223 Teetaert Billy</v>
      </c>
      <c r="C756" t="str">
        <f>VLOOKUP(bron[[#This Row],[personeelsnr]],'data hastus'!$A:$C,2,0)</f>
        <v>Teetaert</v>
      </c>
      <c r="D756" t="str">
        <f>VLOOKUP(bron[[#This Row],[personeelsnr]],'data hastus'!$A:$C,3,0)</f>
        <v>Billy</v>
      </c>
      <c r="E756" t="str">
        <f>VLOOKUP(bron[[#This Row],[personeelsnr]],'data hastus'!A:K,11,FALSE)</f>
        <v>Dominique De Clercq</v>
      </c>
      <c r="F756" s="10"/>
      <c r="G756" s="6"/>
      <c r="H756" s="6">
        <v>1</v>
      </c>
      <c r="I756" s="6"/>
      <c r="J756"/>
      <c r="K756"/>
      <c r="L756"/>
      <c r="M756"/>
      <c r="N756"/>
      <c r="O756"/>
      <c r="P756"/>
      <c r="Q756"/>
      <c r="R756"/>
      <c r="S756">
        <f>SUM(bron[[#This Row],[Januari]:[December]])</f>
        <v>1</v>
      </c>
      <c r="T756" s="3">
        <v>45711</v>
      </c>
      <c r="U756" s="8" t="s">
        <v>1076</v>
      </c>
      <c r="V756" s="8">
        <v>1</v>
      </c>
      <c r="W756" s="8"/>
      <c r="X756" t="s">
        <v>3546</v>
      </c>
      <c r="Y756" t="s">
        <v>25</v>
      </c>
      <c r="Z756">
        <v>5049</v>
      </c>
      <c r="AA756" s="39" t="s">
        <v>3592</v>
      </c>
    </row>
    <row r="757" spans="1:27" hidden="1" x14ac:dyDescent="0.3">
      <c r="A757">
        <v>40223</v>
      </c>
      <c r="B757" t="str">
        <f>_xlfn.CONCAT(bron[[#This Row],[personeelsnr]]," ",bron[[#This Row],[achternaam]]," ",bron[[#This Row],[voornaam]])</f>
        <v>40223 Teetaert Billy</v>
      </c>
      <c r="C757" t="str">
        <f>VLOOKUP(bron[[#This Row],[personeelsnr]],'data hastus'!$A:$C,2,0)</f>
        <v>Teetaert</v>
      </c>
      <c r="D757" t="str">
        <f>VLOOKUP(bron[[#This Row],[personeelsnr]],'data hastus'!$A:$C,3,0)</f>
        <v>Billy</v>
      </c>
      <c r="E757" t="str">
        <f>VLOOKUP(bron[[#This Row],[personeelsnr]],'data hastus'!A:K,11,FALSE)</f>
        <v>Dominique De Clercq</v>
      </c>
      <c r="F757" s="10"/>
      <c r="G757" s="6"/>
      <c r="H757" s="6">
        <v>1</v>
      </c>
      <c r="I757" s="6"/>
      <c r="J757"/>
      <c r="K757"/>
      <c r="L757"/>
      <c r="M757"/>
      <c r="N757"/>
      <c r="O757"/>
      <c r="P757"/>
      <c r="Q757"/>
      <c r="R757"/>
      <c r="S757">
        <f>SUM(bron[[#This Row],[Januari]:[December]])</f>
        <v>1</v>
      </c>
      <c r="T757" s="3">
        <v>45699</v>
      </c>
      <c r="U757" s="8" t="s">
        <v>1054</v>
      </c>
      <c r="V757" s="8">
        <v>1</v>
      </c>
      <c r="W757" s="8"/>
      <c r="X757" t="s">
        <v>3546</v>
      </c>
      <c r="Y757" t="s">
        <v>299</v>
      </c>
      <c r="Z757">
        <v>5052</v>
      </c>
      <c r="AA757" s="39" t="s">
        <v>3592</v>
      </c>
    </row>
    <row r="758" spans="1:27" hidden="1" x14ac:dyDescent="0.3">
      <c r="A758">
        <v>40266</v>
      </c>
      <c r="B758" t="str">
        <f>_xlfn.CONCAT(bron[[#This Row],[personeelsnr]]," ",bron[[#This Row],[achternaam]]," ",bron[[#This Row],[voornaam]])</f>
        <v>40266 Taibi Yassine</v>
      </c>
      <c r="C758" t="str">
        <f>VLOOKUP(bron[[#This Row],[personeelsnr]],'data hastus'!$A:$C,2,0)</f>
        <v>Taibi</v>
      </c>
      <c r="D758" t="str">
        <f>VLOOKUP(bron[[#This Row],[personeelsnr]],'data hastus'!$A:$C,3,0)</f>
        <v>Yassine</v>
      </c>
      <c r="E758" t="str">
        <f>VLOOKUP(bron[[#This Row],[personeelsnr]],'data hastus'!A:K,11,FALSE)</f>
        <v>Christoff Rotty</v>
      </c>
      <c r="F758" s="10"/>
      <c r="G758" s="6"/>
      <c r="H758" s="6">
        <v>1</v>
      </c>
      <c r="I758" s="6"/>
      <c r="J758"/>
      <c r="K758"/>
      <c r="L758"/>
      <c r="M758"/>
      <c r="N758"/>
      <c r="O758"/>
      <c r="P758"/>
      <c r="Q758"/>
      <c r="R758"/>
      <c r="S758">
        <f>SUM(bron[[#This Row],[Januari]:[December]])</f>
        <v>1</v>
      </c>
      <c r="T758" s="3">
        <v>45693</v>
      </c>
      <c r="U758" s="8" t="s">
        <v>1044</v>
      </c>
      <c r="V758" s="8">
        <v>1</v>
      </c>
      <c r="W758" s="8"/>
      <c r="X758" t="s">
        <v>3546</v>
      </c>
      <c r="Y758" t="s">
        <v>43</v>
      </c>
      <c r="Z758">
        <v>2199</v>
      </c>
      <c r="AA758" s="39" t="s">
        <v>3592</v>
      </c>
    </row>
    <row r="759" spans="1:27" hidden="1" x14ac:dyDescent="0.3">
      <c r="A759">
        <v>40266</v>
      </c>
      <c r="B759" t="str">
        <f>_xlfn.CONCAT(bron[[#This Row],[personeelsnr]]," ",bron[[#This Row],[achternaam]]," ",bron[[#This Row],[voornaam]])</f>
        <v>40266 Taibi Yassine</v>
      </c>
      <c r="C759" t="str">
        <f>VLOOKUP(bron[[#This Row],[personeelsnr]],'data hastus'!$A:$C,2,0)</f>
        <v>Taibi</v>
      </c>
      <c r="D759" t="str">
        <f>VLOOKUP(bron[[#This Row],[personeelsnr]],'data hastus'!$A:$C,3,0)</f>
        <v>Yassine</v>
      </c>
      <c r="E759" t="str">
        <f>VLOOKUP(bron[[#This Row],[personeelsnr]],'data hastus'!A:K,11,FALSE)</f>
        <v>Christoff Rotty</v>
      </c>
      <c r="F759" s="10"/>
      <c r="G759" s="6">
        <v>1</v>
      </c>
      <c r="H759" s="6"/>
      <c r="I759" s="6"/>
      <c r="J759"/>
      <c r="K759"/>
      <c r="L759"/>
      <c r="M759"/>
      <c r="N759"/>
      <c r="O759"/>
      <c r="P759"/>
      <c r="Q759"/>
      <c r="R759"/>
      <c r="S759">
        <f>SUM(bron[[#This Row],[Januari]:[December]])</f>
        <v>1</v>
      </c>
      <c r="T759" s="3">
        <v>45667</v>
      </c>
      <c r="U759" s="8" t="s">
        <v>1008</v>
      </c>
      <c r="V759" s="8">
        <v>1</v>
      </c>
      <c r="W759" s="8"/>
      <c r="X759" t="s">
        <v>3545</v>
      </c>
      <c r="Y759" t="s">
        <v>102</v>
      </c>
      <c r="Z759">
        <v>5912</v>
      </c>
      <c r="AA759" s="39" t="s">
        <v>3592</v>
      </c>
    </row>
    <row r="760" spans="1:27" hidden="1" x14ac:dyDescent="0.3">
      <c r="A760">
        <v>40278</v>
      </c>
      <c r="B760" t="str">
        <f>_xlfn.CONCAT(bron[[#This Row],[personeelsnr]]," ",bron[[#This Row],[achternaam]]," ",bron[[#This Row],[voornaam]])</f>
        <v>40278 Ates Firat</v>
      </c>
      <c r="C760" t="str">
        <f>VLOOKUP(bron[[#This Row],[personeelsnr]],'data hastus'!$A:$C,2,0)</f>
        <v>Ates</v>
      </c>
      <c r="D760" t="str">
        <f>VLOOKUP(bron[[#This Row],[personeelsnr]],'data hastus'!$A:$C,3,0)</f>
        <v>Firat</v>
      </c>
      <c r="E760" t="str">
        <f>VLOOKUP(bron[[#This Row],[personeelsnr]],'data hastus'!A:K,11,FALSE)</f>
        <v>Christoff Rotty</v>
      </c>
      <c r="F760" s="10"/>
      <c r="G760" s="7"/>
      <c r="H760" s="7"/>
      <c r="I760" s="7"/>
      <c r="L760" s="5">
        <v>1</v>
      </c>
      <c r="S760" s="5">
        <f>SUM(bron[[#This Row],[Januari]:[December]])</f>
        <v>1</v>
      </c>
      <c r="T760" s="9">
        <v>45810</v>
      </c>
      <c r="U760" s="8" t="s">
        <v>1188</v>
      </c>
      <c r="V760" s="8">
        <v>1</v>
      </c>
      <c r="W760" s="8"/>
      <c r="X760" t="s">
        <v>3546</v>
      </c>
      <c r="Y760" t="s">
        <v>98</v>
      </c>
      <c r="Z760">
        <v>5236</v>
      </c>
      <c r="AA760" s="39" t="s">
        <v>3592</v>
      </c>
    </row>
    <row r="761" spans="1:27" hidden="1" x14ac:dyDescent="0.3">
      <c r="A761">
        <v>40278</v>
      </c>
      <c r="B761" t="str">
        <f>_xlfn.CONCAT(bron[[#This Row],[personeelsnr]]," ",bron[[#This Row],[achternaam]]," ",bron[[#This Row],[voornaam]])</f>
        <v>40278 Ates Firat</v>
      </c>
      <c r="C761" t="str">
        <f>VLOOKUP(bron[[#This Row],[personeelsnr]],'data hastus'!$A:$C,2,0)</f>
        <v>Ates</v>
      </c>
      <c r="D761" t="str">
        <f>VLOOKUP(bron[[#This Row],[personeelsnr]],'data hastus'!$A:$C,3,0)</f>
        <v>Firat</v>
      </c>
      <c r="E761" t="str">
        <f>VLOOKUP(bron[[#This Row],[personeelsnr]],'data hastus'!A:K,11,FALSE)</f>
        <v>Christoff Rotty</v>
      </c>
      <c r="F761" s="10"/>
      <c r="G761" s="7"/>
      <c r="H761" s="7"/>
      <c r="I761" s="7"/>
      <c r="K761" s="5">
        <v>1</v>
      </c>
      <c r="S761" s="5">
        <f>SUM(bron[[#This Row],[Januari]:[December]])</f>
        <v>1</v>
      </c>
      <c r="T761" s="9">
        <v>45800</v>
      </c>
      <c r="U761" s="5" t="s">
        <v>1180</v>
      </c>
      <c r="V761" s="8">
        <v>1</v>
      </c>
      <c r="X761" t="s">
        <v>3546</v>
      </c>
      <c r="Y761" t="s">
        <v>37</v>
      </c>
      <c r="Z761" t="s">
        <v>391</v>
      </c>
      <c r="AA761" s="39" t="s">
        <v>3592</v>
      </c>
    </row>
    <row r="762" spans="1:27" hidden="1" x14ac:dyDescent="0.3">
      <c r="A762">
        <v>40362</v>
      </c>
      <c r="B762" t="str">
        <f>_xlfn.CONCAT(bron[[#This Row],[personeelsnr]]," ",bron[[#This Row],[achternaam]]," ",bron[[#This Row],[voornaam]])</f>
        <v>40362 Kuru Cetin</v>
      </c>
      <c r="C762" t="str">
        <f>VLOOKUP(bron[[#This Row],[personeelsnr]],'data hastus'!$A:$C,2,0)</f>
        <v>Kuru</v>
      </c>
      <c r="D762" t="str">
        <f>VLOOKUP(bron[[#This Row],[personeelsnr]],'data hastus'!$A:$C,3,0)</f>
        <v>Cetin</v>
      </c>
      <c r="E762" t="str">
        <f>VLOOKUP(bron[[#This Row],[personeelsnr]],'data hastus'!A:K,11,FALSE)</f>
        <v>Kenneth De Rick</v>
      </c>
      <c r="F762" s="10"/>
      <c r="G762" s="7"/>
      <c r="H762" s="7"/>
      <c r="I762" s="7"/>
      <c r="M762" s="5">
        <v>1</v>
      </c>
      <c r="S762" s="5">
        <f>SUM(bron[[#This Row],[Januari]:[December]])</f>
        <v>1</v>
      </c>
      <c r="T762" s="9">
        <v>45848</v>
      </c>
      <c r="U762" s="8" t="s">
        <v>1239</v>
      </c>
      <c r="V762" s="24">
        <v>1</v>
      </c>
      <c r="W762" s="24"/>
      <c r="X762" t="s">
        <v>3545</v>
      </c>
      <c r="Y762" t="s">
        <v>519</v>
      </c>
      <c r="Z762">
        <v>5915</v>
      </c>
      <c r="AA762" s="39" t="s">
        <v>3592</v>
      </c>
    </row>
    <row r="763" spans="1:27" hidden="1" x14ac:dyDescent="0.3">
      <c r="A763">
        <v>40362</v>
      </c>
      <c r="B763" t="str">
        <f>_xlfn.CONCAT(bron[[#This Row],[personeelsnr]]," ",bron[[#This Row],[achternaam]]," ",bron[[#This Row],[voornaam]])</f>
        <v>40362 Kuru Cetin</v>
      </c>
      <c r="C763" t="str">
        <f>VLOOKUP(bron[[#This Row],[personeelsnr]],'data hastus'!$A:$C,2,0)</f>
        <v>Kuru</v>
      </c>
      <c r="D763" t="str">
        <f>VLOOKUP(bron[[#This Row],[personeelsnr]],'data hastus'!$A:$C,3,0)</f>
        <v>Cetin</v>
      </c>
      <c r="E763" t="str">
        <f>VLOOKUP(bron[[#This Row],[personeelsnr]],'data hastus'!A:K,11,FALSE)</f>
        <v>Kenneth De Rick</v>
      </c>
      <c r="F763" s="10"/>
      <c r="G763" s="7"/>
      <c r="H763" s="7"/>
      <c r="I763" s="7"/>
      <c r="L763" s="5">
        <v>1</v>
      </c>
      <c r="S763" s="5">
        <f>SUM(bron[[#This Row],[Januari]:[December]])</f>
        <v>1</v>
      </c>
      <c r="T763" s="9">
        <v>45833</v>
      </c>
      <c r="U763" s="8" t="s">
        <v>1217</v>
      </c>
      <c r="V763" s="24">
        <v>1</v>
      </c>
      <c r="W763" s="24"/>
      <c r="X763" t="s">
        <v>3546</v>
      </c>
      <c r="Y763" t="s">
        <v>51</v>
      </c>
      <c r="Z763">
        <v>5235</v>
      </c>
      <c r="AA763" s="39" t="s">
        <v>3592</v>
      </c>
    </row>
    <row r="764" spans="1:27" hidden="1" x14ac:dyDescent="0.3">
      <c r="A764">
        <v>40393</v>
      </c>
      <c r="B764" t="str">
        <f>_xlfn.CONCAT(bron[[#This Row],[personeelsnr]]," ",bron[[#This Row],[achternaam]]," ",bron[[#This Row],[voornaam]])</f>
        <v>40393 Salimova Eydzhan</v>
      </c>
      <c r="C764" t="str">
        <f>VLOOKUP(bron[[#This Row],[personeelsnr]],'data hastus'!$A:$C,2,0)</f>
        <v>Salimova</v>
      </c>
      <c r="D764" t="str">
        <f>VLOOKUP(bron[[#This Row],[personeelsnr]],'data hastus'!$A:$C,3,0)</f>
        <v>Eydzhan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O764" s="5">
        <v>1</v>
      </c>
      <c r="S764" s="5">
        <f>SUM(bron[[#This Row],[Januari]:[December]])</f>
        <v>1</v>
      </c>
      <c r="T764" s="9">
        <v>45792</v>
      </c>
      <c r="U764" s="8" t="s">
        <v>1173</v>
      </c>
      <c r="V764" s="8">
        <v>1</v>
      </c>
      <c r="W764" s="8"/>
      <c r="X764" t="s">
        <v>3545</v>
      </c>
      <c r="Y764" t="s">
        <v>175</v>
      </c>
      <c r="Z764">
        <v>7897</v>
      </c>
      <c r="AA764" s="39" t="s">
        <v>3592</v>
      </c>
    </row>
    <row r="765" spans="1:27" hidden="1" x14ac:dyDescent="0.3">
      <c r="A765">
        <v>40403</v>
      </c>
      <c r="B765" t="str">
        <f>_xlfn.CONCAT(bron[[#This Row],[personeelsnr]]," ",bron[[#This Row],[achternaam]]," ",bron[[#This Row],[voornaam]])</f>
        <v>40403 Prové Michaël</v>
      </c>
      <c r="C765" t="str">
        <f>VLOOKUP(bron[[#This Row],[personeelsnr]],'data hastus'!$A:$C,2,0)</f>
        <v>Prové</v>
      </c>
      <c r="D765" t="str">
        <f>VLOOKUP(bron[[#This Row],[personeelsnr]],'data hastus'!$A:$C,3,0)</f>
        <v>Michaël</v>
      </c>
      <c r="E765" t="str">
        <f>VLOOKUP(bron[[#This Row],[personeelsnr]],'data hastus'!A:K,11,FALSE)</f>
        <v>Dominique De Clercq</v>
      </c>
      <c r="F765" s="10"/>
      <c r="G765" s="7"/>
      <c r="H765" s="7"/>
      <c r="I765" s="7"/>
      <c r="N765" s="5">
        <v>1</v>
      </c>
      <c r="S765" s="5">
        <f>SUM(bron[[#This Row],[Januari]:[December]])</f>
        <v>1</v>
      </c>
      <c r="T765" s="9">
        <v>45890</v>
      </c>
      <c r="U765" s="5" t="s">
        <v>1310</v>
      </c>
      <c r="V765" s="24">
        <v>1</v>
      </c>
      <c r="W765" s="24"/>
      <c r="X765" t="s">
        <v>7</v>
      </c>
      <c r="Y765" t="s">
        <v>537</v>
      </c>
      <c r="Z765">
        <v>5239</v>
      </c>
      <c r="AA765" s="39" t="s">
        <v>3593</v>
      </c>
    </row>
    <row r="766" spans="1:27" hidden="1" x14ac:dyDescent="0.3">
      <c r="A766">
        <v>40443</v>
      </c>
      <c r="B766" t="str">
        <f>_xlfn.CONCAT(bron[[#This Row],[personeelsnr]]," ",bron[[#This Row],[achternaam]]," ",bron[[#This Row],[voornaam]])</f>
        <v>40443 Fakash Mahmoud</v>
      </c>
      <c r="C766" t="str">
        <f>VLOOKUP(bron[[#This Row],[personeelsnr]],'data hastus'!$A:$C,2,0)</f>
        <v>Fakash</v>
      </c>
      <c r="D766" t="str">
        <f>VLOOKUP(bron[[#This Row],[personeelsnr]],'data hastus'!$A:$C,3,0)</f>
        <v>Mahmoud</v>
      </c>
      <c r="E766" t="str">
        <f>VLOOKUP(bron[[#This Row],[personeelsnr]],'data hastus'!A:K,11,FALSE)</f>
        <v>Bart Van Der Beken</v>
      </c>
      <c r="F766" s="10"/>
      <c r="G766" s="6"/>
      <c r="H766" s="6"/>
      <c r="I766" s="6"/>
      <c r="J766">
        <v>1</v>
      </c>
      <c r="K766"/>
      <c r="L766"/>
      <c r="M766"/>
      <c r="N766"/>
      <c r="O766"/>
      <c r="P766"/>
      <c r="Q766"/>
      <c r="R766"/>
      <c r="S766">
        <f>SUM(bron[[#This Row],[Januari]:[December]])</f>
        <v>1</v>
      </c>
      <c r="T766" s="3">
        <v>45762</v>
      </c>
      <c r="U766" s="8" t="s">
        <v>1137</v>
      </c>
      <c r="V766" s="8">
        <v>1</v>
      </c>
      <c r="W766" s="8"/>
      <c r="X766" t="s">
        <v>3545</v>
      </c>
      <c r="Y766" t="s">
        <v>51</v>
      </c>
      <c r="Z766">
        <v>5767</v>
      </c>
      <c r="AA766" s="39" t="s">
        <v>3592</v>
      </c>
    </row>
    <row r="767" spans="1:27" hidden="1" x14ac:dyDescent="0.3">
      <c r="A767">
        <v>40444</v>
      </c>
      <c r="B767" t="str">
        <f>_xlfn.CONCAT(bron[[#This Row],[personeelsnr]]," ",bron[[#This Row],[achternaam]]," ",bron[[#This Row],[voornaam]])</f>
        <v>40444 Van Damme Glenn</v>
      </c>
      <c r="C767" t="str">
        <f>VLOOKUP(bron[[#This Row],[personeelsnr]],'data hastus'!$A:$C,2,0)</f>
        <v>Van Damme</v>
      </c>
      <c r="D767" t="str">
        <f>VLOOKUP(bron[[#This Row],[personeelsnr]],'data hastus'!$A:$C,3,0)</f>
        <v>Glenn</v>
      </c>
      <c r="E767" t="str">
        <f>VLOOKUP(bron[[#This Row],[personeelsnr]],'data hastus'!A:K,11,FALSE)</f>
        <v>Els Dewulf</v>
      </c>
      <c r="F767" s="10"/>
      <c r="G767" s="6">
        <v>1</v>
      </c>
      <c r="H767" s="6"/>
      <c r="I767" s="6"/>
      <c r="J767"/>
      <c r="K767"/>
      <c r="L767"/>
      <c r="M767"/>
      <c r="N767"/>
      <c r="O767"/>
      <c r="P767"/>
      <c r="Q767"/>
      <c r="R767"/>
      <c r="S767">
        <f>SUM(bron[[#This Row],[Januari]:[December]])</f>
        <v>1</v>
      </c>
      <c r="T767" s="3">
        <v>45670</v>
      </c>
      <c r="U767" s="8" t="s">
        <v>1012</v>
      </c>
      <c r="V767" s="8">
        <v>1</v>
      </c>
      <c r="W767" s="8"/>
      <c r="X767" t="s">
        <v>3546</v>
      </c>
      <c r="Y767" t="s">
        <v>100</v>
      </c>
      <c r="Z767">
        <v>5260</v>
      </c>
      <c r="AA767" s="39" t="s">
        <v>3592</v>
      </c>
    </row>
    <row r="768" spans="1:27" hidden="1" x14ac:dyDescent="0.3">
      <c r="A768">
        <v>40478</v>
      </c>
      <c r="B768" t="str">
        <f>_xlfn.CONCAT(bron[[#This Row],[personeelsnr]]," ",bron[[#This Row],[achternaam]]," ",bron[[#This Row],[voornaam]])</f>
        <v>40478 Hashimi Ali Mir</v>
      </c>
      <c r="C768" t="str">
        <f>VLOOKUP(bron[[#This Row],[personeelsnr]],'data hastus'!$A:$C,2,0)</f>
        <v>Hashimi</v>
      </c>
      <c r="D768" t="str">
        <f>VLOOKUP(bron[[#This Row],[personeelsnr]],'data hastus'!$A:$C,3,0)</f>
        <v>Ali Mir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L768" s="5">
        <v>1</v>
      </c>
      <c r="S768" s="5">
        <f>SUM(bron[[#This Row],[Januari]:[December]])</f>
        <v>1</v>
      </c>
      <c r="T768" s="9">
        <v>45831</v>
      </c>
      <c r="U768" s="8" t="s">
        <v>1213</v>
      </c>
      <c r="V768" s="24">
        <v>1</v>
      </c>
      <c r="W768" s="24"/>
      <c r="X768" t="s">
        <v>3545</v>
      </c>
      <c r="Y768" t="s">
        <v>84</v>
      </c>
      <c r="Z768">
        <v>5911</v>
      </c>
      <c r="AA768" s="39" t="s">
        <v>3592</v>
      </c>
    </row>
    <row r="769" spans="1:27" hidden="1" x14ac:dyDescent="0.3">
      <c r="A769">
        <v>40478</v>
      </c>
      <c r="B769" t="str">
        <f>_xlfn.CONCAT(bron[[#This Row],[personeelsnr]]," ",bron[[#This Row],[achternaam]]," ",bron[[#This Row],[voornaam]])</f>
        <v>40478 Hashimi Ali Mir</v>
      </c>
      <c r="C769" t="str">
        <f>VLOOKUP(bron[[#This Row],[personeelsnr]],'data hastus'!$A:$C,2,0)</f>
        <v>Hashimi</v>
      </c>
      <c r="D769" t="str">
        <f>VLOOKUP(bron[[#This Row],[personeelsnr]],'data hastus'!$A:$C,3,0)</f>
        <v>Ali Mir</v>
      </c>
      <c r="E769" t="str">
        <f>VLOOKUP(bron[[#This Row],[personeelsnr]],'data hastus'!A:K,11,FALSE)</f>
        <v>Bart Van Der Beken</v>
      </c>
      <c r="F769" s="10"/>
      <c r="G769" s="6"/>
      <c r="H769" s="6"/>
      <c r="I769" s="6"/>
      <c r="J769">
        <v>1</v>
      </c>
      <c r="K769"/>
      <c r="L769"/>
      <c r="M769"/>
      <c r="N769"/>
      <c r="O769"/>
      <c r="P769"/>
      <c r="Q769"/>
      <c r="R769"/>
      <c r="S769">
        <f>SUM(bron[[#This Row],[Januari]:[December]])</f>
        <v>1</v>
      </c>
      <c r="T769" s="3">
        <v>45769</v>
      </c>
      <c r="U769" s="8" t="s">
        <v>1146</v>
      </c>
      <c r="V769" s="8">
        <v>1</v>
      </c>
      <c r="W769" s="8"/>
      <c r="X769" t="s">
        <v>3545</v>
      </c>
      <c r="Y769" t="s">
        <v>245</v>
      </c>
      <c r="Z769">
        <v>5772</v>
      </c>
      <c r="AA769" s="39" t="s">
        <v>3592</v>
      </c>
    </row>
    <row r="770" spans="1:27" hidden="1" x14ac:dyDescent="0.3">
      <c r="A770">
        <v>40591</v>
      </c>
      <c r="B770" t="str">
        <f>_xlfn.CONCAT(bron[[#This Row],[personeelsnr]]," ",bron[[#This Row],[achternaam]]," ",bron[[#This Row],[voornaam]])</f>
        <v>40591 Hiloui Mahmoud</v>
      </c>
      <c r="C770" t="str">
        <f>VLOOKUP(bron[[#This Row],[personeelsnr]],'data hastus'!$A:$C,2,0)</f>
        <v>Hiloui</v>
      </c>
      <c r="D770" t="str">
        <f>VLOOKUP(bron[[#This Row],[personeelsnr]],'data hastus'!$A:$C,3,0)</f>
        <v>Mahmoud</v>
      </c>
      <c r="E770" t="str">
        <f>VLOOKUP(bron[[#This Row],[personeelsnr]],'data hastus'!A:K,11,FALSE)</f>
        <v>Dominique De Clercq</v>
      </c>
      <c r="F770" s="10"/>
      <c r="G770" s="6"/>
      <c r="H770" s="6"/>
      <c r="I770" s="6"/>
      <c r="J770">
        <v>1</v>
      </c>
      <c r="K770"/>
      <c r="L770"/>
      <c r="M770"/>
      <c r="N770"/>
      <c r="O770"/>
      <c r="P770"/>
      <c r="Q770"/>
      <c r="R770"/>
      <c r="S770">
        <f>SUM(bron[[#This Row],[Januari]:[December]])</f>
        <v>1</v>
      </c>
      <c r="T770" s="3">
        <v>45775</v>
      </c>
      <c r="U770" s="8" t="s">
        <v>1154</v>
      </c>
      <c r="V770" s="8">
        <v>1</v>
      </c>
      <c r="W770" s="8"/>
      <c r="X770" t="s">
        <v>3546</v>
      </c>
      <c r="Y770" t="s">
        <v>157</v>
      </c>
      <c r="Z770">
        <v>2208</v>
      </c>
      <c r="AA770" s="39" t="s">
        <v>3592</v>
      </c>
    </row>
    <row r="771" spans="1:27" hidden="1" x14ac:dyDescent="0.3">
      <c r="A771">
        <v>40591</v>
      </c>
      <c r="B771" t="str">
        <f>_xlfn.CONCAT(bron[[#This Row],[personeelsnr]]," ",bron[[#This Row],[achternaam]]," ",bron[[#This Row],[voornaam]])</f>
        <v>40591 Hiloui Mahmoud</v>
      </c>
      <c r="C771" t="str">
        <f>VLOOKUP(bron[[#This Row],[personeelsnr]],'data hastus'!$A:$C,2,0)</f>
        <v>Hiloui</v>
      </c>
      <c r="D771" t="str">
        <f>VLOOKUP(bron[[#This Row],[personeelsnr]],'data hastus'!$A:$C,3,0)</f>
        <v>Mahmoud</v>
      </c>
      <c r="E771" t="str">
        <f>VLOOKUP(bron[[#This Row],[personeelsnr]],'data hastus'!A:K,11,FALSE)</f>
        <v>Dominique De Clercq</v>
      </c>
      <c r="F771" s="10"/>
      <c r="G771" s="6"/>
      <c r="H771" s="6"/>
      <c r="I771" s="6">
        <v>1</v>
      </c>
      <c r="J771"/>
      <c r="K771"/>
      <c r="L771"/>
      <c r="M771"/>
      <c r="N771"/>
      <c r="O771"/>
      <c r="P771"/>
      <c r="Q771"/>
      <c r="R771"/>
      <c r="S771">
        <f>SUM(bron[[#This Row],[Januari]:[December]])</f>
        <v>1</v>
      </c>
      <c r="T771" s="3">
        <v>45721</v>
      </c>
      <c r="U771" s="8" t="s">
        <v>1090</v>
      </c>
      <c r="V771" s="8">
        <v>1</v>
      </c>
      <c r="W771" s="8"/>
      <c r="X771" t="s">
        <v>3546</v>
      </c>
      <c r="Y771" t="s">
        <v>22</v>
      </c>
      <c r="Z771">
        <v>5042</v>
      </c>
      <c r="AA771" s="39" t="s">
        <v>3592</v>
      </c>
    </row>
    <row r="772" spans="1:27" hidden="1" x14ac:dyDescent="0.3">
      <c r="A772">
        <v>40645</v>
      </c>
      <c r="B772" t="str">
        <f>_xlfn.CONCAT(bron[[#This Row],[personeelsnr]]," ",bron[[#This Row],[achternaam]]," ",bron[[#This Row],[voornaam]])</f>
        <v>40645 Bytebier Jason</v>
      </c>
      <c r="C772" t="str">
        <f>VLOOKUP(bron[[#This Row],[personeelsnr]],'data hastus'!$A:$C,2,0)</f>
        <v>Bytebier</v>
      </c>
      <c r="D772" t="str">
        <f>VLOOKUP(bron[[#This Row],[personeelsnr]],'data hastus'!$A:$C,3,0)</f>
        <v>Jason</v>
      </c>
      <c r="E772" t="str">
        <f>VLOOKUP(bron[[#This Row],[personeelsnr]],'data hastus'!A:K,11,FALSE)</f>
        <v>Els Dewulf</v>
      </c>
      <c r="F772" s="10"/>
      <c r="G772" s="7"/>
      <c r="H772" s="7"/>
      <c r="I772" s="7"/>
      <c r="L772" s="5">
        <v>1</v>
      </c>
      <c r="S772" s="5">
        <f>SUM(bron[[#This Row],[Januari]:[December]])</f>
        <v>1</v>
      </c>
      <c r="T772" s="9">
        <v>45818</v>
      </c>
      <c r="U772" s="8" t="s">
        <v>1200</v>
      </c>
      <c r="V772" s="24">
        <v>1</v>
      </c>
      <c r="W772" s="24"/>
      <c r="X772" t="s">
        <v>3545</v>
      </c>
      <c r="Y772" t="s">
        <v>16</v>
      </c>
      <c r="Z772">
        <v>5909</v>
      </c>
      <c r="AA772" s="39" t="s">
        <v>3592</v>
      </c>
    </row>
    <row r="773" spans="1:27" hidden="1" x14ac:dyDescent="0.3">
      <c r="A773">
        <v>40652</v>
      </c>
      <c r="B773" t="str">
        <f>_xlfn.CONCAT(bron[[#This Row],[personeelsnr]]," ",bron[[#This Row],[achternaam]]," ",bron[[#This Row],[voornaam]])</f>
        <v>40652 Van Damme Gilyann</v>
      </c>
      <c r="C773" t="str">
        <f>VLOOKUP(bron[[#This Row],[personeelsnr]],'data hastus'!$A:$C,2,0)</f>
        <v>Van Damme</v>
      </c>
      <c r="D773" t="str">
        <f>VLOOKUP(bron[[#This Row],[personeelsnr]],'data hastus'!$A:$C,3,0)</f>
        <v>Gilyann</v>
      </c>
      <c r="E773" t="str">
        <f>VLOOKUP(bron[[#This Row],[personeelsnr]],'data hastus'!A:K,11,FALSE)</f>
        <v>Els Vanhoe</v>
      </c>
      <c r="F773" s="10"/>
      <c r="G773" s="6"/>
      <c r="H773" s="6"/>
      <c r="I773" s="6"/>
      <c r="J773"/>
      <c r="K773">
        <v>1</v>
      </c>
      <c r="L773"/>
      <c r="M773"/>
      <c r="N773"/>
      <c r="O773"/>
      <c r="P773"/>
      <c r="Q773"/>
      <c r="R773"/>
      <c r="S773">
        <f>SUM(bron[[#This Row],[Januari]:[December]])</f>
        <v>1</v>
      </c>
      <c r="T773" s="3">
        <v>45784</v>
      </c>
      <c r="U773" s="8" t="s">
        <v>1166</v>
      </c>
      <c r="V773" s="8">
        <v>1</v>
      </c>
      <c r="W773" s="8"/>
      <c r="X773" t="s">
        <v>3546</v>
      </c>
      <c r="Y773" t="s">
        <v>295</v>
      </c>
      <c r="Z773">
        <v>2196</v>
      </c>
      <c r="AA773" s="39" t="s">
        <v>3592</v>
      </c>
    </row>
    <row r="774" spans="1:27" hidden="1" x14ac:dyDescent="0.3">
      <c r="A774">
        <v>40652</v>
      </c>
      <c r="B774" t="str">
        <f>_xlfn.CONCAT(bron[[#This Row],[personeelsnr]]," ",bron[[#This Row],[achternaam]]," ",bron[[#This Row],[voornaam]])</f>
        <v>40652 Van Damme Gilyann</v>
      </c>
      <c r="C774" t="str">
        <f>VLOOKUP(bron[[#This Row],[personeelsnr]],'data hastus'!$A:$C,2,0)</f>
        <v>Van Damme</v>
      </c>
      <c r="D774" t="str">
        <f>VLOOKUP(bron[[#This Row],[personeelsnr]],'data hastus'!$A:$C,3,0)</f>
        <v>Gilyann</v>
      </c>
      <c r="E774" t="str">
        <f>VLOOKUP(bron[[#This Row],[personeelsnr]],'data hastus'!A:K,11,FALSE)</f>
        <v>Els Vanhoe</v>
      </c>
      <c r="F774" s="10"/>
      <c r="G774" s="6"/>
      <c r="H774" s="6"/>
      <c r="I774" s="6"/>
      <c r="J774"/>
      <c r="K774">
        <v>1</v>
      </c>
      <c r="L774"/>
      <c r="M774"/>
      <c r="N774"/>
      <c r="O774"/>
      <c r="P774"/>
      <c r="Q774"/>
      <c r="R774"/>
      <c r="S774">
        <f>SUM(bron[[#This Row],[Januari]:[December]])</f>
        <v>1</v>
      </c>
      <c r="T774" s="3">
        <v>45779</v>
      </c>
      <c r="U774" s="8" t="s">
        <v>1022</v>
      </c>
      <c r="V774" s="8">
        <v>1</v>
      </c>
      <c r="W774" s="8"/>
      <c r="X774" t="s">
        <v>3546</v>
      </c>
      <c r="Y774" t="s">
        <v>40</v>
      </c>
      <c r="Z774">
        <v>5039</v>
      </c>
      <c r="AA774" s="39" t="s">
        <v>3592</v>
      </c>
    </row>
    <row r="775" spans="1:27" hidden="1" x14ac:dyDescent="0.3">
      <c r="A775">
        <v>40652</v>
      </c>
      <c r="B775" t="str">
        <f>_xlfn.CONCAT(bron[[#This Row],[personeelsnr]]," ",bron[[#This Row],[achternaam]]," ",bron[[#This Row],[voornaam]])</f>
        <v>40652 Van Damme Gilyann</v>
      </c>
      <c r="C775" t="str">
        <f>VLOOKUP(bron[[#This Row],[personeelsnr]],'data hastus'!$A:$C,2,0)</f>
        <v>Van Damme</v>
      </c>
      <c r="D775" t="str">
        <f>VLOOKUP(bron[[#This Row],[personeelsnr]],'data hastus'!$A:$C,3,0)</f>
        <v>Gilyann</v>
      </c>
      <c r="E775" t="str">
        <f>VLOOKUP(bron[[#This Row],[personeelsnr]],'data hastus'!A:K,11,FALSE)</f>
        <v>Els Vanhoe</v>
      </c>
      <c r="F775" s="10"/>
      <c r="G775" s="7"/>
      <c r="H775" s="7"/>
      <c r="I775" s="7"/>
      <c r="K775" s="5">
        <v>1</v>
      </c>
      <c r="S775" s="5">
        <f>SUM(bron[[#This Row],[Januari]:[December]])</f>
        <v>1</v>
      </c>
      <c r="T775" s="9">
        <v>45779</v>
      </c>
      <c r="U775" s="8" t="s">
        <v>1161</v>
      </c>
      <c r="V775" s="24">
        <v>1</v>
      </c>
      <c r="W775" s="24"/>
      <c r="X775" t="s">
        <v>3546</v>
      </c>
      <c r="Y775" t="s">
        <v>40</v>
      </c>
      <c r="Z775">
        <v>2198</v>
      </c>
      <c r="AA775" s="39" t="s">
        <v>3592</v>
      </c>
    </row>
    <row r="776" spans="1:27" hidden="1" x14ac:dyDescent="0.3">
      <c r="A776">
        <v>40652</v>
      </c>
      <c r="B776" t="str">
        <f>_xlfn.CONCAT(bron[[#This Row],[personeelsnr]]," ",bron[[#This Row],[achternaam]]," ",bron[[#This Row],[voornaam]])</f>
        <v>40652 Van Damme Gilyann</v>
      </c>
      <c r="C776" t="str">
        <f>VLOOKUP(bron[[#This Row],[personeelsnr]],'data hastus'!$A:$C,2,0)</f>
        <v>Van Damme</v>
      </c>
      <c r="D776" t="str">
        <f>VLOOKUP(bron[[#This Row],[personeelsnr]],'data hastus'!$A:$C,3,0)</f>
        <v>Gilyann</v>
      </c>
      <c r="E776" t="str">
        <f>VLOOKUP(bron[[#This Row],[personeelsnr]],'data hastus'!A:K,11,FALSE)</f>
        <v>Els Vanhoe</v>
      </c>
      <c r="F776" s="10"/>
      <c r="G776" s="6">
        <v>1</v>
      </c>
      <c r="H776" s="6"/>
      <c r="I776" s="6"/>
      <c r="J776"/>
      <c r="K776"/>
      <c r="L776"/>
      <c r="M776"/>
      <c r="N776"/>
      <c r="O776"/>
      <c r="P776"/>
      <c r="Q776"/>
      <c r="R776"/>
      <c r="S776">
        <f>SUM(bron[[#This Row],[Januari]:[December]])</f>
        <v>1</v>
      </c>
      <c r="T776" s="3">
        <v>45687</v>
      </c>
      <c r="U776" s="8" t="s">
        <v>1036</v>
      </c>
      <c r="V776" s="8">
        <v>1</v>
      </c>
      <c r="W776" s="8"/>
      <c r="X776" t="s">
        <v>3546</v>
      </c>
      <c r="Y776" t="s">
        <v>241</v>
      </c>
      <c r="Z776">
        <v>2204</v>
      </c>
      <c r="AA776" s="39" t="s">
        <v>3592</v>
      </c>
    </row>
    <row r="777" spans="1:27" hidden="1" x14ac:dyDescent="0.3">
      <c r="A777">
        <v>40744</v>
      </c>
      <c r="B777" t="str">
        <f>_xlfn.CONCAT(bron[[#This Row],[personeelsnr]]," ",bron[[#This Row],[achternaam]]," ",bron[[#This Row],[voornaam]])</f>
        <v>40744 Gözüküçük Ugur</v>
      </c>
      <c r="C777" t="str">
        <f>VLOOKUP(bron[[#This Row],[personeelsnr]],'data hastus'!$A:$C,2,0)</f>
        <v>Gözüküçük</v>
      </c>
      <c r="D777" t="str">
        <f>VLOOKUP(bron[[#This Row],[personeelsnr]],'data hastus'!$A:$C,3,0)</f>
        <v>Ugur</v>
      </c>
      <c r="E777" t="str">
        <f>VLOOKUP(bron[[#This Row],[personeelsnr]],'data hastus'!A:K,11,FALSE)</f>
        <v>Bart Van Der Beken</v>
      </c>
      <c r="F777" s="10"/>
      <c r="G777" s="6"/>
      <c r="H777" s="6">
        <v>1</v>
      </c>
      <c r="I777" s="6"/>
      <c r="J777"/>
      <c r="K777"/>
      <c r="L777"/>
      <c r="M777"/>
      <c r="N777"/>
      <c r="O777"/>
      <c r="P777"/>
      <c r="Q777"/>
      <c r="R777"/>
      <c r="S777">
        <f>SUM(bron[[#This Row],[Januari]:[December]])</f>
        <v>1</v>
      </c>
      <c r="T777" s="3">
        <v>45715</v>
      </c>
      <c r="U777" s="8" t="s">
        <v>1081</v>
      </c>
      <c r="V777" s="8">
        <v>1</v>
      </c>
      <c r="W777" s="8"/>
      <c r="X777" t="s">
        <v>3545</v>
      </c>
      <c r="Y777" t="s">
        <v>207</v>
      </c>
      <c r="Z777">
        <v>2546</v>
      </c>
      <c r="AA777" s="39" t="s">
        <v>3592</v>
      </c>
    </row>
    <row r="778" spans="1:27" hidden="1" x14ac:dyDescent="0.3">
      <c r="A778">
        <v>40744</v>
      </c>
      <c r="B778" t="str">
        <f>_xlfn.CONCAT(bron[[#This Row],[personeelsnr]]," ",bron[[#This Row],[achternaam]]," ",bron[[#This Row],[voornaam]])</f>
        <v>40744 Gözüküçük Ugur</v>
      </c>
      <c r="C778" t="str">
        <f>VLOOKUP(bron[[#This Row],[personeelsnr]],'data hastus'!$A:$C,2,0)</f>
        <v>Gözüküçük</v>
      </c>
      <c r="D778" t="str">
        <f>VLOOKUP(bron[[#This Row],[personeelsnr]],'data hastus'!$A:$C,3,0)</f>
        <v>Ugur</v>
      </c>
      <c r="E778" t="str">
        <f>VLOOKUP(bron[[#This Row],[personeelsnr]],'data hastus'!A:K,11,FALSE)</f>
        <v>Bart Van Der Beken</v>
      </c>
      <c r="F778" s="10"/>
      <c r="G778" s="6"/>
      <c r="H778" s="6">
        <v>1</v>
      </c>
      <c r="I778" s="6"/>
      <c r="J778"/>
      <c r="K778"/>
      <c r="L778"/>
      <c r="M778"/>
      <c r="N778"/>
      <c r="O778"/>
      <c r="P778"/>
      <c r="Q778"/>
      <c r="R778"/>
      <c r="S778">
        <f>SUM(bron[[#This Row],[Januari]:[December]])</f>
        <v>1</v>
      </c>
      <c r="T778" s="3">
        <v>45709</v>
      </c>
      <c r="U778" s="8" t="s">
        <v>1072</v>
      </c>
      <c r="V778" s="8">
        <v>1</v>
      </c>
      <c r="W778" s="8"/>
      <c r="X778" t="s">
        <v>3545</v>
      </c>
      <c r="Y778" t="s">
        <v>16</v>
      </c>
      <c r="Z778">
        <v>5929</v>
      </c>
      <c r="AA778" s="39" t="s">
        <v>3592</v>
      </c>
    </row>
    <row r="779" spans="1:27" hidden="1" x14ac:dyDescent="0.3">
      <c r="A779">
        <v>40744</v>
      </c>
      <c r="B779" t="str">
        <f>_xlfn.CONCAT(bron[[#This Row],[personeelsnr]]," ",bron[[#This Row],[achternaam]]," ",bron[[#This Row],[voornaam]])</f>
        <v>40744 Gözüküçük Ugur</v>
      </c>
      <c r="C779" t="str">
        <f>VLOOKUP(bron[[#This Row],[personeelsnr]],'data hastus'!$A:$C,2,0)</f>
        <v>Gözüküçük</v>
      </c>
      <c r="D779" t="str">
        <f>VLOOKUP(bron[[#This Row],[personeelsnr]],'data hastus'!$A:$C,3,0)</f>
        <v>Ugur</v>
      </c>
      <c r="E779" t="str">
        <f>VLOOKUP(bron[[#This Row],[personeelsnr]],'data hastus'!A:K,11,FALSE)</f>
        <v>Bart Van Der Beken</v>
      </c>
      <c r="F779" s="10"/>
      <c r="G779" s="6"/>
      <c r="H779" s="6"/>
      <c r="I779" s="6"/>
      <c r="J779"/>
      <c r="K779"/>
      <c r="L779"/>
      <c r="M779"/>
      <c r="N779"/>
      <c r="O779"/>
      <c r="P779"/>
      <c r="Q779"/>
      <c r="R779"/>
      <c r="S779">
        <f>SUM(bron[[#This Row],[Januari]:[December]])</f>
        <v>0</v>
      </c>
      <c r="T779" s="3">
        <v>45630</v>
      </c>
      <c r="U779" s="8" t="s">
        <v>956</v>
      </c>
      <c r="V779" s="8">
        <v>1</v>
      </c>
      <c r="W779" s="8"/>
      <c r="X779" t="s">
        <v>7</v>
      </c>
      <c r="Y779" t="s">
        <v>1291</v>
      </c>
      <c r="Z779" t="s">
        <v>391</v>
      </c>
      <c r="AA779" s="39" t="s">
        <v>3593</v>
      </c>
    </row>
    <row r="780" spans="1:27" hidden="1" x14ac:dyDescent="0.3">
      <c r="A780">
        <v>40745</v>
      </c>
      <c r="B780" t="str">
        <f>_xlfn.CONCAT(bron[[#This Row],[personeelsnr]]," ",bron[[#This Row],[achternaam]]," ",bron[[#This Row],[voornaam]])</f>
        <v>40745 Ivanov Ivan</v>
      </c>
      <c r="C780" t="str">
        <f>VLOOKUP(bron[[#This Row],[personeelsnr]],'data hastus'!$A:$C,2,0)</f>
        <v>Ivanov</v>
      </c>
      <c r="D780" t="str">
        <f>VLOOKUP(bron[[#This Row],[personeelsnr]],'data hastus'!$A:$C,3,0)</f>
        <v>Ivan</v>
      </c>
      <c r="E780" t="str">
        <f>VLOOKUP(bron[[#This Row],[personeelsnr]],'data hastus'!A:K,11,FALSE)</f>
        <v>Bart Van Der Beken</v>
      </c>
      <c r="F780" s="10"/>
      <c r="G780" s="7"/>
      <c r="H780" s="7"/>
      <c r="I780" s="7"/>
      <c r="M780" s="5">
        <v>1</v>
      </c>
      <c r="S780" s="5">
        <f>SUM(bron[[#This Row],[Januari]:[December]])</f>
        <v>1</v>
      </c>
      <c r="T780" s="9">
        <v>45841</v>
      </c>
      <c r="U780" s="8" t="s">
        <v>1225</v>
      </c>
      <c r="V780" s="24">
        <v>1</v>
      </c>
      <c r="W780" s="24"/>
      <c r="X780" t="s">
        <v>3544</v>
      </c>
      <c r="Y780" t="s">
        <v>98</v>
      </c>
      <c r="Z780">
        <v>5259</v>
      </c>
      <c r="AA780" s="39" t="s">
        <v>3592</v>
      </c>
    </row>
    <row r="781" spans="1:27" hidden="1" x14ac:dyDescent="0.3">
      <c r="A781">
        <v>40856</v>
      </c>
      <c r="B781" t="str">
        <f>_xlfn.CONCAT(bron[[#This Row],[personeelsnr]]," ",bron[[#This Row],[achternaam]]," ",bron[[#This Row],[voornaam]])</f>
        <v>40856 Neissi Sadegh</v>
      </c>
      <c r="C781" t="str">
        <f>VLOOKUP(bron[[#This Row],[personeelsnr]],'data hastus'!$A:$C,2,0)</f>
        <v>Neissi</v>
      </c>
      <c r="D781" t="str">
        <f>VLOOKUP(bron[[#This Row],[personeelsnr]],'data hastus'!$A:$C,3,0)</f>
        <v>Sadegh</v>
      </c>
      <c r="E781" t="str">
        <f>VLOOKUP(bron[[#This Row],[personeelsnr]],'data hastus'!A:K,11,FALSE)</f>
        <v>Kenneth De Rick</v>
      </c>
      <c r="F781" s="10"/>
      <c r="G781" s="7"/>
      <c r="H781" s="7"/>
      <c r="I781" s="7"/>
      <c r="M781" s="5">
        <v>1</v>
      </c>
      <c r="S781" s="5">
        <f>SUM(bron[[#This Row],[Januari]:[December]])</f>
        <v>1</v>
      </c>
      <c r="T781" s="9">
        <v>45850</v>
      </c>
      <c r="U781" s="8" t="s">
        <v>1242</v>
      </c>
      <c r="V781" s="24">
        <v>1</v>
      </c>
      <c r="W781" s="24"/>
      <c r="X781" t="s">
        <v>3544</v>
      </c>
      <c r="Y781" t="s">
        <v>19</v>
      </c>
      <c r="Z781">
        <v>5043</v>
      </c>
      <c r="AA781" s="39" t="s">
        <v>3592</v>
      </c>
    </row>
    <row r="782" spans="1:27" hidden="1" x14ac:dyDescent="0.3">
      <c r="A782">
        <v>40856</v>
      </c>
      <c r="B782" t="str">
        <f>_xlfn.CONCAT(bron[[#This Row],[personeelsnr]]," ",bron[[#This Row],[achternaam]]," ",bron[[#This Row],[voornaam]])</f>
        <v>40856 Neissi Sadegh</v>
      </c>
      <c r="C782" t="str">
        <f>VLOOKUP(bron[[#This Row],[personeelsnr]],'data hastus'!$A:$C,2,0)</f>
        <v>Neissi</v>
      </c>
      <c r="D782" t="str">
        <f>VLOOKUP(bron[[#This Row],[personeelsnr]],'data hastus'!$A:$C,3,0)</f>
        <v>Sadegh</v>
      </c>
      <c r="E782" t="str">
        <f>VLOOKUP(bron[[#This Row],[personeelsnr]],'data hastus'!A:K,11,FALSE)</f>
        <v>Kenneth De Rick</v>
      </c>
      <c r="F782" s="10"/>
      <c r="G782" s="7"/>
      <c r="H782" s="7"/>
      <c r="I782" s="7"/>
      <c r="K782" s="5">
        <v>1</v>
      </c>
      <c r="S782" s="5">
        <f>SUM(bron[[#This Row],[Januari]:[December]])</f>
        <v>1</v>
      </c>
      <c r="T782" s="9">
        <v>45806</v>
      </c>
      <c r="U782" s="8" t="s">
        <v>1185</v>
      </c>
      <c r="V782" s="8">
        <v>1</v>
      </c>
      <c r="W782" s="8"/>
      <c r="X782" t="s">
        <v>3544</v>
      </c>
      <c r="Y782" t="s">
        <v>125</v>
      </c>
      <c r="Z782">
        <v>5630</v>
      </c>
      <c r="AA782" s="39" t="s">
        <v>3592</v>
      </c>
    </row>
    <row r="783" spans="1:27" hidden="1" x14ac:dyDescent="0.3">
      <c r="A783">
        <v>40856</v>
      </c>
      <c r="B783" t="str">
        <f>_xlfn.CONCAT(bron[[#This Row],[personeelsnr]]," ",bron[[#This Row],[achternaam]]," ",bron[[#This Row],[voornaam]])</f>
        <v>40856 Neissi Sadegh</v>
      </c>
      <c r="C783" t="str">
        <f>VLOOKUP(bron[[#This Row],[personeelsnr]],'data hastus'!$A:$C,2,0)</f>
        <v>Neissi</v>
      </c>
      <c r="D783" t="str">
        <f>VLOOKUP(bron[[#This Row],[personeelsnr]],'data hastus'!$A:$C,3,0)</f>
        <v>Sadegh</v>
      </c>
      <c r="E783" t="str">
        <f>VLOOKUP(bron[[#This Row],[personeelsnr]],'data hastus'!A:K,11,FALSE)</f>
        <v>Kenneth De Rick</v>
      </c>
      <c r="F783" s="10"/>
      <c r="G783" s="6"/>
      <c r="H783" s="6">
        <v>1</v>
      </c>
      <c r="I783" s="6"/>
      <c r="J783"/>
      <c r="K783"/>
      <c r="L783"/>
      <c r="M783"/>
      <c r="N783"/>
      <c r="O783"/>
      <c r="P783"/>
      <c r="Q783"/>
      <c r="R783"/>
      <c r="S783">
        <f>SUM(bron[[#This Row],[Januari]:[December]])</f>
        <v>1</v>
      </c>
      <c r="T783" s="3">
        <v>45694</v>
      </c>
      <c r="U783" s="8" t="s">
        <v>1049</v>
      </c>
      <c r="V783" s="8">
        <v>1</v>
      </c>
      <c r="W783" s="8"/>
      <c r="X783" t="s">
        <v>3544</v>
      </c>
      <c r="Y783" t="s">
        <v>211</v>
      </c>
      <c r="Z783">
        <v>2208</v>
      </c>
      <c r="AA783" s="39" t="s">
        <v>3592</v>
      </c>
    </row>
    <row r="784" spans="1:27" hidden="1" x14ac:dyDescent="0.3">
      <c r="A784">
        <v>40859</v>
      </c>
      <c r="B784" t="str">
        <f>_xlfn.CONCAT(bron[[#This Row],[personeelsnr]]," ",bron[[#This Row],[achternaam]]," ",bron[[#This Row],[voornaam]])</f>
        <v>40859 Yagoub Abdelali</v>
      </c>
      <c r="C784" t="str">
        <f>VLOOKUP(bron[[#This Row],[personeelsnr]],'data hastus'!$A:$C,2,0)</f>
        <v>Yagoub</v>
      </c>
      <c r="D784" t="str">
        <f>VLOOKUP(bron[[#This Row],[personeelsnr]],'data hastus'!$A:$C,3,0)</f>
        <v>Abdelali</v>
      </c>
      <c r="E784" t="str">
        <f>VLOOKUP(bron[[#This Row],[personeelsnr]],'data hastus'!A:K,11,FALSE)</f>
        <v>Els Vanhoe</v>
      </c>
      <c r="F784" s="10"/>
      <c r="G784" s="7"/>
      <c r="H784" s="7"/>
      <c r="I784" s="7"/>
      <c r="N784" s="5">
        <v>1</v>
      </c>
      <c r="S784" s="5">
        <f>SUM(bron[[#This Row],[Januari]:[December]])</f>
        <v>1</v>
      </c>
      <c r="T784" s="9">
        <v>45872</v>
      </c>
      <c r="U784" s="8" t="s">
        <v>1265</v>
      </c>
      <c r="V784" s="24">
        <v>1</v>
      </c>
      <c r="W784" s="24"/>
      <c r="X784" t="s">
        <v>3544</v>
      </c>
      <c r="Y784" t="s">
        <v>209</v>
      </c>
      <c r="Z784">
        <v>2190</v>
      </c>
      <c r="AA784" s="39" t="s">
        <v>3592</v>
      </c>
    </row>
    <row r="785" spans="1:27" hidden="1" x14ac:dyDescent="0.3">
      <c r="A785">
        <v>40859</v>
      </c>
      <c r="B785" t="str">
        <f>_xlfn.CONCAT(bron[[#This Row],[personeelsnr]]," ",bron[[#This Row],[achternaam]]," ",bron[[#This Row],[voornaam]])</f>
        <v>40859 Yagoub Abdelali</v>
      </c>
      <c r="C785" t="str">
        <f>VLOOKUP(bron[[#This Row],[personeelsnr]],'data hastus'!$A:$C,2,0)</f>
        <v>Yagoub</v>
      </c>
      <c r="D785" t="str">
        <f>VLOOKUP(bron[[#This Row],[personeelsnr]],'data hastus'!$A:$C,3,0)</f>
        <v>Abdelali</v>
      </c>
      <c r="E785" t="str">
        <f>VLOOKUP(bron[[#This Row],[personeelsnr]],'data hastus'!A:K,11,FALSE)</f>
        <v>Els Vanhoe</v>
      </c>
      <c r="F785" s="10"/>
      <c r="G785" s="6"/>
      <c r="H785" s="6">
        <v>1</v>
      </c>
      <c r="I785" s="6"/>
      <c r="J785"/>
      <c r="K785"/>
      <c r="L785"/>
      <c r="M785"/>
      <c r="N785"/>
      <c r="O785"/>
      <c r="P785"/>
      <c r="Q785"/>
      <c r="R785"/>
      <c r="S785">
        <f>SUM(bron[[#This Row],[Januari]:[December]])</f>
        <v>1</v>
      </c>
      <c r="T785" s="3">
        <v>45693</v>
      </c>
      <c r="U785" s="8" t="s">
        <v>1047</v>
      </c>
      <c r="V785" s="8">
        <v>1</v>
      </c>
      <c r="W785" s="8"/>
      <c r="X785" t="s">
        <v>3544</v>
      </c>
      <c r="Y785" t="s">
        <v>273</v>
      </c>
      <c r="Z785">
        <v>5325</v>
      </c>
      <c r="AA785" s="39" t="s">
        <v>3592</v>
      </c>
    </row>
    <row r="786" spans="1:27" hidden="1" x14ac:dyDescent="0.3">
      <c r="A786">
        <v>40938</v>
      </c>
      <c r="B786" t="str">
        <f>_xlfn.CONCAT(bron[[#This Row],[personeelsnr]]," ",bron[[#This Row],[achternaam]]," ",bron[[#This Row],[voornaam]])</f>
        <v>40938 Hasnaoui Nejmeddine</v>
      </c>
      <c r="C786" t="str">
        <f>VLOOKUP(bron[[#This Row],[personeelsnr]],'data hastus'!$A:$C,2,0)</f>
        <v>Hasnaoui</v>
      </c>
      <c r="D786" t="str">
        <f>VLOOKUP(bron[[#This Row],[personeelsnr]],'data hastus'!$A:$C,3,0)</f>
        <v>Nejmeddine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K786" s="5">
        <v>1</v>
      </c>
      <c r="S786" s="5">
        <f>SUM(bron[[#This Row],[Januari]:[December]])</f>
        <v>1</v>
      </c>
      <c r="T786" s="9">
        <v>45783</v>
      </c>
      <c r="U786" s="8" t="s">
        <v>1165</v>
      </c>
      <c r="V786" s="8">
        <v>1</v>
      </c>
      <c r="W786" s="8"/>
      <c r="X786" t="s">
        <v>3544</v>
      </c>
      <c r="Y786" t="s">
        <v>43</v>
      </c>
      <c r="Z786">
        <v>2196</v>
      </c>
      <c r="AA786" s="39" t="s">
        <v>3592</v>
      </c>
    </row>
    <row r="787" spans="1:27" hidden="1" x14ac:dyDescent="0.3">
      <c r="A787">
        <v>40938</v>
      </c>
      <c r="B787" t="str">
        <f>_xlfn.CONCAT(bron[[#This Row],[personeelsnr]]," ",bron[[#This Row],[achternaam]]," ",bron[[#This Row],[voornaam]])</f>
        <v>40938 Hasnaoui Nejmeddine</v>
      </c>
      <c r="C787" t="str">
        <f>VLOOKUP(bron[[#This Row],[personeelsnr]],'data hastus'!$A:$C,2,0)</f>
        <v>Hasnaoui</v>
      </c>
      <c r="D787" t="str">
        <f>VLOOKUP(bron[[#This Row],[personeelsnr]],'data hastus'!$A:$C,3,0)</f>
        <v>Nejmeddine</v>
      </c>
      <c r="E787" t="str">
        <f>VLOOKUP(bron[[#This Row],[personeelsnr]],'data hastus'!A:K,11,FALSE)</f>
        <v>Dominique De Clercq</v>
      </c>
      <c r="F787" s="10"/>
      <c r="G787" s="7"/>
      <c r="H787" s="7"/>
      <c r="I787" s="7"/>
      <c r="O787" s="5">
        <v>1</v>
      </c>
      <c r="S787" s="5">
        <f>SUM(bron[[#This Row],[Januari]:[December]])</f>
        <v>1</v>
      </c>
      <c r="T787" s="9">
        <v>45902</v>
      </c>
      <c r="U787" s="5" t="s">
        <v>3532</v>
      </c>
      <c r="V787" s="24">
        <v>1</v>
      </c>
      <c r="W787" s="24"/>
      <c r="X787" t="s">
        <v>7</v>
      </c>
      <c r="Y787" t="s">
        <v>100</v>
      </c>
      <c r="Z787">
        <v>5263</v>
      </c>
      <c r="AA787" s="39" t="s">
        <v>3593</v>
      </c>
    </row>
    <row r="788" spans="1:27" hidden="1" x14ac:dyDescent="0.3">
      <c r="A788">
        <v>40939</v>
      </c>
      <c r="B788" t="str">
        <f>_xlfn.CONCAT(bron[[#This Row],[personeelsnr]]," ",bron[[#This Row],[achternaam]]," ",bron[[#This Row],[voornaam]])</f>
        <v>40939 Cisse Sayon</v>
      </c>
      <c r="C788" t="str">
        <f>VLOOKUP(bron[[#This Row],[personeelsnr]],'data hastus'!$A:$C,2,0)</f>
        <v>Cisse</v>
      </c>
      <c r="D788" t="str">
        <f>VLOOKUP(bron[[#This Row],[personeelsnr]],'data hastus'!$A:$C,3,0)</f>
        <v>Sayon</v>
      </c>
      <c r="E788" t="str">
        <f>VLOOKUP(bron[[#This Row],[personeelsnr]],'data hastus'!A:K,11,FALSE)</f>
        <v>Kenneth De Rick</v>
      </c>
      <c r="F788" s="10"/>
      <c r="G788" s="7"/>
      <c r="H788" s="7"/>
      <c r="I788" s="7"/>
      <c r="M788" s="5">
        <v>1</v>
      </c>
      <c r="S788" s="5">
        <f>SUM(bron[[#This Row],[Januari]:[December]])</f>
        <v>1</v>
      </c>
      <c r="T788" s="9">
        <v>45843</v>
      </c>
      <c r="U788" s="8" t="s">
        <v>1228</v>
      </c>
      <c r="V788" s="24">
        <v>1</v>
      </c>
      <c r="W788" s="24"/>
      <c r="X788" t="s">
        <v>3544</v>
      </c>
      <c r="Y788" t="s">
        <v>22</v>
      </c>
      <c r="Z788">
        <v>5046</v>
      </c>
      <c r="AA788" s="39" t="s">
        <v>3592</v>
      </c>
    </row>
    <row r="789" spans="1:27" hidden="1" x14ac:dyDescent="0.3">
      <c r="A789">
        <v>40939</v>
      </c>
      <c r="B789" t="str">
        <f>_xlfn.CONCAT(bron[[#This Row],[personeelsnr]]," ",bron[[#This Row],[achternaam]]," ",bron[[#This Row],[voornaam]])</f>
        <v>40939 Cisse Sayon</v>
      </c>
      <c r="C789" t="str">
        <f>VLOOKUP(bron[[#This Row],[personeelsnr]],'data hastus'!$A:$C,2,0)</f>
        <v>Cisse</v>
      </c>
      <c r="D789" t="str">
        <f>VLOOKUP(bron[[#This Row],[personeelsnr]],'data hastus'!$A:$C,3,0)</f>
        <v>Sayon</v>
      </c>
      <c r="E789" t="str">
        <f>VLOOKUP(bron[[#This Row],[personeelsnr]],'data hastus'!A:K,11,FALSE)</f>
        <v>Kenneth De Rick</v>
      </c>
      <c r="F789" s="10"/>
      <c r="G789" s="6"/>
      <c r="H789" s="6"/>
      <c r="I789" s="6"/>
      <c r="J789">
        <v>1</v>
      </c>
      <c r="K789"/>
      <c r="L789"/>
      <c r="M789"/>
      <c r="N789"/>
      <c r="O789"/>
      <c r="P789"/>
      <c r="Q789"/>
      <c r="R789"/>
      <c r="S789">
        <f>SUM(bron[[#This Row],[Januari]:[December]])</f>
        <v>1</v>
      </c>
      <c r="T789" s="3">
        <v>45751</v>
      </c>
      <c r="U789" s="8" t="s">
        <v>1124</v>
      </c>
      <c r="V789" s="8">
        <v>1</v>
      </c>
      <c r="W789" s="8"/>
      <c r="X789" t="s">
        <v>3544</v>
      </c>
      <c r="Y789" t="s">
        <v>43</v>
      </c>
      <c r="Z789">
        <v>2198</v>
      </c>
      <c r="AA789" s="39" t="s">
        <v>3592</v>
      </c>
    </row>
    <row r="790" spans="1:27" hidden="1" x14ac:dyDescent="0.3">
      <c r="A790">
        <v>40939</v>
      </c>
      <c r="B790" t="str">
        <f>_xlfn.CONCAT(bron[[#This Row],[personeelsnr]]," ",bron[[#This Row],[achternaam]]," ",bron[[#This Row],[voornaam]])</f>
        <v>40939 Cisse Sayon</v>
      </c>
      <c r="C790" t="str">
        <f>VLOOKUP(bron[[#This Row],[personeelsnr]],'data hastus'!$A:$C,2,0)</f>
        <v>Cisse</v>
      </c>
      <c r="D790" t="str">
        <f>VLOOKUP(bron[[#This Row],[personeelsnr]],'data hastus'!$A:$C,3,0)</f>
        <v>Sayon</v>
      </c>
      <c r="E790" t="str">
        <f>VLOOKUP(bron[[#This Row],[personeelsnr]],'data hastus'!A:K,11,FALSE)</f>
        <v>Kenneth De Rick</v>
      </c>
      <c r="F790" s="10"/>
      <c r="G790" s="6"/>
      <c r="H790" s="6"/>
      <c r="I790" s="6">
        <v>1</v>
      </c>
      <c r="J790"/>
      <c r="K790"/>
      <c r="L790"/>
      <c r="M790"/>
      <c r="N790"/>
      <c r="O790"/>
      <c r="P790"/>
      <c r="Q790"/>
      <c r="R790"/>
      <c r="S790">
        <f>SUM(bron[[#This Row],[Januari]:[December]])</f>
        <v>1</v>
      </c>
      <c r="T790" s="3">
        <v>45725</v>
      </c>
      <c r="U790" s="8" t="s">
        <v>1097</v>
      </c>
      <c r="V790" s="8">
        <v>1</v>
      </c>
      <c r="W790" s="8"/>
      <c r="X790" t="s">
        <v>3545</v>
      </c>
      <c r="Y790" t="s">
        <v>13</v>
      </c>
      <c r="Z790">
        <v>5932</v>
      </c>
      <c r="AA790" s="39" t="s">
        <v>3592</v>
      </c>
    </row>
    <row r="791" spans="1:27" hidden="1" x14ac:dyDescent="0.3">
      <c r="A791">
        <v>40969</v>
      </c>
      <c r="B791" t="str">
        <f>_xlfn.CONCAT(bron[[#This Row],[personeelsnr]]," ",bron[[#This Row],[achternaam]]," ",bron[[#This Row],[voornaam]])</f>
        <v>40969 Kerman Melisa</v>
      </c>
      <c r="C791" t="str">
        <f>VLOOKUP(bron[[#This Row],[personeelsnr]],'data hastus'!$A:$C,2,0)</f>
        <v>Kerman</v>
      </c>
      <c r="D791" t="str">
        <f>VLOOKUP(bron[[#This Row],[personeelsnr]],'data hastus'!$A:$C,3,0)</f>
        <v>Melisa</v>
      </c>
      <c r="E791" t="str">
        <f>VLOOKUP(bron[[#This Row],[personeelsnr]],'data hastus'!A:K,11,FALSE)</f>
        <v>Steven Storm</v>
      </c>
      <c r="G791" s="6">
        <v>1</v>
      </c>
      <c r="H791" s="6"/>
      <c r="I791" s="6"/>
      <c r="J791"/>
      <c r="K791"/>
      <c r="L791"/>
      <c r="M791"/>
      <c r="N791"/>
      <c r="O791"/>
      <c r="P791"/>
      <c r="Q791"/>
      <c r="R791"/>
      <c r="S791">
        <f>SUM(bron[[#This Row],[Januari]:[December]])</f>
        <v>1</v>
      </c>
      <c r="T791" s="3">
        <v>45673</v>
      </c>
      <c r="U791" s="8" t="s">
        <v>1019</v>
      </c>
      <c r="V791" s="8">
        <v>1</v>
      </c>
      <c r="W791" s="8"/>
      <c r="X791" t="s">
        <v>3545</v>
      </c>
      <c r="Y791" t="s">
        <v>28</v>
      </c>
      <c r="Z791">
        <v>5771</v>
      </c>
      <c r="AA791" s="39" t="s">
        <v>3592</v>
      </c>
    </row>
    <row r="792" spans="1:27" hidden="1" x14ac:dyDescent="0.3">
      <c r="A792">
        <v>41007</v>
      </c>
      <c r="B792" t="str">
        <f>_xlfn.CONCAT(bron[[#This Row],[personeelsnr]]," ",bron[[#This Row],[achternaam]]," ",bron[[#This Row],[voornaam]])</f>
        <v>41007 Sogut Cagri</v>
      </c>
      <c r="C792" t="s">
        <v>1261</v>
      </c>
      <c r="D792" t="s">
        <v>1262</v>
      </c>
      <c r="E792" t="s">
        <v>76</v>
      </c>
      <c r="F792" s="10"/>
      <c r="G792" s="7"/>
      <c r="H792" s="7"/>
      <c r="I792" s="7"/>
      <c r="M792" s="5">
        <v>1</v>
      </c>
      <c r="S792" s="5">
        <f>SUM(bron[[#This Row],[Januari]:[December]])</f>
        <v>1</v>
      </c>
      <c r="T792" s="9">
        <v>45867</v>
      </c>
      <c r="U792" s="24" t="s">
        <v>1263</v>
      </c>
      <c r="V792" s="24">
        <v>1</v>
      </c>
      <c r="W792" s="24"/>
      <c r="X792" t="s">
        <v>3545</v>
      </c>
      <c r="Y792" t="s">
        <v>16</v>
      </c>
      <c r="Z792">
        <v>5923</v>
      </c>
      <c r="AA792" s="39" t="s">
        <v>3592</v>
      </c>
    </row>
    <row r="793" spans="1:27" hidden="1" x14ac:dyDescent="0.3">
      <c r="A793">
        <v>41012</v>
      </c>
      <c r="B793" t="str">
        <f>_xlfn.CONCAT(bron[[#This Row],[personeelsnr]]," ",bron[[#This Row],[achternaam]]," ",bron[[#This Row],[voornaam]])</f>
        <v>41012 Natad Younes</v>
      </c>
      <c r="C793" t="str">
        <f>VLOOKUP(bron[[#This Row],[personeelsnr]],'data hastus'!$A:$C,2,0)</f>
        <v>Natad</v>
      </c>
      <c r="D793" t="str">
        <f>VLOOKUP(bron[[#This Row],[personeelsnr]],'data hastus'!$A:$C,3,0)</f>
        <v>Younes</v>
      </c>
      <c r="E793" t="str">
        <f>VLOOKUP(bron[[#This Row],[personeelsnr]],'data hastus'!A:K,11,FALSE)</f>
        <v>Els Vanhoe</v>
      </c>
      <c r="F793" s="10"/>
      <c r="G793" s="6"/>
      <c r="H793" s="6"/>
      <c r="I793" s="6">
        <v>1</v>
      </c>
      <c r="J793"/>
      <c r="K793"/>
      <c r="L793"/>
      <c r="M793"/>
      <c r="N793"/>
      <c r="O793"/>
      <c r="P793"/>
      <c r="Q793"/>
      <c r="R793"/>
      <c r="S793">
        <f>SUM(bron[[#This Row],[Januari]:[December]])</f>
        <v>1</v>
      </c>
      <c r="T793" s="3">
        <v>45734</v>
      </c>
      <c r="U793" s="8" t="s">
        <v>1108</v>
      </c>
      <c r="V793" s="8">
        <v>1</v>
      </c>
      <c r="W793" s="8"/>
      <c r="X793" t="s">
        <v>3544</v>
      </c>
      <c r="Y793" t="s">
        <v>25</v>
      </c>
      <c r="Z793">
        <v>5045</v>
      </c>
      <c r="AA793" s="39" t="s">
        <v>3592</v>
      </c>
    </row>
    <row r="794" spans="1:27" hidden="1" x14ac:dyDescent="0.3">
      <c r="A794">
        <v>41012</v>
      </c>
      <c r="B794" t="str">
        <f>_xlfn.CONCAT(bron[[#This Row],[personeelsnr]]," ",bron[[#This Row],[achternaam]]," ",bron[[#This Row],[voornaam]])</f>
        <v>41012 Natad Younes</v>
      </c>
      <c r="C794" t="str">
        <f>VLOOKUP(bron[[#This Row],[personeelsnr]],'data hastus'!$A:$C,2,0)</f>
        <v>Natad</v>
      </c>
      <c r="D794" t="str">
        <f>VLOOKUP(bron[[#This Row],[personeelsnr]],'data hastus'!$A:$C,3,0)</f>
        <v>Younes</v>
      </c>
      <c r="E794" t="str">
        <f>VLOOKUP(bron[[#This Row],[personeelsnr]],'data hastus'!A:K,11,FALSE)</f>
        <v>Els Vanhoe</v>
      </c>
      <c r="G794" s="6"/>
      <c r="H794" s="6">
        <v>1</v>
      </c>
      <c r="I794" s="6"/>
      <c r="J794"/>
      <c r="K794"/>
      <c r="L794"/>
      <c r="M794"/>
      <c r="N794"/>
      <c r="O794"/>
      <c r="P794"/>
      <c r="Q794"/>
      <c r="R794"/>
      <c r="S794">
        <f>SUM(bron[[#This Row],[Januari]:[December]])</f>
        <v>1</v>
      </c>
      <c r="T794" s="3">
        <v>45706</v>
      </c>
      <c r="U794" s="8" t="s">
        <v>1064</v>
      </c>
      <c r="V794" s="8">
        <v>1</v>
      </c>
      <c r="W794" s="8"/>
      <c r="X794" t="s">
        <v>3545</v>
      </c>
      <c r="Y794" t="s">
        <v>514</v>
      </c>
      <c r="Z794">
        <v>5923</v>
      </c>
      <c r="AA794" s="39" t="s">
        <v>3592</v>
      </c>
    </row>
    <row r="795" spans="1:27" hidden="1" x14ac:dyDescent="0.3">
      <c r="A795">
        <v>41032</v>
      </c>
      <c r="B795" t="str">
        <f>_xlfn.CONCAT(bron[[#This Row],[personeelsnr]]," ",bron[[#This Row],[achternaam]]," ",bron[[#This Row],[voornaam]])</f>
        <v>41032 Rocabado Hinojosa Lukas</v>
      </c>
      <c r="C795" t="str">
        <f>VLOOKUP(bron[[#This Row],[personeelsnr]],'data hastus'!$A:$C,2,0)</f>
        <v>Rocabado Hinojosa</v>
      </c>
      <c r="D795" t="str">
        <f>VLOOKUP(bron[[#This Row],[personeelsnr]],'data hastus'!$A:$C,3,0)</f>
        <v>Lukas</v>
      </c>
      <c r="E795" t="str">
        <f>VLOOKUP(bron[[#This Row],[personeelsnr]],'data hastus'!A:K,11,FALSE)</f>
        <v>Els Vanhoe</v>
      </c>
      <c r="F795" s="10"/>
      <c r="G795" s="7"/>
      <c r="H795" s="7"/>
      <c r="I795" s="7"/>
      <c r="L795" s="5">
        <v>1</v>
      </c>
      <c r="S795" s="5">
        <f>SUM(bron[[#This Row],[Januari]:[December]])</f>
        <v>1</v>
      </c>
      <c r="T795" s="9">
        <v>45813</v>
      </c>
      <c r="U795" s="8" t="s">
        <v>1196</v>
      </c>
      <c r="V795" s="8">
        <v>1</v>
      </c>
      <c r="W795" s="8"/>
      <c r="X795" t="s">
        <v>3546</v>
      </c>
      <c r="Y795" t="s">
        <v>117</v>
      </c>
      <c r="Z795">
        <v>5237</v>
      </c>
      <c r="AA795" s="39" t="s">
        <v>3592</v>
      </c>
    </row>
    <row r="796" spans="1:27" hidden="1" x14ac:dyDescent="0.3">
      <c r="A796">
        <v>41032</v>
      </c>
      <c r="B796" t="str">
        <f>_xlfn.CONCAT(bron[[#This Row],[personeelsnr]]," ",bron[[#This Row],[achternaam]]," ",bron[[#This Row],[voornaam]])</f>
        <v>41032 Rocabado Hinojosa Lukas</v>
      </c>
      <c r="C796" t="str">
        <f>VLOOKUP(bron[[#This Row],[personeelsnr]],'data hastus'!$A:$C,2,0)</f>
        <v>Rocabado Hinojosa</v>
      </c>
      <c r="D796" t="str">
        <f>VLOOKUP(bron[[#This Row],[personeelsnr]],'data hastus'!$A:$C,3,0)</f>
        <v>Lukas</v>
      </c>
      <c r="E796" t="str">
        <f>VLOOKUP(bron[[#This Row],[personeelsnr]],'data hastus'!A:K,11,FALSE)</f>
        <v>Els Vanhoe</v>
      </c>
      <c r="F796" s="10"/>
      <c r="G796" s="7"/>
      <c r="H796" s="7"/>
      <c r="I796" s="7"/>
      <c r="L796" s="5">
        <v>1</v>
      </c>
      <c r="S796" s="5">
        <f>SUM(bron[[#This Row],[Januari]:[December]])</f>
        <v>1</v>
      </c>
      <c r="T796" s="9">
        <v>45813</v>
      </c>
      <c r="U796" s="8" t="s">
        <v>1197</v>
      </c>
      <c r="V796" s="8">
        <v>1</v>
      </c>
      <c r="W796" s="8"/>
      <c r="X796" t="s">
        <v>3546</v>
      </c>
      <c r="Y796" t="s">
        <v>34</v>
      </c>
      <c r="Z796">
        <v>5237</v>
      </c>
      <c r="AA796" s="39" t="s">
        <v>3592</v>
      </c>
    </row>
    <row r="797" spans="1:27" hidden="1" x14ac:dyDescent="0.3">
      <c r="A797">
        <v>41032</v>
      </c>
      <c r="B797" t="str">
        <f>_xlfn.CONCAT(bron[[#This Row],[personeelsnr]]," ",bron[[#This Row],[achternaam]]," ",bron[[#This Row],[voornaam]])</f>
        <v>41032 Rocabado Hinojosa Lukas</v>
      </c>
      <c r="C797" t="str">
        <f>VLOOKUP(bron[[#This Row],[personeelsnr]],'data hastus'!$A:$C,2,0)</f>
        <v>Rocabado Hinojosa</v>
      </c>
      <c r="D797" t="str">
        <f>VLOOKUP(bron[[#This Row],[personeelsnr]],'data hastus'!$A:$C,3,0)</f>
        <v>Lukas</v>
      </c>
      <c r="E797" t="str">
        <f>VLOOKUP(bron[[#This Row],[personeelsnr]],'data hastus'!A:K,11,FALSE)</f>
        <v>Els Vanhoe</v>
      </c>
      <c r="F797" s="10"/>
      <c r="G797" s="6"/>
      <c r="H797" s="6">
        <v>1</v>
      </c>
      <c r="I797" s="6"/>
      <c r="J797"/>
      <c r="K797"/>
      <c r="L797"/>
      <c r="M797"/>
      <c r="N797"/>
      <c r="O797"/>
      <c r="P797"/>
      <c r="Q797"/>
      <c r="R797"/>
      <c r="S797">
        <f>SUM(bron[[#This Row],[Januari]:[December]])</f>
        <v>1</v>
      </c>
      <c r="T797" s="3">
        <v>45706</v>
      </c>
      <c r="U797" s="8" t="s">
        <v>1065</v>
      </c>
      <c r="V797" s="8">
        <v>1</v>
      </c>
      <c r="W797" s="8"/>
      <c r="X797" t="s">
        <v>3545</v>
      </c>
      <c r="Y797" t="s">
        <v>219</v>
      </c>
      <c r="Z797">
        <v>5925</v>
      </c>
      <c r="AA797" s="39" t="s">
        <v>3592</v>
      </c>
    </row>
    <row r="798" spans="1:27" hidden="1" x14ac:dyDescent="0.3">
      <c r="A798">
        <v>41032</v>
      </c>
      <c r="B798" t="str">
        <f>_xlfn.CONCAT(bron[[#This Row],[personeelsnr]]," ",bron[[#This Row],[achternaam]]," ",bron[[#This Row],[voornaam]])</f>
        <v>41032 Rocabado Hinojosa Lukas</v>
      </c>
      <c r="C798" t="str">
        <f>VLOOKUP(bron[[#This Row],[personeelsnr]],'data hastus'!$A:$C,2,0)</f>
        <v>Rocabado Hinojosa</v>
      </c>
      <c r="D798" t="str">
        <f>VLOOKUP(bron[[#This Row],[personeelsnr]],'data hastus'!$A:$C,3,0)</f>
        <v>Lukas</v>
      </c>
      <c r="E798" t="str">
        <f>VLOOKUP(bron[[#This Row],[personeelsnr]],'data hastus'!A:K,11,FALSE)</f>
        <v>Els Vanhoe</v>
      </c>
      <c r="F798" s="10"/>
      <c r="G798" s="7">
        <v>1</v>
      </c>
      <c r="H798" s="7"/>
      <c r="I798" s="7"/>
      <c r="S798" s="5">
        <f>SUM(bron[[#This Row],[Januari]:[December]])</f>
        <v>1</v>
      </c>
      <c r="T798" s="9">
        <v>45666</v>
      </c>
      <c r="U798" s="8" t="s">
        <v>1006</v>
      </c>
      <c r="V798" s="24">
        <v>1</v>
      </c>
      <c r="W798" s="24"/>
      <c r="X798" t="s">
        <v>3545</v>
      </c>
      <c r="Y798" t="s">
        <v>31</v>
      </c>
      <c r="Z798">
        <v>5926</v>
      </c>
      <c r="AA798" s="39" t="s">
        <v>3592</v>
      </c>
    </row>
    <row r="799" spans="1:27" hidden="1" x14ac:dyDescent="0.3">
      <c r="A799">
        <v>41064</v>
      </c>
      <c r="B799" t="str">
        <f>_xlfn.CONCAT(bron[[#This Row],[personeelsnr]]," ",bron[[#This Row],[achternaam]]," ",bron[[#This Row],[voornaam]])</f>
        <v>41064 Ardic Atilla</v>
      </c>
      <c r="C799" t="str">
        <f>VLOOKUP(bron[[#This Row],[personeelsnr]],'data hastus'!$A:$C,2,0)</f>
        <v>Ardic</v>
      </c>
      <c r="D799" t="str">
        <f>VLOOKUP(bron[[#This Row],[personeelsnr]],'data hastus'!$A:$C,3,0)</f>
        <v>Atilla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L799" s="5">
        <v>1</v>
      </c>
      <c r="S799" s="5">
        <f>SUM(bron[[#This Row],[Januari]:[December]])</f>
        <v>1</v>
      </c>
      <c r="T799" s="9">
        <v>45811</v>
      </c>
      <c r="U799" s="8" t="s">
        <v>1191</v>
      </c>
      <c r="V799" s="24">
        <v>1</v>
      </c>
      <c r="W799" s="24"/>
      <c r="X799" t="s">
        <v>3545</v>
      </c>
      <c r="Y799" t="s">
        <v>5</v>
      </c>
      <c r="Z799">
        <v>5048</v>
      </c>
      <c r="AA799" s="39" t="s">
        <v>3592</v>
      </c>
    </row>
    <row r="800" spans="1:27" hidden="1" x14ac:dyDescent="0.3">
      <c r="A800">
        <v>41064</v>
      </c>
      <c r="B800" t="str">
        <f>_xlfn.CONCAT(bron[[#This Row],[personeelsnr]]," ",bron[[#This Row],[achternaam]]," ",bron[[#This Row],[voornaam]])</f>
        <v>41064 Ardic Atilla</v>
      </c>
      <c r="C800" t="str">
        <f>VLOOKUP(bron[[#This Row],[personeelsnr]],'data hastus'!$A:$C,2,0)</f>
        <v>Ardic</v>
      </c>
      <c r="D800" t="str">
        <f>VLOOKUP(bron[[#This Row],[personeelsnr]],'data hastus'!$A:$C,3,0)</f>
        <v>Atilla</v>
      </c>
      <c r="E800" t="str">
        <f>VLOOKUP(bron[[#This Row],[personeelsnr]],'data hastus'!A:K,11,FALSE)</f>
        <v>Dominique De Clercq</v>
      </c>
      <c r="F800" s="10"/>
      <c r="G800" s="6"/>
      <c r="H800" s="6"/>
      <c r="I800" s="6">
        <v>1</v>
      </c>
      <c r="J800"/>
      <c r="K800"/>
      <c r="L800"/>
      <c r="M800"/>
      <c r="N800"/>
      <c r="O800"/>
      <c r="P800"/>
      <c r="Q800"/>
      <c r="R800"/>
      <c r="S800">
        <f>SUM(bron[[#This Row],[Januari]:[December]])</f>
        <v>1</v>
      </c>
      <c r="T800" s="3">
        <v>45734</v>
      </c>
      <c r="U800" s="8" t="s">
        <v>1106</v>
      </c>
      <c r="V800" s="8">
        <v>1</v>
      </c>
      <c r="W800" s="8"/>
      <c r="X800" t="s">
        <v>3545</v>
      </c>
      <c r="Y800" t="s">
        <v>10</v>
      </c>
      <c r="Z800">
        <v>2549</v>
      </c>
      <c r="AA800" s="39" t="s">
        <v>3592</v>
      </c>
    </row>
    <row r="801" spans="1:27" hidden="1" x14ac:dyDescent="0.3">
      <c r="A801">
        <v>41090</v>
      </c>
      <c r="B801" t="e">
        <f>_xlfn.CONCAT(bron[[#This Row],[personeelsnr]]," ",bron[[#This Row],[achternaam]]," ",bron[[#This Row],[voornaam]])</f>
        <v>#N/A</v>
      </c>
      <c r="C801" t="e">
        <f>VLOOKUP(bron[[#This Row],[personeelsnr]],'data hastus'!$A:$C,2,0)</f>
        <v>#N/A</v>
      </c>
      <c r="D801" t="e">
        <f>VLOOKUP(bron[[#This Row],[personeelsnr]],'data hastus'!$A:$C,3,0)</f>
        <v>#N/A</v>
      </c>
      <c r="E801" t="s">
        <v>79</v>
      </c>
      <c r="F801" s="10"/>
      <c r="G801" s="6">
        <v>1</v>
      </c>
      <c r="H801" s="6"/>
      <c r="I801" s="6"/>
      <c r="J801"/>
      <c r="K801"/>
      <c r="L801"/>
      <c r="M801"/>
      <c r="N801"/>
      <c r="O801"/>
      <c r="P801"/>
      <c r="Q801"/>
      <c r="R801"/>
      <c r="S801">
        <f>SUM(bron[[#This Row],[Januari]:[December]])</f>
        <v>1</v>
      </c>
      <c r="T801" s="3">
        <v>45671</v>
      </c>
      <c r="U801" s="8" t="s">
        <v>1015</v>
      </c>
      <c r="V801" s="8">
        <v>1</v>
      </c>
      <c r="W801" s="8"/>
      <c r="X801" t="s">
        <v>3545</v>
      </c>
      <c r="Y801" t="s">
        <v>16</v>
      </c>
      <c r="Z801">
        <v>5929</v>
      </c>
      <c r="AA801" s="39" t="s">
        <v>3592</v>
      </c>
    </row>
    <row r="802" spans="1:27" hidden="1" x14ac:dyDescent="0.3">
      <c r="A802">
        <v>41091</v>
      </c>
      <c r="B802" t="str">
        <f>_xlfn.CONCAT(bron[[#This Row],[personeelsnr]]," ",bron[[#This Row],[achternaam]]," ",bron[[#This Row],[voornaam]])</f>
        <v>41091 Yavas Talha</v>
      </c>
      <c r="C802" t="str">
        <f>VLOOKUP(bron[[#This Row],[personeelsnr]],'data hastus'!$A:$C,2,0)</f>
        <v>Yavas</v>
      </c>
      <c r="D802" t="str">
        <f>VLOOKUP(bron[[#This Row],[personeelsnr]],'data hastus'!$A:$C,3,0)</f>
        <v>Talha</v>
      </c>
      <c r="E802" t="str">
        <f>VLOOKUP(bron[[#This Row],[personeelsnr]],'data hastus'!A:K,11,FALSE)</f>
        <v>Dominique De Clercq</v>
      </c>
      <c r="F802" s="10"/>
      <c r="G802" s="7"/>
      <c r="H802" s="7"/>
      <c r="I802" s="7"/>
      <c r="M802" s="5">
        <v>1</v>
      </c>
      <c r="S802" s="5">
        <f>SUM(bron[[#This Row],[Januari]:[December]])</f>
        <v>1</v>
      </c>
      <c r="T802" s="9">
        <v>45849</v>
      </c>
      <c r="U802" s="8" t="s">
        <v>1241</v>
      </c>
      <c r="V802" s="24">
        <v>1</v>
      </c>
      <c r="W802" s="24"/>
      <c r="X802" t="s">
        <v>3546</v>
      </c>
      <c r="Y802" t="s">
        <v>135</v>
      </c>
      <c r="Z802">
        <v>5324</v>
      </c>
      <c r="AA802" s="39" t="s">
        <v>3592</v>
      </c>
    </row>
    <row r="803" spans="1:27" hidden="1" x14ac:dyDescent="0.3">
      <c r="A803">
        <v>41091</v>
      </c>
      <c r="B803" t="str">
        <f>_xlfn.CONCAT(bron[[#This Row],[personeelsnr]]," ",bron[[#This Row],[achternaam]]," ",bron[[#This Row],[voornaam]])</f>
        <v>41091 Yavas Talha</v>
      </c>
      <c r="C803" t="str">
        <f>VLOOKUP(bron[[#This Row],[personeelsnr]],'data hastus'!$A:$C,2,0)</f>
        <v>Yavas</v>
      </c>
      <c r="D803" t="str">
        <f>VLOOKUP(bron[[#This Row],[personeelsnr]],'data hastus'!$A:$C,3,0)</f>
        <v>Talha</v>
      </c>
      <c r="E803" t="str">
        <f>VLOOKUP(bron[[#This Row],[personeelsnr]],'data hastus'!A:K,11,FALSE)</f>
        <v>Dominique De Clercq</v>
      </c>
      <c r="G803" s="6"/>
      <c r="H803" s="6">
        <v>1</v>
      </c>
      <c r="I803" s="6"/>
      <c r="J803"/>
      <c r="K803"/>
      <c r="L803"/>
      <c r="M803"/>
      <c r="N803"/>
      <c r="O803"/>
      <c r="P803"/>
      <c r="Q803"/>
      <c r="R803"/>
      <c r="S803">
        <f>SUM(bron[[#This Row],[Januari]:[December]])</f>
        <v>1</v>
      </c>
      <c r="T803" s="3">
        <v>45703</v>
      </c>
      <c r="U803" s="8" t="s">
        <v>1061</v>
      </c>
      <c r="V803" s="8">
        <v>1</v>
      </c>
      <c r="W803" s="8"/>
      <c r="X803" t="s">
        <v>3545</v>
      </c>
      <c r="Y803" t="s">
        <v>111</v>
      </c>
      <c r="Z803">
        <v>5928</v>
      </c>
      <c r="AA803" s="39" t="s">
        <v>3592</v>
      </c>
    </row>
    <row r="804" spans="1:27" hidden="1" x14ac:dyDescent="0.3">
      <c r="A804">
        <v>41092</v>
      </c>
      <c r="B804" t="str">
        <f>_xlfn.CONCAT(bron[[#This Row],[personeelsnr]]," ",bron[[#This Row],[achternaam]]," ",bron[[#This Row],[voornaam]])</f>
        <v>41092 De Keyser Dorien</v>
      </c>
      <c r="C804" t="str">
        <f>VLOOKUP(bron[[#This Row],[personeelsnr]],'data hastus'!$A:$C,2,0)</f>
        <v>De Keyser</v>
      </c>
      <c r="D804" t="str">
        <f>VLOOKUP(bron[[#This Row],[personeelsnr]],'data hastus'!$A:$C,3,0)</f>
        <v>Dorien</v>
      </c>
      <c r="E804" t="str">
        <f>VLOOKUP(bron[[#This Row],[personeelsnr]],'data hastus'!A:K,11,FALSE)</f>
        <v>Dominique De Clercq</v>
      </c>
      <c r="F804" s="10"/>
      <c r="G804" s="7"/>
      <c r="H804" s="7"/>
      <c r="I804" s="7"/>
      <c r="N804" s="5">
        <v>1</v>
      </c>
      <c r="S804" s="5">
        <f>SUM(bron[[#This Row],[Januari]:[December]])</f>
        <v>1</v>
      </c>
      <c r="T804" s="9">
        <v>45878</v>
      </c>
      <c r="U804" s="8" t="s">
        <v>1270</v>
      </c>
      <c r="V804" s="24">
        <v>1</v>
      </c>
      <c r="W804" s="24"/>
      <c r="X804" t="s">
        <v>3546</v>
      </c>
      <c r="Y804" t="s">
        <v>289</v>
      </c>
      <c r="Z804">
        <v>2194</v>
      </c>
      <c r="AA804" s="39" t="s">
        <v>3592</v>
      </c>
    </row>
    <row r="805" spans="1:27" hidden="1" x14ac:dyDescent="0.3">
      <c r="A805">
        <v>41092</v>
      </c>
      <c r="B805" t="str">
        <f>_xlfn.CONCAT(bron[[#This Row],[personeelsnr]]," ",bron[[#This Row],[achternaam]]," ",bron[[#This Row],[voornaam]])</f>
        <v>41092 De Keyser Dorien</v>
      </c>
      <c r="C805" t="str">
        <f>VLOOKUP(bron[[#This Row],[personeelsnr]],'data hastus'!$A:$C,2,0)</f>
        <v>De Keyser</v>
      </c>
      <c r="D805" t="str">
        <f>VLOOKUP(bron[[#This Row],[personeelsnr]],'data hastus'!$A:$C,3,0)</f>
        <v>Dorien</v>
      </c>
      <c r="E805" t="str">
        <f>VLOOKUP(bron[[#This Row],[personeelsnr]],'data hastus'!A:K,11,FALSE)</f>
        <v>Dominique De Clercq</v>
      </c>
      <c r="F805" s="10"/>
      <c r="G805" s="6"/>
      <c r="H805" s="6"/>
      <c r="I805" s="6"/>
      <c r="J805">
        <v>1</v>
      </c>
      <c r="K805"/>
      <c r="L805"/>
      <c r="M805"/>
      <c r="N805"/>
      <c r="O805"/>
      <c r="P805"/>
      <c r="Q805"/>
      <c r="R805"/>
      <c r="S805">
        <f>SUM(bron[[#This Row],[Januari]:[December]])</f>
        <v>1</v>
      </c>
      <c r="T805" s="3">
        <v>45777</v>
      </c>
      <c r="U805" s="8" t="s">
        <v>1158</v>
      </c>
      <c r="V805" s="8">
        <v>1</v>
      </c>
      <c r="W805" s="8"/>
      <c r="X805" t="s">
        <v>3545</v>
      </c>
      <c r="Y805" t="s">
        <v>133</v>
      </c>
      <c r="Z805">
        <v>5912</v>
      </c>
      <c r="AA805" s="39" t="s">
        <v>3592</v>
      </c>
    </row>
    <row r="806" spans="1:27" hidden="1" x14ac:dyDescent="0.3">
      <c r="A806">
        <v>41092</v>
      </c>
      <c r="B806" t="str">
        <f>_xlfn.CONCAT(bron[[#This Row],[personeelsnr]]," ",bron[[#This Row],[achternaam]]," ",bron[[#This Row],[voornaam]])</f>
        <v>41092 De Keyser Dorien</v>
      </c>
      <c r="C806" t="str">
        <f>VLOOKUP(bron[[#This Row],[personeelsnr]],'data hastus'!$A:$C,2,0)</f>
        <v>De Keyser</v>
      </c>
      <c r="D806" t="str">
        <f>VLOOKUP(bron[[#This Row],[personeelsnr]],'data hastus'!$A:$C,3,0)</f>
        <v>Dorien</v>
      </c>
      <c r="E806" t="str">
        <f>VLOOKUP(bron[[#This Row],[personeelsnr]],'data hastus'!A:K,11,FALSE)</f>
        <v>Dominique De Clercq</v>
      </c>
      <c r="F806" s="10"/>
      <c r="G806" s="6"/>
      <c r="H806" s="6"/>
      <c r="I806" s="6"/>
      <c r="J806">
        <v>1</v>
      </c>
      <c r="K806"/>
      <c r="L806"/>
      <c r="M806"/>
      <c r="N806"/>
      <c r="O806"/>
      <c r="P806"/>
      <c r="Q806"/>
      <c r="R806"/>
      <c r="S806">
        <f>SUM(bron[[#This Row],[Januari]:[December]])</f>
        <v>1</v>
      </c>
      <c r="T806" s="3">
        <v>45754</v>
      </c>
      <c r="U806" s="8" t="s">
        <v>1126</v>
      </c>
      <c r="V806" s="8">
        <v>1</v>
      </c>
      <c r="W806" s="8"/>
      <c r="X806" t="s">
        <v>3545</v>
      </c>
      <c r="Y806" t="s">
        <v>119</v>
      </c>
      <c r="Z806">
        <v>5766</v>
      </c>
      <c r="AA806" s="39" t="s">
        <v>3592</v>
      </c>
    </row>
    <row r="807" spans="1:27" hidden="1" x14ac:dyDescent="0.3">
      <c r="A807">
        <v>41092</v>
      </c>
      <c r="B807" t="str">
        <f>_xlfn.CONCAT(bron[[#This Row],[personeelsnr]]," ",bron[[#This Row],[achternaam]]," ",bron[[#This Row],[voornaam]])</f>
        <v>41092 De Keyser Dorien</v>
      </c>
      <c r="C807" t="str">
        <f>VLOOKUP(bron[[#This Row],[personeelsnr]],'data hastus'!$A:$C,2,0)</f>
        <v>De Keyser</v>
      </c>
      <c r="D807" t="str">
        <f>VLOOKUP(bron[[#This Row],[personeelsnr]],'data hastus'!$A:$C,3,0)</f>
        <v>Dorien</v>
      </c>
      <c r="E807" t="str">
        <f>VLOOKUP(bron[[#This Row],[personeelsnr]],'data hastus'!A:K,11,FALSE)</f>
        <v>Dominique De Clercq</v>
      </c>
      <c r="F807" s="10"/>
      <c r="G807" s="6"/>
      <c r="H807" s="6"/>
      <c r="I807" s="6">
        <v>1</v>
      </c>
      <c r="J807"/>
      <c r="K807"/>
      <c r="L807"/>
      <c r="M807"/>
      <c r="N807"/>
      <c r="O807"/>
      <c r="P807"/>
      <c r="Q807"/>
      <c r="R807"/>
      <c r="S807">
        <f>SUM(bron[[#This Row],[Januari]:[December]])</f>
        <v>1</v>
      </c>
      <c r="T807" s="3">
        <v>45734</v>
      </c>
      <c r="U807" s="8" t="s">
        <v>1107</v>
      </c>
      <c r="V807" s="8">
        <v>1</v>
      </c>
      <c r="W807" s="8"/>
      <c r="X807" t="s">
        <v>3545</v>
      </c>
      <c r="Y807" t="s">
        <v>102</v>
      </c>
      <c r="Z807">
        <v>5770</v>
      </c>
      <c r="AA807" s="39" t="s">
        <v>3592</v>
      </c>
    </row>
    <row r="808" spans="1:27" hidden="1" x14ac:dyDescent="0.3">
      <c r="A808">
        <v>41092</v>
      </c>
      <c r="B808" t="str">
        <f>_xlfn.CONCAT(bron[[#This Row],[personeelsnr]]," ",bron[[#This Row],[achternaam]]," ",bron[[#This Row],[voornaam]])</f>
        <v>41092 De Keyser Dorien</v>
      </c>
      <c r="C808" t="str">
        <f>VLOOKUP(bron[[#This Row],[personeelsnr]],'data hastus'!$A:$C,2,0)</f>
        <v>De Keyser</v>
      </c>
      <c r="D808" t="str">
        <f>VLOOKUP(bron[[#This Row],[personeelsnr]],'data hastus'!$A:$C,3,0)</f>
        <v>Dorien</v>
      </c>
      <c r="E808" t="str">
        <f>VLOOKUP(bron[[#This Row],[personeelsnr]],'data hastus'!A:K,11,FALSE)</f>
        <v>Dominique De Clercq</v>
      </c>
      <c r="F808" s="10"/>
      <c r="G808" s="6"/>
      <c r="H808" s="6"/>
      <c r="I808" s="6">
        <v>1</v>
      </c>
      <c r="J808"/>
      <c r="K808"/>
      <c r="L808"/>
      <c r="M808"/>
      <c r="N808"/>
      <c r="O808"/>
      <c r="P808"/>
      <c r="Q808"/>
      <c r="R808"/>
      <c r="S808">
        <f>SUM(bron[[#This Row],[Januari]:[December]])</f>
        <v>1</v>
      </c>
      <c r="T808" s="3">
        <v>45722</v>
      </c>
      <c r="U808" s="8" t="s">
        <v>1091</v>
      </c>
      <c r="V808" s="8">
        <v>1</v>
      </c>
      <c r="W808" s="8"/>
      <c r="X808" t="s">
        <v>3545</v>
      </c>
      <c r="Y808" t="s">
        <v>225</v>
      </c>
      <c r="Z808">
        <v>5909</v>
      </c>
      <c r="AA808" s="39" t="s">
        <v>3592</v>
      </c>
    </row>
    <row r="809" spans="1:27" hidden="1" x14ac:dyDescent="0.3">
      <c r="A809">
        <v>41092</v>
      </c>
      <c r="B809" t="str">
        <f>_xlfn.CONCAT(bron[[#This Row],[personeelsnr]]," ",bron[[#This Row],[achternaam]]," ",bron[[#This Row],[voornaam]])</f>
        <v>41092 De Keyser Dorien</v>
      </c>
      <c r="C809" t="str">
        <f>VLOOKUP(bron[[#This Row],[personeelsnr]],'data hastus'!$A:$C,2,0)</f>
        <v>De Keyser</v>
      </c>
      <c r="D809" t="str">
        <f>VLOOKUP(bron[[#This Row],[personeelsnr]],'data hastus'!$A:$C,3,0)</f>
        <v>Dorien</v>
      </c>
      <c r="E809" t="str">
        <f>VLOOKUP(bron[[#This Row],[personeelsnr]],'data hastus'!A:K,11,FALSE)</f>
        <v>Dominique De Clercq</v>
      </c>
      <c r="F809" s="10"/>
      <c r="G809" s="6"/>
      <c r="H809" s="6">
        <v>1</v>
      </c>
      <c r="I809" s="6"/>
      <c r="J809"/>
      <c r="K809"/>
      <c r="L809"/>
      <c r="M809"/>
      <c r="N809"/>
      <c r="O809"/>
      <c r="P809"/>
      <c r="Q809"/>
      <c r="R809"/>
      <c r="S809">
        <f>SUM(bron[[#This Row],[Januari]:[December]])</f>
        <v>1</v>
      </c>
      <c r="T809" s="3">
        <v>45716</v>
      </c>
      <c r="U809" s="8" t="s">
        <v>1084</v>
      </c>
      <c r="V809" s="8">
        <v>1</v>
      </c>
      <c r="W809" s="8"/>
      <c r="X809" t="s">
        <v>3545</v>
      </c>
      <c r="Y809" t="s">
        <v>34</v>
      </c>
      <c r="Z809">
        <v>2548</v>
      </c>
      <c r="AA809" s="39" t="s">
        <v>3592</v>
      </c>
    </row>
    <row r="810" spans="1:27" hidden="1" x14ac:dyDescent="0.3">
      <c r="A810">
        <v>41092</v>
      </c>
      <c r="B810" t="str">
        <f>_xlfn.CONCAT(bron[[#This Row],[personeelsnr]]," ",bron[[#This Row],[achternaam]]," ",bron[[#This Row],[voornaam]])</f>
        <v>41092 De Keyser Dorien</v>
      </c>
      <c r="C810" t="str">
        <f>VLOOKUP(bron[[#This Row],[personeelsnr]],'data hastus'!$A:$C,2,0)</f>
        <v>De Keyser</v>
      </c>
      <c r="D810" t="str">
        <f>VLOOKUP(bron[[#This Row],[personeelsnr]],'data hastus'!$A:$C,3,0)</f>
        <v>Dorien</v>
      </c>
      <c r="E810" t="str">
        <f>VLOOKUP(bron[[#This Row],[personeelsnr]],'data hastus'!A:K,11,FALSE)</f>
        <v>Dominique De Clercq</v>
      </c>
      <c r="F810" s="10"/>
      <c r="G810" s="6"/>
      <c r="H810" s="6">
        <v>1</v>
      </c>
      <c r="I810" s="6"/>
      <c r="J810"/>
      <c r="K810"/>
      <c r="L810"/>
      <c r="M810"/>
      <c r="N810"/>
      <c r="O810"/>
      <c r="P810"/>
      <c r="Q810"/>
      <c r="R810"/>
      <c r="S810">
        <f>SUM(bron[[#This Row],[Januari]:[December]])</f>
        <v>1</v>
      </c>
      <c r="T810" s="3">
        <v>45693</v>
      </c>
      <c r="U810" s="8" t="s">
        <v>1046</v>
      </c>
      <c r="V810" s="8">
        <v>1</v>
      </c>
      <c r="W810" s="8"/>
      <c r="X810" t="s">
        <v>3545</v>
      </c>
      <c r="Y810" t="s">
        <v>57</v>
      </c>
      <c r="Z810">
        <v>5935</v>
      </c>
      <c r="AA810" s="39" t="s">
        <v>3592</v>
      </c>
    </row>
    <row r="811" spans="1:27" hidden="1" x14ac:dyDescent="0.3">
      <c r="A811">
        <v>41137</v>
      </c>
      <c r="B811" t="str">
        <f>_xlfn.CONCAT(bron[[#This Row],[personeelsnr]]," ",bron[[#This Row],[achternaam]]," ",bron[[#This Row],[voornaam]])</f>
        <v>41137 De smet Dirk</v>
      </c>
      <c r="C811" t="str">
        <f>VLOOKUP(bron[[#This Row],[personeelsnr]],'data hastus'!$A:$C,2,0)</f>
        <v>De smet</v>
      </c>
      <c r="D811" t="str">
        <f>VLOOKUP(bron[[#This Row],[personeelsnr]],'data hastus'!$A:$C,3,0)</f>
        <v>Dirk</v>
      </c>
      <c r="E811" t="str">
        <f>VLOOKUP(bron[[#This Row],[personeelsnr]],'data hastus'!A:K,11,FALSE)</f>
        <v>Dominique De Clercq</v>
      </c>
      <c r="F811" s="10"/>
      <c r="G811" s="7"/>
      <c r="H811" s="7"/>
      <c r="I811" s="7"/>
      <c r="M811" s="5">
        <v>1</v>
      </c>
      <c r="S811" s="5">
        <f>SUM(bron[[#This Row],[Januari]:[December]])</f>
        <v>1</v>
      </c>
      <c r="T811" s="9">
        <v>45859</v>
      </c>
      <c r="U811" s="24" t="s">
        <v>1250</v>
      </c>
      <c r="V811" s="24">
        <v>1</v>
      </c>
      <c r="W811" s="24"/>
      <c r="X811" t="s">
        <v>3545</v>
      </c>
      <c r="Y811" t="s">
        <v>111</v>
      </c>
      <c r="Z811">
        <v>5767</v>
      </c>
      <c r="AA811" s="39" t="s">
        <v>3592</v>
      </c>
    </row>
    <row r="812" spans="1:27" hidden="1" x14ac:dyDescent="0.3">
      <c r="A812">
        <v>41162</v>
      </c>
      <c r="B812" t="str">
        <f>_xlfn.CONCAT(bron[[#This Row],[personeelsnr]]," ",bron[[#This Row],[achternaam]]," ",bron[[#This Row],[voornaam]])</f>
        <v>41162 Hoeckman Jeroen</v>
      </c>
      <c r="C812" t="str">
        <f>VLOOKUP(bron[[#This Row],[personeelsnr]],'data hastus'!$A:$C,2,0)</f>
        <v>Hoeckman</v>
      </c>
      <c r="D812" t="str">
        <f>VLOOKUP(bron[[#This Row],[personeelsnr]],'data hastus'!$A:$C,3,0)</f>
        <v>Jeroen</v>
      </c>
      <c r="E812" t="str">
        <f>VLOOKUP(bron[[#This Row],[personeelsnr]],'data hastus'!A:K,11,FALSE)</f>
        <v>Dominique De Clercq</v>
      </c>
      <c r="F812" s="10"/>
      <c r="G812" s="7"/>
      <c r="H812" s="7"/>
      <c r="I812" s="7"/>
      <c r="N812" s="5">
        <v>1</v>
      </c>
      <c r="S812" s="5">
        <f>SUM(bron[[#This Row],[Januari]:[December]])</f>
        <v>1</v>
      </c>
      <c r="T812" s="9">
        <v>45874</v>
      </c>
      <c r="U812" s="24" t="s">
        <v>1266</v>
      </c>
      <c r="V812" s="24">
        <v>1</v>
      </c>
      <c r="W812" s="24"/>
      <c r="X812" t="s">
        <v>3546</v>
      </c>
      <c r="Y812" t="s">
        <v>19</v>
      </c>
      <c r="Z812">
        <v>2200</v>
      </c>
      <c r="AA812" s="39" t="s">
        <v>3592</v>
      </c>
    </row>
    <row r="813" spans="1:27" hidden="1" x14ac:dyDescent="0.3">
      <c r="A813">
        <v>41162</v>
      </c>
      <c r="B813" t="str">
        <f>_xlfn.CONCAT(bron[[#This Row],[personeelsnr]]," ",bron[[#This Row],[achternaam]]," ",bron[[#This Row],[voornaam]])</f>
        <v>41162 Hoeckman Jeroen</v>
      </c>
      <c r="C813" t="str">
        <f>VLOOKUP(bron[[#This Row],[personeelsnr]],'data hastus'!$A:$C,2,0)</f>
        <v>Hoeckman</v>
      </c>
      <c r="D813" t="str">
        <f>VLOOKUP(bron[[#This Row],[personeelsnr]],'data hastus'!$A:$C,3,0)</f>
        <v>Jeroen</v>
      </c>
      <c r="E813" t="str">
        <f>VLOOKUP(bron[[#This Row],[personeelsnr]],'data hastus'!A:K,11,FALSE)</f>
        <v>Dominique De Clercq</v>
      </c>
      <c r="F813" s="10"/>
      <c r="G813" s="7"/>
      <c r="H813" s="7"/>
      <c r="I813" s="7"/>
      <c r="M813" s="5">
        <v>1</v>
      </c>
      <c r="S813" s="5">
        <f>SUM(bron[[#This Row],[Januari]:[December]])</f>
        <v>1</v>
      </c>
      <c r="T813" s="9">
        <v>45861</v>
      </c>
      <c r="U813" s="8" t="s">
        <v>1251</v>
      </c>
      <c r="V813" s="24">
        <v>1</v>
      </c>
      <c r="W813" s="24"/>
      <c r="X813" t="s">
        <v>3546</v>
      </c>
      <c r="Y813" t="s">
        <v>1252</v>
      </c>
      <c r="Z813">
        <v>5046</v>
      </c>
      <c r="AA813" s="39" t="s">
        <v>3592</v>
      </c>
    </row>
    <row r="814" spans="1:27" hidden="1" x14ac:dyDescent="0.3">
      <c r="A814">
        <v>41162</v>
      </c>
      <c r="B814" t="str">
        <f>_xlfn.CONCAT(bron[[#This Row],[personeelsnr]]," ",bron[[#This Row],[achternaam]]," ",bron[[#This Row],[voornaam]])</f>
        <v>41162 Hoeckman Jeroen</v>
      </c>
      <c r="C814" t="str">
        <f>VLOOKUP(bron[[#This Row],[personeelsnr]],'data hastus'!$A:$C,2,0)</f>
        <v>Hoeckman</v>
      </c>
      <c r="D814" t="str">
        <f>VLOOKUP(bron[[#This Row],[personeelsnr]],'data hastus'!$A:$C,3,0)</f>
        <v>Jeroen</v>
      </c>
      <c r="E814" t="str">
        <f>VLOOKUP(bron[[#This Row],[personeelsnr]],'data hastus'!A:K,11,FALSE)</f>
        <v>Dominique De Clercq</v>
      </c>
      <c r="F814" s="10"/>
      <c r="G814" s="6"/>
      <c r="H814" s="6">
        <v>1</v>
      </c>
      <c r="I814" s="6"/>
      <c r="J814"/>
      <c r="K814"/>
      <c r="L814"/>
      <c r="M814"/>
      <c r="N814"/>
      <c r="O814"/>
      <c r="P814"/>
      <c r="Q814"/>
      <c r="R814"/>
      <c r="S814">
        <f>SUM(bron[[#This Row],[Januari]:[December]])</f>
        <v>1</v>
      </c>
      <c r="T814" s="3">
        <v>45706</v>
      </c>
      <c r="U814" s="8" t="s">
        <v>1063</v>
      </c>
      <c r="V814" s="8">
        <v>1</v>
      </c>
      <c r="W814" s="8"/>
      <c r="X814" t="s">
        <v>3545</v>
      </c>
      <c r="Y814" t="s">
        <v>213</v>
      </c>
      <c r="Z814">
        <v>5927</v>
      </c>
      <c r="AA814" s="39" t="s">
        <v>3592</v>
      </c>
    </row>
    <row r="815" spans="1:27" hidden="1" x14ac:dyDescent="0.3">
      <c r="A815">
        <v>41162</v>
      </c>
      <c r="B815" t="str">
        <f>_xlfn.CONCAT(bron[[#This Row],[personeelsnr]]," ",bron[[#This Row],[achternaam]]," ",bron[[#This Row],[voornaam]])</f>
        <v>41162 Hoeckman Jeroen</v>
      </c>
      <c r="C815" t="str">
        <f>VLOOKUP(bron[[#This Row],[personeelsnr]],'data hastus'!$A:$C,2,0)</f>
        <v>Hoeckman</v>
      </c>
      <c r="D815" t="str">
        <f>VLOOKUP(bron[[#This Row],[personeelsnr]],'data hastus'!$A:$C,3,0)</f>
        <v>Jeroen</v>
      </c>
      <c r="E815" t="str">
        <f>VLOOKUP(bron[[#This Row],[personeelsnr]],'data hastus'!A:K,11,FALSE)</f>
        <v>Dominique De Clercq</v>
      </c>
      <c r="F815" s="10"/>
      <c r="G815" s="6"/>
      <c r="H815" s="6">
        <v>1</v>
      </c>
      <c r="I815" s="6"/>
      <c r="J815"/>
      <c r="K815"/>
      <c r="L815"/>
      <c r="M815"/>
      <c r="N815"/>
      <c r="O815"/>
      <c r="P815"/>
      <c r="Q815"/>
      <c r="R815"/>
      <c r="S815">
        <f>SUM(bron[[#This Row],[Januari]:[December]])</f>
        <v>1</v>
      </c>
      <c r="T815" s="3">
        <v>45693</v>
      </c>
      <c r="U815" s="8" t="s">
        <v>1045</v>
      </c>
      <c r="V815" s="8">
        <v>1</v>
      </c>
      <c r="W815" s="8"/>
      <c r="X815" t="s">
        <v>3545</v>
      </c>
      <c r="Y815" t="s">
        <v>261</v>
      </c>
      <c r="Z815">
        <v>5769</v>
      </c>
      <c r="AA815" s="39" t="s">
        <v>3592</v>
      </c>
    </row>
    <row r="816" spans="1:27" hidden="1" x14ac:dyDescent="0.3">
      <c r="A816">
        <v>33488</v>
      </c>
      <c r="B816" t="str">
        <f>_xlfn.CONCAT(bron[[#This Row],[personeelsnr]]," ",bron[[#This Row],[achternaam]]," ",bron[[#This Row],[voornaam]])</f>
        <v>33488 Holub Patrik</v>
      </c>
      <c r="C816" t="str">
        <f>VLOOKUP(bron[[#This Row],[personeelsnr]],'data hastus'!$A:$C,2,0)</f>
        <v>Holub</v>
      </c>
      <c r="D816" t="str">
        <f>VLOOKUP(bron[[#This Row],[personeelsnr]],'data hastus'!$A:$C,3,0)</f>
        <v>Patrik</v>
      </c>
      <c r="E816" t="str">
        <f>VLOOKUP(bron[[#This Row],[personeelsnr]],'data hastus'!A:K,11,FALSE)</f>
        <v>Els Vanhoe</v>
      </c>
      <c r="F816" s="10"/>
      <c r="G816" s="7"/>
      <c r="H816" s="7"/>
      <c r="I816" s="7"/>
      <c r="N816" s="5">
        <v>1</v>
      </c>
      <c r="S816" s="5">
        <f>SUM(bron[[#This Row],[Januari]:[December]])</f>
        <v>1</v>
      </c>
      <c r="T816" s="9">
        <v>45898</v>
      </c>
      <c r="U816" s="5" t="s">
        <v>1287</v>
      </c>
      <c r="V816" s="24">
        <v>1</v>
      </c>
      <c r="W816" s="24"/>
      <c r="X816" t="s">
        <v>3546</v>
      </c>
      <c r="Y816" t="s">
        <v>1288</v>
      </c>
      <c r="Z816">
        <v>5327</v>
      </c>
      <c r="AA816" t="s">
        <v>3592</v>
      </c>
    </row>
    <row r="817" spans="1:27" hidden="1" x14ac:dyDescent="0.3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6">
        <v>1</v>
      </c>
      <c r="H817" s="6"/>
      <c r="I817" s="6"/>
      <c r="J817"/>
      <c r="K817"/>
      <c r="L817"/>
      <c r="M817"/>
      <c r="N817"/>
      <c r="O817"/>
      <c r="P817"/>
      <c r="Q817"/>
      <c r="R817"/>
      <c r="S817">
        <f>SUM(bron[[#This Row],[Januari]:[December]])</f>
        <v>1</v>
      </c>
      <c r="T817" s="3">
        <v>45679</v>
      </c>
      <c r="U817" s="8" t="s">
        <v>1025</v>
      </c>
      <c r="V817" s="8">
        <v>1</v>
      </c>
      <c r="W817" s="8"/>
      <c r="X817" t="s">
        <v>3545</v>
      </c>
      <c r="Y817" t="s">
        <v>127</v>
      </c>
      <c r="Z817">
        <v>5929</v>
      </c>
      <c r="AA817" s="39" t="s">
        <v>3592</v>
      </c>
    </row>
    <row r="818" spans="1:27" hidden="1" x14ac:dyDescent="0.3">
      <c r="A818">
        <v>41230</v>
      </c>
      <c r="B818" t="str">
        <f>_xlfn.CONCAT(bron[[#This Row],[personeelsnr]]," ",bron[[#This Row],[achternaam]]," ",bron[[#This Row],[voornaam]])</f>
        <v>41230 De Witte Bart</v>
      </c>
      <c r="C818" t="str">
        <f>VLOOKUP(bron[[#This Row],[personeelsnr]],'data hastus'!$A:$C,2,0)</f>
        <v>De Witte</v>
      </c>
      <c r="D818" t="str">
        <f>VLOOKUP(bron[[#This Row],[personeelsnr]],'data hastus'!$A:$C,3,0)</f>
        <v>Bart</v>
      </c>
      <c r="E818" t="str">
        <f>VLOOKUP(bron[[#This Row],[personeelsnr]],'data hastus'!A:K,11,FALSE)</f>
        <v>Dominique De Clercq</v>
      </c>
      <c r="F818" s="10"/>
      <c r="G818" s="7"/>
      <c r="H818" s="7"/>
      <c r="I818" s="7"/>
      <c r="K818" s="5">
        <v>1</v>
      </c>
      <c r="S818" s="5">
        <f>SUM(bron[[#This Row],[Januari]:[December]])</f>
        <v>1</v>
      </c>
      <c r="T818" s="9">
        <v>45794</v>
      </c>
      <c r="U818" s="8" t="s">
        <v>1175</v>
      </c>
      <c r="V818" s="8">
        <v>1</v>
      </c>
      <c r="W818" s="8"/>
      <c r="X818" t="s">
        <v>3545</v>
      </c>
      <c r="Y818" t="s">
        <v>281</v>
      </c>
      <c r="Z818">
        <v>5924</v>
      </c>
      <c r="AA818" s="39" t="s">
        <v>3592</v>
      </c>
    </row>
    <row r="819" spans="1:27" hidden="1" x14ac:dyDescent="0.3">
      <c r="A819">
        <v>35491</v>
      </c>
      <c r="B819" t="str">
        <f>_xlfn.CONCAT(bron[[#This Row],[personeelsnr]]," ",bron[[#This Row],[achternaam]]," ",bron[[#This Row],[voornaam]])</f>
        <v>35491 Toubadie Zakaria</v>
      </c>
      <c r="C819" t="str">
        <f>VLOOKUP(bron[[#This Row],[personeelsnr]],'data hastus'!$A:$C,2,0)</f>
        <v>Toubadie</v>
      </c>
      <c r="D819" t="str">
        <f>VLOOKUP(bron[[#This Row],[personeelsnr]],'data hastus'!$A:$C,3,0)</f>
        <v>Zakaria</v>
      </c>
      <c r="E819" t="str">
        <f>VLOOKUP(bron[[#This Row],[personeelsnr]],'data hastus'!A:K,11,FALSE)</f>
        <v>Els Vanhoe</v>
      </c>
      <c r="F819" s="10"/>
      <c r="G819" s="7"/>
      <c r="H819" s="7"/>
      <c r="I819" s="7"/>
      <c r="O819" s="5">
        <v>1</v>
      </c>
      <c r="S819" s="5">
        <f>SUM(bron[[#This Row],[Januari]:[December]])</f>
        <v>1</v>
      </c>
      <c r="T819" s="9">
        <v>45909</v>
      </c>
      <c r="U819" s="5" t="s">
        <v>3539</v>
      </c>
      <c r="V819" s="24">
        <v>1</v>
      </c>
      <c r="W819" s="24"/>
      <c r="X819" t="s">
        <v>3544</v>
      </c>
      <c r="Y819" t="s">
        <v>119</v>
      </c>
      <c r="Z819">
        <v>5042</v>
      </c>
      <c r="AA819" t="s">
        <v>3592</v>
      </c>
    </row>
    <row r="820" spans="1:27" hidden="1" x14ac:dyDescent="0.3">
      <c r="A820">
        <v>41230</v>
      </c>
      <c r="B820" t="str">
        <f>_xlfn.CONCAT(bron[[#This Row],[personeelsnr]]," ",bron[[#This Row],[achternaam]]," ",bron[[#This Row],[voornaam]])</f>
        <v>41230 De Witte Bart</v>
      </c>
      <c r="C820" t="str">
        <f>VLOOKUP(bron[[#This Row],[personeelsnr]],'data hastus'!$A:$C,2,0)</f>
        <v>De Witte</v>
      </c>
      <c r="D820" t="str">
        <f>VLOOKUP(bron[[#This Row],[personeelsnr]],'data hastus'!$A:$C,3,0)</f>
        <v>Bart</v>
      </c>
      <c r="E820" t="str">
        <f>VLOOKUP(bron[[#This Row],[personeelsnr]],'data hastus'!A:K,11,FALSE)</f>
        <v>Dominique De Clercq</v>
      </c>
      <c r="F820" s="10"/>
      <c r="G820" s="6"/>
      <c r="H820" s="6"/>
      <c r="I820" s="6"/>
      <c r="J820">
        <v>1</v>
      </c>
      <c r="K820"/>
      <c r="L820"/>
      <c r="M820"/>
      <c r="N820"/>
      <c r="O820"/>
      <c r="P820"/>
      <c r="Q820"/>
      <c r="R820"/>
      <c r="S820">
        <f>SUM(bron[[#This Row],[Januari]:[December]])</f>
        <v>1</v>
      </c>
      <c r="T820" s="3">
        <v>45765</v>
      </c>
      <c r="U820" s="8" t="s">
        <v>1140</v>
      </c>
      <c r="V820" s="8">
        <v>1</v>
      </c>
      <c r="W820" s="8"/>
      <c r="X820" t="s">
        <v>3545</v>
      </c>
      <c r="Y820" t="s">
        <v>131</v>
      </c>
      <c r="Z820">
        <v>5910</v>
      </c>
      <c r="AA820" s="39" t="s">
        <v>3592</v>
      </c>
    </row>
    <row r="821" spans="1:27" hidden="1" x14ac:dyDescent="0.3">
      <c r="A821">
        <v>41246</v>
      </c>
      <c r="B821" t="str">
        <f>_xlfn.CONCAT(bron[[#This Row],[personeelsnr]]," ",bron[[#This Row],[achternaam]]," ",bron[[#This Row],[voornaam]])</f>
        <v>41246 Van Holsbeeck Yana</v>
      </c>
      <c r="C821" t="str">
        <f>VLOOKUP(bron[[#This Row],[personeelsnr]],'data hastus'!$A:$C,2,0)</f>
        <v>Van Holsbeeck</v>
      </c>
      <c r="D821" t="str">
        <f>VLOOKUP(bron[[#This Row],[personeelsnr]],'data hastus'!$A:$C,3,0)</f>
        <v>Yana</v>
      </c>
      <c r="E821" t="str">
        <f>VLOOKUP(bron[[#This Row],[personeelsnr]],'data hastus'!A:K,11,FALSE)</f>
        <v>Dominique De Clercq</v>
      </c>
      <c r="F821" s="10"/>
      <c r="G821" s="7"/>
      <c r="H821" s="7"/>
      <c r="I821" s="7"/>
      <c r="L821" s="5">
        <v>1</v>
      </c>
      <c r="S821" s="5">
        <f>SUM(bron[[#This Row],[Januari]:[December]])</f>
        <v>1</v>
      </c>
      <c r="T821" s="9">
        <v>45811</v>
      </c>
      <c r="U821" s="8" t="s">
        <v>1192</v>
      </c>
      <c r="V821" s="8">
        <v>1</v>
      </c>
      <c r="W821" s="8"/>
      <c r="X821" t="s">
        <v>3545</v>
      </c>
      <c r="Y821" t="s">
        <v>283</v>
      </c>
      <c r="Z821">
        <v>5920</v>
      </c>
      <c r="AA821" s="39" t="s">
        <v>3592</v>
      </c>
    </row>
    <row r="822" spans="1:27" hidden="1" x14ac:dyDescent="0.3">
      <c r="A822" s="15">
        <v>41246</v>
      </c>
      <c r="B822" t="str">
        <f>_xlfn.CONCAT(bron[[#This Row],[personeelsnr]]," ",bron[[#This Row],[achternaam]]," ",bron[[#This Row],[voornaam]])</f>
        <v>41246 Van Holsbeeck Yana</v>
      </c>
      <c r="C822" s="15" t="str">
        <f>VLOOKUP(bron[[#This Row],[personeelsnr]],'data hastus'!$A:$C,2,0)</f>
        <v>Van Holsbeeck</v>
      </c>
      <c r="D822" s="15" t="str">
        <f>VLOOKUP(bron[[#This Row],[personeelsnr]],'data hastus'!$A:$C,3,0)</f>
        <v>Yana</v>
      </c>
      <c r="E822" s="15" t="str">
        <f>VLOOKUP(bron[[#This Row],[personeelsnr]],'data hastus'!A:K,11,FALSE)</f>
        <v>Dominique De Clercq</v>
      </c>
      <c r="F822" s="16"/>
      <c r="G822" s="17"/>
      <c r="H822" s="17"/>
      <c r="I822" s="17">
        <v>1</v>
      </c>
      <c r="J822" s="18"/>
      <c r="K822" s="18"/>
      <c r="L822" s="18"/>
      <c r="M822" s="18"/>
      <c r="N822" s="18"/>
      <c r="O822" s="18"/>
      <c r="P822" s="18"/>
      <c r="Q822" s="18"/>
      <c r="R822" s="18"/>
      <c r="S822" s="18">
        <f>SUM(bron[[#This Row],[Januari]:[December]])</f>
        <v>1</v>
      </c>
      <c r="T822" s="19">
        <v>45732</v>
      </c>
      <c r="U822" s="20" t="s">
        <v>1104</v>
      </c>
      <c r="V822" s="8">
        <v>1</v>
      </c>
      <c r="W822" s="20"/>
      <c r="X822" t="s">
        <v>3545</v>
      </c>
      <c r="Y822" s="15" t="s">
        <v>121</v>
      </c>
      <c r="Z822">
        <v>5928</v>
      </c>
      <c r="AA822" s="39" t="s">
        <v>3592</v>
      </c>
    </row>
    <row r="823" spans="1:27" hidden="1" x14ac:dyDescent="0.3">
      <c r="A823">
        <v>41246</v>
      </c>
      <c r="B823" t="str">
        <f>_xlfn.CONCAT(bron[[#This Row],[personeelsnr]]," ",bron[[#This Row],[achternaam]]," ",bron[[#This Row],[voornaam]])</f>
        <v>41246 Van Holsbeeck Yana</v>
      </c>
      <c r="C823" t="str">
        <f>VLOOKUP(bron[[#This Row],[personeelsnr]],'data hastus'!$A:$C,2,0)</f>
        <v>Van Holsbeeck</v>
      </c>
      <c r="D823" t="str">
        <f>VLOOKUP(bron[[#This Row],[personeelsnr]],'data hastus'!$A:$C,3,0)</f>
        <v>Yana</v>
      </c>
      <c r="E823" t="str">
        <f>VLOOKUP(bron[[#This Row],[personeelsnr]],'data hastus'!A:K,11,FALSE)</f>
        <v>Dominique De Clercq</v>
      </c>
      <c r="F823" s="10"/>
      <c r="G823" s="6"/>
      <c r="H823" s="6">
        <v>1</v>
      </c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1</v>
      </c>
      <c r="T823" s="3">
        <v>45708</v>
      </c>
      <c r="U823" s="8" t="s">
        <v>1067</v>
      </c>
      <c r="V823" s="8">
        <v>1</v>
      </c>
      <c r="W823" s="8"/>
      <c r="X823" t="s">
        <v>3545</v>
      </c>
      <c r="Y823" t="s">
        <v>131</v>
      </c>
      <c r="Z823">
        <v>5916</v>
      </c>
      <c r="AA823" s="39" t="s">
        <v>3592</v>
      </c>
    </row>
    <row r="824" spans="1:27" hidden="1" x14ac:dyDescent="0.3">
      <c r="A824">
        <v>37132</v>
      </c>
      <c r="B824" t="str">
        <f>_xlfn.CONCAT(bron[[#This Row],[personeelsnr]]," ",bron[[#This Row],[achternaam]]," ",bron[[#This Row],[voornaam]])</f>
        <v>37132 Dacic Esmir</v>
      </c>
      <c r="C824" t="str">
        <f>VLOOKUP(bron[[#This Row],[personeelsnr]],'data hastus'!$A:$C,2,0)</f>
        <v>Dacic</v>
      </c>
      <c r="D824" t="str">
        <f>VLOOKUP(bron[[#This Row],[personeelsnr]],'data hastus'!$A:$C,3,0)</f>
        <v>Esmir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O824" s="5">
        <v>1</v>
      </c>
      <c r="S824" s="5">
        <f>SUM(bron[[#This Row],[Januari]:[December]])</f>
        <v>1</v>
      </c>
      <c r="T824" s="9">
        <v>45907</v>
      </c>
      <c r="U824" s="8" t="s">
        <v>3579</v>
      </c>
      <c r="V824" s="24">
        <v>1</v>
      </c>
      <c r="W824" s="24"/>
      <c r="X824" t="s">
        <v>3546</v>
      </c>
      <c r="Y824" t="s">
        <v>13</v>
      </c>
      <c r="Z824">
        <v>5259</v>
      </c>
      <c r="AA824" t="s">
        <v>3592</v>
      </c>
    </row>
    <row r="825" spans="1:27" hidden="1" x14ac:dyDescent="0.3">
      <c r="A825">
        <v>37222</v>
      </c>
      <c r="B825" t="str">
        <f>_xlfn.CONCAT(bron[[#This Row],[personeelsnr]]," ",bron[[#This Row],[achternaam]]," ",bron[[#This Row],[voornaam]])</f>
        <v>37222 Blondeel Dominique</v>
      </c>
      <c r="C825" t="str">
        <f>VLOOKUP(bron[[#This Row],[personeelsnr]],'data hastus'!$A:$C,2,0)</f>
        <v>Blondeel</v>
      </c>
      <c r="D825" t="str">
        <f>VLOOKUP(bron[[#This Row],[personeelsnr]],'data hastus'!$A:$C,3,0)</f>
        <v>Dominique</v>
      </c>
      <c r="E825" t="str">
        <f>VLOOKUP(bron[[#This Row],[personeelsnr]],'data hastus'!A:K,11,FALSE)</f>
        <v>Lucie Vande Velde</v>
      </c>
      <c r="F825" s="10"/>
      <c r="G825" s="7"/>
      <c r="H825" s="7"/>
      <c r="I825" s="7"/>
      <c r="O825" s="5">
        <v>1</v>
      </c>
      <c r="S825" s="5">
        <f>SUM(bron[[#This Row],[Januari]:[December]])</f>
        <v>1</v>
      </c>
      <c r="T825" s="9">
        <v>45915</v>
      </c>
      <c r="U825" s="5" t="s">
        <v>3584</v>
      </c>
      <c r="V825" s="24">
        <v>1</v>
      </c>
      <c r="W825" s="24"/>
      <c r="X825" t="s">
        <v>3544</v>
      </c>
      <c r="Y825" t="s">
        <v>25</v>
      </c>
      <c r="Z825">
        <v>5237</v>
      </c>
      <c r="AA825" t="s">
        <v>3592</v>
      </c>
    </row>
    <row r="826" spans="1:27" hidden="1" x14ac:dyDescent="0.3">
      <c r="A826">
        <v>41296</v>
      </c>
      <c r="B826" t="str">
        <f>_xlfn.CONCAT(bron[[#This Row],[personeelsnr]]," ",bron[[#This Row],[achternaam]]," ",bron[[#This Row],[voornaam]])</f>
        <v>41296 Abulehia Oday</v>
      </c>
      <c r="C826" t="str">
        <f>VLOOKUP(bron[[#This Row],[personeelsnr]],'data hastus'!$A:$C,2,0)</f>
        <v>Abulehia</v>
      </c>
      <c r="D826" t="str">
        <f>VLOOKUP(bron[[#This Row],[personeelsnr]],'data hastus'!$A:$C,3,0)</f>
        <v>Oday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M826" s="5">
        <v>1</v>
      </c>
      <c r="S826" s="5">
        <f>SUM(bron[[#This Row],[Januari]:[December]])</f>
        <v>1</v>
      </c>
      <c r="T826" s="9">
        <v>45867</v>
      </c>
      <c r="U826" s="24" t="s">
        <v>1260</v>
      </c>
      <c r="V826" s="24">
        <v>1</v>
      </c>
      <c r="W826" s="24"/>
      <c r="X826" t="s">
        <v>3546</v>
      </c>
      <c r="Y826" t="s">
        <v>141</v>
      </c>
      <c r="Z826">
        <v>5271</v>
      </c>
      <c r="AA826" s="39" t="s">
        <v>3592</v>
      </c>
    </row>
    <row r="827" spans="1:27" hidden="1" x14ac:dyDescent="0.3">
      <c r="A827">
        <v>41348</v>
      </c>
      <c r="B827" t="str">
        <f>_xlfn.CONCAT(bron[[#This Row],[personeelsnr]]," ",bron[[#This Row],[achternaam]]," ",bron[[#This Row],[voornaam]])</f>
        <v>41348 Van Huffel Tim</v>
      </c>
      <c r="C827" t="str">
        <f>VLOOKUP(bron[[#This Row],[personeelsnr]],'data hastus'!$A:$C,2,0)</f>
        <v>Van Huffel</v>
      </c>
      <c r="D827" t="str">
        <f>VLOOKUP(bron[[#This Row],[personeelsnr]],'data hastus'!$A:$C,3,0)</f>
        <v>Tim</v>
      </c>
      <c r="E827" t="str">
        <f>VLOOKUP(bron[[#This Row],[personeelsnr]],'data hastus'!A:K,11,FALSE)</f>
        <v>Christoff Rotty</v>
      </c>
      <c r="F827" s="10"/>
      <c r="G827" s="6"/>
      <c r="H827" s="6"/>
      <c r="I827" s="6"/>
      <c r="J827"/>
      <c r="K827"/>
      <c r="L827"/>
      <c r="M827"/>
      <c r="N827"/>
      <c r="O827"/>
      <c r="P827"/>
      <c r="Q827"/>
      <c r="R827"/>
      <c r="S827">
        <f>SUM(bron[[#This Row],[Januari]:[December]])</f>
        <v>0</v>
      </c>
      <c r="T827" s="3">
        <v>45883</v>
      </c>
      <c r="U827" s="24" t="s">
        <v>1301</v>
      </c>
      <c r="V827" s="8">
        <v>1</v>
      </c>
      <c r="W827" s="8"/>
      <c r="X827" t="s">
        <v>7</v>
      </c>
      <c r="Y827" t="s">
        <v>10</v>
      </c>
      <c r="Z827">
        <v>5927</v>
      </c>
      <c r="AA827" s="39" t="s">
        <v>3593</v>
      </c>
    </row>
    <row r="828" spans="1:27" hidden="1" x14ac:dyDescent="0.3">
      <c r="A828">
        <v>41383</v>
      </c>
      <c r="B828" t="str">
        <f>_xlfn.CONCAT(bron[[#This Row],[personeelsnr]]," ",bron[[#This Row],[achternaam]]," ",bron[[#This Row],[voornaam]])</f>
        <v>41383 De Pauw Tony</v>
      </c>
      <c r="C828" t="str">
        <f>VLOOKUP(bron[[#This Row],[personeelsnr]],'data hastus'!$A:$C,2,0)</f>
        <v>De Pauw</v>
      </c>
      <c r="D828" t="str">
        <f>VLOOKUP(bron[[#This Row],[personeelsnr]],'data hastus'!$A:$C,3,0)</f>
        <v>Tony</v>
      </c>
      <c r="E828" t="str">
        <f>VLOOKUP(bron[[#This Row],[personeelsnr]],'data hastus'!A:K,11,FALSE)</f>
        <v>Els Vanhoe</v>
      </c>
      <c r="F828" s="10"/>
      <c r="G828" s="6"/>
      <c r="H828" s="6">
        <v>1</v>
      </c>
      <c r="I828" s="6"/>
      <c r="J828"/>
      <c r="K828"/>
      <c r="L828"/>
      <c r="M828"/>
      <c r="N828"/>
      <c r="O828"/>
      <c r="P828"/>
      <c r="Q828"/>
      <c r="R828"/>
      <c r="S828">
        <f>SUM(bron[[#This Row],[Januari]:[December]])</f>
        <v>1</v>
      </c>
      <c r="T828" s="3">
        <v>45702</v>
      </c>
      <c r="U828" s="8" t="s">
        <v>1060</v>
      </c>
      <c r="V828" s="8">
        <v>1</v>
      </c>
      <c r="W828" s="8"/>
      <c r="X828" t="s">
        <v>3545</v>
      </c>
      <c r="Y828" t="s">
        <v>60</v>
      </c>
      <c r="Z828">
        <v>5909</v>
      </c>
      <c r="AA828" s="39" t="s">
        <v>3592</v>
      </c>
    </row>
    <row r="829" spans="1:27" hidden="1" x14ac:dyDescent="0.3">
      <c r="A829">
        <v>41384</v>
      </c>
      <c r="B829" t="str">
        <f>_xlfn.CONCAT(bron[[#This Row],[personeelsnr]]," ",bron[[#This Row],[achternaam]]," ",bron[[#This Row],[voornaam]])</f>
        <v>41384 Hillaert Thimo</v>
      </c>
      <c r="C829" t="str">
        <f>VLOOKUP(bron[[#This Row],[personeelsnr]],'data hastus'!$A:$C,2,0)</f>
        <v>Hillaert</v>
      </c>
      <c r="D829" t="str">
        <f>VLOOKUP(bron[[#This Row],[personeelsnr]],'data hastus'!$A:$C,3,0)</f>
        <v>Thimo</v>
      </c>
      <c r="E829" t="str">
        <f>VLOOKUP(bron[[#This Row],[personeelsnr]],'data hastus'!A:K,11,FALSE)</f>
        <v>Christoff Rotty</v>
      </c>
      <c r="F829" s="10"/>
      <c r="G829" s="7"/>
      <c r="H829" s="7"/>
      <c r="I829" s="7"/>
      <c r="L829" s="5">
        <v>1</v>
      </c>
      <c r="S829" s="5">
        <f>SUM(bron[[#This Row],[Januari]:[December]])</f>
        <v>1</v>
      </c>
      <c r="T829" s="9">
        <v>45810</v>
      </c>
      <c r="U829" s="8" t="s">
        <v>1189</v>
      </c>
      <c r="V829" s="8">
        <v>1</v>
      </c>
      <c r="W829" s="8"/>
      <c r="X829" t="s">
        <v>3545</v>
      </c>
      <c r="Y829" t="s">
        <v>28</v>
      </c>
      <c r="Z829">
        <v>5489</v>
      </c>
      <c r="AA829" s="39" t="s">
        <v>3592</v>
      </c>
    </row>
    <row r="830" spans="1:27" hidden="1" x14ac:dyDescent="0.3">
      <c r="A830">
        <v>39528</v>
      </c>
      <c r="B830" t="str">
        <f>_xlfn.CONCAT(bron[[#This Row],[personeelsnr]]," ",bron[[#This Row],[achternaam]]," ",bron[[#This Row],[voornaam]])</f>
        <v>39528 Mihaylov Plamen</v>
      </c>
      <c r="C830" t="str">
        <f>VLOOKUP(bron[[#This Row],[personeelsnr]],'data hastus'!$A:$C,2,0)</f>
        <v>Mihaylov</v>
      </c>
      <c r="D830" t="str">
        <f>VLOOKUP(bron[[#This Row],[personeelsnr]],'data hastus'!$A:$C,3,0)</f>
        <v>Plamen</v>
      </c>
      <c r="E830" t="str">
        <f>VLOOKUP(bron[[#This Row],[personeelsnr]],'data hastus'!A:K,11,FALSE)</f>
        <v>Christoff Rotty</v>
      </c>
      <c r="F830" s="10"/>
      <c r="G830" s="7"/>
      <c r="H830" s="7"/>
      <c r="I830" s="7"/>
      <c r="O830" s="5">
        <v>1</v>
      </c>
      <c r="S830" s="5">
        <f>SUM(bron[[#This Row],[Januari]:[December]])</f>
        <v>1</v>
      </c>
      <c r="T830" s="9">
        <v>45902</v>
      </c>
      <c r="U830" s="5" t="s">
        <v>1341</v>
      </c>
      <c r="V830" s="24">
        <v>1</v>
      </c>
      <c r="W830" s="24"/>
      <c r="X830" t="s">
        <v>3546</v>
      </c>
      <c r="Y830" t="s">
        <v>399</v>
      </c>
      <c r="Z830">
        <v>5233</v>
      </c>
      <c r="AA830" t="s">
        <v>3592</v>
      </c>
    </row>
    <row r="831" spans="1:27" hidden="1" x14ac:dyDescent="0.3">
      <c r="A831">
        <v>41384</v>
      </c>
      <c r="B831" t="str">
        <f>_xlfn.CONCAT(bron[[#This Row],[personeelsnr]]," ",bron[[#This Row],[achternaam]]," ",bron[[#This Row],[voornaam]])</f>
        <v>41384 Hillaert Thimo</v>
      </c>
      <c r="C831" t="str">
        <f>VLOOKUP(bron[[#This Row],[personeelsnr]],'data hastus'!$A:$C,2,0)</f>
        <v>Hillaert</v>
      </c>
      <c r="D831" t="str">
        <f>VLOOKUP(bron[[#This Row],[personeelsnr]],'data hastus'!$A:$C,3,0)</f>
        <v>Thimo</v>
      </c>
      <c r="E831" t="str">
        <f>VLOOKUP(bron[[#This Row],[personeelsnr]],'data hastus'!A:K,11,FALSE)</f>
        <v>Christoff Rotty</v>
      </c>
      <c r="F831" s="10"/>
      <c r="G831" s="7"/>
      <c r="H831" s="7"/>
      <c r="I831" s="7"/>
      <c r="M831" s="5">
        <v>1</v>
      </c>
      <c r="S831" s="5">
        <f>SUM(bron[[#This Row],[Januari]:[December]])</f>
        <v>1</v>
      </c>
      <c r="T831" s="9">
        <v>45864</v>
      </c>
      <c r="U831" s="8" t="s">
        <v>1302</v>
      </c>
      <c r="V831" s="24">
        <v>1</v>
      </c>
      <c r="W831" s="24"/>
      <c r="X831" t="s">
        <v>7</v>
      </c>
      <c r="Y831" t="s">
        <v>108</v>
      </c>
      <c r="Z831">
        <v>5767</v>
      </c>
      <c r="AA831" s="39" t="s">
        <v>3593</v>
      </c>
    </row>
    <row r="832" spans="1:27" hidden="1" x14ac:dyDescent="0.3">
      <c r="A832">
        <v>41482</v>
      </c>
      <c r="B832" t="str">
        <f>_xlfn.CONCAT(bron[[#This Row],[personeelsnr]]," ",bron[[#This Row],[achternaam]]," ",bron[[#This Row],[voornaam]])</f>
        <v>41482 Özdemir Osman</v>
      </c>
      <c r="C832" t="str">
        <f>VLOOKUP(bron[[#This Row],[personeelsnr]],'data hastus'!$A:$C,2,0)</f>
        <v>Özdemir</v>
      </c>
      <c r="D832" t="str">
        <f>VLOOKUP(bron[[#This Row],[personeelsnr]],'data hastus'!$A:$C,3,0)</f>
        <v>Osman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K832" s="5">
        <v>1</v>
      </c>
      <c r="S832" s="5">
        <f>SUM(bron[[#This Row],[Januari]:[December]])</f>
        <v>1</v>
      </c>
      <c r="T832" s="9">
        <v>45800</v>
      </c>
      <c r="U832" s="8" t="s">
        <v>1179</v>
      </c>
      <c r="V832" s="8">
        <v>1</v>
      </c>
      <c r="W832" s="8"/>
      <c r="X832" t="s">
        <v>3545</v>
      </c>
      <c r="Y832" t="s">
        <v>34</v>
      </c>
      <c r="Z832">
        <v>5928</v>
      </c>
      <c r="AA832" s="39" t="s">
        <v>3592</v>
      </c>
    </row>
    <row r="833" spans="1:27" hidden="1" x14ac:dyDescent="0.3">
      <c r="A833">
        <v>39651</v>
      </c>
      <c r="B833" t="str">
        <f>_xlfn.CONCAT(bron[[#This Row],[personeelsnr]]," ",bron[[#This Row],[achternaam]]," ",bron[[#This Row],[voornaam]])</f>
        <v>39651 Kallenbach Sunny</v>
      </c>
      <c r="C833" t="str">
        <f>VLOOKUP(bron[[#This Row],[personeelsnr]],'data hastus'!$A:$C,2,0)</f>
        <v>Kallenbach</v>
      </c>
      <c r="D833" t="str">
        <f>VLOOKUP(bron[[#This Row],[personeelsnr]],'data hastus'!$A:$C,3,0)</f>
        <v>Sunny</v>
      </c>
      <c r="E833" t="str">
        <f>VLOOKUP(bron[[#This Row],[personeelsnr]],'data hastus'!A:K,11,FALSE)</f>
        <v>Kenneth De Rick</v>
      </c>
      <c r="F833" s="10"/>
      <c r="G833" s="7"/>
      <c r="H833" s="7"/>
      <c r="I833" s="7"/>
      <c r="N833" s="5">
        <v>1</v>
      </c>
      <c r="S833" s="5">
        <f>SUM(bron[[#This Row],[Januari]:[December]])</f>
        <v>1</v>
      </c>
      <c r="T833" s="9">
        <v>45891</v>
      </c>
      <c r="U833" s="5" t="s">
        <v>1280</v>
      </c>
      <c r="V833" s="24">
        <v>1</v>
      </c>
      <c r="W833" s="24"/>
      <c r="X833" t="s">
        <v>3546</v>
      </c>
      <c r="Y833" t="s">
        <v>113</v>
      </c>
      <c r="Z833">
        <v>5052</v>
      </c>
      <c r="AA833" t="s">
        <v>3592</v>
      </c>
    </row>
    <row r="834" spans="1:27" hidden="1" x14ac:dyDescent="0.3">
      <c r="A834">
        <v>39654</v>
      </c>
      <c r="B834" t="str">
        <f>_xlfn.CONCAT(bron[[#This Row],[personeelsnr]]," ",bron[[#This Row],[achternaam]]," ",bron[[#This Row],[voornaam]])</f>
        <v>39654 Camacho Encarnacion Lisandro Javier</v>
      </c>
      <c r="C834" t="str">
        <f>VLOOKUP(bron[[#This Row],[personeelsnr]],'data hastus'!$A:$C,2,0)</f>
        <v>Camacho Encarnacion</v>
      </c>
      <c r="D834" t="str">
        <f>VLOOKUP(bron[[#This Row],[personeelsnr]],'data hastus'!$A:$C,3,0)</f>
        <v>Lisandro Javier</v>
      </c>
      <c r="E834" t="str">
        <f>VLOOKUP(bron[[#This Row],[personeelsnr]],'data hastus'!A:K,11,FALSE)</f>
        <v>Kenneth De Rick</v>
      </c>
      <c r="F834" s="10"/>
      <c r="G834" s="7"/>
      <c r="H834" s="7"/>
      <c r="I834" s="7"/>
      <c r="M834" s="5">
        <v>1</v>
      </c>
      <c r="S834" s="5">
        <f>SUM(bron[[#This Row],[Januari]:[December]])</f>
        <v>1</v>
      </c>
      <c r="T834" s="9">
        <v>45891</v>
      </c>
      <c r="U834" s="8" t="s">
        <v>1279</v>
      </c>
      <c r="V834" s="24">
        <v>1</v>
      </c>
      <c r="W834" s="24"/>
      <c r="X834" t="s">
        <v>3546</v>
      </c>
      <c r="Y834" t="s">
        <v>22</v>
      </c>
      <c r="Z834">
        <v>5238</v>
      </c>
      <c r="AA834" t="s">
        <v>3592</v>
      </c>
    </row>
    <row r="835" spans="1:27" hidden="1" x14ac:dyDescent="0.3">
      <c r="A835">
        <v>41520</v>
      </c>
      <c r="B835" t="str">
        <f>_xlfn.CONCAT(bron[[#This Row],[personeelsnr]]," ",bron[[#This Row],[achternaam]]," ",bron[[#This Row],[voornaam]])</f>
        <v>41520 Smets Avery</v>
      </c>
      <c r="C835" t="str">
        <f>VLOOKUP(bron[[#This Row],[personeelsnr]],'data hastus'!$A:$C,2,0)</f>
        <v>Smets</v>
      </c>
      <c r="D835" t="str">
        <f>VLOOKUP(bron[[#This Row],[personeelsnr]],'data hastus'!$A:$C,3,0)</f>
        <v>Avery</v>
      </c>
      <c r="E835" t="str">
        <f>VLOOKUP(bron[[#This Row],[personeelsnr]],'data hastus'!A:K,11,FALSE)</f>
        <v>Christoff Rotty</v>
      </c>
      <c r="F835" s="10"/>
      <c r="G835" s="6"/>
      <c r="H835" s="6"/>
      <c r="I835" s="6"/>
      <c r="J835">
        <v>1</v>
      </c>
      <c r="K835"/>
      <c r="L835"/>
      <c r="M835"/>
      <c r="N835"/>
      <c r="O835"/>
      <c r="P835"/>
      <c r="Q835"/>
      <c r="R835"/>
      <c r="S835">
        <f>SUM(bron[[#This Row],[Januari]:[December]])</f>
        <v>1</v>
      </c>
      <c r="T835" s="3">
        <v>45766</v>
      </c>
      <c r="U835" s="8" t="s">
        <v>1144</v>
      </c>
      <c r="V835" s="8">
        <v>1</v>
      </c>
      <c r="W835" s="8"/>
      <c r="X835" t="s">
        <v>3545</v>
      </c>
      <c r="Y835" t="s">
        <v>269</v>
      </c>
      <c r="Z835">
        <v>5919</v>
      </c>
      <c r="AA835" s="39" t="s">
        <v>3592</v>
      </c>
    </row>
    <row r="836" spans="1:27" hidden="1" x14ac:dyDescent="0.3">
      <c r="A836">
        <v>39673</v>
      </c>
      <c r="B836" t="str">
        <f>_xlfn.CONCAT(bron[[#This Row],[personeelsnr]]," ",bron[[#This Row],[achternaam]]," ",bron[[#This Row],[voornaam]])</f>
        <v>39673 Steurbaut Henri</v>
      </c>
      <c r="C836" t="str">
        <f>VLOOKUP(bron[[#This Row],[personeelsnr]],'data hastus'!$A:$C,2,0)</f>
        <v>Steurbaut</v>
      </c>
      <c r="D836" t="str">
        <f>VLOOKUP(bron[[#This Row],[personeelsnr]],'data hastus'!$A:$C,3,0)</f>
        <v>Henri</v>
      </c>
      <c r="E836" t="str">
        <f>VLOOKUP(bron[[#This Row],[personeelsnr]],'data hastus'!A:K,11,FALSE)</f>
        <v>Els Vanhoe</v>
      </c>
      <c r="F836" s="10"/>
      <c r="G836" s="7"/>
      <c r="H836" s="7"/>
      <c r="I836" s="7"/>
      <c r="N836" s="5">
        <v>1</v>
      </c>
      <c r="S836" s="5">
        <f>SUM(bron[[#This Row],[Januari]:[December]])</f>
        <v>1</v>
      </c>
      <c r="T836" s="9">
        <v>45899</v>
      </c>
      <c r="U836" s="5" t="s">
        <v>1289</v>
      </c>
      <c r="V836" s="24">
        <v>1</v>
      </c>
      <c r="W836" s="24"/>
      <c r="X836" t="s">
        <v>3546</v>
      </c>
      <c r="Y836" t="s">
        <v>560</v>
      </c>
      <c r="Z836">
        <v>5044</v>
      </c>
      <c r="AA836" t="s">
        <v>3592</v>
      </c>
    </row>
    <row r="837" spans="1:27" hidden="1" x14ac:dyDescent="0.3">
      <c r="A837">
        <v>41520</v>
      </c>
      <c r="B837" t="str">
        <f>_xlfn.CONCAT(bron[[#This Row],[personeelsnr]]," ",bron[[#This Row],[achternaam]]," ",bron[[#This Row],[voornaam]])</f>
        <v>41520 Smets Avery</v>
      </c>
      <c r="C837" t="str">
        <f>VLOOKUP(bron[[#This Row],[personeelsnr]],'data hastus'!$A:$C,2,0)</f>
        <v>Smets</v>
      </c>
      <c r="D837" t="str">
        <f>VLOOKUP(bron[[#This Row],[personeelsnr]],'data hastus'!$A:$C,3,0)</f>
        <v>Avery</v>
      </c>
      <c r="E837" t="str">
        <f>VLOOKUP(bron[[#This Row],[personeelsnr]],'data hastus'!A:K,11,FALSE)</f>
        <v>Christoff Rotty</v>
      </c>
      <c r="F837" s="10"/>
      <c r="G837" s="6"/>
      <c r="H837" s="6"/>
      <c r="I837" s="6">
        <v>1</v>
      </c>
      <c r="J837"/>
      <c r="K837"/>
      <c r="L837"/>
      <c r="M837"/>
      <c r="N837"/>
      <c r="O837"/>
      <c r="P837"/>
      <c r="Q837"/>
      <c r="R837"/>
      <c r="S837">
        <f>SUM(bron[[#This Row],[Januari]:[December]])</f>
        <v>1</v>
      </c>
      <c r="T837" s="3">
        <v>45736</v>
      </c>
      <c r="U837" s="8" t="s">
        <v>1112</v>
      </c>
      <c r="V837" s="8">
        <v>1</v>
      </c>
      <c r="W837" s="8"/>
      <c r="X837" t="s">
        <v>3545</v>
      </c>
      <c r="Y837" t="s">
        <v>145</v>
      </c>
      <c r="Z837">
        <v>8138</v>
      </c>
      <c r="AA837" s="39" t="s">
        <v>3592</v>
      </c>
    </row>
    <row r="838" spans="1:27" hidden="1" x14ac:dyDescent="0.3">
      <c r="A838">
        <v>41588</v>
      </c>
      <c r="B838" t="str">
        <f>_xlfn.CONCAT(bron[[#This Row],[personeelsnr]]," ",bron[[#This Row],[achternaam]]," ",bron[[#This Row],[voornaam]])</f>
        <v>41588 Naessens Yves</v>
      </c>
      <c r="C838" t="str">
        <f>VLOOKUP(bron[[#This Row],[personeelsnr]],'data hastus'!$A:$C,2,0)</f>
        <v>Naessens</v>
      </c>
      <c r="D838" t="str">
        <f>VLOOKUP(bron[[#This Row],[personeelsnr]],'data hastus'!$A:$C,3,0)</f>
        <v>Yves</v>
      </c>
      <c r="E838" t="str">
        <f>VLOOKUP(bron[[#This Row],[personeelsnr]],'data hastus'!A:K,11,FALSE)</f>
        <v>Kenneth De Rick</v>
      </c>
      <c r="F838" s="10"/>
      <c r="G838" s="6"/>
      <c r="H838" s="6"/>
      <c r="I838" s="6"/>
      <c r="J838">
        <v>1</v>
      </c>
      <c r="K838"/>
      <c r="L838"/>
      <c r="M838"/>
      <c r="N838"/>
      <c r="O838"/>
      <c r="P838"/>
      <c r="Q838"/>
      <c r="R838"/>
      <c r="S838">
        <f>SUM(bron[[#This Row],[Januari]:[December]])</f>
        <v>1</v>
      </c>
      <c r="T838" s="3">
        <v>45769</v>
      </c>
      <c r="U838" s="8" t="s">
        <v>1147</v>
      </c>
      <c r="V838" s="8">
        <v>1</v>
      </c>
      <c r="W838" s="8"/>
      <c r="X838" t="s">
        <v>3545</v>
      </c>
      <c r="Y838" t="s">
        <v>183</v>
      </c>
      <c r="Z838">
        <v>7897</v>
      </c>
      <c r="AA838" s="39" t="s">
        <v>3592</v>
      </c>
    </row>
    <row r="839" spans="1:27" hidden="1" x14ac:dyDescent="0.3">
      <c r="A839">
        <v>41619</v>
      </c>
      <c r="B839" t="str">
        <f>_xlfn.CONCAT(bron[[#This Row],[personeelsnr]]," ",bron[[#This Row],[achternaam]]," ",bron[[#This Row],[voornaam]])</f>
        <v>41619 Bachiri Ousama</v>
      </c>
      <c r="C839" t="str">
        <f>VLOOKUP(bron[[#This Row],[personeelsnr]],'data hastus'!$A:$C,2,0)</f>
        <v>Bachiri</v>
      </c>
      <c r="D839" t="str">
        <f>VLOOKUP(bron[[#This Row],[personeelsnr]],'data hastus'!$A:$C,3,0)</f>
        <v>Ousama</v>
      </c>
      <c r="E839" t="str">
        <f>VLOOKUP(bron[[#This Row],[personeelsnr]],'data hastus'!A:K,11,FALSE)</f>
        <v>Bart Van Der Beken</v>
      </c>
      <c r="F839" s="10"/>
      <c r="G839" s="7"/>
      <c r="H839" s="7"/>
      <c r="I839" s="7"/>
      <c r="K839" s="5">
        <v>1</v>
      </c>
      <c r="S839" s="5">
        <f>SUM(bron[[#This Row],[Januari]:[December]])</f>
        <v>1</v>
      </c>
      <c r="T839" s="9">
        <v>45807</v>
      </c>
      <c r="U839" s="8" t="s">
        <v>1186</v>
      </c>
      <c r="V839" s="8">
        <v>1</v>
      </c>
      <c r="W839" s="8"/>
      <c r="X839" t="s">
        <v>3545</v>
      </c>
      <c r="Y839" t="s">
        <v>57</v>
      </c>
      <c r="Z839">
        <v>5927</v>
      </c>
      <c r="AA839" s="39" t="s">
        <v>3592</v>
      </c>
    </row>
    <row r="840" spans="1:27" hidden="1" x14ac:dyDescent="0.3">
      <c r="A840">
        <v>41671</v>
      </c>
      <c r="B840" t="str">
        <f>_xlfn.CONCAT(bron[[#This Row],[personeelsnr]]," ",bron[[#This Row],[achternaam]]," ",bron[[#This Row],[voornaam]])</f>
        <v>41671 Hasan Salem</v>
      </c>
      <c r="C840" t="str">
        <f>VLOOKUP(bron[[#This Row],[personeelsnr]],'data hastus'!$A:$C,2,0)</f>
        <v>Hasan</v>
      </c>
      <c r="D840" t="str">
        <f>VLOOKUP(bron[[#This Row],[personeelsnr]],'data hastus'!$A:$C,3,0)</f>
        <v>Salem</v>
      </c>
      <c r="E840" t="str">
        <f>VLOOKUP(bron[[#This Row],[personeelsnr]],'data hastus'!A:K,11,FALSE)</f>
        <v>Bart Van Der Beken</v>
      </c>
      <c r="F840" s="10"/>
      <c r="G840" s="7"/>
      <c r="H840" s="7"/>
      <c r="I840" s="7"/>
      <c r="K840" s="5">
        <v>1</v>
      </c>
      <c r="S840" s="5">
        <f>SUM(bron[[#This Row],[Januari]:[December]])</f>
        <v>1</v>
      </c>
      <c r="T840" s="9">
        <v>45799</v>
      </c>
      <c r="U840" s="8" t="s">
        <v>1178</v>
      </c>
      <c r="V840" s="8">
        <v>1</v>
      </c>
      <c r="W840" s="8"/>
      <c r="X840" t="s">
        <v>3545</v>
      </c>
      <c r="Y840" t="s">
        <v>46</v>
      </c>
      <c r="Z840">
        <v>8232</v>
      </c>
      <c r="AA840" s="39" t="s">
        <v>3592</v>
      </c>
    </row>
    <row r="841" spans="1:27" hidden="1" x14ac:dyDescent="0.3">
      <c r="A841">
        <v>40134</v>
      </c>
      <c r="B841" t="str">
        <f>_xlfn.CONCAT(bron[[#This Row],[personeelsnr]]," ",bron[[#This Row],[achternaam]]," ",bron[[#This Row],[voornaam]])</f>
        <v>40134 Cardon Sharon</v>
      </c>
      <c r="C841" t="str">
        <f>VLOOKUP(bron[[#This Row],[personeelsnr]],'data hastus'!$A:$C,2,0)</f>
        <v>Cardon</v>
      </c>
      <c r="D841" t="str">
        <f>VLOOKUP(bron[[#This Row],[personeelsnr]],'data hastus'!$A:$C,3,0)</f>
        <v>Sharon</v>
      </c>
      <c r="E841" t="str">
        <f>VLOOKUP(bron[[#This Row],[personeelsnr]],'data hastus'!A:K,11,FALSE)</f>
        <v>Dominique De Clercq</v>
      </c>
      <c r="F841" s="10"/>
      <c r="G841" s="7"/>
      <c r="H841" s="7"/>
      <c r="I841" s="7"/>
      <c r="O841" s="5">
        <v>1</v>
      </c>
      <c r="S841" s="5">
        <f>SUM(bron[[#This Row],[Januari]:[December]])</f>
        <v>1</v>
      </c>
      <c r="T841" s="9">
        <v>45902</v>
      </c>
      <c r="U841" s="5" t="s">
        <v>3536</v>
      </c>
      <c r="V841" s="24">
        <v>1</v>
      </c>
      <c r="W841" s="24"/>
      <c r="X841" t="s">
        <v>3545</v>
      </c>
      <c r="Y841" t="s">
        <v>3537</v>
      </c>
      <c r="Z841">
        <v>550311</v>
      </c>
      <c r="AA841" t="s">
        <v>3592</v>
      </c>
    </row>
    <row r="842" spans="1:27" hidden="1" x14ac:dyDescent="0.3">
      <c r="A842">
        <v>41690</v>
      </c>
      <c r="B842" t="str">
        <f>_xlfn.CONCAT(bron[[#This Row],[personeelsnr]]," ",bron[[#This Row],[achternaam]]," ",bron[[#This Row],[voornaam]])</f>
        <v>41690 Van de Winckel Kelly</v>
      </c>
      <c r="C842" t="str">
        <f>VLOOKUP(bron[[#This Row],[personeelsnr]],'data hastus'!$A:$C,2,0)</f>
        <v>Van de Winckel</v>
      </c>
      <c r="D842" t="str">
        <f>VLOOKUP(bron[[#This Row],[personeelsnr]],'data hastus'!$A:$C,3,0)</f>
        <v>Kelly</v>
      </c>
      <c r="E842" t="str">
        <f>VLOOKUP(bron[[#This Row],[personeelsnr]],'data hastus'!A:K,11,FALSE)</f>
        <v>Els Dewulf</v>
      </c>
      <c r="F842" s="10"/>
      <c r="G842" s="7"/>
      <c r="H842" s="7"/>
      <c r="I842" s="7"/>
      <c r="L842" s="5">
        <v>1</v>
      </c>
      <c r="S842" s="5">
        <f>SUM(bron[[#This Row],[Januari]:[December]])</f>
        <v>1</v>
      </c>
      <c r="T842" s="9">
        <v>45829</v>
      </c>
      <c r="U842" s="8" t="s">
        <v>1210</v>
      </c>
      <c r="V842" s="24">
        <v>1</v>
      </c>
      <c r="W842" s="24"/>
      <c r="X842" t="s">
        <v>3545</v>
      </c>
      <c r="Y842" t="s">
        <v>54</v>
      </c>
      <c r="Z842">
        <v>5771</v>
      </c>
      <c r="AA842" s="39" t="s">
        <v>3592</v>
      </c>
    </row>
    <row r="843" spans="1:27" hidden="1" x14ac:dyDescent="0.3">
      <c r="A843">
        <v>40645</v>
      </c>
      <c r="B843" t="str">
        <f>_xlfn.CONCAT(bron[[#This Row],[personeelsnr]]," ",bron[[#This Row],[achternaam]]," ",bron[[#This Row],[voornaam]])</f>
        <v>40645 Bytebier Jason</v>
      </c>
      <c r="C843" t="str">
        <f>VLOOKUP(bron[[#This Row],[personeelsnr]],'data hastus'!$A:$C,2,0)</f>
        <v>Bytebier</v>
      </c>
      <c r="D843" t="str">
        <f>VLOOKUP(bron[[#This Row],[personeelsnr]],'data hastus'!$A:$C,3,0)</f>
        <v>Jason</v>
      </c>
      <c r="E843" t="str">
        <f>VLOOKUP(bron[[#This Row],[personeelsnr]],'data hastus'!A:K,11,FALSE)</f>
        <v>Els Dewulf</v>
      </c>
      <c r="F843" s="10"/>
      <c r="G843" s="7"/>
      <c r="H843" s="7"/>
      <c r="I843" s="7"/>
      <c r="O843" s="5">
        <v>1</v>
      </c>
      <c r="S843" s="5">
        <f>SUM(bron[[#This Row],[Januari]:[December]])</f>
        <v>1</v>
      </c>
      <c r="T843" s="9">
        <v>45915</v>
      </c>
      <c r="U843" s="5" t="s">
        <v>3586</v>
      </c>
      <c r="V843" s="24">
        <v>1</v>
      </c>
      <c r="W843" s="24"/>
      <c r="X843" t="s">
        <v>3545</v>
      </c>
      <c r="Y843" t="s">
        <v>51</v>
      </c>
      <c r="Z843">
        <v>5763</v>
      </c>
      <c r="AA843" t="s">
        <v>3592</v>
      </c>
    </row>
    <row r="844" spans="1:27" hidden="1" x14ac:dyDescent="0.3">
      <c r="A844">
        <v>41710</v>
      </c>
      <c r="B844" t="str">
        <f>_xlfn.CONCAT(bron[[#This Row],[personeelsnr]]," ",bron[[#This Row],[achternaam]]," ",bron[[#This Row],[voornaam]])</f>
        <v>41710 Ghani Fazal</v>
      </c>
      <c r="C844" t="str">
        <f>VLOOKUP(bron[[#This Row],[personeelsnr]],'data hastus'!$A:$C,2,0)</f>
        <v>Ghani</v>
      </c>
      <c r="D844" t="str">
        <f>VLOOKUP(bron[[#This Row],[personeelsnr]],'data hastus'!$A:$C,3,0)</f>
        <v>Fazal</v>
      </c>
      <c r="E844" t="str">
        <f>VLOOKUP(bron[[#This Row],[personeelsnr]],'data hastus'!A:K,11,FALSE)</f>
        <v>Els Vanhoe</v>
      </c>
      <c r="F844" s="10"/>
      <c r="G844" s="7"/>
      <c r="H844" s="7"/>
      <c r="I844" s="7"/>
      <c r="K844" s="5">
        <v>1</v>
      </c>
      <c r="S844" s="5">
        <f>SUM(bron[[#This Row],[Januari]:[December]])</f>
        <v>1</v>
      </c>
      <c r="T844" s="9">
        <v>45798</v>
      </c>
      <c r="U844" s="8" t="s">
        <v>1176</v>
      </c>
      <c r="V844" s="8">
        <v>1</v>
      </c>
      <c r="W844" s="8"/>
      <c r="X844" t="s">
        <v>3545</v>
      </c>
      <c r="Y844" t="s">
        <v>108</v>
      </c>
      <c r="Z844">
        <v>2546</v>
      </c>
      <c r="AA844" s="39" t="s">
        <v>3592</v>
      </c>
    </row>
    <row r="845" spans="1:27" hidden="1" x14ac:dyDescent="0.3">
      <c r="A845">
        <v>40856</v>
      </c>
      <c r="B845" t="str">
        <f>_xlfn.CONCAT(bron[[#This Row],[personeelsnr]]," ",bron[[#This Row],[achternaam]]," ",bron[[#This Row],[voornaam]])</f>
        <v>40856 Neissi Sadegh</v>
      </c>
      <c r="C845" t="str">
        <f>VLOOKUP(bron[[#This Row],[personeelsnr]],'data hastus'!$A:$C,2,0)</f>
        <v>Neissi</v>
      </c>
      <c r="D845" t="str">
        <f>VLOOKUP(bron[[#This Row],[personeelsnr]],'data hastus'!$A:$C,3,0)</f>
        <v>Sadegh</v>
      </c>
      <c r="E845" t="str">
        <f>VLOOKUP(bron[[#This Row],[personeelsnr]],'data hastus'!A:K,11,FALSE)</f>
        <v>Kenneth De Rick</v>
      </c>
      <c r="F845" s="10"/>
      <c r="G845" s="7"/>
      <c r="H845" s="7"/>
      <c r="I845" s="7"/>
      <c r="N845" s="5">
        <v>1</v>
      </c>
      <c r="S845" s="5">
        <f>SUM(bron[[#This Row],[Januari]:[December]])</f>
        <v>1</v>
      </c>
      <c r="T845" s="9">
        <v>45898</v>
      </c>
      <c r="U845" s="5" t="s">
        <v>1286</v>
      </c>
      <c r="V845" s="24">
        <v>1</v>
      </c>
      <c r="W845" s="24"/>
      <c r="X845" t="s">
        <v>3544</v>
      </c>
      <c r="Y845" t="s">
        <v>5</v>
      </c>
      <c r="Z845">
        <v>2193</v>
      </c>
      <c r="AA845" t="s">
        <v>3592</v>
      </c>
    </row>
    <row r="846" spans="1:27" hidden="1" x14ac:dyDescent="0.3">
      <c r="A846">
        <v>41721</v>
      </c>
      <c r="B846" t="str">
        <f>_xlfn.CONCAT(bron[[#This Row],[personeelsnr]]," ",bron[[#This Row],[achternaam]]," ",bron[[#This Row],[voornaam]])</f>
        <v>41721 Nolf Philippe</v>
      </c>
      <c r="C846" t="str">
        <f>VLOOKUP(bron[[#This Row],[personeelsnr]],'data hastus'!$A:$C,2,0)</f>
        <v>Nolf</v>
      </c>
      <c r="D846" t="str">
        <f>VLOOKUP(bron[[#This Row],[personeelsnr]],'data hastus'!$A:$C,3,0)</f>
        <v>Philippe</v>
      </c>
      <c r="E846" t="str">
        <f>VLOOKUP(bron[[#This Row],[personeelsnr]],'data hastus'!A:K,11,FALSE)</f>
        <v>Kenneth De Rick</v>
      </c>
      <c r="F846" s="10"/>
      <c r="G846" s="7"/>
      <c r="H846" s="7"/>
      <c r="I846" s="7"/>
      <c r="L846" s="5">
        <v>1</v>
      </c>
      <c r="S846" s="5">
        <f>SUM(bron[[#This Row],[Januari]:[December]])</f>
        <v>1</v>
      </c>
      <c r="T846" s="9">
        <v>45828</v>
      </c>
      <c r="U846" s="8" t="s">
        <v>1208</v>
      </c>
      <c r="V846" s="24">
        <v>1</v>
      </c>
      <c r="W846" s="24"/>
      <c r="X846" t="s">
        <v>3545</v>
      </c>
      <c r="Y846" t="s">
        <v>57</v>
      </c>
      <c r="Z846">
        <v>5938</v>
      </c>
      <c r="AA846" s="39" t="s">
        <v>3592</v>
      </c>
    </row>
    <row r="847" spans="1:27" hidden="1" x14ac:dyDescent="0.3">
      <c r="A847">
        <v>41190</v>
      </c>
      <c r="B847" t="str">
        <f>_xlfn.CONCAT(bron[[#This Row],[personeelsnr]]," ",bron[[#This Row],[achternaam]]," ",bron[[#This Row],[voornaam]])</f>
        <v>41190 De Meyer Horst</v>
      </c>
      <c r="C847" t="s">
        <v>1276</v>
      </c>
      <c r="D847" t="s">
        <v>1277</v>
      </c>
      <c r="E847" t="s">
        <v>76</v>
      </c>
      <c r="F847" s="10"/>
      <c r="G847" s="7"/>
      <c r="H847" s="7"/>
      <c r="I847" s="7"/>
      <c r="N847" s="5">
        <v>1</v>
      </c>
      <c r="S847" s="5">
        <f>SUM(bron[[#This Row],[Januari]:[December]])</f>
        <v>1</v>
      </c>
      <c r="T847" s="9">
        <v>45891</v>
      </c>
      <c r="U847" s="24" t="s">
        <v>1278</v>
      </c>
      <c r="V847" s="24">
        <v>1</v>
      </c>
      <c r="W847" s="24"/>
      <c r="X847" t="s">
        <v>3545</v>
      </c>
      <c r="Y847" t="s">
        <v>5</v>
      </c>
      <c r="Z847">
        <v>5765</v>
      </c>
      <c r="AA847" t="s">
        <v>3592</v>
      </c>
    </row>
    <row r="848" spans="1:27" hidden="1" x14ac:dyDescent="0.3">
      <c r="A848">
        <v>41859</v>
      </c>
      <c r="B848" t="str">
        <f>_xlfn.CONCAT(bron[[#This Row],[personeelsnr]]," ",bron[[#This Row],[achternaam]]," ",bron[[#This Row],[voornaam]])</f>
        <v>41859 Palit Ramazan</v>
      </c>
      <c r="C848" t="s">
        <v>1230</v>
      </c>
      <c r="D848" t="s">
        <v>1231</v>
      </c>
      <c r="E848" t="s">
        <v>76</v>
      </c>
      <c r="F848" s="10"/>
      <c r="G848" s="7"/>
      <c r="H848" s="7"/>
      <c r="I848" s="7"/>
      <c r="M848" s="5">
        <v>1</v>
      </c>
      <c r="S848" s="5">
        <f>SUM(bron[[#This Row],[Januari]:[December]])</f>
        <v>1</v>
      </c>
      <c r="T848" s="9">
        <v>45845</v>
      </c>
      <c r="U848" s="8" t="s">
        <v>1232</v>
      </c>
      <c r="V848" s="24">
        <v>1</v>
      </c>
      <c r="W848" s="24"/>
      <c r="X848" t="s">
        <v>3545</v>
      </c>
      <c r="Y848" t="s">
        <v>16</v>
      </c>
      <c r="Z848">
        <v>5921</v>
      </c>
      <c r="AA848" s="39" t="s">
        <v>3592</v>
      </c>
    </row>
    <row r="849" spans="1:27" hidden="1" x14ac:dyDescent="0.3">
      <c r="A849">
        <v>41874</v>
      </c>
      <c r="B849" t="str">
        <f>_xlfn.CONCAT(bron[[#This Row],[personeelsnr]]," ",bron[[#This Row],[achternaam]]," ",bron[[#This Row],[voornaam]])</f>
        <v>41874 Dobbeleire Bruno</v>
      </c>
      <c r="C849" t="str">
        <f>VLOOKUP(bron[[#This Row],[personeelsnr]],'data hastus'!$A:$C,2,0)</f>
        <v>Dobbeleire</v>
      </c>
      <c r="D849" t="str">
        <f>VLOOKUP(bron[[#This Row],[personeelsnr]],'data hastus'!$A:$C,3,0)</f>
        <v>Bruno</v>
      </c>
      <c r="E849" t="str">
        <f>VLOOKUP(bron[[#This Row],[personeelsnr]],'data hastus'!A:K,11,FALSE)</f>
        <v>Dominique De Clercq</v>
      </c>
      <c r="F849" s="10"/>
      <c r="G849" s="7"/>
      <c r="H849" s="7"/>
      <c r="I849" s="7"/>
      <c r="N849" s="5">
        <v>1</v>
      </c>
      <c r="S849" s="5">
        <f>SUM(bron[[#This Row],[Januari]:[December]])</f>
        <v>1</v>
      </c>
      <c r="T849" s="9">
        <v>45876</v>
      </c>
      <c r="U849" s="24" t="s">
        <v>1268</v>
      </c>
      <c r="V849" s="24">
        <v>1</v>
      </c>
      <c r="W849" s="24"/>
      <c r="X849" t="s">
        <v>3545</v>
      </c>
      <c r="Y849" t="s">
        <v>54</v>
      </c>
      <c r="Z849">
        <v>5923</v>
      </c>
      <c r="AA849" s="39" t="s">
        <v>3592</v>
      </c>
    </row>
    <row r="850" spans="1:27" hidden="1" x14ac:dyDescent="0.3">
      <c r="A850">
        <v>41619</v>
      </c>
      <c r="B850" t="str">
        <f>_xlfn.CONCAT(bron[[#This Row],[personeelsnr]]," ",bron[[#This Row],[achternaam]]," ",bron[[#This Row],[voornaam]])</f>
        <v>41619 Bachiri Ousama</v>
      </c>
      <c r="C850" t="str">
        <f>VLOOKUP(bron[[#This Row],[personeelsnr]],'data hastus'!$A:$C,2,0)</f>
        <v>Bachiri</v>
      </c>
      <c r="D850" t="str">
        <f>VLOOKUP(bron[[#This Row],[personeelsnr]],'data hastus'!$A:$C,3,0)</f>
        <v>Ousama</v>
      </c>
      <c r="E850" t="str">
        <f>VLOOKUP(bron[[#This Row],[personeelsnr]],'data hastus'!A:K,11,FALSE)</f>
        <v>Bart Van Der Beken</v>
      </c>
      <c r="F850" s="10"/>
      <c r="G850" s="7"/>
      <c r="H850" s="7"/>
      <c r="I850" s="7"/>
      <c r="N850" s="5">
        <v>1</v>
      </c>
      <c r="S850" s="5">
        <f>SUM(bron[[#This Row],[Januari]:[December]])</f>
        <v>1</v>
      </c>
      <c r="T850" s="9">
        <v>45892</v>
      </c>
      <c r="U850" s="5" t="s">
        <v>1281</v>
      </c>
      <c r="V850" s="24">
        <v>1</v>
      </c>
      <c r="W850" s="24"/>
      <c r="X850" t="s">
        <v>3546</v>
      </c>
      <c r="Y850" t="s">
        <v>51</v>
      </c>
      <c r="Z850">
        <v>5048</v>
      </c>
      <c r="AA850" t="s">
        <v>3592</v>
      </c>
    </row>
    <row r="851" spans="1:27" hidden="1" x14ac:dyDescent="0.3">
      <c r="A851">
        <v>41871</v>
      </c>
      <c r="B851" t="str">
        <f>_xlfn.CONCAT(bron[[#This Row],[personeelsnr]]," ",bron[[#This Row],[achternaam]]," ",bron[[#This Row],[voornaam]])</f>
        <v>41871 Karanfil Ibrahim</v>
      </c>
      <c r="C851" t="str">
        <f>VLOOKUP(bron[[#This Row],[personeelsnr]],'data hastus'!$A:$C,2,0)</f>
        <v>Karanfil</v>
      </c>
      <c r="D851" t="str">
        <f>VLOOKUP(bron[[#This Row],[personeelsnr]],'data hastus'!$A:$C,3,0)</f>
        <v>Ibrahim</v>
      </c>
      <c r="E851" t="str">
        <f>VLOOKUP(bron[[#This Row],[personeelsnr]],'data hastus'!A:K,11,FALSE)</f>
        <v>Dominique De Clercq</v>
      </c>
      <c r="F851" s="10"/>
      <c r="G851" s="7"/>
      <c r="H851" s="7"/>
      <c r="I851" s="7"/>
      <c r="N851" s="5">
        <v>1</v>
      </c>
      <c r="S851" s="5">
        <f>SUM(bron[[#This Row],[Januari]:[December]])</f>
        <v>1</v>
      </c>
      <c r="T851" s="9">
        <v>45884</v>
      </c>
      <c r="U851" s="24" t="s">
        <v>1273</v>
      </c>
      <c r="V851" s="24">
        <v>1</v>
      </c>
      <c r="W851" s="24"/>
      <c r="X851" t="s">
        <v>3545</v>
      </c>
      <c r="Y851" t="s">
        <v>243</v>
      </c>
      <c r="Z851">
        <v>5912</v>
      </c>
      <c r="AA851" t="s">
        <v>3592</v>
      </c>
    </row>
    <row r="852" spans="1:27" hidden="1" x14ac:dyDescent="0.3">
      <c r="A852">
        <v>41874</v>
      </c>
      <c r="B852" t="str">
        <f>_xlfn.CONCAT(bron[[#This Row],[personeelsnr]]," ",bron[[#This Row],[achternaam]]," ",bron[[#This Row],[voornaam]])</f>
        <v>41874 Dobbeleire Bruno</v>
      </c>
      <c r="C852" t="str">
        <f>VLOOKUP(bron[[#This Row],[personeelsnr]],'data hastus'!$A:$C,2,0)</f>
        <v>Dobbeleire</v>
      </c>
      <c r="D852" t="str">
        <f>VLOOKUP(bron[[#This Row],[personeelsnr]],'data hastus'!$A:$C,3,0)</f>
        <v>Bruno</v>
      </c>
      <c r="E852" t="str">
        <f>VLOOKUP(bron[[#This Row],[personeelsnr]],'data hastus'!A:K,11,FALSE)</f>
        <v>Dominique De Clercq</v>
      </c>
      <c r="F852" s="10"/>
      <c r="G852" s="7"/>
      <c r="H852" s="7"/>
      <c r="I852" s="7"/>
      <c r="O852" s="5">
        <v>1</v>
      </c>
      <c r="S852" s="5">
        <f>SUM(bron[[#This Row],[Januari]:[December]])</f>
        <v>1</v>
      </c>
      <c r="T852" s="9">
        <v>45901</v>
      </c>
      <c r="U852" s="5" t="s">
        <v>1339</v>
      </c>
      <c r="V852" s="24">
        <v>1</v>
      </c>
      <c r="W852" s="24"/>
      <c r="X852" t="s">
        <v>3545</v>
      </c>
      <c r="Y852" t="s">
        <v>1340</v>
      </c>
      <c r="Z852">
        <v>5938</v>
      </c>
      <c r="AA852" t="s">
        <v>3592</v>
      </c>
    </row>
    <row r="853" spans="1:27" hidden="1" x14ac:dyDescent="0.3">
      <c r="A853">
        <v>42002</v>
      </c>
      <c r="B853" t="str">
        <f>_xlfn.CONCAT(bron[[#This Row],[personeelsnr]]," ",bron[[#This Row],[achternaam]]," ",bron[[#This Row],[voornaam]])</f>
        <v>42002 Bogaert Kevin</v>
      </c>
      <c r="C853" t="str">
        <f>VLOOKUP(bron[[#This Row],[personeelsnr]],'data hastus'!$A:$C,2,0)</f>
        <v>Bogaert</v>
      </c>
      <c r="D853" t="str">
        <f>VLOOKUP(bron[[#This Row],[personeelsnr]],'data hastus'!$A:$C,3,0)</f>
        <v>Kevin</v>
      </c>
      <c r="E853" t="str">
        <f>VLOOKUP(bron[[#This Row],[personeelsnr]],'data hastus'!A:K,11,FALSE)</f>
        <v>Els Vanhoe</v>
      </c>
      <c r="F853" s="10"/>
      <c r="G853" s="7"/>
      <c r="H853" s="7"/>
      <c r="I853" s="7"/>
      <c r="M853" s="5">
        <v>1</v>
      </c>
      <c r="S853" s="5">
        <f>SUM(bron[[#This Row],[Januari]:[December]])</f>
        <v>1</v>
      </c>
      <c r="T853" s="9">
        <v>45862</v>
      </c>
      <c r="U853" s="8" t="s">
        <v>1317</v>
      </c>
      <c r="V853" s="24">
        <v>1</v>
      </c>
      <c r="W853" s="24"/>
      <c r="X853" t="s">
        <v>3545</v>
      </c>
      <c r="Y853" t="s">
        <v>16</v>
      </c>
      <c r="Z853">
        <v>5924</v>
      </c>
      <c r="AA853" s="39" t="s">
        <v>3593</v>
      </c>
    </row>
    <row r="854" spans="1:27" hidden="1" x14ac:dyDescent="0.3">
      <c r="A854">
        <v>42082</v>
      </c>
      <c r="B854" t="str">
        <f>_xlfn.CONCAT(bron[[#This Row],[personeelsnr]]," ",bron[[#This Row],[achternaam]]," ",bron[[#This Row],[voornaam]])</f>
        <v>42082 Ahmad Othman</v>
      </c>
      <c r="C854" t="str">
        <f>VLOOKUP(bron[[#This Row],[personeelsnr]],'data hastus'!$A:$C,2,0)</f>
        <v>Ahmad</v>
      </c>
      <c r="D854" t="str">
        <f>VLOOKUP(bron[[#This Row],[personeelsnr]],'data hastus'!$A:$C,3,0)</f>
        <v>Othman</v>
      </c>
      <c r="E854" t="str">
        <f>VLOOKUP(bron[[#This Row],[personeelsnr]],'data hastus'!A:K,11,FALSE)</f>
        <v>Dominique De Clercq</v>
      </c>
      <c r="F854" s="10"/>
      <c r="G854" s="7"/>
      <c r="H854" s="7"/>
      <c r="I854" s="7"/>
      <c r="O854" s="5">
        <v>1</v>
      </c>
      <c r="S854" s="5">
        <f>SUM(bron[[#This Row],[Januari]:[December]])</f>
        <v>1</v>
      </c>
      <c r="T854" s="9">
        <v>45904</v>
      </c>
      <c r="U854" s="5" t="s">
        <v>3533</v>
      </c>
      <c r="V854" s="24">
        <v>1</v>
      </c>
      <c r="W854" s="24"/>
      <c r="X854" t="s">
        <v>3545</v>
      </c>
      <c r="Y854" t="s">
        <v>10</v>
      </c>
      <c r="Z854">
        <v>2548</v>
      </c>
      <c r="AA854" t="s">
        <v>3592</v>
      </c>
    </row>
    <row r="855" spans="1:27" hidden="1" x14ac:dyDescent="0.3">
      <c r="A855">
        <v>42145</v>
      </c>
      <c r="B855" t="str">
        <f>_xlfn.CONCAT(bron[[#This Row],[personeelsnr]]," ",bron[[#This Row],[achternaam]]," ",bron[[#This Row],[voornaam]])</f>
        <v>42145 Gys Shayya</v>
      </c>
      <c r="C855" t="str">
        <f>VLOOKUP(bron[[#This Row],[personeelsnr]],'data hastus'!$A:$C,2,0)</f>
        <v>Gys</v>
      </c>
      <c r="D855" t="str">
        <f>VLOOKUP(bron[[#This Row],[personeelsnr]],'data hastus'!$A:$C,3,0)</f>
        <v>Shayya</v>
      </c>
      <c r="E855" t="str">
        <f>VLOOKUP(bron[[#This Row],[personeelsnr]],'data hastus'!A:K,11,FALSE)</f>
        <v>Steven Storm</v>
      </c>
      <c r="F855" s="10"/>
      <c r="G855" s="7"/>
      <c r="H855" s="7"/>
      <c r="I855" s="7"/>
      <c r="N855" s="5">
        <v>1</v>
      </c>
      <c r="S855" s="5">
        <f>SUM(bron[[#This Row],[Januari]:[December]])</f>
        <v>1</v>
      </c>
      <c r="T855" s="9">
        <v>45894</v>
      </c>
      <c r="U855" s="5" t="s">
        <v>1282</v>
      </c>
      <c r="V855" s="24">
        <v>1</v>
      </c>
      <c r="W855" s="24"/>
      <c r="X855" t="s">
        <v>3545</v>
      </c>
      <c r="Y855" t="s">
        <v>293</v>
      </c>
      <c r="Z855">
        <v>8137</v>
      </c>
      <c r="AA855" t="s">
        <v>3592</v>
      </c>
    </row>
    <row r="856" spans="1:27" hidden="1" x14ac:dyDescent="0.3">
      <c r="A856">
        <v>42146</v>
      </c>
      <c r="B856" t="str">
        <f>_xlfn.CONCAT(bron[[#This Row],[personeelsnr]]," ",bron[[#This Row],[achternaam]]," ",bron[[#This Row],[voornaam]])</f>
        <v>42146 Cichonski Kamil</v>
      </c>
      <c r="C856" t="str">
        <f>VLOOKUP(bron[[#This Row],[personeelsnr]],'data hastus'!$A:$C,2,0)</f>
        <v>Cichonski</v>
      </c>
      <c r="D856" t="str">
        <f>VLOOKUP(bron[[#This Row],[personeelsnr]],'data hastus'!$A:$C,3,0)</f>
        <v>Kamil</v>
      </c>
      <c r="E856" t="str">
        <f>VLOOKUP(bron[[#This Row],[personeelsnr]],'data hastus'!A:K,11,FALSE)</f>
        <v>Steven Storm</v>
      </c>
      <c r="F856" s="10"/>
      <c r="G856" s="7"/>
      <c r="H856" s="7"/>
      <c r="I856" s="7"/>
      <c r="O856" s="5">
        <v>1</v>
      </c>
      <c r="S856" s="5">
        <f>SUM(bron[[#This Row],[Januari]:[December]])</f>
        <v>1</v>
      </c>
      <c r="T856" s="9">
        <v>45915</v>
      </c>
      <c r="U856" s="5" t="s">
        <v>3585</v>
      </c>
      <c r="V856" s="24">
        <v>1</v>
      </c>
      <c r="W856" s="24"/>
      <c r="X856" t="s">
        <v>3545</v>
      </c>
      <c r="Y856" t="s">
        <v>3583</v>
      </c>
      <c r="Z856">
        <v>5488</v>
      </c>
      <c r="AA856" t="s">
        <v>3592</v>
      </c>
    </row>
    <row r="857" spans="1:27" hidden="1" x14ac:dyDescent="0.3">
      <c r="A857">
        <v>39529</v>
      </c>
      <c r="B857" t="str">
        <f>_xlfn.CONCAT(bron[[#This Row],[personeelsnr]]," ",bron[[#This Row],[achternaam]]," ",bron[[#This Row],[voornaam]])</f>
        <v>39529 Desmet Patricia</v>
      </c>
      <c r="C857" t="str">
        <f>VLOOKUP(bron[[#This Row],[personeelsnr]],'data hastus'!$A:$C,2,0)</f>
        <v>Desmet</v>
      </c>
      <c r="D857" t="str">
        <f>VLOOKUP(bron[[#This Row],[personeelsnr]],'data hastus'!$A:$C,3,0)</f>
        <v>Patricia</v>
      </c>
      <c r="E857" t="str">
        <f>VLOOKUP(bron[[#This Row],[personeelsnr]],'data hastus'!A:K,11,FALSE)</f>
        <v>Christoff Rotty</v>
      </c>
      <c r="F857" s="10"/>
      <c r="G857" s="7"/>
      <c r="H857" s="7"/>
      <c r="I857" s="7"/>
      <c r="O857" s="5">
        <v>1</v>
      </c>
      <c r="S857" s="5">
        <f>SUM(bron[[#This Row],[Januari]:[December]])</f>
        <v>1</v>
      </c>
      <c r="T857" s="9">
        <v>45916</v>
      </c>
      <c r="U857" s="5" t="s">
        <v>3588</v>
      </c>
      <c r="V857" s="24"/>
      <c r="W857" s="24">
        <v>1</v>
      </c>
      <c r="X857" t="s">
        <v>3580</v>
      </c>
      <c r="Y857" t="s">
        <v>1314</v>
      </c>
      <c r="Z857">
        <v>6334</v>
      </c>
      <c r="AA857" t="s">
        <v>3593</v>
      </c>
    </row>
    <row r="858" spans="1:27" hidden="1" x14ac:dyDescent="0.3">
      <c r="A858">
        <v>41786</v>
      </c>
      <c r="B858" t="str">
        <f>_xlfn.CONCAT(bron[[#This Row],[personeelsnr]]," ",bron[[#This Row],[achternaam]]," ",bron[[#This Row],[voornaam]])</f>
        <v>41786 Couvreur Nick</v>
      </c>
      <c r="C858" t="str">
        <f>VLOOKUP(bron[[#This Row],[personeelsnr]],'data hastus'!$A:$C,2,0)</f>
        <v>Couvreur</v>
      </c>
      <c r="D858" t="str">
        <f>VLOOKUP(bron[[#This Row],[personeelsnr]],'data hastus'!$A:$C,3,0)</f>
        <v>Nick</v>
      </c>
      <c r="E858" t="str">
        <f>VLOOKUP(bron[[#This Row],[personeelsnr]],'data hastus'!A:K,11,FALSE)</f>
        <v>Christoff Rotty</v>
      </c>
      <c r="F858" s="10"/>
      <c r="G858" s="7"/>
      <c r="H858" s="7"/>
      <c r="I858" s="7"/>
      <c r="O858" s="5">
        <v>1</v>
      </c>
      <c r="S858" s="5">
        <f>SUM(bron[[#This Row],[Januari]:[December]])</f>
        <v>1</v>
      </c>
      <c r="T858" s="9">
        <v>45909</v>
      </c>
      <c r="U858" s="5" t="s">
        <v>3589</v>
      </c>
      <c r="V858" s="24">
        <v>1</v>
      </c>
      <c r="W858" s="24"/>
      <c r="X858" t="s">
        <v>3545</v>
      </c>
      <c r="Y858" t="s">
        <v>3590</v>
      </c>
      <c r="Z858">
        <v>4678</v>
      </c>
      <c r="AA858" s="39" t="s">
        <v>3592</v>
      </c>
    </row>
    <row r="859" spans="1:27" hidden="1" x14ac:dyDescent="0.3">
      <c r="A859">
        <v>31634</v>
      </c>
      <c r="B859" t="str">
        <f>_xlfn.CONCAT(bron[[#This Row],[personeelsnr]]," ",bron[[#This Row],[achternaam]]," ",bron[[#This Row],[voornaam]])</f>
        <v>31634 Kirsan Ömer</v>
      </c>
      <c r="C859" t="str">
        <f>VLOOKUP(bron[[#This Row],[personeelsnr]],'data hastus'!$A:$C,2,0)</f>
        <v>Kirsan</v>
      </c>
      <c r="D859" t="str">
        <f>VLOOKUP(bron[[#This Row],[personeelsnr]],'data hastus'!$A:$C,3,0)</f>
        <v>Ömer</v>
      </c>
      <c r="E859" t="str">
        <f>VLOOKUP(bron[[#This Row],[personeelsnr]],'data hastus'!A:K,11,FALSE)</f>
        <v>Els Vanhoe</v>
      </c>
      <c r="F859" s="10"/>
      <c r="G859" s="7"/>
      <c r="H859" s="7"/>
      <c r="I859" s="7"/>
      <c r="S859" s="5">
        <f>SUM(bron[[#This Row],[Januari]:[December]])</f>
        <v>0</v>
      </c>
      <c r="T859" s="9">
        <v>45912</v>
      </c>
      <c r="U859" s="5" t="s">
        <v>3596</v>
      </c>
      <c r="V859" s="24">
        <v>1</v>
      </c>
      <c r="W859" s="24"/>
      <c r="X859" t="s">
        <v>3546</v>
      </c>
      <c r="Y859" t="s">
        <v>48</v>
      </c>
      <c r="Z859">
        <v>5265</v>
      </c>
      <c r="AA859" s="39" t="s">
        <v>3592</v>
      </c>
    </row>
    <row r="860" spans="1:27" x14ac:dyDescent="0.3">
      <c r="A860">
        <v>42120</v>
      </c>
      <c r="B860" t="str">
        <f>_xlfn.CONCAT(bron[[#This Row],[personeelsnr]]," ",bron[[#This Row],[achternaam]]," ",bron[[#This Row],[voornaam]])</f>
        <v>42120 De Bruycker Dylan</v>
      </c>
      <c r="C860" t="str">
        <f>VLOOKUP(bron[[#This Row],[personeelsnr]],'data hastus'!$A:$C,2,0)</f>
        <v>De Bruycker</v>
      </c>
      <c r="D860" t="str">
        <f>VLOOKUP(bron[[#This Row],[personeelsnr]],'data hastus'!$A:$C,3,0)</f>
        <v>Dylan</v>
      </c>
      <c r="E860" t="str">
        <f>VLOOKUP(bron[[#This Row],[personeelsnr]],'data hastus'!A:K,11,FALSE)</f>
        <v>Kenneth De Rick</v>
      </c>
      <c r="F860" s="10"/>
      <c r="G860" s="7"/>
      <c r="H860" s="7"/>
      <c r="I860" s="7"/>
      <c r="S860" s="5">
        <f>SUM(bron[[#This Row],[Januari]:[December]])</f>
        <v>0</v>
      </c>
      <c r="T860" s="9">
        <v>45917</v>
      </c>
      <c r="U860" s="5" t="s">
        <v>3597</v>
      </c>
      <c r="V860" s="24"/>
      <c r="W860" s="24"/>
      <c r="X860" t="s">
        <v>3545</v>
      </c>
      <c r="Y860" t="s">
        <v>3598</v>
      </c>
      <c r="Z860">
        <v>5913</v>
      </c>
      <c r="AA860" s="39" t="s">
        <v>3592</v>
      </c>
    </row>
  </sheetData>
  <sheetProtection sort="0" autoFilter="0"/>
  <phoneticPr fontId="1" type="noConversion"/>
  <conditionalFormatting sqref="F2:F860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609" r:id="rId1" xr:uid="{069AB0F3-66D9-443A-A282-BECCE4BC15A4}"/>
    <hyperlink ref="U697" r:id="rId2" xr:uid="{266ED411-E9BA-4025-B809-BF681D6EF2C2}"/>
    <hyperlink ref="U555" r:id="rId3" display="../../../../../../../:b:/r/teams/CTM-OTGentStad/Shared Documents/General/EAF/CSI(nieuwe sharepoint) 2025/1. Januari/EAF 6337 Gent 17012025.pdf?csf=1&amp;web=1&amp;e=HIde3n" xr:uid="{B7A5B04D-2444-4A69-96EE-429FE1FAEFC1}"/>
    <hyperlink ref="U647" r:id="rId4" display="../../../../../../../:b:/r/teams/CTM-OTGentStad/Shared Documents/General/EAF/CSI(nieuwe sharepoint) 2025/1. Januari/EAF 6356 Gentbrugge 18012025.pdf?csf=1&amp;web=1&amp;e=mefvXc" xr:uid="{3B1FF491-C1E6-43FD-A0C3-057465EB5192}"/>
    <hyperlink ref="U568" r:id="rId5" display="../../../../../../../:b:/r/teams/CTM-OTGentStad/Shared Documents/General/EAF/CSI(nieuwe sharepoint) 2025/1. Januari/EAF 5263 Mariakerke 13012025.pdf?csf=1&amp;web=1&amp;e=qFf0hX" xr:uid="{1AF9CACF-A798-4483-851F-5828A099BE42}"/>
    <hyperlink ref="U746" r:id="rId6" display="../../../../../../../:b:/r/teams/CTM-OTGentStad/Shared Documents/General/EAF/CSI(nieuwe sharepoint) 2025/1. Januari/EAF 5047 Gent 03012025.pdf?csf=1&amp;web=1&amp;e=ycRhDE" xr:uid="{3AD54217-AB8C-48D0-9A63-05351EF31D35}"/>
    <hyperlink ref="U539" r:id="rId7" xr:uid="{758C2375-3764-4237-851D-A90FFF7D6AC8}"/>
    <hyperlink ref="U564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40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2" r:id="rId10" xr:uid="{F64E53A4-7C17-46F2-BB91-670CFE110D02}"/>
    <hyperlink ref="U689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20" r:id="rId12" xr:uid="{E73AE997-AD9B-4405-90F0-3EFD6BA2309E}"/>
    <hyperlink ref="U644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687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737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809" r:id="rId16" xr:uid="{7921045D-AAB1-4DF0-9E93-D83FFE86B6F5}"/>
    <hyperlink ref="U593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6" r:id="rId18" xr:uid="{88F7C8C1-94D9-4DBB-821A-2AEB46042966}"/>
    <hyperlink ref="U779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2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2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0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499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5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7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3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1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7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3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6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8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2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6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89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6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7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8" r:id="rId282" display="../../../../../../:b:/r/teams/CTM-OTGentStad/Shared Documents/General/EAF/CSI(nieuwe sharepoint)2024/EAF 5914 Gent 19122024.pdf?csf=1&amp;web=1&amp;e=JvjLeO" xr:uid="{FE3D820A-6C1F-4BD2-8F06-5A3FA626E5F8}"/>
    <hyperlink ref="U508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3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4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4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3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0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0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5" r:id="rId419" display="../../../../../../:b:/r/teams/CTM-OTGentStad/Shared Documents/General/EAF/CSI(nieuwe sharepoint)2024/EAF 6361 Gent 09122024.pdf?csf=1&amp;web=1&amp;e=pyBqjh" xr:uid="{25DF6A81-5D18-4CF7-8F3A-D9281FB56EFF}"/>
    <hyperlink ref="U505" r:id="rId420" display="../../../../../../:b:/r/teams/CTM-OTGentStad/Shared Documents/General/EAF/CSI(nieuwe sharepoint)2024/EAF 6362 Gent 21122024.pdf?csf=1&amp;web=1&amp;e=AwaCWK" xr:uid="{F57E973E-D2A5-4668-9304-58D9E1F27F41}"/>
    <hyperlink ref="U500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1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09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64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4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1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1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2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784" r:id="rId533" xr:uid="{150DA4FD-1711-4867-B634-D05F4AEFF1A7}"/>
    <hyperlink ref="U776" r:id="rId534" xr:uid="{D4A9EBC2-7040-472D-9CD7-25E0CD73A803}"/>
    <hyperlink ref="U774" r:id="rId535" xr:uid="{863C6FA1-A756-4D70-AC71-51E5A76689C5}"/>
    <hyperlink ref="U522" r:id="rId536" xr:uid="{DACDB412-C833-4291-9C28-79BA532569AA}"/>
    <hyperlink ref="U566" r:id="rId537" xr:uid="{0B00DD93-46E6-429E-BC0E-941F7DDDCE2A}"/>
    <hyperlink ref="U715" r:id="rId538" xr:uid="{225EB26C-7772-460F-A73C-0F374D7AF285}"/>
    <hyperlink ref="U653" r:id="rId539" xr:uid="{BD0527B6-7BCC-4011-AFE4-A7A21EEA6DF1}"/>
    <hyperlink ref="U673" r:id="rId540" xr:uid="{C2CD05F9-E24E-4861-A589-1C820F320F9E}"/>
    <hyperlink ref="U718" r:id="rId541" xr:uid="{FE436817-0B4F-438C-A63D-C51B18F105A4}"/>
    <hyperlink ref="U645" r:id="rId542" xr:uid="{4A3BDEF3-14A7-45E2-8146-4BAA33388E54}"/>
    <hyperlink ref="U767" r:id="rId543" xr:uid="{56E8F87E-FC9C-4191-9A01-2285D988C8C0}"/>
    <hyperlink ref="U727" r:id="rId544" xr:uid="{3BF788E9-2462-4020-AC4B-A66BB6793883}"/>
    <hyperlink ref="U631" r:id="rId545" xr:uid="{67C81648-7A07-49F8-9510-14AC3651BFAC}"/>
    <hyperlink ref="U674" r:id="rId546" xr:uid="{D17842E8-28B7-4700-8F51-1BF6AAFEEDED}"/>
    <hyperlink ref="U812" r:id="rId547" xr:uid="{1D07BE5F-6D45-449E-A856-72ABC302C426}"/>
    <hyperlink ref="U682" r:id="rId548" xr:uid="{74CF06CF-A463-4FAA-9D33-6F2484FDFE16}"/>
    <hyperlink ref="U651" r:id="rId549" xr:uid="{4D2D47F3-D93E-4E06-A609-F6F31A503B9E}"/>
    <hyperlink ref="U804" r:id="rId550" xr:uid="{BB3ADF8B-2677-4058-AC30-13299C7C8573}"/>
    <hyperlink ref="U849" r:id="rId551" xr:uid="{F243989D-7F6A-4CAE-A35A-DDFC357040CB}"/>
    <hyperlink ref="U680" r:id="rId552" xr:uid="{E058195F-A560-43AD-B42C-D9F293BF83BE}"/>
    <hyperlink ref="U792" r:id="rId553" xr:uid="{E23FAE86-C71A-42EC-8B47-C80E9CF9E459}"/>
    <hyperlink ref="U826" r:id="rId554" xr:uid="{56031605-4B81-4A26-9C04-859AC6BC7199}"/>
    <hyperlink ref="U708" r:id="rId555" xr:uid="{37F3A534-9157-4431-A907-DA8F76A26E11}"/>
    <hyperlink ref="U811" r:id="rId556" xr:uid="{3B159F39-D1EE-4FFE-B00F-CD5A30667FFD}"/>
    <hyperlink ref="U798" r:id="rId557" xr:uid="{D0BD2ED7-E6F8-44FF-AA5C-9C16A6C1804B}"/>
    <hyperlink ref="U656" r:id="rId558" xr:uid="{F33A1740-8EB8-4025-8F53-80BACD691CA6}"/>
    <hyperlink ref="U563" r:id="rId559" xr:uid="{9D95C12D-8E65-4229-9718-A51321D9D94F}"/>
    <hyperlink ref="U753" r:id="rId560" xr:uid="{E4224694-117F-4F4F-9BF7-195BE73397D9}"/>
    <hyperlink ref="U730" r:id="rId561" xr:uid="{C8F55B2D-0BB9-4A25-9B22-6ED11D2439AC}"/>
    <hyperlink ref="U627" r:id="rId562" xr:uid="{086A88D0-A6B0-4F2C-A4EA-1445ED053D6B}"/>
    <hyperlink ref="U610" r:id="rId563" xr:uid="{C251BE52-D64A-40F3-8DC1-707966587D02}"/>
    <hyperlink ref="U640" r:id="rId564" xr:uid="{C7F96931-1F41-4392-BB45-AB92C7E8FFD7}"/>
    <hyperlink ref="U570" r:id="rId565" xr:uid="{730C7AE1-7643-4719-8632-C64D319771B0}"/>
    <hyperlink ref="U635" r:id="rId566" xr:uid="{D2369495-C800-435E-BFFA-8E9093A0F80C}"/>
    <hyperlink ref="U669" r:id="rId567" xr:uid="{0008102A-7EB8-4F37-BAC1-D6E4CC390730}"/>
    <hyperlink ref="U630" r:id="rId568" xr:uid="{351AB9DA-E3BE-4B59-ACEA-9324F3745699}"/>
    <hyperlink ref="U817" r:id="rId569" xr:uid="{899603D8-6E8D-4C79-924A-93406B78EE6B}"/>
    <hyperlink ref="U605" r:id="rId570" xr:uid="{A9F5798F-300C-4BC1-A1B4-06B6054503B7}"/>
    <hyperlink ref="U801" r:id="rId571" xr:uid="{81401BA5-C27E-4D6E-A3BE-13A3DE7927D3}"/>
    <hyperlink ref="U791" r:id="rId572" xr:uid="{8B0F07D6-AE8A-451D-8D1C-41E66AA0B123}"/>
    <hyperlink ref="U580" r:id="rId573" xr:uid="{F8D24394-978E-485C-8512-376B34C9D206}"/>
    <hyperlink ref="U743" r:id="rId574" xr:uid="{75BDEF6D-E245-4089-9D06-E52A0E0E795D}"/>
    <hyperlink ref="U670" r:id="rId575" xr:uid="{E465F374-DB36-41EF-9408-9AAAF868BAFE}"/>
    <hyperlink ref="U560" r:id="rId576" xr:uid="{3DE33E38-BC69-43E7-A2F4-FF3992FBB1C9}"/>
    <hyperlink ref="U663" r:id="rId577" xr:uid="{FC00D559-9EF1-4F91-AD31-31D9EA911704}"/>
    <hyperlink ref="U659" r:id="rId578" xr:uid="{C7205737-9829-4547-A889-2926DD023738}"/>
    <hyperlink ref="U759" r:id="rId579" xr:uid="{58642315-5AF4-42F7-BEE7-55CBCF1C9245}"/>
    <hyperlink ref="U754" r:id="rId580" xr:uid="{9F8B2670-1D8E-490C-BA83-01C7BEF546C6}"/>
    <hyperlink ref="U611" r:id="rId581" xr:uid="{82C47FF0-C30B-4A63-B16D-8D26943A680A}"/>
    <hyperlink ref="U595" r:id="rId582" xr:uid="{2EDE9429-F341-4878-AB9F-AF725DA96FB3}"/>
    <hyperlink ref="U586" r:id="rId583" xr:uid="{D0A8B0FF-DF89-4F65-839E-1E68205C5FFF}"/>
    <hyperlink ref="U525" r:id="rId584" xr:uid="{2E040C5D-D095-44E3-B108-B706873F4965}"/>
    <hyperlink ref="U666" r:id="rId585" xr:uid="{C380338D-B4EB-403F-8201-FF24A466E0AE}"/>
    <hyperlink ref="U685" r:id="rId586" xr:uid="{898BACA9-0B24-4041-83A0-D0979000C0A0}"/>
    <hyperlink ref="U684" r:id="rId587" xr:uid="{F35FBE87-2C1F-4A44-AB97-02EB30AC6E6E}"/>
    <hyperlink ref="U716" r:id="rId588" xr:uid="{4D737CE6-73A6-4025-8559-A716C852BB95}"/>
    <hyperlink ref="U552" r:id="rId589" xr:uid="{0FC9E311-23DD-4419-B96B-98BEF4FED6F2}"/>
    <hyperlink ref="U534" r:id="rId590" xr:uid="{CD2DBC0B-1260-46CE-84BB-78105AC98D90}"/>
    <hyperlink ref="U810" r:id="rId591" xr:uid="{E3AA322B-9412-406B-8DCF-EA1782F3C537}"/>
    <hyperlink ref="U778" r:id="rId592" xr:uid="{145D5B93-B022-4AA5-BCE0-1F27B283997C}"/>
    <hyperlink ref="U735" r:id="rId593" xr:uid="{EC15FBBC-3DD8-418C-B6A0-2A05877526FA}"/>
    <hyperlink ref="U803" r:id="rId594" xr:uid="{F9FC5F25-4055-4C41-B010-4340642B1532}"/>
    <hyperlink ref="U814" r:id="rId595" xr:uid="{EC00F961-65B6-466B-B885-D48582405F11}"/>
    <hyperlink ref="U797" r:id="rId596" xr:uid="{07F0B742-6CE5-4373-91E8-D4D1692F9DC3}"/>
    <hyperlink ref="U733" r:id="rId597" xr:uid="{7FA0A5F5-AA81-4888-A3D8-56C51C832365}"/>
    <hyperlink ref="U794" r:id="rId598" xr:uid="{AB21B84C-4547-4A3C-BB78-3A25340BB2F7}"/>
    <hyperlink ref="U823" r:id="rId599" xr:uid="{39217EE0-75C0-4402-B10E-A014D4704D80}"/>
    <hyperlink ref="U642" r:id="rId600" xr:uid="{83E41EC9-3241-447D-B3D2-B8BBE514E846}"/>
    <hyperlink ref="U828" r:id="rId601" xr:uid="{9B7CC6C0-DE32-42AF-A032-A7DE6B20A49A}"/>
    <hyperlink ref="U815" r:id="rId602" xr:uid="{0B1560EE-DF6A-4F3C-95E1-15E330022847}"/>
    <hyperlink ref="U546" r:id="rId603" xr:uid="{516D4D8A-BCD6-4BD2-A762-62154B283621}"/>
    <hyperlink ref="U785" r:id="rId604" xr:uid="{8DC45460-FF99-4B45-B29A-DF778ECF6172}"/>
    <hyperlink ref="U745" r:id="rId605" xr:uid="{1BC6803B-76CD-4B8F-B5A4-9C3613CBA4F2}"/>
    <hyperlink ref="U533" r:id="rId606" xr:uid="{A4B53BAE-D44A-4347-A973-54F4E0FF678D}"/>
    <hyperlink ref="U520" r:id="rId607" xr:uid="{9688A2CA-6817-402E-BB11-1FFE0CE3D72A}"/>
    <hyperlink ref="U742" r:id="rId608" xr:uid="{CDAA5689-B753-4C35-9F3B-F46334AA0D28}"/>
    <hyperlink ref="U691" r:id="rId609" xr:uid="{3DAC90A6-8D42-4FEE-AF74-97C01BD7600E}"/>
    <hyperlink ref="U757" r:id="rId610" xr:uid="{E1DB103D-F090-4258-8E3B-055683FCD7B4}"/>
    <hyperlink ref="U756" r:id="rId611" xr:uid="{3D1FAB95-5B8B-4634-B0B4-7DB8CC60FFB8}"/>
    <hyperlink ref="U721" r:id="rId612" xr:uid="{043D990C-2F93-4782-B504-B8CA72F45A43}"/>
    <hyperlink ref="U736" r:id="rId613" xr:uid="{1F54DB39-AE2C-4D07-A41A-12435C3E02CE}"/>
    <hyperlink ref="U686" r:id="rId614" xr:uid="{89D6702A-34CC-4980-B10A-5BA92B354176}"/>
    <hyperlink ref="U582" r:id="rId615" xr:uid="{77330D35-BD0B-4CB7-9F5A-65D536231B32}"/>
    <hyperlink ref="U777" r:id="rId616" xr:uid="{478E4DD9-50AE-4E56-8AAD-BF7B5CB410CD}"/>
    <hyperlink ref="U783" r:id="rId617" xr:uid="{95E8979D-9B42-4992-8BAF-3E4668DFB37A}"/>
    <hyperlink ref="U602" r:id="rId618" xr:uid="{A5A32A1E-3517-41A7-94F5-1E7E58CB0021}"/>
    <hyperlink ref="U758" r:id="rId619" xr:uid="{10324561-F0B5-4F2C-A30E-0CCC67F69554}"/>
    <hyperlink ref="U726" r:id="rId620" xr:uid="{5F8DF6C1-8BAD-4816-B651-79AB4DC08D38}"/>
    <hyperlink ref="U516" r:id="rId621" xr:uid="{B935B8C7-66A1-48FB-97B5-581A072674C9}"/>
    <hyperlink ref="U822" r:id="rId622" xr:uid="{96DD215D-8D77-42B5-87FD-AAD46745E6CE}"/>
    <hyperlink ref="U557" r:id="rId623" xr:uid="{25E3891C-A841-4FAD-8848-83BCDA07B07D}"/>
    <hyperlink ref="U612" r:id="rId624" xr:uid="{6B2453B4-DE64-4299-98A6-04B583A216BE}"/>
    <hyperlink ref="U800" r:id="rId625" xr:uid="{ABB49E0F-D960-4CBD-9512-B12078CCF062}"/>
    <hyperlink ref="U643" r:id="rId626" xr:uid="{310C0FCD-B925-4842-B943-ECA2DEB634D8}"/>
    <hyperlink ref="U702" r:id="rId627" xr:uid="{DF068475-DB5A-4B55-AC50-4551B49647A5}"/>
    <hyperlink ref="U793" r:id="rId628" xr:uid="{96287227-49F7-4F9C-AB86-3F9606F24C0C}"/>
    <hyperlink ref="U734" r:id="rId629" xr:uid="{56BCDB2C-7703-45F5-A312-C5E893E4471F}"/>
    <hyperlink ref="U694" r:id="rId630" xr:uid="{DB7207BC-37CA-486F-B566-C1D2EEC1D98C}"/>
    <hyperlink ref="U720" r:id="rId631" xr:uid="{EB1DE0E7-525B-41A5-B65D-E4EFDD71FA50}"/>
    <hyperlink ref="U639" r:id="rId632" xr:uid="{9EC01C6F-6C00-4ADD-9130-4C36DFCB9779}"/>
    <hyperlink ref="U723" r:id="rId633" xr:uid="{93F4F107-6055-4000-B994-82766AC2F8B3}"/>
    <hyperlink ref="U678" r:id="rId634" xr:uid="{7CF19AB4-E4D1-4E84-8F6B-D30EEFAB42E5}"/>
    <hyperlink ref="U751" r:id="rId635" xr:uid="{AD2BAD26-D2CD-4C3C-A625-0421ABE6776E}"/>
    <hyperlink ref="U807" r:id="rId636" xr:uid="{AB528683-13E1-43EF-9397-0F1EA0A95500}"/>
    <hyperlink ref="U618" r:id="rId637" xr:uid="{63D05921-89F2-42B2-8802-476070CE7486}"/>
    <hyperlink ref="U690" r:id="rId638" xr:uid="{7511178A-2DAB-45C1-B7D5-E5AB38820A3D}"/>
    <hyperlink ref="U614" r:id="rId639" xr:uid="{3A3EB255-474E-47F0-A53A-051803ED74C0}"/>
    <hyperlink ref="U606" r:id="rId640" xr:uid="{768F261D-495B-41EC-B1C0-677BBCBABEC5}"/>
    <hyperlink ref="U622" r:id="rId641" xr:uid="{CC1D23EA-2FA4-475A-B130-CAFDD977883C}"/>
    <hyperlink ref="U638" r:id="rId642" xr:uid="{4532DF16-2F25-4398-A9D2-C64BCAC2623A}"/>
    <hyperlink ref="U637" r:id="rId643" xr:uid="{DBF3EEA2-E5BA-4578-9529-31D42BC09EE8}"/>
    <hyperlink ref="U579" r:id="rId644" xr:uid="{6DBCD5CC-7915-4AD2-ACB7-9AF638A8D476}"/>
    <hyperlink ref="U530" r:id="rId645" xr:uid="{ABEA59BF-FF44-4925-AA21-B49F73E586F9}"/>
    <hyperlink ref="U665" r:id="rId646" xr:uid="{6ADC597C-C276-4C62-8E82-A4969ACC73EF}"/>
    <hyperlink ref="U646" r:id="rId647" xr:uid="{2FBBADAF-55DB-491E-AD6E-CBCBA567C379}"/>
    <hyperlink ref="U672" r:id="rId648" xr:uid="{FC933634-D1AA-401F-9EC8-E2A2DA5B1806}"/>
    <hyperlink ref="U654" r:id="rId649" xr:uid="{B0C3DC5B-76AF-4980-9ED1-806AF6657A94}"/>
    <hyperlink ref="U585" r:id="rId650" xr:uid="{26A56EE1-DB69-411D-ACCF-185580542394}"/>
    <hyperlink ref="U837" r:id="rId651" xr:uid="{CCE2BD31-28A5-4D0E-89EE-5DB37DEC1506}"/>
    <hyperlink ref="U752" r:id="rId652" xr:uid="{D422ED3F-5E9D-4F5A-A8B1-B5ED221AA5CB}"/>
    <hyperlink ref="U711" r:id="rId653" xr:uid="{1EEB36FB-467C-4173-9337-6930BD20E5BF}"/>
    <hyperlink ref="U771" r:id="rId654" xr:uid="{4A86C2AA-47F9-4BF7-8520-E38A909DD226}"/>
    <hyperlink ref="U632" r:id="rId655" xr:uid="{80485985-F15E-473A-982F-1696C89487EF}"/>
    <hyperlink ref="U808" r:id="rId656" xr:uid="{C011010E-C6E0-4E9F-8C53-F07785B63047}"/>
    <hyperlink ref="U591" r:id="rId657" xr:uid="{083F9CE9-FB70-4A23-968F-174CB60F5F3C}"/>
    <hyperlink ref="U598" r:id="rId658" xr:uid="{5DBEABD7-9276-4526-98A7-F5BD247071FC}"/>
    <hyperlink ref="U550" r:id="rId659" xr:uid="{9152E7DD-8182-4F52-B2D5-9C32E77A51E3}"/>
    <hyperlink ref="U596" r:id="rId660" xr:uid="{01D51050-FBEA-4B59-8B56-73F47A55F718}"/>
    <hyperlink ref="U790" r:id="rId661" xr:uid="{6E0D216D-F35E-408D-A4BA-9CB81B5BDEF6}"/>
    <hyperlink ref="U650" r:id="rId662" xr:uid="{B3851F33-F581-4CD5-B45F-70F07B9370B5}"/>
    <hyperlink ref="U731" r:id="rId663" xr:uid="{C2DA7E70-657B-451F-BE61-5753ED491960}"/>
    <hyperlink ref="U741" r:id="rId664" xr:uid="{E760B65F-D437-4A82-ADB0-CE57C56613BB}"/>
    <hyperlink ref="U747" r:id="rId665" xr:uid="{389D8CFC-6E96-47C9-95C2-6D0DC5FDC47F}"/>
    <hyperlink ref="U625" r:id="rId666" xr:uid="{D2F96A81-C7E3-4D73-A9D6-8A3776AEECF0}"/>
    <hyperlink ref="U789" r:id="rId667" xr:uid="{6A2967DA-72F6-4A66-BEB1-06B967D72FB9}"/>
    <hyperlink ref="U624" r:id="rId668" xr:uid="{F10DFD8F-A4E6-41F4-BE12-01AC9829729E}"/>
    <hyperlink ref="U770" r:id="rId669" xr:uid="{DCEB82AA-5B00-4B67-8A9B-4E25B22FF280}"/>
    <hyperlink ref="U710" r:id="rId670" xr:uid="{BB9AC7A1-5FDB-4793-9AA6-3BB716B0C417}"/>
    <hyperlink ref="U573" r:id="rId671" xr:uid="{4CBA8A86-B0FD-497B-A600-0A4526F783DB}"/>
    <hyperlink ref="U717" r:id="rId672" xr:uid="{D79D5AFE-C6AE-4FA5-A4C4-9789128877A0}"/>
    <hyperlink ref="U693" r:id="rId673" xr:uid="{87D82A19-8903-4915-BAF9-F10A723DAE7D}"/>
    <hyperlink ref="U698" r:id="rId674" xr:uid="{0726CA3F-D1B7-4365-8444-071E08AB4843}"/>
    <hyperlink ref="U806" r:id="rId675" xr:uid="{4DABF424-4C2A-4687-9B10-293A0FA9CC8F}"/>
    <hyperlink ref="U766" r:id="rId676" xr:uid="{708E88D7-B2D1-4C38-9F56-2D3CEA54003B}"/>
    <hyperlink ref="U748" r:id="rId677" xr:uid="{4D1CA8F5-6233-474B-A545-0E94FA4DC8F3}"/>
    <hyperlink ref="U769" r:id="rId678" xr:uid="{14267202-C2D0-4352-8EB8-846DAF2A0233}"/>
    <hyperlink ref="U820" r:id="rId679" xr:uid="{648D6711-B4FB-49BE-91E9-C9B8326515D3}"/>
    <hyperlink ref="U805" r:id="rId680" xr:uid="{A1731FAA-3015-41C5-8D89-A3BC6FF922C1}"/>
    <hyperlink ref="U629" r:id="rId681" xr:uid="{FB514E15-C32B-496E-B7E0-17F9FFE4F17A}"/>
    <hyperlink ref="U619" r:id="rId682" xr:uid="{5808F782-76C6-429E-96A0-A064A37AB21C}"/>
    <hyperlink ref="U835" r:id="rId683" xr:uid="{0959C9E6-7835-43BF-8547-BF481EE80D5F}"/>
    <hyperlink ref="U699" r:id="rId684" xr:uid="{E52DBEBD-5887-4E06-947D-8EBE36982A82}"/>
    <hyperlink ref="U700" r:id="rId685" xr:uid="{BEDB739D-737F-46F1-8D57-3FC8CC982198}"/>
    <hyperlink ref="U567" r:id="rId686" xr:uid="{2C8D7F5E-0E75-41BC-BBB4-A9211236EFFC}"/>
    <hyperlink ref="U581" r:id="rId687" xr:uid="{F99B1E7C-2349-405E-AA64-6967C432A75C}"/>
    <hyperlink ref="U677" r:id="rId688" xr:uid="{7C2A0286-1324-4403-B4DD-361A1DE5D0D9}"/>
    <hyperlink ref="U709" r:id="rId689" xr:uid="{A843F00B-7BAC-4217-9322-AFAA44197BF0}"/>
    <hyperlink ref="U551" r:id="rId690" xr:uid="{7B9D040B-C241-4309-A54F-21F4A2598A78}"/>
    <hyperlink ref="U623" r:id="rId691" xr:uid="{D015F0C9-969C-41A7-B05D-E8B186DD2A94}"/>
    <hyperlink ref="U583" r:id="rId692" xr:uid="{3C13EDDC-696D-4A5F-8A9E-BF272DB24513}"/>
    <hyperlink ref="U714" r:id="rId693" xr:uid="{E34F6C64-B60F-4F48-B4F1-8F9AACEBD075}"/>
    <hyperlink ref="U636" r:id="rId694" xr:uid="{220AA725-B3A5-4243-828D-E1C53155A150}"/>
    <hyperlink ref="U576" r:id="rId695" xr:uid="{BD4E9079-B973-4420-B1FD-4BF6FB1C7BE3}"/>
    <hyperlink ref="U617" r:id="rId696" xr:uid="{9B75B6EB-4972-47F4-A52E-FEF937B469CF}"/>
    <hyperlink ref="U523" r:id="rId697" xr:uid="{B58AB238-8D14-4EBC-B9DB-4A28D670C5DE}"/>
    <hyperlink ref="U838" r:id="rId698" xr:uid="{5173BAAC-F800-464C-B1AE-88F401557E13}"/>
    <hyperlink ref="U526" r:id="rId699" xr:uid="{484C4C1C-5CCC-486B-A82C-68FA2983E0DC}"/>
    <hyperlink ref="U648" r:id="rId700" xr:uid="{103C09BE-ED5D-4747-B5EA-48E902C6140F}"/>
    <hyperlink ref="U634" r:id="rId701" xr:uid="{251288C3-BF64-4860-9A54-41802A975EDB}"/>
    <hyperlink ref="U649" r:id="rId702" xr:uid="{FAF8B960-BFE9-4FB4-9CC7-36E0BE491390}"/>
    <hyperlink ref="U676" r:id="rId703" xr:uid="{6949557C-A40F-49B7-BB27-5E184F540F37}"/>
    <hyperlink ref="U662" r:id="rId704" xr:uid="{BA558B59-A969-4F15-8D2F-64FA1E58F79D}"/>
    <hyperlink ref="U695" r:id="rId705" xr:uid="{6D11B92B-7522-488B-A553-08C77073F8DF}"/>
    <hyperlink ref="U725" r:id="rId706" xr:uid="{A432BF3B-B956-4B79-A609-35525C4FFC9D}"/>
    <hyperlink ref="U545" r:id="rId707" xr:uid="{B09855AE-7B80-4B3A-911C-960610B88F94}"/>
    <hyperlink ref="U740" r:id="rId708" xr:uid="{EB8F3410-4B22-4544-A2C6-9E83C2900923}"/>
    <hyperlink ref="U782" r:id="rId709" xr:uid="{03AA8935-8534-457F-8190-65FC4AD3BB0D}"/>
    <hyperlink ref="U590" r:id="rId710" xr:uid="{F4EFC8AC-0CB9-4AD7-92FA-021D8A8DC863}"/>
    <hyperlink ref="U660" r:id="rId711" xr:uid="{593C82B9-E6E1-4283-9A5A-1601224BACAE}"/>
    <hyperlink ref="U543" r:id="rId712" xr:uid="{A0977BE1-A651-41F4-AE35-711937967CEF}"/>
    <hyperlink ref="U600" r:id="rId713" xr:uid="{F49DB4A0-BC81-4A06-9A32-5C72DB73A3BA}"/>
    <hyperlink ref="U840" r:id="rId714" xr:uid="{1FA4F1A2-C68C-43F7-B1C4-BA99F25F26CE}"/>
    <hyperlink ref="U832" r:id="rId715" xr:uid="{3AAD246B-25BE-4D96-817A-D6CB2F311E44}"/>
    <hyperlink ref="U706" r:id="rId716" xr:uid="{18B2D28D-956E-4BA4-AFA1-1B87456A0A2C}"/>
    <hyperlink ref="U844" r:id="rId717" xr:uid="{B22F530F-E864-4C38-8989-BD6CCCFFE2C2}"/>
    <hyperlink ref="U818" r:id="rId718" xr:uid="{83DE97E8-FA36-495A-88E8-38CAC06F844C}"/>
    <hyperlink ref="U786" r:id="rId719" xr:uid="{5C67D965-A539-410D-A59A-D6AEF2A02C03}"/>
    <hyperlink ref="U658" r:id="rId720" xr:uid="{FC61B223-3866-4716-9F84-568EC3B46547}"/>
    <hyperlink ref="U592" r:id="rId721" xr:uid="{D85F952D-CB1B-44F4-B28A-6C3D09476CF2}"/>
    <hyperlink ref="U628" r:id="rId722" xr:uid="{5568D8F3-F32F-4736-A916-963C9CCB47FA}"/>
    <hyperlink ref="U604" r:id="rId723" xr:uid="{B723EA80-581E-475A-B68D-9A836974DD11}"/>
    <hyperlink ref="U739" r:id="rId724" xr:uid="{0F637775-FD3B-4C08-8D6F-C589BFDB9CC9}"/>
    <hyperlink ref="U608" r:id="rId725" xr:uid="{51B51EB8-64EF-476E-ACD4-48008568D921}"/>
    <hyperlink ref="U713" r:id="rId726" xr:uid="{6939651F-8743-40D7-8248-7C59BC326531}"/>
    <hyperlink ref="U773" r:id="rId727" xr:uid="{AE840088-FA86-44F9-8AEA-7685D8FC1882}"/>
    <hyperlink ref="U692" r:id="rId728" xr:uid="{F06FFB0D-5885-4D14-8AC6-016C02308BD6}"/>
    <hyperlink ref="U724" r:id="rId729" xr:uid="{34E44BC6-0C9A-468D-8837-FC115CC6C91C}"/>
    <hyperlink ref="U707" r:id="rId730" xr:uid="{0ED0DD59-3557-4D96-AA95-5DC7A645AE06}"/>
    <hyperlink ref="U517" r:id="rId731" xr:uid="{A2170097-8EAE-46AC-9251-EF553AB1A9D6}"/>
    <hyperlink ref="U775" r:id="rId732" xr:uid="{F8BF4E85-D8D9-47D4-AB8E-C87937357FA9}"/>
    <hyperlink ref="U541" r:id="rId733" xr:uid="{4CE98016-D7E6-4D5E-912E-DED4D44F20AD}"/>
    <hyperlink ref="U607" r:id="rId734" xr:uid="{9321BFD9-F8A8-4656-8410-61658A528AC5}"/>
    <hyperlink ref="U738" r:id="rId735" xr:uid="{A92F0936-5E6B-42FE-85E7-A4B061C5DAD3}"/>
    <hyperlink ref="U542" r:id="rId736" xr:uid="{6049A51A-F4DF-4E73-8440-DE6F40AEBDD9}"/>
    <hyperlink ref="U755" r:id="rId737" xr:uid="{7928FACB-A4C4-47AE-B295-577B8CBBB398}"/>
    <hyperlink ref="U799" r:id="rId738" xr:uid="{941EBDF1-E734-4E5A-AA48-F30D0B24F93C}"/>
    <hyperlink ref="U763" r:id="rId739" xr:uid="{574AA468-D84B-4155-9894-72B740EF0AB1}"/>
    <hyperlink ref="U760" r:id="rId740" xr:uid="{E57FF12C-76E0-4A86-99D4-5E1538E38ACD}"/>
    <hyperlink ref="U795" r:id="rId741" xr:uid="{7E75644F-64CB-4F63-924E-F8365E75C71A}"/>
    <hyperlink ref="U796" r:id="rId742" xr:uid="{973F95B8-C132-4D72-96F7-C5CD97AB7E19}"/>
    <hyperlink ref="U559" r:id="rId743" xr:uid="{4511E0E2-3308-42B9-8AB9-1E3204BB4AB9}"/>
    <hyperlink ref="U544" r:id="rId744" xr:uid="{5805C3DE-57A9-46D6-9F19-1050F00D1E46}"/>
    <hyperlink ref="U521" r:id="rId745" xr:uid="{DAF3293A-AB51-4EAB-94D6-99379936EE9A}"/>
    <hyperlink ref="U829" r:id="rId746" xr:uid="{0D2FAD1A-6FB7-42BC-ACD4-2ED17239737A}"/>
    <hyperlink ref="U842" r:id="rId747" xr:uid="{C97D0CF5-D880-48AA-976A-46B72F6366E2}"/>
    <hyperlink ref="U772" r:id="rId748" xr:uid="{5B139B7F-C169-4457-832F-2CDEE69FD825}"/>
    <hyperlink ref="U668" r:id="rId749" xr:uid="{03CEA0C4-C067-4D36-8EC4-BD674608B5EC}"/>
    <hyperlink ref="U768" r:id="rId750" xr:uid="{7F799986-DE7E-4CB4-9450-D1751467B184}"/>
    <hyperlink ref="U821" r:id="rId751" xr:uid="{2FEEE5DD-8A0F-48EB-80CD-BE2AF1317FD9}"/>
    <hyperlink ref="U712" r:id="rId752" xr:uid="{95504083-0ADC-4023-97B7-A22841E41A0A}"/>
    <hyperlink ref="U839" r:id="rId753" xr:uid="{B3527575-B430-444E-9B0B-A3C05BCAB247}"/>
    <hyperlink ref="U744" r:id="rId754" xr:uid="{6A58F34B-5E83-417C-AE7D-F5176857093F}"/>
    <hyperlink ref="U575" r:id="rId755" xr:uid="{A65CEF8A-32E1-43C3-A6EE-B0328385DBFC}"/>
    <hyperlink ref="U846" r:id="rId756" xr:uid="{2C6873D5-430D-4DDD-932E-93E40910B97B}"/>
    <hyperlink ref="U664" r:id="rId757" xr:uid="{FCD32162-3212-4E63-83FF-A086C4015E85}"/>
    <hyperlink ref="U601" r:id="rId758" xr:uid="{43EDAC8C-154F-4594-876F-3F9377E4C0C1}"/>
    <hyperlink ref="U679" r:id="rId759" xr:uid="{8D3EABC5-7EEB-4300-9EC6-7B98D5F8E029}"/>
    <hyperlink ref="U704" r:id="rId760" xr:uid="{E0BA6773-6967-4D97-A6D9-16414C9EBA75}"/>
    <hyperlink ref="U652" r:id="rId761" xr:uid="{373A757C-29EC-4205-A1DA-27EEA898D2E7}"/>
    <hyperlink ref="U655" r:id="rId762" xr:uid="{E74A0A93-7E76-4BC0-99FA-7A5BB8BD7138}"/>
    <hyperlink ref="U599" r:id="rId763" xr:uid="{F37985B0-E9F1-438A-82A1-42D19BFF8F90}"/>
    <hyperlink ref="U671" r:id="rId764" xr:uid="{DCE67A40-B91D-42D6-B85F-800E2487CF07}"/>
    <hyperlink ref="U661" r:id="rId765" xr:uid="{23CA3DFE-A440-4845-ADDC-E00CDDC2FAB8}"/>
    <hyperlink ref="U703" r:id="rId766" xr:uid="{DC114D74-FDA1-4A5B-99B3-1F704C9F9E88}"/>
    <hyperlink ref="U597" r:id="rId767" xr:uid="{5FB200BE-8F49-4D2F-AF1F-5BDC0C88CA57}"/>
    <hyperlink ref="U701" r:id="rId768" xr:uid="{E9488F98-417D-45F0-AF31-42083D111195}"/>
    <hyperlink ref="U588" r:id="rId769" xr:uid="{F330EFD7-79BD-46D0-80F4-426AC08554CF}"/>
    <hyperlink ref="U589" r:id="rId770" xr:uid="{11491747-2133-49D4-A272-44F6FF53D9C6}"/>
    <hyperlink ref="U641" r:id="rId771" xr:uid="{93FCF700-48E1-4AAB-8495-FC2999DF82EF}"/>
    <hyperlink ref="U813" r:id="rId772" xr:uid="{254E9E40-B563-406B-8450-9FF9E949AC8C}"/>
    <hyperlink ref="U553" r:id="rId773" xr:uid="{8C7050E5-1548-47AD-9816-9F8590927730}"/>
    <hyperlink ref="U527" r:id="rId774" xr:uid="{298E54A3-9DBF-4CA6-8BA6-31974C23228C}"/>
    <hyperlink ref="U561" r:id="rId775" xr:uid="{1562B673-8C26-4B21-ACFD-266C8A1777FD}"/>
    <hyperlink ref="U729" r:id="rId776" xr:uid="{ED1DD83C-6022-4BD4-8146-1AD33BD7F5AA}"/>
    <hyperlink ref="U587" r:id="rId777" xr:uid="{8DEB09DF-90D5-4C0F-84ED-2C9E5F524D87}"/>
    <hyperlink ref="U574" r:id="rId778" xr:uid="{FA5FD159-9EBA-4548-9418-76FA3AEF3C15}"/>
    <hyperlink ref="U853" r:id="rId779" xr:uid="{77FF1940-85B2-4158-80F6-DBA00A0D3F48}"/>
    <hyperlink ref="U831" r:id="rId780" xr:uid="{59EF7A79-E073-4066-A0E3-4FBC18F26DDD}"/>
    <hyperlink ref="U537" r:id="rId781" xr:uid="{754E2135-D332-4D17-85A1-DC7CD58911BE}"/>
    <hyperlink ref="U696" r:id="rId782" xr:uid="{88F06494-6D83-4A92-B776-4B6746B0CDAD}"/>
    <hyperlink ref="U603" r:id="rId783" xr:uid="{DFC68BEC-B39F-4AC2-9D00-AF674412F4D1}"/>
    <hyperlink ref="U531" r:id="rId784" xr:uid="{D39377EB-7E62-4F41-B32C-DD7C8FD9FD9A}"/>
    <hyperlink ref="U722" r:id="rId785" xr:uid="{9929740E-87D0-46BF-BF92-B7A6F0F75EB5}"/>
    <hyperlink ref="U535" r:id="rId786" xr:uid="{E123B967-6F80-47D3-AA99-5D00D58C1C7B}"/>
    <hyperlink ref="U719" r:id="rId787" xr:uid="{BD1736A6-FDDE-4E2B-AEC4-56B7A59A4D9B}"/>
    <hyperlink ref="U558" r:id="rId788" xr:uid="{2C5F8736-DD9A-4211-A2E6-04D793B952E2}"/>
    <hyperlink ref="U667" r:id="rId789" xr:uid="{CAA0EEB7-98AD-4175-978B-3481CD4B09A2}"/>
    <hyperlink ref="U781" r:id="rId790" xr:uid="{B994F345-9D6F-49FE-936F-A1FF870DA159}"/>
    <hyperlink ref="U657" r:id="rId791" xr:uid="{4E7BD72F-64F1-4161-94B3-40F3EAD4DF8D}"/>
    <hyperlink ref="U536" r:id="rId792" xr:uid="{42CE2B8A-4445-4D38-A19B-27E617E5355F}"/>
    <hyperlink ref="U572" r:id="rId793" xr:uid="{77672107-1074-4CC5-B773-C90D586B98DC}"/>
    <hyperlink ref="U519" r:id="rId794" xr:uid="{B8BBF23F-600D-4EA8-8F9E-4C020A484596}"/>
    <hyperlink ref="U762" r:id="rId795" xr:uid="{DF5118FE-DD0A-43D5-A04A-F1BB5EC966CB}"/>
    <hyperlink ref="U616" r:id="rId796" xr:uid="{80154DBC-66DF-4433-A9D0-087580B052BE}"/>
    <hyperlink ref="U613" r:id="rId797" xr:uid="{DA9F6E43-F97B-474A-85EE-108BF5C95D67}"/>
    <hyperlink ref="U683" r:id="rId798" xr:uid="{AD697AE6-4666-4389-B2B4-38726DB31C7C}"/>
    <hyperlink ref="U848" r:id="rId799" xr:uid="{436AFDD6-523C-43FE-9A08-ED579E166D7F}"/>
    <hyperlink ref="U615" r:id="rId800" xr:uid="{D71CB4A7-6A12-475B-B09C-97A19E5BF7E7}"/>
    <hyperlink ref="U554" r:id="rId801" xr:uid="{86BB9DC2-49BD-4EA6-88AF-16451F0EF0F2}"/>
    <hyperlink ref="U621" r:id="rId802" xr:uid="{FF4ED1A0-310A-4193-BF64-B647931B2430}"/>
    <hyperlink ref="U788" r:id="rId803" xr:uid="{5C6636C1-94D3-4505-AC39-65A67FE4CB32}"/>
    <hyperlink ref="U780" r:id="rId804" xr:uid="{BB7CE327-230E-48A5-8741-25B18189C503}"/>
    <hyperlink ref="U594" r:id="rId805" xr:uid="{DD89C437-E14C-48AB-B80E-F8AF986B6A7D}"/>
    <hyperlink ref="U728" r:id="rId806" xr:uid="{5E6E094E-D08D-41A9-9AD4-AB96C0D2D0E5}"/>
    <hyperlink ref="U571" r:id="rId807" xr:uid="{738BBA94-39E1-4EAD-85E3-D6FD30B5D2A2}"/>
    <hyperlink ref="U514" r:id="rId808" xr:uid="{366A0727-3127-49A7-8A3D-1CF9FEDBA2C5}"/>
    <hyperlink ref="U688" r:id="rId809" xr:uid="{36071FA3-ED9D-4C49-BBE1-80EA68977EF9}"/>
    <hyperlink ref="U705" r:id="rId810" xr:uid="{6E08855B-C243-4269-AE79-8EAC47FB9816}"/>
    <hyperlink ref="U565" r:id="rId811" xr:uid="{3F757C3A-AABB-46B0-A376-7F8782AED0B7}"/>
    <hyperlink ref="U749" r:id="rId812" xr:uid="{E6EBA1DA-3AD1-419D-8F5E-43BB39D94529}"/>
    <hyperlink ref="U515" r:id="rId813" xr:uid="{713D8C42-321D-4476-9086-F7A96074829F}"/>
    <hyperlink ref="U851" r:id="rId814" xr:uid="{C7E0C9F1-1B82-42AF-BD02-CB6701562797}"/>
    <hyperlink ref="U827" r:id="rId815" xr:uid="{C0FAEEAC-68E5-4E84-8EFB-8E0C90520D3D}"/>
    <hyperlink ref="U847" r:id="rId816" xr:uid="{F5EC6EE1-E791-4255-A36A-ED2CB561FB90}"/>
    <hyperlink ref="U547" r:id="rId817" xr:uid="{2EC810D0-75E4-423B-8D0E-A5542D605551}"/>
  </hyperlinks>
  <pageMargins left="0.7" right="0.7" top="0.75" bottom="0.75" header="0.3" footer="0.3"/>
  <pageSetup paperSize="9" orientation="portrait" verticalDpi="0" r:id="rId818"/>
  <drawing r:id="rId819"/>
  <tableParts count="1">
    <tablePart r:id="rId820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37"/>
  <sheetViews>
    <sheetView topLeftCell="A2" workbookViewId="0">
      <selection activeCell="C37" sqref="C37"/>
    </sheetView>
  </sheetViews>
  <sheetFormatPr defaultRowHeight="14.4" x14ac:dyDescent="0.3"/>
  <cols>
    <col min="1" max="1" width="19.5546875" bestFit="1" customWidth="1"/>
    <col min="2" max="2" width="10.109375" bestFit="1" customWidth="1"/>
    <col min="3" max="3" width="22.5546875" bestFit="1" customWidth="1"/>
  </cols>
  <sheetData>
    <row r="1" spans="1:3" x14ac:dyDescent="0.3">
      <c r="A1" t="s">
        <v>1342</v>
      </c>
      <c r="B1" t="s">
        <v>1343</v>
      </c>
      <c r="C1" t="s">
        <v>1344</v>
      </c>
    </row>
    <row r="2" spans="1:3" x14ac:dyDescent="0.3">
      <c r="A2">
        <v>29076</v>
      </c>
      <c r="B2" t="s">
        <v>1345</v>
      </c>
      <c r="C2" s="8" t="s">
        <v>1346</v>
      </c>
    </row>
    <row r="3" spans="1:3" x14ac:dyDescent="0.3">
      <c r="A3">
        <v>35348</v>
      </c>
      <c r="B3" t="s">
        <v>1347</v>
      </c>
      <c r="C3" s="8" t="s">
        <v>1348</v>
      </c>
    </row>
    <row r="4" spans="1:3" x14ac:dyDescent="0.3">
      <c r="A4">
        <v>10170</v>
      </c>
      <c r="B4" t="s">
        <v>1349</v>
      </c>
      <c r="C4" s="8" t="s">
        <v>1350</v>
      </c>
    </row>
    <row r="5" spans="1:3" x14ac:dyDescent="0.3">
      <c r="A5">
        <v>5579</v>
      </c>
      <c r="B5" t="s">
        <v>1351</v>
      </c>
      <c r="C5" s="8" t="s">
        <v>1352</v>
      </c>
    </row>
    <row r="6" spans="1:3" x14ac:dyDescent="0.3">
      <c r="A6">
        <v>4597</v>
      </c>
      <c r="B6" t="s">
        <v>1353</v>
      </c>
      <c r="C6" s="8" t="s">
        <v>1354</v>
      </c>
    </row>
    <row r="7" spans="1:3" x14ac:dyDescent="0.3">
      <c r="A7">
        <v>26268</v>
      </c>
      <c r="B7" t="s">
        <v>1355</v>
      </c>
      <c r="C7" s="8" t="s">
        <v>1356</v>
      </c>
    </row>
    <row r="8" spans="1:3" x14ac:dyDescent="0.3">
      <c r="A8">
        <v>23897</v>
      </c>
      <c r="B8" t="s">
        <v>1357</v>
      </c>
      <c r="C8" s="8" t="s">
        <v>1358</v>
      </c>
    </row>
    <row r="9" spans="1:3" x14ac:dyDescent="0.3">
      <c r="A9">
        <v>30456</v>
      </c>
      <c r="B9" t="s">
        <v>1359</v>
      </c>
      <c r="C9" s="8" t="s">
        <v>1360</v>
      </c>
    </row>
    <row r="10" spans="1:3" x14ac:dyDescent="0.3">
      <c r="A10">
        <v>7839</v>
      </c>
      <c r="B10" t="s">
        <v>1351</v>
      </c>
      <c r="C10" s="8" t="s">
        <v>1361</v>
      </c>
    </row>
    <row r="11" spans="1:3" x14ac:dyDescent="0.3">
      <c r="A11">
        <v>28740</v>
      </c>
      <c r="B11" t="s">
        <v>1362</v>
      </c>
      <c r="C11" s="8" t="s">
        <v>1363</v>
      </c>
    </row>
    <row r="12" spans="1:3" x14ac:dyDescent="0.3">
      <c r="A12">
        <v>32219</v>
      </c>
      <c r="B12" t="s">
        <v>1364</v>
      </c>
      <c r="C12" s="8" t="s">
        <v>1365</v>
      </c>
    </row>
    <row r="13" spans="1:3" x14ac:dyDescent="0.3">
      <c r="A13">
        <v>33531</v>
      </c>
      <c r="B13" t="s">
        <v>1366</v>
      </c>
      <c r="C13" s="8" t="s">
        <v>1367</v>
      </c>
    </row>
    <row r="14" spans="1:3" x14ac:dyDescent="0.3">
      <c r="A14">
        <v>10072</v>
      </c>
      <c r="B14" t="s">
        <v>1368</v>
      </c>
      <c r="C14" s="8" t="s">
        <v>1369</v>
      </c>
    </row>
    <row r="15" spans="1:3" x14ac:dyDescent="0.3">
      <c r="A15">
        <v>33429</v>
      </c>
      <c r="B15" t="s">
        <v>1370</v>
      </c>
      <c r="C15" s="8" t="s">
        <v>1371</v>
      </c>
    </row>
    <row r="16" spans="1:3" x14ac:dyDescent="0.3">
      <c r="A16">
        <v>15673</v>
      </c>
      <c r="B16" t="s">
        <v>1372</v>
      </c>
      <c r="C16" s="8" t="s">
        <v>1373</v>
      </c>
    </row>
    <row r="17" spans="1:3" x14ac:dyDescent="0.3">
      <c r="A17">
        <v>6046</v>
      </c>
      <c r="B17" t="s">
        <v>3547</v>
      </c>
      <c r="C17" s="8" t="s">
        <v>3548</v>
      </c>
    </row>
    <row r="18" spans="1:3" x14ac:dyDescent="0.3">
      <c r="A18">
        <v>4691</v>
      </c>
      <c r="B18" t="s">
        <v>1474</v>
      </c>
      <c r="C18" s="8" t="s">
        <v>3549</v>
      </c>
    </row>
    <row r="19" spans="1:3" x14ac:dyDescent="0.3">
      <c r="A19">
        <v>22812</v>
      </c>
      <c r="B19" t="s">
        <v>1572</v>
      </c>
      <c r="C19" s="8" t="s">
        <v>3550</v>
      </c>
    </row>
    <row r="20" spans="1:3" x14ac:dyDescent="0.3">
      <c r="A20">
        <v>25875</v>
      </c>
      <c r="B20" t="s">
        <v>3551</v>
      </c>
      <c r="C20" s="8" t="s">
        <v>3552</v>
      </c>
    </row>
    <row r="21" spans="1:3" x14ac:dyDescent="0.3">
      <c r="A21">
        <v>10905</v>
      </c>
      <c r="B21" t="s">
        <v>3553</v>
      </c>
      <c r="C21" s="8" t="s">
        <v>3554</v>
      </c>
    </row>
    <row r="22" spans="1:3" x14ac:dyDescent="0.3">
      <c r="A22">
        <v>17552</v>
      </c>
      <c r="B22" t="s">
        <v>3555</v>
      </c>
      <c r="C22" s="8" t="s">
        <v>3556</v>
      </c>
    </row>
    <row r="23" spans="1:3" x14ac:dyDescent="0.3">
      <c r="A23">
        <v>29544</v>
      </c>
      <c r="B23" t="s">
        <v>3557</v>
      </c>
      <c r="C23" s="8" t="s">
        <v>3558</v>
      </c>
    </row>
    <row r="24" spans="1:3" x14ac:dyDescent="0.3">
      <c r="A24">
        <v>14537</v>
      </c>
      <c r="B24" t="s">
        <v>3399</v>
      </c>
      <c r="C24" s="8" t="s">
        <v>3559</v>
      </c>
    </row>
    <row r="25" spans="1:3" x14ac:dyDescent="0.3">
      <c r="A25">
        <v>16707</v>
      </c>
      <c r="B25" t="s">
        <v>1474</v>
      </c>
      <c r="C25" s="8" t="s">
        <v>3560</v>
      </c>
    </row>
    <row r="26" spans="1:3" x14ac:dyDescent="0.3">
      <c r="A26">
        <v>7848</v>
      </c>
      <c r="B26" t="s">
        <v>2538</v>
      </c>
      <c r="C26" s="8" t="s">
        <v>3561</v>
      </c>
    </row>
    <row r="27" spans="1:3" x14ac:dyDescent="0.3">
      <c r="A27">
        <v>32710</v>
      </c>
      <c r="B27" t="s">
        <v>3067</v>
      </c>
      <c r="C27" s="8" t="s">
        <v>3562</v>
      </c>
    </row>
    <row r="28" spans="1:3" x14ac:dyDescent="0.3">
      <c r="A28">
        <v>20541</v>
      </c>
      <c r="B28" t="s">
        <v>1835</v>
      </c>
      <c r="C28" s="8" t="s">
        <v>3563</v>
      </c>
    </row>
    <row r="29" spans="1:3" x14ac:dyDescent="0.3">
      <c r="A29">
        <v>26202</v>
      </c>
      <c r="B29" t="s">
        <v>3564</v>
      </c>
      <c r="C29" s="8" t="s">
        <v>3565</v>
      </c>
    </row>
    <row r="30" spans="1:3" x14ac:dyDescent="0.3">
      <c r="A30">
        <v>27081</v>
      </c>
      <c r="B30" t="s">
        <v>3566</v>
      </c>
      <c r="C30" s="8" t="s">
        <v>3567</v>
      </c>
    </row>
    <row r="31" spans="1:3" x14ac:dyDescent="0.3">
      <c r="A31">
        <v>24577</v>
      </c>
      <c r="B31" t="s">
        <v>3568</v>
      </c>
      <c r="C31" s="8" t="s">
        <v>3569</v>
      </c>
    </row>
    <row r="32" spans="1:3" x14ac:dyDescent="0.3">
      <c r="A32">
        <v>29909</v>
      </c>
      <c r="B32" t="s">
        <v>3570</v>
      </c>
      <c r="C32" s="8" t="s">
        <v>3571</v>
      </c>
    </row>
    <row r="33" spans="1:3" x14ac:dyDescent="0.3">
      <c r="A33">
        <v>31154</v>
      </c>
      <c r="B33" t="s">
        <v>3572</v>
      </c>
      <c r="C33" s="8" t="s">
        <v>3573</v>
      </c>
    </row>
    <row r="34" spans="1:3" x14ac:dyDescent="0.3">
      <c r="A34">
        <v>4707</v>
      </c>
      <c r="B34" t="s">
        <v>1953</v>
      </c>
      <c r="C34" s="8" t="s">
        <v>3574</v>
      </c>
    </row>
    <row r="35" spans="1:3" x14ac:dyDescent="0.3">
      <c r="A35">
        <v>8538</v>
      </c>
      <c r="B35" t="s">
        <v>1935</v>
      </c>
      <c r="C35" s="8" t="s">
        <v>3575</v>
      </c>
    </row>
    <row r="36" spans="1:3" x14ac:dyDescent="0.3">
      <c r="A36">
        <v>27105</v>
      </c>
      <c r="B36" t="s">
        <v>3576</v>
      </c>
      <c r="C36" s="8" t="s">
        <v>3577</v>
      </c>
    </row>
    <row r="37" spans="1:3" x14ac:dyDescent="0.3">
      <c r="A37">
        <v>4692</v>
      </c>
      <c r="B37" t="s">
        <v>3067</v>
      </c>
      <c r="C37" s="8" t="s">
        <v>3578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</hyperlinks>
  <pageMargins left="0.7" right="0.7" top="0.75" bottom="0.75" header="0.3" footer="0.3"/>
  <tableParts count="1">
    <tablePart r:id="rId36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4.4" x14ac:dyDescent="0.3"/>
  <cols>
    <col min="1" max="1" width="15" customWidth="1"/>
    <col min="2" max="2" width="37.5546875" hidden="1" customWidth="1"/>
    <col min="3" max="3" width="13.6640625" customWidth="1"/>
    <col min="4" max="4" width="20.44140625" customWidth="1"/>
    <col min="5" max="5" width="19.5546875" bestFit="1" customWidth="1"/>
    <col min="6" max="6" width="9.44140625" bestFit="1" customWidth="1"/>
  </cols>
  <sheetData>
    <row r="1" spans="1:6" x14ac:dyDescent="0.3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t="s">
        <v>1374</v>
      </c>
    </row>
    <row r="2" spans="1:6" x14ac:dyDescent="0.3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3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3">
      <c r="A4">
        <v>99999</v>
      </c>
      <c r="B4" t="s">
        <v>1375</v>
      </c>
      <c r="C4" t="s">
        <v>1376</v>
      </c>
      <c r="D4" t="s">
        <v>1376</v>
      </c>
      <c r="E4" t="s">
        <v>79</v>
      </c>
      <c r="F4">
        <v>7</v>
      </c>
    </row>
    <row r="5" spans="1:6" x14ac:dyDescent="0.3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3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3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3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3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3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3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3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3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3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3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3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3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3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3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3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3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3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3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3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3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3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3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3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3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3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3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3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3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3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3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3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3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3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3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3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3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3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3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3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3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3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3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3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3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3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3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3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3">
      <c r="A53">
        <v>36635</v>
      </c>
      <c r="B53" t="str">
        <f>_xlfn.CONCAT(bron[[#This Row],[personeelsnr]]," ",C53," ",D53)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>
        <v>2</v>
      </c>
    </row>
    <row r="54" spans="1:6" x14ac:dyDescent="0.3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3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3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3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3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3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3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3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3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3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3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3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3">
      <c r="A66">
        <v>16897</v>
      </c>
      <c r="B66" t="str">
        <f>_xlfn.CONCAT(bron[[#This Row],[personeelsnr]]," ",C66," ",D66)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>
        <v>1</v>
      </c>
    </row>
    <row r="67" spans="1:6" x14ac:dyDescent="0.3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3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3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3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3">
      <c r="A71">
        <v>38529</v>
      </c>
      <c r="B71" t="str">
        <f>_xlfn.CONCAT(bron[[#This Row],[personeelsnr]]," ",C71," ",D71)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>
        <v>2</v>
      </c>
    </row>
    <row r="72" spans="1:6" x14ac:dyDescent="0.3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3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3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3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3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3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3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3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3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3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3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3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3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3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3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3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3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3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3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3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3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3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3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3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3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3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3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3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3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3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3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3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3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3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3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3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3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3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3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3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3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3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3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3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3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3">
      <c r="A117">
        <v>36426</v>
      </c>
      <c r="B117" t="str">
        <f>_xlfn.CONCAT(bron[[#This Row],[personeelsnr]]," ",C117," ",D117)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>
        <v>1</v>
      </c>
    </row>
    <row r="118" spans="1:6" x14ac:dyDescent="0.3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3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3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3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3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3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3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3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3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3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3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3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3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3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3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3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3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3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3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3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3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3">
      <c r="A139">
        <v>99999</v>
      </c>
      <c r="B139" t="str">
        <f>_xlfn.CONCAT(bron[[#This Row],[personeelsnr]]," ",C139," ",D139)</f>
        <v>31600 leeg leeg</v>
      </c>
      <c r="C139" t="s">
        <v>1376</v>
      </c>
      <c r="D139" t="s">
        <v>1376</v>
      </c>
      <c r="E139" t="s">
        <v>79</v>
      </c>
      <c r="F139">
        <v>0</v>
      </c>
    </row>
    <row r="140" spans="1:6" x14ac:dyDescent="0.3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3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3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3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3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3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3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3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3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3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3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3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3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3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3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3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3">
      <c r="A156">
        <v>99999</v>
      </c>
      <c r="B156" t="str">
        <f>_xlfn.CONCAT(bron[[#This Row],[personeelsnr]]," ",C156," ",D156)</f>
        <v>31733 leeg leeg</v>
      </c>
      <c r="C156" t="s">
        <v>1376</v>
      </c>
      <c r="D156" t="s">
        <v>1376</v>
      </c>
      <c r="E156" t="s">
        <v>79</v>
      </c>
    </row>
    <row r="157" spans="1:6" x14ac:dyDescent="0.3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3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3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3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3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3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3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3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3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3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3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3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3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3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3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3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3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3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3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3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3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3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3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3">
      <c r="A180">
        <v>36289</v>
      </c>
      <c r="B180" t="str">
        <f>_xlfn.CONCAT(bron[[#This Row],[personeelsnr]]," ",C180," ",D180)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</row>
    <row r="181" spans="1:6" x14ac:dyDescent="0.3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3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3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3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3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3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3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3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3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3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3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3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3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3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3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3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3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3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3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3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3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3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3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3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3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3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3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3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3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3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3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3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3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3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3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3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3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3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3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3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3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3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3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3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3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3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3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3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3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3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3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3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3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3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3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3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3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3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3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3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3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3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3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3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3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3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3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3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3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3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3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3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3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3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3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3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3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3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3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3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3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3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3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3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3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3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3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3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3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3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3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3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3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3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3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3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3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3">
      <c r="A278">
        <v>11866</v>
      </c>
      <c r="B278" t="str">
        <f>_xlfn.CONCAT(bron[[#This Row],[personeelsnr]]," ",C278," ",D278)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>
        <v>1</v>
      </c>
    </row>
    <row r="279" spans="1:6" x14ac:dyDescent="0.3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3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3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3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3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3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3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3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3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3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3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3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3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3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3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3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3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3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3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3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3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3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3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3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3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3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3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3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3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3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3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3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3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3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3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3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3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3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3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3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3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3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3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3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3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3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3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3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3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3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3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3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3">
      <c r="A331">
        <v>39358</v>
      </c>
      <c r="B331" t="str">
        <f>_xlfn.CONCAT(bron[[#This Row],[personeelsnr]]," ",C331," ",D331)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</row>
    <row r="332" spans="1:6" x14ac:dyDescent="0.3">
      <c r="A332">
        <v>99999</v>
      </c>
      <c r="B332" t="str">
        <f>_xlfn.CONCAT(bron[[#This Row],[personeelsnr]]," ",C332," ",D332)</f>
        <v>40521 leeg leeg</v>
      </c>
      <c r="C332" t="s">
        <v>1376</v>
      </c>
      <c r="D332" t="s">
        <v>1376</v>
      </c>
      <c r="E332" t="s">
        <v>79</v>
      </c>
    </row>
    <row r="333" spans="1:6" x14ac:dyDescent="0.3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3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3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3">
      <c r="A336">
        <v>39972</v>
      </c>
      <c r="B336" t="str">
        <f>_xlfn.CONCAT(bron[[#This Row],[personeelsnr]]," ",C336," ",D336)</f>
        <v>39858 Repaj Ramazav</v>
      </c>
      <c r="C336" t="s">
        <v>1069</v>
      </c>
      <c r="D336" t="s">
        <v>1070</v>
      </c>
      <c r="E336" t="s">
        <v>55</v>
      </c>
    </row>
    <row r="337" spans="1:6" x14ac:dyDescent="0.3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3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3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3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3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3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3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3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3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3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3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3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3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3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3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3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3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3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3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3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3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3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3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3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3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3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3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3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3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3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3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3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3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3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3">
      <c r="A371">
        <v>99999</v>
      </c>
      <c r="B371" t="str">
        <f>_xlfn.CONCAT(bron[[#This Row],[personeelsnr]]," ",C371," ",D371)</f>
        <v>27635 leeg leeg</v>
      </c>
      <c r="C371" t="s">
        <v>1376</v>
      </c>
      <c r="D371" t="s">
        <v>1376</v>
      </c>
      <c r="E371" t="s">
        <v>79</v>
      </c>
    </row>
    <row r="372" spans="1:6" x14ac:dyDescent="0.3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3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3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3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3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3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3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3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3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3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3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3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3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3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3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3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3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3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3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3">
      <c r="A391">
        <v>31490</v>
      </c>
      <c r="B391" t="str">
        <f>_xlfn.CONCAT(bron[[#This Row],[personeelsnr]]," ",C391," ",D391)</f>
        <v>37683 De Weirdt Steph</v>
      </c>
      <c r="C391" t="s">
        <v>1000</v>
      </c>
      <c r="D391" t="s">
        <v>1001</v>
      </c>
      <c r="E391" t="s">
        <v>1377</v>
      </c>
    </row>
    <row r="392" spans="1:6" x14ac:dyDescent="0.3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3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3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3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3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3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3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3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3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3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3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3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3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3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3">
      <c r="A406">
        <v>26960</v>
      </c>
      <c r="B406" t="str">
        <f>_xlfn.CONCAT(bron[[#This Row],[personeelsnr]]," ",C406," ",D406)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</row>
    <row r="407" spans="1:5" x14ac:dyDescent="0.3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3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594"/>
  <sheetViews>
    <sheetView workbookViewId="0">
      <selection activeCell="A2" sqref="A2:A594"/>
    </sheetView>
  </sheetViews>
  <sheetFormatPr defaultRowHeight="14.4" x14ac:dyDescent="0.3"/>
  <sheetData>
    <row r="1" spans="1:20" x14ac:dyDescent="0.3">
      <c r="A1" t="s">
        <v>1378</v>
      </c>
      <c r="B1" t="s">
        <v>1379</v>
      </c>
      <c r="C1" t="s">
        <v>1380</v>
      </c>
      <c r="D1" t="s">
        <v>1381</v>
      </c>
      <c r="E1" t="s">
        <v>1382</v>
      </c>
      <c r="F1" t="s">
        <v>1383</v>
      </c>
      <c r="G1" t="s">
        <v>1384</v>
      </c>
      <c r="H1" t="s">
        <v>1385</v>
      </c>
      <c r="I1" t="s">
        <v>1386</v>
      </c>
      <c r="J1" t="s">
        <v>1387</v>
      </c>
      <c r="K1" t="s">
        <v>1388</v>
      </c>
      <c r="L1" t="s">
        <v>1389</v>
      </c>
      <c r="M1" t="s">
        <v>1390</v>
      </c>
      <c r="N1" t="s">
        <v>1391</v>
      </c>
      <c r="O1" t="s">
        <v>1392</v>
      </c>
      <c r="P1" t="s">
        <v>1393</v>
      </c>
      <c r="Q1" t="s">
        <v>1394</v>
      </c>
      <c r="R1" t="s">
        <v>1395</v>
      </c>
      <c r="S1" t="s">
        <v>1396</v>
      </c>
      <c r="T1" t="s">
        <v>1397</v>
      </c>
    </row>
    <row r="2" spans="1:20" x14ac:dyDescent="0.3">
      <c r="A2">
        <v>32168</v>
      </c>
      <c r="B2" t="s">
        <v>1398</v>
      </c>
      <c r="C2" t="s">
        <v>1399</v>
      </c>
      <c r="D2" s="3">
        <v>28348</v>
      </c>
      <c r="E2" t="s">
        <v>1400</v>
      </c>
      <c r="F2">
        <v>304</v>
      </c>
      <c r="G2" s="3">
        <v>43045</v>
      </c>
      <c r="H2" t="s">
        <v>1401</v>
      </c>
      <c r="I2" t="s">
        <v>1402</v>
      </c>
      <c r="J2" t="s">
        <v>1403</v>
      </c>
      <c r="K2" t="s">
        <v>64</v>
      </c>
      <c r="L2" s="3">
        <v>46517</v>
      </c>
      <c r="M2" s="3">
        <v>46511</v>
      </c>
      <c r="N2" t="s">
        <v>1404</v>
      </c>
      <c r="O2" s="4">
        <v>1</v>
      </c>
      <c r="P2">
        <v>0</v>
      </c>
      <c r="Q2">
        <v>1</v>
      </c>
    </row>
    <row r="3" spans="1:20" x14ac:dyDescent="0.3">
      <c r="A3">
        <v>38634</v>
      </c>
      <c r="B3" t="s">
        <v>1405</v>
      </c>
      <c r="C3" t="s">
        <v>1406</v>
      </c>
      <c r="D3" s="3">
        <v>28536</v>
      </c>
      <c r="E3" t="s">
        <v>1400</v>
      </c>
      <c r="G3" s="3">
        <v>45012</v>
      </c>
      <c r="H3" t="s">
        <v>1407</v>
      </c>
      <c r="J3" t="s">
        <v>1408</v>
      </c>
      <c r="K3" t="s">
        <v>55</v>
      </c>
      <c r="L3" s="3">
        <v>46869</v>
      </c>
      <c r="M3" s="3">
        <v>46763</v>
      </c>
      <c r="N3" t="s">
        <v>1409</v>
      </c>
      <c r="O3" s="4">
        <v>1</v>
      </c>
      <c r="P3">
        <v>0</v>
      </c>
      <c r="Q3">
        <v>0</v>
      </c>
    </row>
    <row r="4" spans="1:20" x14ac:dyDescent="0.3">
      <c r="A4">
        <v>35619</v>
      </c>
      <c r="B4" t="s">
        <v>1410</v>
      </c>
      <c r="C4" t="s">
        <v>1411</v>
      </c>
      <c r="D4" s="3">
        <v>27907</v>
      </c>
      <c r="E4" t="s">
        <v>1400</v>
      </c>
      <c r="F4">
        <v>414</v>
      </c>
      <c r="G4" s="3">
        <v>44067</v>
      </c>
      <c r="H4" t="s">
        <v>1412</v>
      </c>
      <c r="J4" t="s">
        <v>1413</v>
      </c>
      <c r="K4" t="s">
        <v>67</v>
      </c>
      <c r="L4" s="3">
        <v>47602</v>
      </c>
      <c r="M4" s="3">
        <v>47594</v>
      </c>
      <c r="N4" t="s">
        <v>1414</v>
      </c>
      <c r="O4" s="4">
        <v>1</v>
      </c>
      <c r="P4">
        <v>0</v>
      </c>
      <c r="Q4">
        <v>1</v>
      </c>
    </row>
    <row r="5" spans="1:20" x14ac:dyDescent="0.3">
      <c r="A5">
        <v>35491</v>
      </c>
      <c r="B5" t="s">
        <v>1415</v>
      </c>
      <c r="C5" t="s">
        <v>1416</v>
      </c>
      <c r="D5" s="3">
        <v>35525</v>
      </c>
      <c r="E5" t="s">
        <v>1400</v>
      </c>
      <c r="F5">
        <v>452</v>
      </c>
      <c r="G5" s="3">
        <v>44025</v>
      </c>
      <c r="H5" t="s">
        <v>1417</v>
      </c>
      <c r="I5">
        <v>487773919</v>
      </c>
      <c r="J5" t="s">
        <v>1418</v>
      </c>
      <c r="K5" t="s">
        <v>58</v>
      </c>
      <c r="L5" s="3">
        <v>47610</v>
      </c>
      <c r="M5" s="3">
        <v>47609</v>
      </c>
      <c r="N5" t="s">
        <v>1419</v>
      </c>
      <c r="O5" s="4">
        <v>1</v>
      </c>
      <c r="P5">
        <v>0</v>
      </c>
      <c r="Q5">
        <v>0</v>
      </c>
    </row>
    <row r="6" spans="1:20" x14ac:dyDescent="0.3">
      <c r="A6">
        <v>41588</v>
      </c>
      <c r="B6" t="s">
        <v>1420</v>
      </c>
      <c r="C6" t="s">
        <v>1421</v>
      </c>
      <c r="D6" s="3">
        <v>24023</v>
      </c>
      <c r="E6" t="s">
        <v>1400</v>
      </c>
      <c r="G6" s="3">
        <v>45749</v>
      </c>
      <c r="H6" t="s">
        <v>1422</v>
      </c>
      <c r="J6" t="s">
        <v>1408</v>
      </c>
      <c r="K6" t="s">
        <v>64</v>
      </c>
      <c r="L6" s="3">
        <v>47596</v>
      </c>
      <c r="M6" s="3">
        <v>47504</v>
      </c>
      <c r="N6" t="s">
        <v>1423</v>
      </c>
      <c r="O6" s="4">
        <v>1</v>
      </c>
      <c r="P6">
        <v>0</v>
      </c>
      <c r="Q6">
        <v>0</v>
      </c>
    </row>
    <row r="7" spans="1:20" x14ac:dyDescent="0.3">
      <c r="A7">
        <v>23818</v>
      </c>
      <c r="B7" t="s">
        <v>1424</v>
      </c>
      <c r="C7" t="s">
        <v>1421</v>
      </c>
      <c r="D7" s="3">
        <v>26173</v>
      </c>
      <c r="E7" t="s">
        <v>1400</v>
      </c>
      <c r="F7">
        <v>35</v>
      </c>
      <c r="G7" s="3">
        <v>39937</v>
      </c>
      <c r="H7" t="s">
        <v>1425</v>
      </c>
      <c r="J7" t="s">
        <v>1426</v>
      </c>
      <c r="K7" t="s">
        <v>52</v>
      </c>
      <c r="L7" s="3">
        <v>47078</v>
      </c>
      <c r="M7" s="3">
        <v>47072</v>
      </c>
      <c r="N7" t="s">
        <v>1427</v>
      </c>
      <c r="O7" s="4">
        <v>1</v>
      </c>
      <c r="P7">
        <v>0</v>
      </c>
      <c r="Q7">
        <v>1</v>
      </c>
    </row>
    <row r="8" spans="1:20" x14ac:dyDescent="0.3">
      <c r="A8">
        <v>35006</v>
      </c>
      <c r="B8" t="s">
        <v>1428</v>
      </c>
      <c r="C8" t="s">
        <v>1429</v>
      </c>
      <c r="D8" s="3">
        <v>30614</v>
      </c>
      <c r="E8" t="s">
        <v>1400</v>
      </c>
      <c r="F8">
        <v>469</v>
      </c>
      <c r="G8" s="3">
        <v>43906</v>
      </c>
      <c r="H8" t="s">
        <v>1430</v>
      </c>
      <c r="I8" t="s">
        <v>1431</v>
      </c>
      <c r="J8" t="s">
        <v>1432</v>
      </c>
      <c r="K8" t="s">
        <v>64</v>
      </c>
      <c r="L8" s="3">
        <v>47380</v>
      </c>
      <c r="M8" s="3">
        <v>47351</v>
      </c>
      <c r="N8" t="s">
        <v>1433</v>
      </c>
      <c r="O8" s="4">
        <v>1</v>
      </c>
      <c r="P8">
        <v>0</v>
      </c>
      <c r="Q8">
        <v>1</v>
      </c>
    </row>
    <row r="9" spans="1:20" x14ac:dyDescent="0.3">
      <c r="A9">
        <v>41012</v>
      </c>
      <c r="B9" t="s">
        <v>1434</v>
      </c>
      <c r="C9" t="s">
        <v>1435</v>
      </c>
      <c r="D9" s="3">
        <v>27187</v>
      </c>
      <c r="E9" t="s">
        <v>1400</v>
      </c>
      <c r="G9" s="3">
        <v>45574</v>
      </c>
      <c r="H9" t="s">
        <v>1436</v>
      </c>
      <c r="J9" t="s">
        <v>1408</v>
      </c>
      <c r="K9" t="s">
        <v>58</v>
      </c>
      <c r="L9" s="3">
        <v>47418</v>
      </c>
      <c r="M9" s="3">
        <v>47371</v>
      </c>
      <c r="N9" t="s">
        <v>1437</v>
      </c>
      <c r="O9" s="4">
        <v>1</v>
      </c>
      <c r="P9">
        <v>0</v>
      </c>
      <c r="Q9">
        <v>0</v>
      </c>
    </row>
    <row r="10" spans="1:20" x14ac:dyDescent="0.3">
      <c r="A10">
        <v>37261</v>
      </c>
      <c r="B10" t="s">
        <v>1438</v>
      </c>
      <c r="C10" t="s">
        <v>1439</v>
      </c>
      <c r="D10" s="3">
        <v>35872</v>
      </c>
      <c r="E10" t="s">
        <v>1400</v>
      </c>
      <c r="G10" s="3">
        <v>44599</v>
      </c>
      <c r="H10" t="s">
        <v>1440</v>
      </c>
      <c r="J10" t="s">
        <v>1441</v>
      </c>
      <c r="K10" t="s">
        <v>52</v>
      </c>
      <c r="L10" s="3">
        <v>46439</v>
      </c>
      <c r="M10" s="3">
        <v>46404</v>
      </c>
      <c r="N10" t="s">
        <v>1442</v>
      </c>
      <c r="O10" s="4">
        <v>1</v>
      </c>
      <c r="P10">
        <v>0</v>
      </c>
      <c r="Q10">
        <v>1</v>
      </c>
    </row>
    <row r="11" spans="1:20" x14ac:dyDescent="0.3">
      <c r="A11">
        <v>40266</v>
      </c>
      <c r="B11" t="s">
        <v>1443</v>
      </c>
      <c r="C11" t="s">
        <v>1444</v>
      </c>
      <c r="D11" s="3">
        <v>35989</v>
      </c>
      <c r="E11" t="s">
        <v>1400</v>
      </c>
      <c r="G11" s="3">
        <v>45394</v>
      </c>
      <c r="H11" t="s">
        <v>1445</v>
      </c>
      <c r="J11" t="s">
        <v>1446</v>
      </c>
      <c r="K11" t="s">
        <v>61</v>
      </c>
      <c r="L11" s="3">
        <v>47239</v>
      </c>
      <c r="M11" s="3">
        <v>47143</v>
      </c>
      <c r="N11" t="s">
        <v>1447</v>
      </c>
      <c r="O11" s="4">
        <v>1</v>
      </c>
      <c r="P11">
        <v>0</v>
      </c>
      <c r="Q11">
        <v>0</v>
      </c>
    </row>
    <row r="12" spans="1:20" x14ac:dyDescent="0.3">
      <c r="A12">
        <v>39184</v>
      </c>
      <c r="B12" t="s">
        <v>1448</v>
      </c>
      <c r="C12" t="s">
        <v>1449</v>
      </c>
      <c r="D12" s="3">
        <v>33938</v>
      </c>
      <c r="E12" t="s">
        <v>1400</v>
      </c>
      <c r="G12" s="3">
        <v>45097</v>
      </c>
      <c r="H12" t="s">
        <v>1450</v>
      </c>
      <c r="J12" t="s">
        <v>1408</v>
      </c>
      <c r="K12" t="s">
        <v>61</v>
      </c>
      <c r="L12" s="3">
        <v>46945</v>
      </c>
      <c r="M12" s="3">
        <v>46897</v>
      </c>
      <c r="N12" t="s">
        <v>1451</v>
      </c>
      <c r="O12" s="4">
        <v>1</v>
      </c>
      <c r="P12">
        <v>0</v>
      </c>
      <c r="Q12">
        <v>0</v>
      </c>
    </row>
    <row r="13" spans="1:20" x14ac:dyDescent="0.3">
      <c r="A13">
        <v>21429</v>
      </c>
      <c r="B13" t="s">
        <v>1452</v>
      </c>
      <c r="C13" t="s">
        <v>1449</v>
      </c>
      <c r="D13" s="3">
        <v>31632</v>
      </c>
      <c r="E13" t="s">
        <v>1400</v>
      </c>
      <c r="F13">
        <v>141</v>
      </c>
      <c r="G13" s="3">
        <v>39370</v>
      </c>
      <c r="H13" t="s">
        <v>1453</v>
      </c>
      <c r="J13" t="s">
        <v>1454</v>
      </c>
      <c r="K13" t="s">
        <v>67</v>
      </c>
      <c r="L13" s="3">
        <v>72686</v>
      </c>
      <c r="M13" s="3">
        <v>46827</v>
      </c>
      <c r="N13" t="s">
        <v>1455</v>
      </c>
      <c r="O13" s="4">
        <v>1</v>
      </c>
      <c r="P13">
        <v>0</v>
      </c>
      <c r="Q13">
        <v>0</v>
      </c>
    </row>
    <row r="14" spans="1:20" x14ac:dyDescent="0.3">
      <c r="A14">
        <v>35645</v>
      </c>
      <c r="B14" t="s">
        <v>1456</v>
      </c>
      <c r="C14" t="s">
        <v>1457</v>
      </c>
      <c r="D14" s="3">
        <v>31611</v>
      </c>
      <c r="E14" t="s">
        <v>1400</v>
      </c>
      <c r="F14">
        <v>355</v>
      </c>
      <c r="G14" s="3">
        <v>44070</v>
      </c>
      <c r="H14" t="s">
        <v>1458</v>
      </c>
      <c r="J14" t="s">
        <v>1459</v>
      </c>
      <c r="K14" t="s">
        <v>67</v>
      </c>
      <c r="L14" s="3">
        <v>46876</v>
      </c>
      <c r="M14" s="3">
        <v>46862</v>
      </c>
      <c r="N14" t="s">
        <v>1460</v>
      </c>
      <c r="O14" s="4">
        <v>1</v>
      </c>
      <c r="P14">
        <v>0</v>
      </c>
      <c r="Q14">
        <v>0</v>
      </c>
    </row>
    <row r="15" spans="1:20" x14ac:dyDescent="0.3">
      <c r="A15">
        <v>41870</v>
      </c>
      <c r="B15" t="s">
        <v>1461</v>
      </c>
      <c r="C15" t="s">
        <v>1462</v>
      </c>
      <c r="D15" s="3">
        <v>36390</v>
      </c>
      <c r="E15" t="s">
        <v>1400</v>
      </c>
      <c r="G15" s="3">
        <v>45798</v>
      </c>
      <c r="H15" t="s">
        <v>1463</v>
      </c>
      <c r="J15" t="s">
        <v>1408</v>
      </c>
      <c r="K15" t="s">
        <v>67</v>
      </c>
      <c r="L15" s="3">
        <v>47645</v>
      </c>
      <c r="M15" s="3">
        <v>46831</v>
      </c>
      <c r="N15" t="s">
        <v>1464</v>
      </c>
      <c r="O15" s="4">
        <v>1</v>
      </c>
      <c r="P15">
        <v>0</v>
      </c>
      <c r="Q15">
        <v>0</v>
      </c>
    </row>
    <row r="16" spans="1:20" x14ac:dyDescent="0.3">
      <c r="A16">
        <v>41246</v>
      </c>
      <c r="B16" t="s">
        <v>1465</v>
      </c>
      <c r="C16" t="s">
        <v>1466</v>
      </c>
      <c r="D16" s="3">
        <v>36623</v>
      </c>
      <c r="E16" t="s">
        <v>1400</v>
      </c>
      <c r="G16" s="3">
        <v>45663</v>
      </c>
      <c r="H16" t="s">
        <v>1467</v>
      </c>
      <c r="J16" t="s">
        <v>1408</v>
      </c>
      <c r="K16" t="s">
        <v>52</v>
      </c>
      <c r="L16" s="3">
        <v>47506</v>
      </c>
      <c r="M16" s="3">
        <v>47407</v>
      </c>
      <c r="N16" t="s">
        <v>1468</v>
      </c>
      <c r="O16" s="4">
        <v>1</v>
      </c>
      <c r="P16">
        <v>0</v>
      </c>
      <c r="Q16">
        <v>0</v>
      </c>
    </row>
    <row r="17" spans="1:18" x14ac:dyDescent="0.3">
      <c r="A17">
        <v>35598</v>
      </c>
      <c r="B17" t="s">
        <v>1469</v>
      </c>
      <c r="C17" t="s">
        <v>1470</v>
      </c>
      <c r="D17" s="3">
        <v>24328</v>
      </c>
      <c r="E17" t="s">
        <v>1400</v>
      </c>
      <c r="F17">
        <v>434</v>
      </c>
      <c r="G17" s="3">
        <v>44039</v>
      </c>
      <c r="H17" t="s">
        <v>1471</v>
      </c>
      <c r="J17" t="s">
        <v>1441</v>
      </c>
      <c r="K17" t="s">
        <v>52</v>
      </c>
      <c r="L17" s="3">
        <v>47533</v>
      </c>
      <c r="M17" s="3">
        <v>47517</v>
      </c>
      <c r="N17" t="s">
        <v>1472</v>
      </c>
      <c r="O17" s="4">
        <v>1</v>
      </c>
      <c r="P17">
        <v>0</v>
      </c>
      <c r="Q17">
        <v>0</v>
      </c>
    </row>
    <row r="18" spans="1:18" x14ac:dyDescent="0.3">
      <c r="A18">
        <v>10324</v>
      </c>
      <c r="B18" t="s">
        <v>1473</v>
      </c>
      <c r="C18" t="s">
        <v>1474</v>
      </c>
      <c r="D18" s="3">
        <v>25268</v>
      </c>
      <c r="E18" t="s">
        <v>1400</v>
      </c>
      <c r="F18">
        <v>332</v>
      </c>
      <c r="G18" s="3">
        <v>35948</v>
      </c>
      <c r="H18" t="s">
        <v>1475</v>
      </c>
      <c r="J18" t="s">
        <v>1476</v>
      </c>
      <c r="K18" t="s">
        <v>55</v>
      </c>
      <c r="L18" s="3">
        <v>73050</v>
      </c>
      <c r="M18" s="3">
        <v>46887</v>
      </c>
      <c r="N18" t="s">
        <v>1477</v>
      </c>
      <c r="O18" s="4">
        <v>0.8</v>
      </c>
      <c r="P18">
        <v>0</v>
      </c>
      <c r="Q18">
        <v>0</v>
      </c>
    </row>
    <row r="19" spans="1:18" x14ac:dyDescent="0.3">
      <c r="A19">
        <v>9979</v>
      </c>
      <c r="B19" t="s">
        <v>1478</v>
      </c>
      <c r="C19" t="s">
        <v>1474</v>
      </c>
      <c r="D19" s="3">
        <v>28053</v>
      </c>
      <c r="E19" t="s">
        <v>1400</v>
      </c>
      <c r="F19">
        <v>222</v>
      </c>
      <c r="G19" s="3">
        <v>35796</v>
      </c>
      <c r="H19" t="s">
        <v>1479</v>
      </c>
      <c r="J19" t="s">
        <v>1480</v>
      </c>
      <c r="K19" t="s">
        <v>55</v>
      </c>
      <c r="L19" s="3">
        <v>72686</v>
      </c>
      <c r="M19" s="3">
        <v>46434</v>
      </c>
      <c r="N19" t="s">
        <v>1481</v>
      </c>
      <c r="O19" s="4">
        <v>0.8</v>
      </c>
      <c r="P19">
        <v>0</v>
      </c>
      <c r="Q19">
        <v>0</v>
      </c>
    </row>
    <row r="20" spans="1:18" x14ac:dyDescent="0.3">
      <c r="A20">
        <v>8196</v>
      </c>
      <c r="B20" t="s">
        <v>1482</v>
      </c>
      <c r="C20" t="s">
        <v>1474</v>
      </c>
      <c r="D20" s="3">
        <v>25922</v>
      </c>
      <c r="E20" t="s">
        <v>1400</v>
      </c>
      <c r="F20">
        <v>473</v>
      </c>
      <c r="G20" s="3">
        <v>35177</v>
      </c>
      <c r="H20" t="s">
        <v>1483</v>
      </c>
      <c r="J20" t="s">
        <v>1484</v>
      </c>
      <c r="K20" t="s">
        <v>61</v>
      </c>
      <c r="L20" s="3">
        <v>47607</v>
      </c>
      <c r="M20" s="3">
        <v>47573</v>
      </c>
      <c r="N20" t="s">
        <v>1485</v>
      </c>
      <c r="O20" s="4">
        <v>1</v>
      </c>
      <c r="P20">
        <v>0</v>
      </c>
      <c r="Q20">
        <v>0</v>
      </c>
    </row>
    <row r="21" spans="1:18" x14ac:dyDescent="0.3">
      <c r="A21">
        <v>41948</v>
      </c>
      <c r="B21" t="s">
        <v>1486</v>
      </c>
      <c r="C21" t="s">
        <v>1474</v>
      </c>
      <c r="D21" s="3">
        <v>24230</v>
      </c>
      <c r="E21" t="s">
        <v>1400</v>
      </c>
      <c r="G21" s="3">
        <v>45831</v>
      </c>
      <c r="H21" t="s">
        <v>1487</v>
      </c>
      <c r="J21" t="s">
        <v>1408</v>
      </c>
      <c r="K21" t="s">
        <v>70</v>
      </c>
      <c r="L21" s="3">
        <v>47677</v>
      </c>
      <c r="M21" s="3">
        <v>47610</v>
      </c>
      <c r="N21" t="s">
        <v>1488</v>
      </c>
      <c r="O21" s="4">
        <v>1</v>
      </c>
      <c r="P21">
        <v>0</v>
      </c>
      <c r="Q21">
        <v>0</v>
      </c>
    </row>
    <row r="22" spans="1:18" x14ac:dyDescent="0.3">
      <c r="A22">
        <v>40761</v>
      </c>
      <c r="B22" t="s">
        <v>1489</v>
      </c>
      <c r="C22" t="s">
        <v>1474</v>
      </c>
      <c r="D22" s="3">
        <v>27082</v>
      </c>
      <c r="E22" t="s">
        <v>1400</v>
      </c>
      <c r="G22" s="3">
        <v>45498</v>
      </c>
      <c r="H22" t="s">
        <v>1490</v>
      </c>
      <c r="J22" t="s">
        <v>1408</v>
      </c>
      <c r="K22" t="s">
        <v>64</v>
      </c>
      <c r="L22" s="3">
        <v>47342</v>
      </c>
      <c r="M22" s="3">
        <v>47303</v>
      </c>
      <c r="N22" t="s">
        <v>1491</v>
      </c>
      <c r="O22" s="4">
        <v>1</v>
      </c>
      <c r="P22">
        <v>0</v>
      </c>
      <c r="Q22">
        <v>0</v>
      </c>
    </row>
    <row r="23" spans="1:18" x14ac:dyDescent="0.3">
      <c r="A23">
        <v>35030</v>
      </c>
      <c r="B23" t="s">
        <v>1492</v>
      </c>
      <c r="C23" t="s">
        <v>1474</v>
      </c>
      <c r="D23" s="3">
        <v>25785</v>
      </c>
      <c r="E23" t="s">
        <v>1400</v>
      </c>
      <c r="F23">
        <v>465</v>
      </c>
      <c r="G23" s="3">
        <v>43892</v>
      </c>
      <c r="H23" t="s">
        <v>1493</v>
      </c>
      <c r="J23" t="s">
        <v>1408</v>
      </c>
      <c r="K23" t="s">
        <v>73</v>
      </c>
      <c r="L23" s="3">
        <v>47411</v>
      </c>
      <c r="M23" s="3">
        <v>47342</v>
      </c>
      <c r="N23" t="s">
        <v>1494</v>
      </c>
      <c r="O23" s="4">
        <v>1</v>
      </c>
      <c r="P23">
        <v>0</v>
      </c>
      <c r="Q23">
        <v>0</v>
      </c>
    </row>
    <row r="24" spans="1:18" x14ac:dyDescent="0.3">
      <c r="A24">
        <v>37496</v>
      </c>
      <c r="B24" t="s">
        <v>1495</v>
      </c>
      <c r="C24" t="s">
        <v>1496</v>
      </c>
      <c r="D24" s="3">
        <v>24877</v>
      </c>
      <c r="E24" t="s">
        <v>1400</v>
      </c>
      <c r="G24" s="3">
        <v>44700</v>
      </c>
      <c r="H24" t="s">
        <v>1497</v>
      </c>
      <c r="J24" t="s">
        <v>1403</v>
      </c>
      <c r="K24" t="s">
        <v>52</v>
      </c>
      <c r="L24" s="3">
        <v>46117</v>
      </c>
      <c r="M24" s="3">
        <v>46104</v>
      </c>
      <c r="N24" t="s">
        <v>1498</v>
      </c>
      <c r="O24" s="4">
        <v>1</v>
      </c>
      <c r="P24">
        <v>0</v>
      </c>
      <c r="Q24">
        <v>0</v>
      </c>
    </row>
    <row r="25" spans="1:18" x14ac:dyDescent="0.3">
      <c r="A25">
        <v>39850</v>
      </c>
      <c r="B25" t="s">
        <v>1499</v>
      </c>
      <c r="C25" t="s">
        <v>1500</v>
      </c>
      <c r="D25" s="3">
        <v>26488</v>
      </c>
      <c r="E25" t="s">
        <v>1400</v>
      </c>
      <c r="G25" s="3">
        <v>45264</v>
      </c>
      <c r="H25" t="s">
        <v>1501</v>
      </c>
      <c r="J25" t="s">
        <v>1408</v>
      </c>
      <c r="K25" t="s">
        <v>52</v>
      </c>
      <c r="L25" s="3">
        <v>47106</v>
      </c>
      <c r="M25" s="3">
        <v>47077</v>
      </c>
      <c r="N25" t="s">
        <v>1502</v>
      </c>
      <c r="O25" s="4">
        <v>1</v>
      </c>
      <c r="P25">
        <v>0</v>
      </c>
      <c r="Q25">
        <v>0</v>
      </c>
      <c r="R25" t="s">
        <v>1503</v>
      </c>
    </row>
    <row r="26" spans="1:18" x14ac:dyDescent="0.3">
      <c r="A26">
        <v>13017</v>
      </c>
      <c r="B26" t="s">
        <v>1504</v>
      </c>
      <c r="C26" t="s">
        <v>570</v>
      </c>
      <c r="D26" s="3">
        <v>28294</v>
      </c>
      <c r="E26" t="s">
        <v>1400</v>
      </c>
      <c r="F26">
        <v>188</v>
      </c>
      <c r="G26" s="3">
        <v>36923</v>
      </c>
      <c r="H26" t="s">
        <v>1505</v>
      </c>
      <c r="J26" t="s">
        <v>1506</v>
      </c>
      <c r="K26" t="s">
        <v>64</v>
      </c>
      <c r="L26" s="3">
        <v>73050</v>
      </c>
      <c r="M26" s="3">
        <v>46866</v>
      </c>
      <c r="N26" t="s">
        <v>1507</v>
      </c>
      <c r="O26" s="4">
        <v>0.8</v>
      </c>
      <c r="P26">
        <v>0</v>
      </c>
      <c r="Q26">
        <v>0</v>
      </c>
    </row>
    <row r="27" spans="1:18" x14ac:dyDescent="0.3">
      <c r="A27">
        <v>21662</v>
      </c>
      <c r="B27" t="s">
        <v>1508</v>
      </c>
      <c r="C27" t="s">
        <v>1509</v>
      </c>
      <c r="D27" s="3">
        <v>22761</v>
      </c>
      <c r="E27" t="s">
        <v>1400</v>
      </c>
      <c r="F27">
        <v>428</v>
      </c>
      <c r="G27" s="3">
        <v>39454</v>
      </c>
      <c r="H27" t="s">
        <v>1510</v>
      </c>
      <c r="I27">
        <v>93294697</v>
      </c>
      <c r="J27" t="s">
        <v>1426</v>
      </c>
      <c r="K27" t="s">
        <v>70</v>
      </c>
      <c r="L27" s="3">
        <v>72686</v>
      </c>
      <c r="M27" s="3">
        <v>72686</v>
      </c>
      <c r="N27" t="s">
        <v>1511</v>
      </c>
      <c r="O27" s="4">
        <v>0.5</v>
      </c>
      <c r="P27">
        <v>0</v>
      </c>
      <c r="Q27">
        <v>0</v>
      </c>
    </row>
    <row r="28" spans="1:18" x14ac:dyDescent="0.3">
      <c r="A28">
        <v>26639</v>
      </c>
      <c r="B28" t="s">
        <v>1512</v>
      </c>
      <c r="C28" t="s">
        <v>1513</v>
      </c>
      <c r="D28" s="3">
        <v>26831</v>
      </c>
      <c r="E28" t="s">
        <v>1400</v>
      </c>
      <c r="F28">
        <v>644</v>
      </c>
      <c r="G28" s="3">
        <v>40749</v>
      </c>
      <c r="H28" t="s">
        <v>1514</v>
      </c>
      <c r="J28" t="s">
        <v>1515</v>
      </c>
      <c r="K28" t="s">
        <v>64</v>
      </c>
      <c r="L28" s="3">
        <v>46802</v>
      </c>
      <c r="M28" s="3">
        <v>46763</v>
      </c>
      <c r="N28" t="s">
        <v>1516</v>
      </c>
      <c r="O28" s="4">
        <v>0.8</v>
      </c>
      <c r="P28">
        <v>0</v>
      </c>
      <c r="Q28">
        <v>0</v>
      </c>
    </row>
    <row r="29" spans="1:18" x14ac:dyDescent="0.3">
      <c r="A29">
        <v>19127</v>
      </c>
      <c r="B29" t="s">
        <v>1517</v>
      </c>
      <c r="C29" t="s">
        <v>1513</v>
      </c>
      <c r="D29" s="3">
        <v>26900</v>
      </c>
      <c r="E29" t="s">
        <v>1400</v>
      </c>
      <c r="F29">
        <v>476</v>
      </c>
      <c r="G29" s="3">
        <v>38810</v>
      </c>
      <c r="H29" t="s">
        <v>1518</v>
      </c>
      <c r="J29" t="s">
        <v>1519</v>
      </c>
      <c r="K29" t="s">
        <v>61</v>
      </c>
      <c r="L29" s="3">
        <v>47652</v>
      </c>
      <c r="M29" s="3">
        <v>47644</v>
      </c>
      <c r="N29" t="s">
        <v>1520</v>
      </c>
      <c r="O29" s="4">
        <v>1</v>
      </c>
      <c r="P29">
        <v>0</v>
      </c>
      <c r="Q29">
        <v>0</v>
      </c>
    </row>
    <row r="30" spans="1:18" x14ac:dyDescent="0.3">
      <c r="A30">
        <v>17555</v>
      </c>
      <c r="B30" t="s">
        <v>1521</v>
      </c>
      <c r="C30" t="s">
        <v>1513</v>
      </c>
      <c r="D30" s="3">
        <v>29308</v>
      </c>
      <c r="E30" t="s">
        <v>1400</v>
      </c>
      <c r="F30">
        <v>611</v>
      </c>
      <c r="G30" s="3">
        <v>38222</v>
      </c>
      <c r="H30" t="s">
        <v>1522</v>
      </c>
      <c r="J30" t="s">
        <v>1523</v>
      </c>
      <c r="K30" t="s">
        <v>55</v>
      </c>
      <c r="L30" s="3">
        <v>47614</v>
      </c>
      <c r="M30" s="3">
        <v>47021</v>
      </c>
      <c r="N30" t="s">
        <v>1524</v>
      </c>
      <c r="O30" s="4">
        <v>1</v>
      </c>
      <c r="P30">
        <v>0</v>
      </c>
      <c r="Q30">
        <v>1</v>
      </c>
    </row>
    <row r="31" spans="1:18" x14ac:dyDescent="0.3">
      <c r="A31">
        <v>14625</v>
      </c>
      <c r="B31" t="s">
        <v>1525</v>
      </c>
      <c r="C31" t="s">
        <v>1526</v>
      </c>
      <c r="D31" s="3">
        <v>23621</v>
      </c>
      <c r="E31" t="s">
        <v>1400</v>
      </c>
      <c r="F31">
        <v>7</v>
      </c>
      <c r="G31" s="3">
        <v>37397</v>
      </c>
      <c r="H31" t="s">
        <v>1527</v>
      </c>
      <c r="J31" t="s">
        <v>1528</v>
      </c>
      <c r="K31" t="s">
        <v>73</v>
      </c>
      <c r="L31" s="3">
        <v>45903</v>
      </c>
      <c r="M31" s="3">
        <v>46369</v>
      </c>
      <c r="N31" t="s">
        <v>1529</v>
      </c>
      <c r="O31" s="4">
        <v>0.8</v>
      </c>
      <c r="P31">
        <v>0</v>
      </c>
      <c r="Q31">
        <v>0</v>
      </c>
    </row>
    <row r="32" spans="1:18" x14ac:dyDescent="0.3">
      <c r="A32">
        <v>25680</v>
      </c>
      <c r="B32" t="s">
        <v>1530</v>
      </c>
      <c r="C32" t="s">
        <v>1531</v>
      </c>
      <c r="D32" s="3">
        <v>29775</v>
      </c>
      <c r="E32" t="s">
        <v>1400</v>
      </c>
      <c r="F32">
        <v>606</v>
      </c>
      <c r="G32" s="3">
        <v>40455</v>
      </c>
      <c r="H32" t="s">
        <v>1532</v>
      </c>
      <c r="J32" t="s">
        <v>1480</v>
      </c>
      <c r="K32" t="s">
        <v>64</v>
      </c>
      <c r="L32" s="3">
        <v>73050</v>
      </c>
      <c r="M32" s="3">
        <v>73050</v>
      </c>
      <c r="N32" t="s">
        <v>1533</v>
      </c>
      <c r="O32" s="4">
        <v>0.8</v>
      </c>
      <c r="P32">
        <v>0</v>
      </c>
      <c r="Q32">
        <v>1</v>
      </c>
    </row>
    <row r="33" spans="1:17" x14ac:dyDescent="0.3">
      <c r="A33">
        <v>27672</v>
      </c>
      <c r="B33" t="s">
        <v>1534</v>
      </c>
      <c r="C33" t="s">
        <v>1535</v>
      </c>
      <c r="D33" s="3">
        <v>31877</v>
      </c>
      <c r="E33" t="s">
        <v>1400</v>
      </c>
      <c r="F33">
        <v>199</v>
      </c>
      <c r="G33" s="3">
        <v>41204</v>
      </c>
      <c r="H33" t="s">
        <v>1536</v>
      </c>
      <c r="J33" t="s">
        <v>1537</v>
      </c>
      <c r="K33" t="s">
        <v>67</v>
      </c>
      <c r="L33" s="3">
        <v>72686</v>
      </c>
      <c r="M33" s="3">
        <v>46476</v>
      </c>
      <c r="N33" t="s">
        <v>1538</v>
      </c>
      <c r="O33" s="4">
        <v>1</v>
      </c>
      <c r="P33">
        <v>0</v>
      </c>
      <c r="Q33">
        <v>0</v>
      </c>
    </row>
    <row r="34" spans="1:17" x14ac:dyDescent="0.3">
      <c r="A34">
        <v>19016</v>
      </c>
      <c r="B34" t="s">
        <v>1539</v>
      </c>
      <c r="C34" t="s">
        <v>1535</v>
      </c>
      <c r="D34" s="3">
        <v>25538</v>
      </c>
      <c r="E34" t="s">
        <v>1400</v>
      </c>
      <c r="F34">
        <v>97</v>
      </c>
      <c r="G34" s="3">
        <v>38775</v>
      </c>
      <c r="H34" t="s">
        <v>1540</v>
      </c>
      <c r="I34">
        <v>92322233</v>
      </c>
      <c r="J34" t="s">
        <v>1506</v>
      </c>
      <c r="K34" t="s">
        <v>58</v>
      </c>
      <c r="L34" s="3">
        <v>46063</v>
      </c>
      <c r="M34" s="3">
        <v>46014</v>
      </c>
      <c r="N34" t="s">
        <v>1541</v>
      </c>
      <c r="O34" s="4">
        <v>1</v>
      </c>
      <c r="P34">
        <v>0</v>
      </c>
      <c r="Q34">
        <v>0</v>
      </c>
    </row>
    <row r="35" spans="1:17" x14ac:dyDescent="0.3">
      <c r="A35">
        <v>21428</v>
      </c>
      <c r="B35" t="s">
        <v>1542</v>
      </c>
      <c r="C35" t="s">
        <v>1543</v>
      </c>
      <c r="D35" s="3">
        <v>25671</v>
      </c>
      <c r="E35" t="s">
        <v>1400</v>
      </c>
      <c r="F35">
        <v>328</v>
      </c>
      <c r="G35" s="3">
        <v>39370</v>
      </c>
      <c r="H35" t="s">
        <v>1544</v>
      </c>
      <c r="J35" t="s">
        <v>1484</v>
      </c>
      <c r="K35" t="s">
        <v>58</v>
      </c>
      <c r="L35" s="3">
        <v>46806</v>
      </c>
      <c r="M35" s="3">
        <v>46798</v>
      </c>
      <c r="N35" t="s">
        <v>1545</v>
      </c>
      <c r="O35" s="4">
        <v>0.8</v>
      </c>
      <c r="P35">
        <v>0</v>
      </c>
      <c r="Q35">
        <v>0</v>
      </c>
    </row>
    <row r="36" spans="1:17" x14ac:dyDescent="0.3">
      <c r="A36">
        <v>15852</v>
      </c>
      <c r="B36" t="s">
        <v>1546</v>
      </c>
      <c r="C36" t="s">
        <v>1543</v>
      </c>
      <c r="D36" s="3">
        <v>29948</v>
      </c>
      <c r="E36" t="s">
        <v>1400</v>
      </c>
      <c r="F36">
        <v>251</v>
      </c>
      <c r="G36" s="3">
        <v>37788</v>
      </c>
      <c r="H36" t="s">
        <v>1547</v>
      </c>
      <c r="J36" t="s">
        <v>1506</v>
      </c>
      <c r="K36" t="s">
        <v>64</v>
      </c>
      <c r="L36" s="3">
        <v>45885</v>
      </c>
      <c r="M36" s="3">
        <v>46776</v>
      </c>
      <c r="N36" t="s">
        <v>1548</v>
      </c>
      <c r="O36" s="4">
        <v>0.8</v>
      </c>
      <c r="P36">
        <v>0</v>
      </c>
      <c r="Q36">
        <v>0</v>
      </c>
    </row>
    <row r="37" spans="1:17" x14ac:dyDescent="0.3">
      <c r="A37">
        <v>33639</v>
      </c>
      <c r="B37" t="s">
        <v>1549</v>
      </c>
      <c r="C37" t="s">
        <v>1550</v>
      </c>
      <c r="D37" s="3">
        <v>23813</v>
      </c>
      <c r="E37" t="s">
        <v>1400</v>
      </c>
      <c r="F37">
        <v>104</v>
      </c>
      <c r="G37" s="3">
        <v>43528</v>
      </c>
      <c r="H37" t="s">
        <v>1551</v>
      </c>
      <c r="J37" t="s">
        <v>1432</v>
      </c>
      <c r="K37" t="s">
        <v>73</v>
      </c>
      <c r="L37" s="3">
        <v>47085</v>
      </c>
      <c r="M37" s="3">
        <v>47051</v>
      </c>
      <c r="N37" t="s">
        <v>1552</v>
      </c>
      <c r="O37" s="4">
        <v>0.5</v>
      </c>
      <c r="P37">
        <v>0</v>
      </c>
      <c r="Q37">
        <v>0</v>
      </c>
    </row>
    <row r="38" spans="1:17" x14ac:dyDescent="0.3">
      <c r="A38">
        <v>40744</v>
      </c>
      <c r="B38" t="s">
        <v>1553</v>
      </c>
      <c r="C38" t="s">
        <v>1554</v>
      </c>
      <c r="D38" s="3">
        <v>34859</v>
      </c>
      <c r="E38" t="s">
        <v>1400</v>
      </c>
      <c r="G38" s="3">
        <v>45484</v>
      </c>
      <c r="H38" t="s">
        <v>1555</v>
      </c>
      <c r="J38" t="s">
        <v>1408</v>
      </c>
      <c r="K38" t="s">
        <v>55</v>
      </c>
      <c r="L38" s="3">
        <v>47329</v>
      </c>
      <c r="M38" s="3">
        <v>47300</v>
      </c>
      <c r="N38" t="s">
        <v>1556</v>
      </c>
      <c r="O38" s="4">
        <v>1</v>
      </c>
      <c r="P38">
        <v>0</v>
      </c>
      <c r="Q38">
        <v>0</v>
      </c>
    </row>
    <row r="39" spans="1:17" x14ac:dyDescent="0.3">
      <c r="A39">
        <v>10150</v>
      </c>
      <c r="B39" t="s">
        <v>1557</v>
      </c>
      <c r="C39" t="s">
        <v>1558</v>
      </c>
      <c r="D39" s="3">
        <v>24256</v>
      </c>
      <c r="E39" t="s">
        <v>1400</v>
      </c>
      <c r="F39">
        <v>107</v>
      </c>
      <c r="G39" s="3">
        <v>35891</v>
      </c>
      <c r="H39" t="s">
        <v>1559</v>
      </c>
      <c r="J39" t="s">
        <v>1506</v>
      </c>
      <c r="K39" t="s">
        <v>67</v>
      </c>
      <c r="L39" s="3">
        <v>73050</v>
      </c>
      <c r="M39" s="3">
        <v>46791</v>
      </c>
      <c r="N39" t="s">
        <v>1560</v>
      </c>
      <c r="O39" s="4">
        <v>0.8</v>
      </c>
      <c r="P39">
        <v>0</v>
      </c>
      <c r="Q39">
        <v>0</v>
      </c>
    </row>
    <row r="40" spans="1:17" x14ac:dyDescent="0.3">
      <c r="A40">
        <v>41383</v>
      </c>
      <c r="B40" t="s">
        <v>1561</v>
      </c>
      <c r="C40" t="s">
        <v>1558</v>
      </c>
      <c r="D40" s="3">
        <v>25272</v>
      </c>
      <c r="E40" t="s">
        <v>1400</v>
      </c>
      <c r="G40" s="3">
        <v>45663</v>
      </c>
      <c r="H40" t="s">
        <v>1562</v>
      </c>
      <c r="J40" t="s">
        <v>1408</v>
      </c>
      <c r="K40" t="s">
        <v>58</v>
      </c>
      <c r="L40" s="3">
        <v>47506</v>
      </c>
      <c r="M40" s="3">
        <v>47449</v>
      </c>
      <c r="N40" t="s">
        <v>1563</v>
      </c>
      <c r="O40" s="4">
        <v>1</v>
      </c>
      <c r="P40">
        <v>0</v>
      </c>
      <c r="Q40">
        <v>0</v>
      </c>
    </row>
    <row r="41" spans="1:17" x14ac:dyDescent="0.3">
      <c r="A41">
        <v>23545</v>
      </c>
      <c r="B41" t="s">
        <v>1564</v>
      </c>
      <c r="C41" t="s">
        <v>1558</v>
      </c>
      <c r="D41" s="3">
        <v>24859</v>
      </c>
      <c r="E41" t="s">
        <v>1400</v>
      </c>
      <c r="F41">
        <v>151</v>
      </c>
      <c r="G41" s="3">
        <v>39895</v>
      </c>
      <c r="H41" t="s">
        <v>1565</v>
      </c>
      <c r="J41" t="s">
        <v>1528</v>
      </c>
      <c r="K41" t="s">
        <v>73</v>
      </c>
      <c r="L41" s="3">
        <v>47043</v>
      </c>
      <c r="M41" s="3">
        <v>47034</v>
      </c>
      <c r="N41" t="s">
        <v>1566</v>
      </c>
      <c r="O41" s="4">
        <v>0.8</v>
      </c>
      <c r="P41">
        <v>0</v>
      </c>
      <c r="Q41">
        <v>0</v>
      </c>
    </row>
    <row r="42" spans="1:17" x14ac:dyDescent="0.3">
      <c r="A42">
        <v>15676</v>
      </c>
      <c r="B42" t="s">
        <v>1567</v>
      </c>
      <c r="C42" t="s">
        <v>1558</v>
      </c>
      <c r="D42" s="3">
        <v>28338</v>
      </c>
      <c r="E42" t="s">
        <v>1400</v>
      </c>
      <c r="F42">
        <v>186</v>
      </c>
      <c r="G42" s="3">
        <v>37739</v>
      </c>
      <c r="H42" t="s">
        <v>1568</v>
      </c>
      <c r="J42" t="s">
        <v>1569</v>
      </c>
      <c r="K42" t="s">
        <v>73</v>
      </c>
      <c r="L42" s="3">
        <v>47645</v>
      </c>
      <c r="M42" s="3">
        <v>46434</v>
      </c>
      <c r="N42" t="s">
        <v>1570</v>
      </c>
      <c r="O42" s="4">
        <v>1</v>
      </c>
      <c r="P42">
        <v>0</v>
      </c>
      <c r="Q42">
        <v>1</v>
      </c>
    </row>
    <row r="43" spans="1:17" x14ac:dyDescent="0.3">
      <c r="A43">
        <v>12124</v>
      </c>
      <c r="B43" t="s">
        <v>1571</v>
      </c>
      <c r="C43" t="s">
        <v>1572</v>
      </c>
      <c r="D43" s="3">
        <v>28780</v>
      </c>
      <c r="E43" t="s">
        <v>1400</v>
      </c>
      <c r="F43">
        <v>397</v>
      </c>
      <c r="G43" s="3">
        <v>36654</v>
      </c>
      <c r="H43" t="s">
        <v>1573</v>
      </c>
      <c r="J43" t="s">
        <v>1574</v>
      </c>
      <c r="K43" t="s">
        <v>67</v>
      </c>
      <c r="L43" s="3">
        <v>73050</v>
      </c>
      <c r="M43" s="3">
        <v>47460</v>
      </c>
      <c r="N43" t="s">
        <v>1575</v>
      </c>
      <c r="O43" s="4">
        <v>1</v>
      </c>
      <c r="P43">
        <v>0</v>
      </c>
      <c r="Q43">
        <v>0</v>
      </c>
    </row>
    <row r="44" spans="1:17" x14ac:dyDescent="0.3">
      <c r="A44">
        <v>35463</v>
      </c>
      <c r="B44" t="s">
        <v>1576</v>
      </c>
      <c r="C44" t="s">
        <v>1572</v>
      </c>
      <c r="D44" s="3">
        <v>31006</v>
      </c>
      <c r="E44" t="s">
        <v>1400</v>
      </c>
      <c r="F44">
        <v>38</v>
      </c>
      <c r="G44" s="3">
        <v>44025</v>
      </c>
      <c r="H44" t="s">
        <v>1577</v>
      </c>
      <c r="J44" t="s">
        <v>1441</v>
      </c>
      <c r="K44" t="s">
        <v>52</v>
      </c>
      <c r="L44" s="3">
        <v>47610</v>
      </c>
      <c r="M44" s="3">
        <v>47547</v>
      </c>
      <c r="N44" t="s">
        <v>1578</v>
      </c>
      <c r="O44" s="4">
        <v>1</v>
      </c>
      <c r="P44">
        <v>0</v>
      </c>
      <c r="Q44">
        <v>0</v>
      </c>
    </row>
    <row r="45" spans="1:17" x14ac:dyDescent="0.3">
      <c r="A45">
        <v>34890</v>
      </c>
      <c r="B45" t="s">
        <v>1579</v>
      </c>
      <c r="C45" t="s">
        <v>1572</v>
      </c>
      <c r="D45" s="3">
        <v>31820</v>
      </c>
      <c r="E45" t="s">
        <v>1400</v>
      </c>
      <c r="F45">
        <v>365</v>
      </c>
      <c r="G45" s="3">
        <v>43808</v>
      </c>
      <c r="H45" t="s">
        <v>1580</v>
      </c>
      <c r="I45">
        <v>487367392</v>
      </c>
      <c r="J45" t="s">
        <v>1441</v>
      </c>
      <c r="K45" t="s">
        <v>55</v>
      </c>
      <c r="L45" s="3">
        <v>46251</v>
      </c>
      <c r="M45" s="3">
        <v>47413</v>
      </c>
      <c r="N45" t="s">
        <v>1581</v>
      </c>
      <c r="O45" s="4">
        <v>1</v>
      </c>
      <c r="P45">
        <v>0</v>
      </c>
      <c r="Q45">
        <v>1</v>
      </c>
    </row>
    <row r="46" spans="1:17" x14ac:dyDescent="0.3">
      <c r="A46">
        <v>34019</v>
      </c>
      <c r="B46" t="s">
        <v>1582</v>
      </c>
      <c r="C46" t="s">
        <v>1572</v>
      </c>
      <c r="D46" s="3">
        <v>31359</v>
      </c>
      <c r="E46" t="s">
        <v>1400</v>
      </c>
      <c r="F46">
        <v>329</v>
      </c>
      <c r="G46" s="3">
        <v>43627</v>
      </c>
      <c r="H46" t="s">
        <v>1583</v>
      </c>
      <c r="I46">
        <v>495418640</v>
      </c>
      <c r="J46" t="s">
        <v>1484</v>
      </c>
      <c r="K46" t="s">
        <v>61</v>
      </c>
      <c r="L46" s="3">
        <v>47051</v>
      </c>
      <c r="M46" s="3">
        <v>47044</v>
      </c>
      <c r="N46" t="s">
        <v>1584</v>
      </c>
      <c r="O46" s="4">
        <v>1</v>
      </c>
      <c r="P46">
        <v>0</v>
      </c>
      <c r="Q46">
        <v>1</v>
      </c>
    </row>
    <row r="47" spans="1:17" x14ac:dyDescent="0.3">
      <c r="A47">
        <v>31600</v>
      </c>
      <c r="B47" t="s">
        <v>1585</v>
      </c>
      <c r="C47" t="s">
        <v>1572</v>
      </c>
      <c r="D47" s="3">
        <v>32464</v>
      </c>
      <c r="E47" t="s">
        <v>1400</v>
      </c>
      <c r="F47">
        <v>6</v>
      </c>
      <c r="G47" s="3">
        <v>42843</v>
      </c>
      <c r="H47" t="s">
        <v>1586</v>
      </c>
      <c r="J47" t="s">
        <v>1587</v>
      </c>
      <c r="K47" t="s">
        <v>70</v>
      </c>
      <c r="L47" s="3">
        <v>46419</v>
      </c>
      <c r="M47" s="3">
        <v>46418</v>
      </c>
      <c r="N47" t="s">
        <v>1588</v>
      </c>
      <c r="O47" s="4">
        <v>1</v>
      </c>
      <c r="P47">
        <v>0</v>
      </c>
      <c r="Q47">
        <v>0</v>
      </c>
    </row>
    <row r="48" spans="1:17" x14ac:dyDescent="0.3">
      <c r="A48">
        <v>30119</v>
      </c>
      <c r="B48" t="s">
        <v>1589</v>
      </c>
      <c r="C48" t="s">
        <v>1572</v>
      </c>
      <c r="D48" s="3">
        <v>24008</v>
      </c>
      <c r="E48" t="s">
        <v>1400</v>
      </c>
      <c r="F48">
        <v>143</v>
      </c>
      <c r="G48" s="3">
        <v>42198</v>
      </c>
      <c r="H48" t="s">
        <v>1590</v>
      </c>
      <c r="J48" t="s">
        <v>1480</v>
      </c>
      <c r="K48" t="s">
        <v>52</v>
      </c>
      <c r="L48" s="3">
        <v>47569</v>
      </c>
      <c r="M48" s="3">
        <v>47517</v>
      </c>
      <c r="N48" t="s">
        <v>1591</v>
      </c>
      <c r="O48" s="4">
        <v>1</v>
      </c>
      <c r="P48">
        <v>0</v>
      </c>
      <c r="Q48">
        <v>1</v>
      </c>
    </row>
    <row r="49" spans="1:17" x14ac:dyDescent="0.3">
      <c r="A49">
        <v>32092</v>
      </c>
      <c r="B49" t="s">
        <v>1592</v>
      </c>
      <c r="C49" t="s">
        <v>1593</v>
      </c>
      <c r="D49" s="3">
        <v>35325</v>
      </c>
      <c r="E49" t="s">
        <v>1400</v>
      </c>
      <c r="F49">
        <v>78</v>
      </c>
      <c r="G49" s="3">
        <v>43003</v>
      </c>
      <c r="H49" t="s">
        <v>1594</v>
      </c>
      <c r="J49" t="s">
        <v>1418</v>
      </c>
      <c r="K49" t="s">
        <v>55</v>
      </c>
      <c r="L49" s="3">
        <v>46622</v>
      </c>
      <c r="M49" s="3">
        <v>46621</v>
      </c>
      <c r="N49" t="s">
        <v>1595</v>
      </c>
      <c r="O49" s="4">
        <v>0.8</v>
      </c>
      <c r="P49">
        <v>0</v>
      </c>
      <c r="Q49">
        <v>0</v>
      </c>
    </row>
    <row r="50" spans="1:17" x14ac:dyDescent="0.3">
      <c r="A50">
        <v>34198</v>
      </c>
      <c r="B50" t="s">
        <v>1596</v>
      </c>
      <c r="C50" t="s">
        <v>1597</v>
      </c>
      <c r="D50" s="3">
        <v>34236</v>
      </c>
      <c r="E50" t="s">
        <v>1400</v>
      </c>
      <c r="F50">
        <v>103</v>
      </c>
      <c r="G50" s="3">
        <v>43669</v>
      </c>
      <c r="H50" t="s">
        <v>1598</v>
      </c>
      <c r="I50">
        <v>32478510138</v>
      </c>
      <c r="J50" t="s">
        <v>1413</v>
      </c>
      <c r="K50" t="s">
        <v>58</v>
      </c>
      <c r="L50" s="3">
        <v>47267</v>
      </c>
      <c r="M50" s="3">
        <v>47170</v>
      </c>
      <c r="N50" t="s">
        <v>1599</v>
      </c>
      <c r="O50" s="4">
        <v>0.8</v>
      </c>
      <c r="P50">
        <v>0</v>
      </c>
      <c r="Q50">
        <v>0</v>
      </c>
    </row>
    <row r="51" spans="1:17" x14ac:dyDescent="0.3">
      <c r="A51">
        <v>40138</v>
      </c>
      <c r="B51" t="s">
        <v>1600</v>
      </c>
      <c r="C51" t="s">
        <v>1601</v>
      </c>
      <c r="D51" s="3">
        <v>37726</v>
      </c>
      <c r="E51" t="s">
        <v>1400</v>
      </c>
      <c r="G51" s="3">
        <v>45335</v>
      </c>
      <c r="H51" t="s">
        <v>1602</v>
      </c>
      <c r="J51" t="s">
        <v>1408</v>
      </c>
      <c r="K51" t="s">
        <v>61</v>
      </c>
      <c r="L51" s="3">
        <v>47181</v>
      </c>
      <c r="M51" s="3">
        <v>47139</v>
      </c>
      <c r="N51" t="s">
        <v>1603</v>
      </c>
      <c r="O51" s="4">
        <v>1</v>
      </c>
      <c r="P51">
        <v>0</v>
      </c>
      <c r="Q51">
        <v>0</v>
      </c>
    </row>
    <row r="52" spans="1:17" x14ac:dyDescent="0.3">
      <c r="A52">
        <v>41348</v>
      </c>
      <c r="B52" t="s">
        <v>1604</v>
      </c>
      <c r="C52" t="s">
        <v>1605</v>
      </c>
      <c r="D52" s="3">
        <v>35443</v>
      </c>
      <c r="E52" t="s">
        <v>1400</v>
      </c>
      <c r="G52" s="3">
        <v>45673</v>
      </c>
      <c r="H52" t="s">
        <v>1606</v>
      </c>
      <c r="J52" t="s">
        <v>1408</v>
      </c>
      <c r="K52" t="s">
        <v>61</v>
      </c>
      <c r="L52" s="3">
        <v>47050</v>
      </c>
      <c r="M52" s="3">
        <v>46973</v>
      </c>
      <c r="N52" t="s">
        <v>1607</v>
      </c>
      <c r="O52" s="4">
        <v>1</v>
      </c>
      <c r="P52">
        <v>0</v>
      </c>
      <c r="Q52">
        <v>0</v>
      </c>
    </row>
    <row r="53" spans="1:17" x14ac:dyDescent="0.3">
      <c r="A53">
        <v>33982</v>
      </c>
      <c r="B53" t="s">
        <v>1608</v>
      </c>
      <c r="C53" t="s">
        <v>1370</v>
      </c>
      <c r="D53" s="3">
        <v>30017</v>
      </c>
      <c r="E53" t="s">
        <v>1400</v>
      </c>
      <c r="F53">
        <v>215</v>
      </c>
      <c r="G53" s="3">
        <v>43605</v>
      </c>
      <c r="H53" t="s">
        <v>1609</v>
      </c>
      <c r="J53" t="s">
        <v>1610</v>
      </c>
      <c r="K53" t="s">
        <v>70</v>
      </c>
      <c r="L53" s="3">
        <v>47229</v>
      </c>
      <c r="M53" s="3">
        <v>47170</v>
      </c>
      <c r="N53" t="s">
        <v>1611</v>
      </c>
      <c r="O53" s="4">
        <v>0.8</v>
      </c>
      <c r="P53">
        <v>0</v>
      </c>
      <c r="Q53">
        <v>0</v>
      </c>
    </row>
    <row r="54" spans="1:17" x14ac:dyDescent="0.3">
      <c r="A54">
        <v>41384</v>
      </c>
      <c r="B54" t="s">
        <v>1612</v>
      </c>
      <c r="C54" t="s">
        <v>1613</v>
      </c>
      <c r="D54" s="3">
        <v>37981</v>
      </c>
      <c r="E54" t="s">
        <v>1400</v>
      </c>
      <c r="G54" s="3">
        <v>45677</v>
      </c>
      <c r="H54" t="s">
        <v>1614</v>
      </c>
      <c r="J54" t="s">
        <v>1408</v>
      </c>
      <c r="K54" t="s">
        <v>61</v>
      </c>
      <c r="L54" s="3">
        <v>47520</v>
      </c>
      <c r="M54" s="3">
        <v>47449</v>
      </c>
      <c r="N54" t="s">
        <v>1615</v>
      </c>
      <c r="O54" s="4">
        <v>1</v>
      </c>
      <c r="P54">
        <v>0</v>
      </c>
      <c r="Q54">
        <v>0</v>
      </c>
    </row>
    <row r="55" spans="1:17" x14ac:dyDescent="0.3">
      <c r="A55">
        <v>38346</v>
      </c>
      <c r="B55" t="s">
        <v>1616</v>
      </c>
      <c r="C55" t="s">
        <v>1617</v>
      </c>
      <c r="D55" s="3">
        <v>36662</v>
      </c>
      <c r="E55" t="s">
        <v>1400</v>
      </c>
      <c r="G55" s="3">
        <v>44886</v>
      </c>
      <c r="H55" t="s">
        <v>1618</v>
      </c>
      <c r="J55" t="s">
        <v>1446</v>
      </c>
      <c r="K55" t="s">
        <v>58</v>
      </c>
      <c r="L55" s="3">
        <v>46726</v>
      </c>
      <c r="M55" s="3">
        <v>46658</v>
      </c>
      <c r="N55" t="s">
        <v>1619</v>
      </c>
      <c r="O55" s="4">
        <v>1</v>
      </c>
      <c r="P55">
        <v>0</v>
      </c>
      <c r="Q55">
        <v>0</v>
      </c>
    </row>
    <row r="56" spans="1:17" x14ac:dyDescent="0.3">
      <c r="A56">
        <v>14425</v>
      </c>
      <c r="B56" t="s">
        <v>1576</v>
      </c>
      <c r="C56" t="s">
        <v>1620</v>
      </c>
      <c r="D56" s="3">
        <v>27851</v>
      </c>
      <c r="E56" t="s">
        <v>1400</v>
      </c>
      <c r="F56">
        <v>142</v>
      </c>
      <c r="G56" s="3">
        <v>37333</v>
      </c>
      <c r="H56" t="s">
        <v>1621</v>
      </c>
      <c r="J56" t="s">
        <v>1454</v>
      </c>
      <c r="K56" t="s">
        <v>55</v>
      </c>
      <c r="L56" s="3">
        <v>72686</v>
      </c>
      <c r="M56" s="3">
        <v>46798</v>
      </c>
      <c r="N56" t="s">
        <v>1622</v>
      </c>
      <c r="O56" s="4">
        <v>1</v>
      </c>
      <c r="P56">
        <v>0</v>
      </c>
      <c r="Q56">
        <v>0</v>
      </c>
    </row>
    <row r="57" spans="1:17" x14ac:dyDescent="0.3">
      <c r="A57">
        <v>27153</v>
      </c>
      <c r="B57" t="s">
        <v>1623</v>
      </c>
      <c r="C57" t="s">
        <v>1624</v>
      </c>
      <c r="D57" s="3">
        <v>32853</v>
      </c>
      <c r="E57" t="s">
        <v>1400</v>
      </c>
      <c r="F57">
        <v>648</v>
      </c>
      <c r="G57" s="3">
        <v>40952</v>
      </c>
      <c r="H57" t="s">
        <v>1625</v>
      </c>
      <c r="J57" t="s">
        <v>1626</v>
      </c>
      <c r="K57" t="s">
        <v>61</v>
      </c>
      <c r="L57" s="3">
        <v>46330</v>
      </c>
      <c r="M57" s="3">
        <v>46316</v>
      </c>
      <c r="N57" t="s">
        <v>1627</v>
      </c>
      <c r="O57" s="4">
        <v>1</v>
      </c>
      <c r="P57">
        <v>0</v>
      </c>
      <c r="Q57">
        <v>0</v>
      </c>
    </row>
    <row r="58" spans="1:17" x14ac:dyDescent="0.3">
      <c r="A58">
        <v>5559</v>
      </c>
      <c r="B58" t="s">
        <v>1582</v>
      </c>
      <c r="C58" t="s">
        <v>1628</v>
      </c>
      <c r="D58" s="3">
        <v>24869</v>
      </c>
      <c r="E58" t="s">
        <v>1400</v>
      </c>
      <c r="F58">
        <v>331</v>
      </c>
      <c r="G58" s="3">
        <v>33546</v>
      </c>
      <c r="H58" t="s">
        <v>1629</v>
      </c>
      <c r="J58" t="s">
        <v>1506</v>
      </c>
      <c r="K58" t="s">
        <v>67</v>
      </c>
      <c r="L58" s="3">
        <v>72686</v>
      </c>
      <c r="M58" s="3">
        <v>46985</v>
      </c>
      <c r="N58" t="s">
        <v>1630</v>
      </c>
      <c r="O58" s="4">
        <v>0.8</v>
      </c>
      <c r="P58">
        <v>0</v>
      </c>
      <c r="Q58">
        <v>0</v>
      </c>
    </row>
    <row r="59" spans="1:17" x14ac:dyDescent="0.3">
      <c r="A59">
        <v>16098</v>
      </c>
      <c r="B59" t="s">
        <v>1631</v>
      </c>
      <c r="C59" t="s">
        <v>1628</v>
      </c>
      <c r="D59" s="3">
        <v>22597</v>
      </c>
      <c r="E59" t="s">
        <v>1400</v>
      </c>
      <c r="F59">
        <v>439</v>
      </c>
      <c r="G59" s="3">
        <v>37830</v>
      </c>
      <c r="H59" t="s">
        <v>1632</v>
      </c>
      <c r="J59" t="s">
        <v>1484</v>
      </c>
      <c r="K59" t="s">
        <v>61</v>
      </c>
      <c r="L59" s="3">
        <v>45880</v>
      </c>
      <c r="M59" s="3">
        <v>46665</v>
      </c>
      <c r="N59" t="s">
        <v>1633</v>
      </c>
      <c r="O59" s="4">
        <v>0.8</v>
      </c>
      <c r="P59">
        <v>0</v>
      </c>
      <c r="Q59">
        <v>0</v>
      </c>
    </row>
    <row r="60" spans="1:17" x14ac:dyDescent="0.3">
      <c r="A60">
        <v>41091</v>
      </c>
      <c r="B60" t="s">
        <v>1634</v>
      </c>
      <c r="C60" t="s">
        <v>1635</v>
      </c>
      <c r="D60" s="3">
        <v>32903</v>
      </c>
      <c r="E60" t="s">
        <v>1400</v>
      </c>
      <c r="G60" s="3">
        <v>45603</v>
      </c>
      <c r="H60" t="s">
        <v>1636</v>
      </c>
      <c r="J60" t="s">
        <v>1408</v>
      </c>
      <c r="K60" t="s">
        <v>52</v>
      </c>
      <c r="L60" s="3">
        <v>47450</v>
      </c>
      <c r="M60" s="3">
        <v>47386</v>
      </c>
      <c r="N60" t="s">
        <v>1637</v>
      </c>
      <c r="O60" s="4">
        <v>1</v>
      </c>
      <c r="P60">
        <v>0</v>
      </c>
      <c r="Q60">
        <v>0</v>
      </c>
    </row>
    <row r="61" spans="1:17" x14ac:dyDescent="0.3">
      <c r="A61">
        <v>38579</v>
      </c>
      <c r="B61" t="s">
        <v>1638</v>
      </c>
      <c r="C61" t="s">
        <v>1639</v>
      </c>
      <c r="D61" s="3">
        <v>25028</v>
      </c>
      <c r="E61" t="s">
        <v>1400</v>
      </c>
      <c r="G61" s="3">
        <v>45035</v>
      </c>
      <c r="H61" t="s">
        <v>1640</v>
      </c>
      <c r="J61" t="s">
        <v>1408</v>
      </c>
      <c r="K61" t="s">
        <v>70</v>
      </c>
      <c r="L61" s="3">
        <v>47664</v>
      </c>
      <c r="M61" s="3">
        <v>46447</v>
      </c>
      <c r="N61" t="s">
        <v>1641</v>
      </c>
      <c r="O61" s="4">
        <v>1</v>
      </c>
      <c r="P61">
        <v>0</v>
      </c>
      <c r="Q61">
        <v>0</v>
      </c>
    </row>
    <row r="62" spans="1:17" x14ac:dyDescent="0.3">
      <c r="A62">
        <v>36154</v>
      </c>
      <c r="B62" t="s">
        <v>1517</v>
      </c>
      <c r="C62" t="s">
        <v>1639</v>
      </c>
      <c r="D62" s="3">
        <v>35578</v>
      </c>
      <c r="E62" t="s">
        <v>1400</v>
      </c>
      <c r="G62" s="3">
        <v>44214</v>
      </c>
      <c r="H62" t="s">
        <v>1642</v>
      </c>
      <c r="J62" t="s">
        <v>1610</v>
      </c>
      <c r="K62" t="s">
        <v>73</v>
      </c>
      <c r="L62" s="3">
        <v>46055</v>
      </c>
      <c r="M62" s="3">
        <v>45930</v>
      </c>
      <c r="N62" t="s">
        <v>1643</v>
      </c>
      <c r="O62" s="4">
        <v>0.8</v>
      </c>
      <c r="P62">
        <v>0</v>
      </c>
      <c r="Q62">
        <v>0</v>
      </c>
    </row>
    <row r="63" spans="1:17" x14ac:dyDescent="0.3">
      <c r="A63">
        <v>39651</v>
      </c>
      <c r="B63" t="s">
        <v>1644</v>
      </c>
      <c r="C63" t="s">
        <v>1645</v>
      </c>
      <c r="D63" s="3">
        <v>32321</v>
      </c>
      <c r="E63" t="s">
        <v>1400</v>
      </c>
      <c r="G63" s="3">
        <v>45208</v>
      </c>
      <c r="H63" t="s">
        <v>1646</v>
      </c>
      <c r="J63" t="s">
        <v>1408</v>
      </c>
      <c r="K63" t="s">
        <v>64</v>
      </c>
      <c r="L63" s="3">
        <v>47051</v>
      </c>
      <c r="M63" s="3">
        <v>47027</v>
      </c>
      <c r="N63" t="s">
        <v>1647</v>
      </c>
      <c r="O63" s="4">
        <v>1</v>
      </c>
      <c r="P63">
        <v>0</v>
      </c>
      <c r="Q63">
        <v>0</v>
      </c>
    </row>
    <row r="64" spans="1:17" x14ac:dyDescent="0.3">
      <c r="A64">
        <v>22244</v>
      </c>
      <c r="B64" t="s">
        <v>1648</v>
      </c>
      <c r="C64" t="s">
        <v>1649</v>
      </c>
      <c r="D64" s="3">
        <v>27824</v>
      </c>
      <c r="E64" t="s">
        <v>1400</v>
      </c>
      <c r="F64">
        <v>449</v>
      </c>
      <c r="G64" s="3">
        <v>39587</v>
      </c>
      <c r="H64" t="s">
        <v>1650</v>
      </c>
      <c r="J64" t="s">
        <v>1519</v>
      </c>
      <c r="K64" t="s">
        <v>61</v>
      </c>
      <c r="L64" s="3">
        <v>46032</v>
      </c>
      <c r="M64" s="3">
        <v>46742</v>
      </c>
      <c r="N64" t="s">
        <v>1651</v>
      </c>
      <c r="O64" s="4">
        <v>1</v>
      </c>
      <c r="P64">
        <v>0</v>
      </c>
      <c r="Q64">
        <v>0</v>
      </c>
    </row>
    <row r="65" spans="1:17" x14ac:dyDescent="0.3">
      <c r="A65">
        <v>37662</v>
      </c>
      <c r="B65" t="s">
        <v>1652</v>
      </c>
      <c r="C65" t="s">
        <v>1349</v>
      </c>
      <c r="D65" s="3">
        <v>31215</v>
      </c>
      <c r="E65" t="s">
        <v>1400</v>
      </c>
      <c r="G65" s="3">
        <v>44719</v>
      </c>
      <c r="H65" t="s">
        <v>1653</v>
      </c>
      <c r="J65" t="s">
        <v>1459</v>
      </c>
      <c r="K65" t="s">
        <v>55</v>
      </c>
      <c r="L65" s="3">
        <v>46560</v>
      </c>
      <c r="M65" s="3">
        <v>46518</v>
      </c>
      <c r="N65" t="s">
        <v>1654</v>
      </c>
      <c r="O65" s="4">
        <v>0.8</v>
      </c>
      <c r="P65">
        <v>0</v>
      </c>
      <c r="Q65">
        <v>0</v>
      </c>
    </row>
    <row r="66" spans="1:17" x14ac:dyDescent="0.3">
      <c r="A66">
        <v>29539</v>
      </c>
      <c r="B66" t="s">
        <v>1655</v>
      </c>
      <c r="C66" t="s">
        <v>1349</v>
      </c>
      <c r="D66" s="3">
        <v>32280</v>
      </c>
      <c r="E66" t="s">
        <v>1656</v>
      </c>
      <c r="F66">
        <v>366</v>
      </c>
      <c r="G66" s="3">
        <v>41981</v>
      </c>
      <c r="H66" t="s">
        <v>1657</v>
      </c>
      <c r="J66" t="s">
        <v>1658</v>
      </c>
      <c r="K66" t="s">
        <v>52</v>
      </c>
      <c r="L66" s="3">
        <v>47341</v>
      </c>
      <c r="M66" s="3">
        <v>47449</v>
      </c>
      <c r="N66" t="s">
        <v>1659</v>
      </c>
      <c r="O66" s="4">
        <v>0.8</v>
      </c>
      <c r="P66">
        <v>0</v>
      </c>
      <c r="Q66">
        <v>0</v>
      </c>
    </row>
    <row r="67" spans="1:17" x14ac:dyDescent="0.3">
      <c r="A67">
        <v>27209</v>
      </c>
      <c r="B67" t="s">
        <v>1660</v>
      </c>
      <c r="C67" t="s">
        <v>1349</v>
      </c>
      <c r="D67" s="3">
        <v>23065</v>
      </c>
      <c r="E67" t="s">
        <v>1400</v>
      </c>
      <c r="F67">
        <v>175</v>
      </c>
      <c r="G67" s="3">
        <v>40973</v>
      </c>
      <c r="H67" t="s">
        <v>1661</v>
      </c>
      <c r="J67" t="s">
        <v>1418</v>
      </c>
      <c r="K67" t="s">
        <v>70</v>
      </c>
      <c r="L67" s="3">
        <v>46960</v>
      </c>
      <c r="M67" s="3">
        <v>46210</v>
      </c>
      <c r="N67" t="s">
        <v>1662</v>
      </c>
      <c r="O67" s="4">
        <v>1</v>
      </c>
      <c r="P67">
        <v>0</v>
      </c>
      <c r="Q67">
        <v>1</v>
      </c>
    </row>
    <row r="68" spans="1:17" x14ac:dyDescent="0.3">
      <c r="A68">
        <v>26384</v>
      </c>
      <c r="B68" t="s">
        <v>1663</v>
      </c>
      <c r="C68" t="s">
        <v>1349</v>
      </c>
      <c r="D68" s="3">
        <v>28045</v>
      </c>
      <c r="E68" t="s">
        <v>1400</v>
      </c>
      <c r="F68">
        <v>54</v>
      </c>
      <c r="G68" s="3">
        <v>40700</v>
      </c>
      <c r="H68" t="s">
        <v>1664</v>
      </c>
      <c r="J68" t="s">
        <v>1523</v>
      </c>
      <c r="K68" t="s">
        <v>70</v>
      </c>
      <c r="L68" s="3">
        <v>46230</v>
      </c>
      <c r="M68" s="3">
        <v>46097</v>
      </c>
      <c r="N68" t="s">
        <v>1665</v>
      </c>
      <c r="O68" s="4">
        <v>0.8</v>
      </c>
      <c r="P68">
        <v>0</v>
      </c>
      <c r="Q68">
        <v>0</v>
      </c>
    </row>
    <row r="69" spans="1:17" x14ac:dyDescent="0.3">
      <c r="A69">
        <v>26198</v>
      </c>
      <c r="B69" t="s">
        <v>1666</v>
      </c>
      <c r="C69" t="s">
        <v>1349</v>
      </c>
      <c r="D69" s="3">
        <v>28199</v>
      </c>
      <c r="E69" t="s">
        <v>1400</v>
      </c>
      <c r="F69">
        <v>615</v>
      </c>
      <c r="G69" s="3">
        <v>40637</v>
      </c>
      <c r="H69" t="s">
        <v>1667</v>
      </c>
      <c r="J69" t="s">
        <v>1432</v>
      </c>
      <c r="K69" t="s">
        <v>64</v>
      </c>
      <c r="L69" s="3">
        <v>45993</v>
      </c>
      <c r="M69" s="3">
        <v>47408</v>
      </c>
      <c r="N69" t="s">
        <v>1668</v>
      </c>
      <c r="O69" s="4">
        <v>0.8</v>
      </c>
      <c r="P69">
        <v>0</v>
      </c>
      <c r="Q69">
        <v>1</v>
      </c>
    </row>
    <row r="70" spans="1:17" x14ac:dyDescent="0.3">
      <c r="A70">
        <v>36289</v>
      </c>
      <c r="B70" t="s">
        <v>1669</v>
      </c>
      <c r="C70" t="s">
        <v>1670</v>
      </c>
      <c r="D70" s="3">
        <v>28212</v>
      </c>
      <c r="E70" t="s">
        <v>1400</v>
      </c>
      <c r="G70" s="3">
        <v>44284</v>
      </c>
      <c r="H70" t="s">
        <v>1671</v>
      </c>
      <c r="J70" t="s">
        <v>1441</v>
      </c>
      <c r="K70" t="s">
        <v>58</v>
      </c>
      <c r="L70" s="3">
        <v>46127</v>
      </c>
      <c r="M70" s="3">
        <v>45930</v>
      </c>
      <c r="N70" t="s">
        <v>1672</v>
      </c>
      <c r="O70" s="4">
        <v>1</v>
      </c>
      <c r="P70">
        <v>0</v>
      </c>
      <c r="Q70">
        <v>1</v>
      </c>
    </row>
    <row r="71" spans="1:17" x14ac:dyDescent="0.3">
      <c r="A71">
        <v>31776</v>
      </c>
      <c r="B71" t="s">
        <v>1673</v>
      </c>
      <c r="C71" t="s">
        <v>1670</v>
      </c>
      <c r="D71" s="3">
        <v>30376</v>
      </c>
      <c r="E71" t="s">
        <v>1400</v>
      </c>
      <c r="F71">
        <v>294</v>
      </c>
      <c r="G71" s="3">
        <v>42933</v>
      </c>
      <c r="H71" t="s">
        <v>1674</v>
      </c>
      <c r="J71" t="s">
        <v>1418</v>
      </c>
      <c r="K71" t="s">
        <v>52</v>
      </c>
      <c r="L71" s="3">
        <v>46515</v>
      </c>
      <c r="M71" s="3">
        <v>46477</v>
      </c>
      <c r="N71" t="s">
        <v>1675</v>
      </c>
      <c r="O71" s="4">
        <v>1</v>
      </c>
      <c r="P71">
        <v>0</v>
      </c>
      <c r="Q71">
        <v>0</v>
      </c>
    </row>
    <row r="72" spans="1:17" x14ac:dyDescent="0.3">
      <c r="A72">
        <v>21892</v>
      </c>
      <c r="B72" t="s">
        <v>1676</v>
      </c>
      <c r="C72" t="s">
        <v>1670</v>
      </c>
      <c r="D72" s="3">
        <v>29470</v>
      </c>
      <c r="E72" t="s">
        <v>1400</v>
      </c>
      <c r="F72">
        <v>81</v>
      </c>
      <c r="G72" s="3">
        <v>39524</v>
      </c>
      <c r="H72" t="s">
        <v>1677</v>
      </c>
      <c r="J72" t="s">
        <v>1426</v>
      </c>
      <c r="K72" t="s">
        <v>67</v>
      </c>
      <c r="L72" s="3">
        <v>72686</v>
      </c>
      <c r="M72" s="3">
        <v>46925</v>
      </c>
      <c r="N72" t="s">
        <v>1678</v>
      </c>
      <c r="O72" s="4">
        <v>1</v>
      </c>
      <c r="P72">
        <v>0</v>
      </c>
      <c r="Q72">
        <v>0</v>
      </c>
    </row>
    <row r="73" spans="1:17" x14ac:dyDescent="0.3">
      <c r="A73">
        <v>13257</v>
      </c>
      <c r="B73" t="s">
        <v>1679</v>
      </c>
      <c r="C73" t="s">
        <v>1670</v>
      </c>
      <c r="D73" s="3">
        <v>26636</v>
      </c>
      <c r="E73" t="s">
        <v>1400</v>
      </c>
      <c r="F73">
        <v>237</v>
      </c>
      <c r="G73" s="3">
        <v>36998</v>
      </c>
      <c r="I73">
        <v>92300557</v>
      </c>
      <c r="J73" t="s">
        <v>1506</v>
      </c>
      <c r="K73" t="s">
        <v>64</v>
      </c>
      <c r="L73" s="3">
        <v>72686</v>
      </c>
      <c r="M73" s="3">
        <v>46182</v>
      </c>
      <c r="N73" t="s">
        <v>1680</v>
      </c>
      <c r="O73" s="4">
        <v>0.8</v>
      </c>
      <c r="P73">
        <v>0</v>
      </c>
      <c r="Q73">
        <v>0</v>
      </c>
    </row>
    <row r="74" spans="1:17" x14ac:dyDescent="0.3">
      <c r="A74">
        <v>7748</v>
      </c>
      <c r="B74" t="s">
        <v>1681</v>
      </c>
      <c r="C74" t="s">
        <v>1682</v>
      </c>
      <c r="D74" s="3">
        <v>25262</v>
      </c>
      <c r="E74" t="s">
        <v>1400</v>
      </c>
      <c r="F74">
        <v>164</v>
      </c>
      <c r="G74" s="3">
        <v>34932</v>
      </c>
      <c r="I74">
        <v>32496401543</v>
      </c>
      <c r="J74" t="s">
        <v>1454</v>
      </c>
      <c r="K74" t="s">
        <v>73</v>
      </c>
      <c r="L74" s="3">
        <v>73050</v>
      </c>
      <c r="M74" s="3">
        <v>47170</v>
      </c>
      <c r="N74" t="s">
        <v>1683</v>
      </c>
      <c r="O74" s="4">
        <v>0.8</v>
      </c>
      <c r="P74">
        <v>0</v>
      </c>
      <c r="Q74">
        <v>0</v>
      </c>
    </row>
    <row r="75" spans="1:17" x14ac:dyDescent="0.3">
      <c r="A75">
        <v>37216</v>
      </c>
      <c r="B75" t="s">
        <v>1684</v>
      </c>
      <c r="C75" t="s">
        <v>1685</v>
      </c>
      <c r="D75" s="3">
        <v>26618</v>
      </c>
      <c r="E75" t="s">
        <v>1400</v>
      </c>
      <c r="G75" s="3">
        <v>44664</v>
      </c>
      <c r="H75" t="s">
        <v>1686</v>
      </c>
      <c r="I75">
        <v>32477920791</v>
      </c>
      <c r="J75" t="s">
        <v>1408</v>
      </c>
      <c r="K75" t="s">
        <v>64</v>
      </c>
      <c r="L75" s="3">
        <v>47237</v>
      </c>
      <c r="M75" s="3">
        <v>47230</v>
      </c>
      <c r="N75" t="s">
        <v>1687</v>
      </c>
      <c r="O75" s="4">
        <v>1</v>
      </c>
      <c r="P75">
        <v>0</v>
      </c>
      <c r="Q75">
        <v>0</v>
      </c>
    </row>
    <row r="76" spans="1:17" x14ac:dyDescent="0.3">
      <c r="A76">
        <v>25487</v>
      </c>
      <c r="B76" t="s">
        <v>1688</v>
      </c>
      <c r="C76" t="s">
        <v>1689</v>
      </c>
      <c r="D76" s="3">
        <v>24366</v>
      </c>
      <c r="E76" t="s">
        <v>1400</v>
      </c>
      <c r="F76">
        <v>479</v>
      </c>
      <c r="G76" s="3">
        <v>40385</v>
      </c>
      <c r="H76" t="s">
        <v>1690</v>
      </c>
      <c r="J76" t="s">
        <v>1476</v>
      </c>
      <c r="K76" t="s">
        <v>67</v>
      </c>
      <c r="L76" s="3">
        <v>73050</v>
      </c>
      <c r="M76" s="3">
        <v>73050</v>
      </c>
      <c r="N76" t="s">
        <v>1691</v>
      </c>
      <c r="O76" s="4">
        <v>0.8</v>
      </c>
      <c r="P76">
        <v>0</v>
      </c>
      <c r="Q76">
        <v>0</v>
      </c>
    </row>
    <row r="77" spans="1:17" x14ac:dyDescent="0.3">
      <c r="A77">
        <v>19675</v>
      </c>
      <c r="B77" t="s">
        <v>1692</v>
      </c>
      <c r="C77" t="s">
        <v>1693</v>
      </c>
      <c r="D77" s="3">
        <v>25000</v>
      </c>
      <c r="E77" t="s">
        <v>1400</v>
      </c>
      <c r="F77">
        <v>345</v>
      </c>
      <c r="G77" s="3">
        <v>38929</v>
      </c>
      <c r="H77" t="s">
        <v>1694</v>
      </c>
      <c r="J77" t="s">
        <v>1506</v>
      </c>
      <c r="K77" t="s">
        <v>64</v>
      </c>
      <c r="L77" s="3">
        <v>72686</v>
      </c>
      <c r="M77" s="3">
        <v>46181</v>
      </c>
      <c r="N77" t="s">
        <v>1695</v>
      </c>
      <c r="O77" s="4">
        <v>1</v>
      </c>
      <c r="P77">
        <v>0</v>
      </c>
      <c r="Q77">
        <v>0</v>
      </c>
    </row>
    <row r="78" spans="1:17" x14ac:dyDescent="0.3">
      <c r="A78">
        <v>32951</v>
      </c>
      <c r="B78" t="s">
        <v>1696</v>
      </c>
      <c r="C78" t="s">
        <v>1697</v>
      </c>
      <c r="D78" s="3">
        <v>26191</v>
      </c>
      <c r="E78" t="s">
        <v>1400</v>
      </c>
      <c r="F78">
        <v>20</v>
      </c>
      <c r="G78" s="3">
        <v>43304</v>
      </c>
      <c r="H78" t="s">
        <v>1698</v>
      </c>
      <c r="J78" t="s">
        <v>1418</v>
      </c>
      <c r="K78" t="s">
        <v>73</v>
      </c>
      <c r="L78" s="3">
        <v>46828</v>
      </c>
      <c r="M78" s="3">
        <v>46810</v>
      </c>
      <c r="N78" t="s">
        <v>1699</v>
      </c>
      <c r="O78" s="4">
        <v>1</v>
      </c>
      <c r="P78">
        <v>0</v>
      </c>
      <c r="Q78">
        <v>1</v>
      </c>
    </row>
    <row r="79" spans="1:17" x14ac:dyDescent="0.3">
      <c r="A79">
        <v>14261</v>
      </c>
      <c r="B79" t="s">
        <v>1576</v>
      </c>
      <c r="C79" t="s">
        <v>1700</v>
      </c>
      <c r="D79" s="3">
        <v>26466</v>
      </c>
      <c r="E79" t="s">
        <v>1400</v>
      </c>
      <c r="F79">
        <v>424</v>
      </c>
      <c r="G79" s="3">
        <v>37284</v>
      </c>
      <c r="H79" t="s">
        <v>1701</v>
      </c>
      <c r="J79" t="s">
        <v>1702</v>
      </c>
      <c r="K79" t="s">
        <v>58</v>
      </c>
      <c r="L79" s="3">
        <v>45923</v>
      </c>
      <c r="M79" s="3">
        <v>46064</v>
      </c>
      <c r="N79" t="s">
        <v>1703</v>
      </c>
      <c r="O79" s="4">
        <v>0.8</v>
      </c>
      <c r="P79">
        <v>0</v>
      </c>
      <c r="Q79">
        <v>0</v>
      </c>
    </row>
    <row r="80" spans="1:17" x14ac:dyDescent="0.3">
      <c r="A80">
        <v>42145</v>
      </c>
      <c r="B80" t="s">
        <v>1704</v>
      </c>
      <c r="C80" t="s">
        <v>1705</v>
      </c>
      <c r="D80" s="3">
        <v>36894</v>
      </c>
      <c r="E80" t="s">
        <v>1400</v>
      </c>
      <c r="G80" s="3">
        <v>45874</v>
      </c>
      <c r="H80" t="s">
        <v>1706</v>
      </c>
      <c r="J80" t="s">
        <v>1413</v>
      </c>
      <c r="K80" t="s">
        <v>67</v>
      </c>
      <c r="L80" s="3">
        <v>1</v>
      </c>
      <c r="M80" s="3">
        <v>1</v>
      </c>
      <c r="N80" t="s">
        <v>1707</v>
      </c>
      <c r="O80" s="4">
        <v>1</v>
      </c>
      <c r="P80">
        <v>0</v>
      </c>
      <c r="Q80">
        <v>0</v>
      </c>
    </row>
    <row r="81" spans="1:17" x14ac:dyDescent="0.3">
      <c r="A81">
        <v>40222</v>
      </c>
      <c r="B81" t="s">
        <v>1708</v>
      </c>
      <c r="C81" t="s">
        <v>1709</v>
      </c>
      <c r="D81" s="3">
        <v>35955</v>
      </c>
      <c r="E81" t="s">
        <v>1400</v>
      </c>
      <c r="G81" s="3">
        <v>45349</v>
      </c>
      <c r="H81" t="s">
        <v>1710</v>
      </c>
      <c r="J81" t="s">
        <v>1408</v>
      </c>
      <c r="K81" t="s">
        <v>52</v>
      </c>
      <c r="L81" s="3">
        <v>47194</v>
      </c>
      <c r="M81" s="3">
        <v>47161</v>
      </c>
      <c r="N81" t="s">
        <v>1711</v>
      </c>
      <c r="O81" s="4">
        <v>1</v>
      </c>
      <c r="P81">
        <v>0</v>
      </c>
      <c r="Q81">
        <v>0</v>
      </c>
    </row>
    <row r="82" spans="1:17" x14ac:dyDescent="0.3">
      <c r="A82">
        <v>40134</v>
      </c>
      <c r="B82" t="s">
        <v>1712</v>
      </c>
      <c r="C82" t="s">
        <v>1709</v>
      </c>
      <c r="D82" s="3">
        <v>34917</v>
      </c>
      <c r="E82" t="s">
        <v>1400</v>
      </c>
      <c r="G82" s="3">
        <v>45364</v>
      </c>
      <c r="H82" t="s">
        <v>1713</v>
      </c>
      <c r="J82" t="s">
        <v>1408</v>
      </c>
      <c r="K82" t="s">
        <v>52</v>
      </c>
      <c r="L82" s="3">
        <v>47210</v>
      </c>
      <c r="M82" s="3">
        <v>47141</v>
      </c>
      <c r="N82" t="s">
        <v>1714</v>
      </c>
      <c r="O82" s="4">
        <v>1</v>
      </c>
      <c r="P82">
        <v>0</v>
      </c>
      <c r="Q82">
        <v>0</v>
      </c>
    </row>
    <row r="83" spans="1:17" x14ac:dyDescent="0.3">
      <c r="A83">
        <v>39829</v>
      </c>
      <c r="B83" t="s">
        <v>1715</v>
      </c>
      <c r="C83" t="s">
        <v>1716</v>
      </c>
      <c r="D83" s="3">
        <v>32321</v>
      </c>
      <c r="E83" t="s">
        <v>1400</v>
      </c>
      <c r="G83" s="3">
        <v>45264</v>
      </c>
      <c r="H83" t="s">
        <v>1717</v>
      </c>
      <c r="J83" t="s">
        <v>1408</v>
      </c>
      <c r="K83" t="s">
        <v>73</v>
      </c>
      <c r="L83" s="3">
        <v>47107</v>
      </c>
      <c r="M83" s="3">
        <v>47072</v>
      </c>
      <c r="N83" t="s">
        <v>1718</v>
      </c>
      <c r="O83" s="4">
        <v>1</v>
      </c>
      <c r="P83">
        <v>0</v>
      </c>
      <c r="Q83">
        <v>0</v>
      </c>
    </row>
    <row r="84" spans="1:17" x14ac:dyDescent="0.3">
      <c r="A84">
        <v>25679</v>
      </c>
      <c r="B84" t="s">
        <v>1719</v>
      </c>
      <c r="C84" t="s">
        <v>1720</v>
      </c>
      <c r="D84" s="3">
        <v>24380</v>
      </c>
      <c r="E84" t="s">
        <v>1400</v>
      </c>
      <c r="F84">
        <v>42</v>
      </c>
      <c r="G84" s="3">
        <v>40455</v>
      </c>
      <c r="H84" t="s">
        <v>1721</v>
      </c>
      <c r="I84">
        <v>92203627</v>
      </c>
      <c r="J84" t="s">
        <v>1722</v>
      </c>
      <c r="K84" t="s">
        <v>61</v>
      </c>
      <c r="L84" s="3">
        <v>46167</v>
      </c>
      <c r="M84" s="3">
        <v>46609</v>
      </c>
      <c r="N84" t="s">
        <v>1723</v>
      </c>
      <c r="O84" s="4">
        <v>0.8</v>
      </c>
      <c r="P84">
        <v>0</v>
      </c>
      <c r="Q84">
        <v>0</v>
      </c>
    </row>
    <row r="85" spans="1:17" x14ac:dyDescent="0.3">
      <c r="A85">
        <v>31550</v>
      </c>
      <c r="B85" t="s">
        <v>1724</v>
      </c>
      <c r="C85" t="s">
        <v>1725</v>
      </c>
      <c r="D85" s="3">
        <v>34332</v>
      </c>
      <c r="E85" t="s">
        <v>1400</v>
      </c>
      <c r="F85">
        <v>248</v>
      </c>
      <c r="G85" s="3">
        <v>42828</v>
      </c>
      <c r="H85" t="s">
        <v>1726</v>
      </c>
      <c r="J85" t="s">
        <v>1587</v>
      </c>
      <c r="K85" t="s">
        <v>52</v>
      </c>
      <c r="L85" s="3">
        <v>46455</v>
      </c>
      <c r="M85" s="3">
        <v>46453</v>
      </c>
      <c r="N85" t="s">
        <v>1727</v>
      </c>
      <c r="O85" s="4">
        <v>1</v>
      </c>
      <c r="P85">
        <v>0</v>
      </c>
      <c r="Q85">
        <v>0</v>
      </c>
    </row>
    <row r="86" spans="1:17" x14ac:dyDescent="0.3">
      <c r="A86">
        <v>38688</v>
      </c>
      <c r="B86" t="s">
        <v>1728</v>
      </c>
      <c r="C86" t="s">
        <v>1729</v>
      </c>
      <c r="D86" s="3">
        <v>34749</v>
      </c>
      <c r="E86" t="s">
        <v>1400</v>
      </c>
      <c r="G86" s="3">
        <v>45027</v>
      </c>
      <c r="H86" t="s">
        <v>1730</v>
      </c>
      <c r="J86" t="s">
        <v>1459</v>
      </c>
      <c r="K86" t="s">
        <v>70</v>
      </c>
      <c r="L86" s="3">
        <v>46869</v>
      </c>
      <c r="M86" s="3">
        <v>46776</v>
      </c>
      <c r="N86" t="s">
        <v>1731</v>
      </c>
      <c r="O86" s="4">
        <v>1</v>
      </c>
      <c r="P86">
        <v>0</v>
      </c>
      <c r="Q86">
        <v>0</v>
      </c>
    </row>
    <row r="87" spans="1:17" x14ac:dyDescent="0.3">
      <c r="A87">
        <v>41101</v>
      </c>
      <c r="B87" t="s">
        <v>1732</v>
      </c>
      <c r="C87" t="s">
        <v>1733</v>
      </c>
      <c r="D87" s="3">
        <v>35419</v>
      </c>
      <c r="E87" t="s">
        <v>1400</v>
      </c>
      <c r="G87" s="3">
        <v>45618</v>
      </c>
      <c r="H87" t="s">
        <v>1734</v>
      </c>
      <c r="J87" t="s">
        <v>1408</v>
      </c>
      <c r="K87" t="s">
        <v>52</v>
      </c>
      <c r="L87" s="3">
        <v>47463</v>
      </c>
      <c r="M87" s="3">
        <v>47364</v>
      </c>
      <c r="N87" t="s">
        <v>1735</v>
      </c>
      <c r="O87" s="4">
        <v>1</v>
      </c>
      <c r="P87">
        <v>0</v>
      </c>
      <c r="Q87">
        <v>0</v>
      </c>
    </row>
    <row r="88" spans="1:17" x14ac:dyDescent="0.3">
      <c r="A88">
        <v>32458</v>
      </c>
      <c r="B88" t="s">
        <v>1736</v>
      </c>
      <c r="C88" t="s">
        <v>1737</v>
      </c>
      <c r="D88" s="3">
        <v>24440</v>
      </c>
      <c r="E88" t="s">
        <v>1400</v>
      </c>
      <c r="F88">
        <v>168</v>
      </c>
      <c r="G88" s="3">
        <v>43150</v>
      </c>
      <c r="H88" t="s">
        <v>1738</v>
      </c>
      <c r="I88">
        <v>489745145</v>
      </c>
      <c r="J88" t="s">
        <v>1413</v>
      </c>
      <c r="K88" t="s">
        <v>70</v>
      </c>
      <c r="L88" s="3">
        <v>46595</v>
      </c>
      <c r="M88" s="3">
        <v>47594</v>
      </c>
      <c r="N88" t="s">
        <v>1739</v>
      </c>
      <c r="O88" s="4">
        <v>1</v>
      </c>
      <c r="P88">
        <v>0</v>
      </c>
      <c r="Q88">
        <v>1</v>
      </c>
    </row>
    <row r="89" spans="1:17" x14ac:dyDescent="0.3">
      <c r="A89">
        <v>30292</v>
      </c>
      <c r="B89" t="s">
        <v>1740</v>
      </c>
      <c r="C89" t="s">
        <v>1741</v>
      </c>
      <c r="D89" s="3">
        <v>31065</v>
      </c>
      <c r="E89" t="s">
        <v>1400</v>
      </c>
      <c r="F89">
        <v>369</v>
      </c>
      <c r="G89" s="3">
        <v>42282</v>
      </c>
      <c r="H89" t="s">
        <v>1742</v>
      </c>
      <c r="J89" t="s">
        <v>1480</v>
      </c>
      <c r="K89" t="s">
        <v>52</v>
      </c>
      <c r="L89" s="3">
        <v>73050</v>
      </c>
      <c r="M89" s="3">
        <v>73050</v>
      </c>
      <c r="N89" t="s">
        <v>1743</v>
      </c>
      <c r="O89" s="4">
        <v>1</v>
      </c>
      <c r="P89">
        <v>0</v>
      </c>
      <c r="Q89">
        <v>0</v>
      </c>
    </row>
    <row r="90" spans="1:17" x14ac:dyDescent="0.3">
      <c r="A90">
        <v>40939</v>
      </c>
      <c r="B90" t="s">
        <v>1744</v>
      </c>
      <c r="C90" t="s">
        <v>1745</v>
      </c>
      <c r="D90" s="3">
        <v>37866</v>
      </c>
      <c r="E90" t="s">
        <v>1400</v>
      </c>
      <c r="G90" s="3">
        <v>45530</v>
      </c>
      <c r="H90" t="s">
        <v>1746</v>
      </c>
      <c r="J90" t="s">
        <v>1408</v>
      </c>
      <c r="K90" t="s">
        <v>64</v>
      </c>
      <c r="L90" s="3">
        <v>47373</v>
      </c>
      <c r="M90" s="3">
        <v>47348</v>
      </c>
      <c r="N90" t="s">
        <v>1747</v>
      </c>
      <c r="O90" s="4">
        <v>1</v>
      </c>
      <c r="P90">
        <v>0</v>
      </c>
      <c r="Q90">
        <v>0</v>
      </c>
    </row>
    <row r="91" spans="1:17" x14ac:dyDescent="0.3">
      <c r="A91">
        <v>38550</v>
      </c>
      <c r="B91" t="s">
        <v>1638</v>
      </c>
      <c r="C91" t="s">
        <v>1748</v>
      </c>
      <c r="D91" s="3">
        <v>29647</v>
      </c>
      <c r="E91" t="s">
        <v>1400</v>
      </c>
      <c r="G91" s="3">
        <v>44984</v>
      </c>
      <c r="H91" t="s">
        <v>1749</v>
      </c>
      <c r="J91" t="s">
        <v>1515</v>
      </c>
      <c r="K91" t="s">
        <v>61</v>
      </c>
      <c r="L91" s="3">
        <v>46826</v>
      </c>
      <c r="M91" s="3">
        <v>46735</v>
      </c>
      <c r="N91" t="s">
        <v>1750</v>
      </c>
      <c r="O91" s="4">
        <v>0.8</v>
      </c>
      <c r="P91">
        <v>0</v>
      </c>
      <c r="Q91">
        <v>0</v>
      </c>
    </row>
    <row r="92" spans="1:17" x14ac:dyDescent="0.3">
      <c r="A92">
        <v>31165</v>
      </c>
      <c r="B92" t="s">
        <v>1751</v>
      </c>
      <c r="C92" t="s">
        <v>1752</v>
      </c>
      <c r="D92" s="3">
        <v>27145</v>
      </c>
      <c r="E92" t="s">
        <v>1400</v>
      </c>
      <c r="F92">
        <v>50</v>
      </c>
      <c r="G92" s="3">
        <v>42646</v>
      </c>
      <c r="H92" t="s">
        <v>1753</v>
      </c>
      <c r="J92" t="s">
        <v>1432</v>
      </c>
      <c r="K92" t="s">
        <v>73</v>
      </c>
      <c r="L92" s="3">
        <v>46238</v>
      </c>
      <c r="M92" s="3">
        <v>46210</v>
      </c>
      <c r="N92" t="s">
        <v>1754</v>
      </c>
      <c r="O92" s="4">
        <v>1</v>
      </c>
      <c r="P92">
        <v>0</v>
      </c>
      <c r="Q92">
        <v>0</v>
      </c>
    </row>
    <row r="93" spans="1:17" x14ac:dyDescent="0.3">
      <c r="A93">
        <v>8393</v>
      </c>
      <c r="B93" t="s">
        <v>1755</v>
      </c>
      <c r="C93" t="s">
        <v>1756</v>
      </c>
      <c r="D93" s="3">
        <v>26380</v>
      </c>
      <c r="E93" t="s">
        <v>1400</v>
      </c>
      <c r="F93">
        <v>272</v>
      </c>
      <c r="G93" s="3">
        <v>35219</v>
      </c>
      <c r="J93" t="s">
        <v>1506</v>
      </c>
      <c r="K93" t="s">
        <v>67</v>
      </c>
      <c r="L93" s="3">
        <v>73050</v>
      </c>
      <c r="M93" s="3">
        <v>45909</v>
      </c>
      <c r="N93" t="s">
        <v>1757</v>
      </c>
      <c r="O93" s="4">
        <v>0.8</v>
      </c>
      <c r="P93">
        <v>0</v>
      </c>
      <c r="Q93">
        <v>0</v>
      </c>
    </row>
    <row r="94" spans="1:17" x14ac:dyDescent="0.3">
      <c r="A94">
        <v>4793</v>
      </c>
      <c r="B94" t="s">
        <v>1758</v>
      </c>
      <c r="C94" t="s">
        <v>1756</v>
      </c>
      <c r="D94" s="3">
        <v>25160</v>
      </c>
      <c r="E94" t="s">
        <v>1400</v>
      </c>
      <c r="F94">
        <v>210</v>
      </c>
      <c r="G94" s="3">
        <v>32951</v>
      </c>
      <c r="H94" t="s">
        <v>1759</v>
      </c>
      <c r="J94" t="s">
        <v>1722</v>
      </c>
      <c r="K94" t="s">
        <v>73</v>
      </c>
      <c r="L94" s="3">
        <v>47588</v>
      </c>
      <c r="M94" s="3">
        <v>46453</v>
      </c>
      <c r="N94" t="s">
        <v>1760</v>
      </c>
      <c r="O94" s="4">
        <v>0.5</v>
      </c>
      <c r="P94">
        <v>0</v>
      </c>
      <c r="Q94">
        <v>1</v>
      </c>
    </row>
    <row r="95" spans="1:17" x14ac:dyDescent="0.3">
      <c r="A95">
        <v>40110</v>
      </c>
      <c r="B95" t="s">
        <v>1761</v>
      </c>
      <c r="C95" t="s">
        <v>1756</v>
      </c>
      <c r="D95" s="3">
        <v>26869</v>
      </c>
      <c r="E95" t="s">
        <v>1400</v>
      </c>
      <c r="G95" s="3">
        <v>45335</v>
      </c>
      <c r="H95" t="s">
        <v>1762</v>
      </c>
      <c r="I95">
        <v>93577730</v>
      </c>
      <c r="J95" t="s">
        <v>1408</v>
      </c>
      <c r="K95" t="s">
        <v>61</v>
      </c>
      <c r="L95" s="3">
        <v>47180</v>
      </c>
      <c r="M95" s="3">
        <v>47141</v>
      </c>
      <c r="N95" t="s">
        <v>1763</v>
      </c>
      <c r="O95" s="4">
        <v>0.6</v>
      </c>
      <c r="P95">
        <v>1</v>
      </c>
      <c r="Q95">
        <v>0</v>
      </c>
    </row>
    <row r="96" spans="1:17" x14ac:dyDescent="0.3">
      <c r="A96">
        <v>36559</v>
      </c>
      <c r="B96" t="s">
        <v>1764</v>
      </c>
      <c r="C96" t="s">
        <v>1756</v>
      </c>
      <c r="D96" s="3">
        <v>27176</v>
      </c>
      <c r="E96" t="s">
        <v>1400</v>
      </c>
      <c r="G96" s="3">
        <v>44347</v>
      </c>
      <c r="H96" t="s">
        <v>1765</v>
      </c>
      <c r="J96" t="s">
        <v>1610</v>
      </c>
      <c r="K96" t="s">
        <v>64</v>
      </c>
      <c r="L96" s="3">
        <v>46188</v>
      </c>
      <c r="M96" s="3">
        <v>46145</v>
      </c>
      <c r="N96" t="s">
        <v>1766</v>
      </c>
      <c r="O96" s="4">
        <v>1</v>
      </c>
      <c r="P96">
        <v>0</v>
      </c>
      <c r="Q96">
        <v>1</v>
      </c>
    </row>
    <row r="97" spans="1:17" x14ac:dyDescent="0.3">
      <c r="A97">
        <v>20612</v>
      </c>
      <c r="B97" t="s">
        <v>1767</v>
      </c>
      <c r="C97" t="s">
        <v>1756</v>
      </c>
      <c r="D97" s="3">
        <v>26097</v>
      </c>
      <c r="E97" t="s">
        <v>1400</v>
      </c>
      <c r="F97">
        <v>334</v>
      </c>
      <c r="G97" s="3">
        <v>39188</v>
      </c>
      <c r="H97" t="s">
        <v>1768</v>
      </c>
      <c r="J97" t="s">
        <v>1426</v>
      </c>
      <c r="K97" t="s">
        <v>67</v>
      </c>
      <c r="L97" s="3">
        <v>46042</v>
      </c>
      <c r="M97" s="3">
        <v>46418</v>
      </c>
      <c r="N97" t="s">
        <v>1769</v>
      </c>
      <c r="O97" s="4">
        <v>0.8</v>
      </c>
      <c r="P97">
        <v>0</v>
      </c>
      <c r="Q97">
        <v>1</v>
      </c>
    </row>
    <row r="98" spans="1:17" x14ac:dyDescent="0.3">
      <c r="A98">
        <v>29370</v>
      </c>
      <c r="B98" t="s">
        <v>1770</v>
      </c>
      <c r="C98" t="s">
        <v>1771</v>
      </c>
      <c r="D98" s="3">
        <v>29675</v>
      </c>
      <c r="E98" t="s">
        <v>1400</v>
      </c>
      <c r="F98">
        <v>375</v>
      </c>
      <c r="G98" s="3">
        <v>41904</v>
      </c>
      <c r="H98" t="s">
        <v>1772</v>
      </c>
      <c r="J98" t="s">
        <v>1459</v>
      </c>
      <c r="K98" t="s">
        <v>55</v>
      </c>
      <c r="L98" s="3">
        <v>47427</v>
      </c>
      <c r="M98" s="3">
        <v>47338</v>
      </c>
      <c r="N98" t="s">
        <v>1773</v>
      </c>
      <c r="O98" s="4">
        <v>0.8</v>
      </c>
      <c r="P98">
        <v>0</v>
      </c>
      <c r="Q98">
        <v>0</v>
      </c>
    </row>
    <row r="99" spans="1:17" x14ac:dyDescent="0.3">
      <c r="A99">
        <v>36543</v>
      </c>
      <c r="B99" t="s">
        <v>1774</v>
      </c>
      <c r="C99" t="s">
        <v>1775</v>
      </c>
      <c r="D99" s="3">
        <v>35351</v>
      </c>
      <c r="E99" t="s">
        <v>1400</v>
      </c>
      <c r="G99" s="3">
        <v>44347</v>
      </c>
      <c r="H99" t="s">
        <v>1776</v>
      </c>
      <c r="J99" t="s">
        <v>1408</v>
      </c>
      <c r="K99" t="s">
        <v>73</v>
      </c>
      <c r="L99" s="3">
        <v>46189</v>
      </c>
      <c r="M99" s="3">
        <v>46133</v>
      </c>
      <c r="N99" t="s">
        <v>1777</v>
      </c>
      <c r="O99" s="4">
        <v>0.6</v>
      </c>
      <c r="P99">
        <v>1</v>
      </c>
      <c r="Q99">
        <v>0</v>
      </c>
    </row>
    <row r="100" spans="1:17" x14ac:dyDescent="0.3">
      <c r="A100">
        <v>38731</v>
      </c>
      <c r="B100" t="s">
        <v>1778</v>
      </c>
      <c r="C100" t="s">
        <v>1779</v>
      </c>
      <c r="D100" s="3">
        <v>23866</v>
      </c>
      <c r="E100" t="s">
        <v>1400</v>
      </c>
      <c r="G100" s="3">
        <v>45062</v>
      </c>
      <c r="H100" t="s">
        <v>1780</v>
      </c>
      <c r="J100" t="s">
        <v>1408</v>
      </c>
      <c r="K100" t="s">
        <v>61</v>
      </c>
      <c r="L100" s="3">
        <v>46895</v>
      </c>
      <c r="M100" s="3">
        <v>47594</v>
      </c>
      <c r="N100" t="s">
        <v>1781</v>
      </c>
      <c r="O100" s="4">
        <v>0.5</v>
      </c>
      <c r="P100">
        <v>1</v>
      </c>
      <c r="Q100">
        <v>0</v>
      </c>
    </row>
    <row r="101" spans="1:17" x14ac:dyDescent="0.3">
      <c r="A101">
        <v>35709</v>
      </c>
      <c r="B101" t="s">
        <v>1782</v>
      </c>
      <c r="C101" t="s">
        <v>1783</v>
      </c>
      <c r="D101" s="3">
        <v>24400</v>
      </c>
      <c r="E101" t="s">
        <v>1400</v>
      </c>
      <c r="F101">
        <v>393</v>
      </c>
      <c r="G101" s="3">
        <v>44075</v>
      </c>
      <c r="I101">
        <v>492421081</v>
      </c>
      <c r="J101" t="s">
        <v>1459</v>
      </c>
      <c r="K101" t="s">
        <v>58</v>
      </c>
      <c r="L101" s="3">
        <v>46905</v>
      </c>
      <c r="M101" s="3">
        <v>46853</v>
      </c>
      <c r="N101" t="s">
        <v>1784</v>
      </c>
      <c r="O101" s="4">
        <v>0.8</v>
      </c>
      <c r="P101">
        <v>0</v>
      </c>
      <c r="Q101">
        <v>0</v>
      </c>
    </row>
    <row r="102" spans="1:17" x14ac:dyDescent="0.3">
      <c r="A102">
        <v>38580</v>
      </c>
      <c r="B102" t="s">
        <v>1785</v>
      </c>
      <c r="C102" t="s">
        <v>1786</v>
      </c>
      <c r="D102" s="3">
        <v>36424</v>
      </c>
      <c r="E102" t="s">
        <v>1400</v>
      </c>
      <c r="G102" s="3">
        <v>44998</v>
      </c>
      <c r="H102" t="s">
        <v>1787</v>
      </c>
      <c r="J102" t="s">
        <v>1408</v>
      </c>
      <c r="K102" t="s">
        <v>70</v>
      </c>
      <c r="L102" s="3">
        <v>46840</v>
      </c>
      <c r="M102" s="3">
        <v>46760</v>
      </c>
      <c r="N102" t="s">
        <v>1788</v>
      </c>
      <c r="O102" s="4">
        <v>1</v>
      </c>
      <c r="P102">
        <v>0</v>
      </c>
      <c r="Q102">
        <v>0</v>
      </c>
    </row>
    <row r="103" spans="1:17" x14ac:dyDescent="0.3">
      <c r="A103">
        <v>35379</v>
      </c>
      <c r="B103" t="s">
        <v>1512</v>
      </c>
      <c r="C103" t="s">
        <v>1789</v>
      </c>
      <c r="D103" s="3">
        <v>27962</v>
      </c>
      <c r="E103" t="s">
        <v>1400</v>
      </c>
      <c r="F103">
        <v>350</v>
      </c>
      <c r="G103" s="3">
        <v>43969</v>
      </c>
      <c r="H103" t="s">
        <v>1790</v>
      </c>
      <c r="J103" t="s">
        <v>1446</v>
      </c>
      <c r="K103" t="s">
        <v>58</v>
      </c>
      <c r="L103" s="3">
        <v>47485</v>
      </c>
      <c r="M103" s="3">
        <v>47441</v>
      </c>
      <c r="N103" t="s">
        <v>1791</v>
      </c>
      <c r="O103" s="4">
        <v>1</v>
      </c>
      <c r="P103">
        <v>0</v>
      </c>
      <c r="Q103">
        <v>1</v>
      </c>
    </row>
    <row r="104" spans="1:17" x14ac:dyDescent="0.3">
      <c r="A104">
        <v>41671</v>
      </c>
      <c r="B104" t="s">
        <v>1792</v>
      </c>
      <c r="C104" t="s">
        <v>1793</v>
      </c>
      <c r="D104" s="3">
        <v>32357</v>
      </c>
      <c r="E104" t="s">
        <v>1400</v>
      </c>
      <c r="G104" s="3">
        <v>45783</v>
      </c>
      <c r="H104" t="s">
        <v>1794</v>
      </c>
      <c r="J104" t="s">
        <v>1408</v>
      </c>
      <c r="K104" t="s">
        <v>55</v>
      </c>
      <c r="L104" s="3">
        <v>47628</v>
      </c>
      <c r="M104" s="3">
        <v>47518</v>
      </c>
      <c r="N104" t="s">
        <v>1795</v>
      </c>
      <c r="O104" s="4">
        <v>1</v>
      </c>
      <c r="P104">
        <v>0</v>
      </c>
      <c r="Q104">
        <v>0</v>
      </c>
    </row>
    <row r="105" spans="1:17" x14ac:dyDescent="0.3">
      <c r="A105">
        <v>28071</v>
      </c>
      <c r="B105" t="s">
        <v>1796</v>
      </c>
      <c r="C105" t="s">
        <v>1797</v>
      </c>
      <c r="D105" s="3">
        <v>30399</v>
      </c>
      <c r="E105" t="s">
        <v>1400</v>
      </c>
      <c r="F105">
        <v>602</v>
      </c>
      <c r="G105" s="3">
        <v>41372</v>
      </c>
      <c r="H105" t="s">
        <v>1798</v>
      </c>
      <c r="J105" t="s">
        <v>1658</v>
      </c>
      <c r="K105" t="s">
        <v>70</v>
      </c>
      <c r="L105" s="3">
        <v>46817</v>
      </c>
      <c r="M105" s="3">
        <v>46735</v>
      </c>
      <c r="N105" t="s">
        <v>1799</v>
      </c>
      <c r="O105" s="4">
        <v>0.8</v>
      </c>
      <c r="P105">
        <v>0</v>
      </c>
      <c r="Q105">
        <v>0</v>
      </c>
    </row>
    <row r="106" spans="1:17" x14ac:dyDescent="0.3">
      <c r="A106">
        <v>40856</v>
      </c>
      <c r="B106" t="s">
        <v>1800</v>
      </c>
      <c r="C106" t="s">
        <v>1801</v>
      </c>
      <c r="D106" s="3">
        <v>31148</v>
      </c>
      <c r="E106" t="s">
        <v>1400</v>
      </c>
      <c r="G106" s="3">
        <v>45538</v>
      </c>
      <c r="H106" t="s">
        <v>1802</v>
      </c>
      <c r="J106" t="s">
        <v>1408</v>
      </c>
      <c r="K106" t="s">
        <v>64</v>
      </c>
      <c r="L106" s="3">
        <v>46847</v>
      </c>
      <c r="M106" s="3">
        <v>46684</v>
      </c>
      <c r="N106" t="s">
        <v>1803</v>
      </c>
      <c r="O106" s="4">
        <v>1</v>
      </c>
      <c r="P106">
        <v>0</v>
      </c>
      <c r="Q106">
        <v>0</v>
      </c>
    </row>
    <row r="107" spans="1:17" x14ac:dyDescent="0.3">
      <c r="A107">
        <v>5813</v>
      </c>
      <c r="B107" t="s">
        <v>1804</v>
      </c>
      <c r="C107" t="s">
        <v>1805</v>
      </c>
      <c r="D107" s="3">
        <v>24961</v>
      </c>
      <c r="E107" t="s">
        <v>1400</v>
      </c>
      <c r="F107">
        <v>19</v>
      </c>
      <c r="G107" s="3">
        <v>33742</v>
      </c>
      <c r="H107" t="s">
        <v>1806</v>
      </c>
      <c r="J107" t="s">
        <v>1702</v>
      </c>
      <c r="K107" t="s">
        <v>73</v>
      </c>
      <c r="L107" s="3">
        <v>72686</v>
      </c>
      <c r="M107" s="3">
        <v>46308</v>
      </c>
      <c r="N107" t="s">
        <v>1807</v>
      </c>
      <c r="O107" s="4">
        <v>0.8</v>
      </c>
      <c r="P107">
        <v>0</v>
      </c>
      <c r="Q107">
        <v>1</v>
      </c>
    </row>
    <row r="108" spans="1:17" x14ac:dyDescent="0.3">
      <c r="A108">
        <v>14070</v>
      </c>
      <c r="B108" t="s">
        <v>1808</v>
      </c>
      <c r="C108" t="s">
        <v>1805</v>
      </c>
      <c r="D108" s="3">
        <v>26839</v>
      </c>
      <c r="E108" t="s">
        <v>1400</v>
      </c>
      <c r="F108">
        <v>208</v>
      </c>
      <c r="G108" s="3">
        <v>37214</v>
      </c>
      <c r="H108" t="s">
        <v>1809</v>
      </c>
      <c r="J108" t="s">
        <v>1702</v>
      </c>
      <c r="K108" t="s">
        <v>70</v>
      </c>
      <c r="L108" s="3">
        <v>72686</v>
      </c>
      <c r="M108" s="3">
        <v>46887</v>
      </c>
      <c r="N108" t="s">
        <v>1810</v>
      </c>
      <c r="O108" s="4">
        <v>0.8</v>
      </c>
      <c r="P108">
        <v>0</v>
      </c>
      <c r="Q108">
        <v>0</v>
      </c>
    </row>
    <row r="109" spans="1:17" x14ac:dyDescent="0.3">
      <c r="A109">
        <v>39145</v>
      </c>
      <c r="B109" t="s">
        <v>1811</v>
      </c>
      <c r="C109" t="s">
        <v>1812</v>
      </c>
      <c r="D109" s="3">
        <v>27446</v>
      </c>
      <c r="E109" t="s">
        <v>1400</v>
      </c>
      <c r="G109" s="3">
        <v>45166</v>
      </c>
      <c r="H109" t="s">
        <v>1813</v>
      </c>
      <c r="J109" t="s">
        <v>1408</v>
      </c>
      <c r="K109" t="s">
        <v>61</v>
      </c>
      <c r="L109" s="3">
        <v>47371</v>
      </c>
      <c r="M109" s="3">
        <v>47351</v>
      </c>
      <c r="N109" t="s">
        <v>1814</v>
      </c>
      <c r="O109" s="4">
        <v>1</v>
      </c>
      <c r="P109">
        <v>0</v>
      </c>
      <c r="Q109">
        <v>0</v>
      </c>
    </row>
    <row r="110" spans="1:17" x14ac:dyDescent="0.3">
      <c r="A110">
        <v>41918</v>
      </c>
      <c r="B110" t="s">
        <v>1815</v>
      </c>
      <c r="C110" t="s">
        <v>1816</v>
      </c>
      <c r="D110" s="3">
        <v>30683</v>
      </c>
      <c r="E110" t="s">
        <v>1400</v>
      </c>
      <c r="G110" s="3">
        <v>45831</v>
      </c>
      <c r="H110" t="s">
        <v>1817</v>
      </c>
      <c r="J110" t="s">
        <v>1408</v>
      </c>
      <c r="K110" t="s">
        <v>61</v>
      </c>
      <c r="L110" s="3">
        <v>47673</v>
      </c>
      <c r="M110" s="3">
        <v>47608</v>
      </c>
      <c r="N110" t="s">
        <v>1818</v>
      </c>
      <c r="O110" s="4">
        <v>1</v>
      </c>
      <c r="P110">
        <v>0</v>
      </c>
      <c r="Q110">
        <v>0</v>
      </c>
    </row>
    <row r="111" spans="1:17" x14ac:dyDescent="0.3">
      <c r="A111">
        <v>37509</v>
      </c>
      <c r="B111" t="s">
        <v>1819</v>
      </c>
      <c r="C111" t="s">
        <v>1820</v>
      </c>
      <c r="D111" s="3">
        <v>32284</v>
      </c>
      <c r="E111" t="s">
        <v>1400</v>
      </c>
      <c r="G111" s="3">
        <v>44670</v>
      </c>
      <c r="H111" t="s">
        <v>1821</v>
      </c>
      <c r="J111" t="s">
        <v>1441</v>
      </c>
      <c r="K111" t="s">
        <v>55</v>
      </c>
      <c r="L111" s="3">
        <v>46515</v>
      </c>
      <c r="M111" s="3">
        <v>46470</v>
      </c>
      <c r="N111" t="s">
        <v>1822</v>
      </c>
      <c r="O111" s="4">
        <v>1</v>
      </c>
      <c r="P111">
        <v>0</v>
      </c>
      <c r="Q111">
        <v>0</v>
      </c>
    </row>
    <row r="112" spans="1:17" x14ac:dyDescent="0.3">
      <c r="A112">
        <v>16282</v>
      </c>
      <c r="B112" t="s">
        <v>1823</v>
      </c>
      <c r="C112" t="s">
        <v>1824</v>
      </c>
      <c r="D112" s="3">
        <v>26137</v>
      </c>
      <c r="E112" t="s">
        <v>1400</v>
      </c>
      <c r="F112">
        <v>273</v>
      </c>
      <c r="G112" s="3">
        <v>37886</v>
      </c>
      <c r="H112" t="s">
        <v>1825</v>
      </c>
      <c r="J112" t="s">
        <v>1506</v>
      </c>
      <c r="K112" t="s">
        <v>64</v>
      </c>
      <c r="L112" s="3">
        <v>72686</v>
      </c>
      <c r="M112" s="3">
        <v>47498</v>
      </c>
      <c r="N112" t="s">
        <v>1826</v>
      </c>
      <c r="O112" s="4">
        <v>0.8</v>
      </c>
      <c r="P112">
        <v>0</v>
      </c>
      <c r="Q112">
        <v>0</v>
      </c>
    </row>
    <row r="113" spans="1:17" x14ac:dyDescent="0.3">
      <c r="A113">
        <v>17954</v>
      </c>
      <c r="B113" t="s">
        <v>1761</v>
      </c>
      <c r="C113" t="s">
        <v>1827</v>
      </c>
      <c r="D113" s="3">
        <v>24694</v>
      </c>
      <c r="E113" t="s">
        <v>1400</v>
      </c>
      <c r="F113">
        <v>171</v>
      </c>
      <c r="G113" s="3">
        <v>38404</v>
      </c>
      <c r="H113" t="s">
        <v>1828</v>
      </c>
      <c r="I113">
        <v>92306884</v>
      </c>
      <c r="J113" t="s">
        <v>1569</v>
      </c>
      <c r="K113" t="s">
        <v>73</v>
      </c>
      <c r="L113" s="3">
        <v>47316</v>
      </c>
      <c r="M113" s="3">
        <v>47306</v>
      </c>
      <c r="N113" t="s">
        <v>1829</v>
      </c>
      <c r="O113" s="4">
        <v>0.8</v>
      </c>
      <c r="P113">
        <v>0</v>
      </c>
      <c r="Q113">
        <v>0</v>
      </c>
    </row>
    <row r="114" spans="1:17" x14ac:dyDescent="0.3">
      <c r="A114">
        <v>41632</v>
      </c>
      <c r="B114" t="s">
        <v>1830</v>
      </c>
      <c r="C114" t="s">
        <v>1831</v>
      </c>
      <c r="D114" s="3">
        <v>24767</v>
      </c>
      <c r="E114" t="s">
        <v>1400</v>
      </c>
      <c r="G114" s="3">
        <v>45720</v>
      </c>
      <c r="H114" t="s">
        <v>1832</v>
      </c>
      <c r="J114" t="s">
        <v>1408</v>
      </c>
      <c r="K114" t="s">
        <v>55</v>
      </c>
      <c r="L114" s="3">
        <v>47562</v>
      </c>
      <c r="M114" s="3">
        <v>47533</v>
      </c>
      <c r="N114" t="s">
        <v>1833</v>
      </c>
      <c r="O114" s="4">
        <v>1</v>
      </c>
      <c r="P114">
        <v>0</v>
      </c>
      <c r="Q114">
        <v>0</v>
      </c>
    </row>
    <row r="115" spans="1:17" x14ac:dyDescent="0.3">
      <c r="A115">
        <v>36505</v>
      </c>
      <c r="B115" t="s">
        <v>1834</v>
      </c>
      <c r="C115" t="s">
        <v>1835</v>
      </c>
      <c r="D115" s="3">
        <v>35806</v>
      </c>
      <c r="E115" t="s">
        <v>1400</v>
      </c>
      <c r="G115" s="3">
        <v>44333</v>
      </c>
      <c r="H115" t="s">
        <v>1836</v>
      </c>
      <c r="I115" t="s">
        <v>1837</v>
      </c>
      <c r="J115" t="s">
        <v>1408</v>
      </c>
      <c r="K115" t="s">
        <v>64</v>
      </c>
      <c r="L115" s="3">
        <v>46174</v>
      </c>
      <c r="M115" s="3">
        <v>46097</v>
      </c>
      <c r="N115" t="s">
        <v>1838</v>
      </c>
      <c r="O115" s="4">
        <v>1</v>
      </c>
      <c r="P115">
        <v>0</v>
      </c>
      <c r="Q115">
        <v>0</v>
      </c>
    </row>
    <row r="116" spans="1:17" x14ac:dyDescent="0.3">
      <c r="A116">
        <v>16546</v>
      </c>
      <c r="B116" t="s">
        <v>1839</v>
      </c>
      <c r="C116" t="s">
        <v>1840</v>
      </c>
      <c r="D116" s="3">
        <v>24253</v>
      </c>
      <c r="E116" t="s">
        <v>1400</v>
      </c>
      <c r="F116">
        <v>380</v>
      </c>
      <c r="G116" s="3">
        <v>37991</v>
      </c>
      <c r="H116" t="s">
        <v>1841</v>
      </c>
      <c r="J116" t="s">
        <v>1484</v>
      </c>
      <c r="K116" t="s">
        <v>61</v>
      </c>
      <c r="L116" s="3">
        <v>47671</v>
      </c>
      <c r="M116" s="3">
        <v>46726</v>
      </c>
      <c r="N116" t="s">
        <v>1842</v>
      </c>
      <c r="O116" s="4">
        <v>0.5</v>
      </c>
      <c r="P116">
        <v>0</v>
      </c>
      <c r="Q116">
        <v>0</v>
      </c>
    </row>
    <row r="117" spans="1:17" x14ac:dyDescent="0.3">
      <c r="A117">
        <v>35026</v>
      </c>
      <c r="B117" t="s">
        <v>1843</v>
      </c>
      <c r="C117" t="s">
        <v>1844</v>
      </c>
      <c r="D117" s="3">
        <v>32327</v>
      </c>
      <c r="E117" t="s">
        <v>1400</v>
      </c>
      <c r="F117">
        <v>399</v>
      </c>
      <c r="G117" s="3">
        <v>43850</v>
      </c>
      <c r="H117" t="s">
        <v>1845</v>
      </c>
      <c r="J117" t="s">
        <v>1459</v>
      </c>
      <c r="K117" t="s">
        <v>67</v>
      </c>
      <c r="L117" s="3">
        <v>47434</v>
      </c>
      <c r="M117" s="3">
        <v>47377</v>
      </c>
      <c r="N117" t="s">
        <v>1846</v>
      </c>
      <c r="O117" s="4">
        <v>0.8</v>
      </c>
      <c r="P117">
        <v>0</v>
      </c>
      <c r="Q117">
        <v>0</v>
      </c>
    </row>
    <row r="118" spans="1:17" x14ac:dyDescent="0.3">
      <c r="A118">
        <v>9158</v>
      </c>
      <c r="B118" t="s">
        <v>1000</v>
      </c>
      <c r="C118" t="s">
        <v>1847</v>
      </c>
      <c r="D118" s="3">
        <v>26119</v>
      </c>
      <c r="E118" t="s">
        <v>1400</v>
      </c>
      <c r="F118">
        <v>180</v>
      </c>
      <c r="G118" s="3">
        <v>35513</v>
      </c>
      <c r="I118">
        <v>93572444</v>
      </c>
      <c r="J118" t="s">
        <v>1506</v>
      </c>
      <c r="K118" t="s">
        <v>67</v>
      </c>
      <c r="L118" s="3">
        <v>72686</v>
      </c>
      <c r="M118" s="3">
        <v>46834</v>
      </c>
      <c r="N118" t="s">
        <v>1848</v>
      </c>
      <c r="O118" s="4">
        <v>1</v>
      </c>
      <c r="P118">
        <v>0</v>
      </c>
      <c r="Q118">
        <v>0</v>
      </c>
    </row>
    <row r="119" spans="1:17" x14ac:dyDescent="0.3">
      <c r="A119">
        <v>21383</v>
      </c>
      <c r="B119" t="s">
        <v>1849</v>
      </c>
      <c r="C119" t="s">
        <v>1847</v>
      </c>
      <c r="D119" s="3">
        <v>26590</v>
      </c>
      <c r="E119" t="s">
        <v>1400</v>
      </c>
      <c r="F119">
        <v>291</v>
      </c>
      <c r="G119" s="3">
        <v>39356</v>
      </c>
      <c r="H119" t="s">
        <v>1850</v>
      </c>
      <c r="I119">
        <v>92303180</v>
      </c>
      <c r="J119" t="s">
        <v>1476</v>
      </c>
      <c r="K119" t="s">
        <v>64</v>
      </c>
      <c r="L119" s="3">
        <v>72686</v>
      </c>
      <c r="M119" s="3">
        <v>47533</v>
      </c>
      <c r="N119" t="s">
        <v>1851</v>
      </c>
      <c r="O119" s="4">
        <v>0.8</v>
      </c>
      <c r="P119">
        <v>0</v>
      </c>
      <c r="Q119">
        <v>0</v>
      </c>
    </row>
    <row r="120" spans="1:17" x14ac:dyDescent="0.3">
      <c r="A120">
        <v>13345</v>
      </c>
      <c r="B120" t="s">
        <v>1852</v>
      </c>
      <c r="C120" t="s">
        <v>1847</v>
      </c>
      <c r="D120" s="3">
        <v>25829</v>
      </c>
      <c r="E120" t="s">
        <v>1400</v>
      </c>
      <c r="F120">
        <v>578</v>
      </c>
      <c r="G120" s="3">
        <v>37018</v>
      </c>
      <c r="H120" t="s">
        <v>1853</v>
      </c>
      <c r="J120" t="s">
        <v>1515</v>
      </c>
      <c r="K120" t="s">
        <v>64</v>
      </c>
      <c r="L120" s="3">
        <v>47607</v>
      </c>
      <c r="M120" s="3">
        <v>46005</v>
      </c>
      <c r="N120" t="s">
        <v>1854</v>
      </c>
      <c r="O120" s="4">
        <v>1</v>
      </c>
      <c r="P120">
        <v>0</v>
      </c>
      <c r="Q120">
        <v>0</v>
      </c>
    </row>
    <row r="121" spans="1:17" x14ac:dyDescent="0.3">
      <c r="A121">
        <v>42164</v>
      </c>
      <c r="B121" t="s">
        <v>1855</v>
      </c>
      <c r="C121" t="s">
        <v>1856</v>
      </c>
      <c r="D121" s="3">
        <v>30767</v>
      </c>
      <c r="E121" t="s">
        <v>1400</v>
      </c>
      <c r="G121" s="3">
        <v>45870</v>
      </c>
      <c r="H121" t="s">
        <v>1857</v>
      </c>
      <c r="I121" t="s">
        <v>1858</v>
      </c>
      <c r="J121" t="s">
        <v>1859</v>
      </c>
      <c r="K121" t="s">
        <v>52</v>
      </c>
      <c r="L121" s="3">
        <v>46301</v>
      </c>
      <c r="M121" s="3">
        <v>47644</v>
      </c>
      <c r="N121" t="s">
        <v>1860</v>
      </c>
      <c r="O121" s="4">
        <v>1</v>
      </c>
      <c r="P121">
        <v>0</v>
      </c>
      <c r="Q121">
        <v>0</v>
      </c>
    </row>
    <row r="122" spans="1:17" x14ac:dyDescent="0.3">
      <c r="A122">
        <v>15626</v>
      </c>
      <c r="B122" t="s">
        <v>1861</v>
      </c>
      <c r="C122" t="s">
        <v>1862</v>
      </c>
      <c r="D122" s="3">
        <v>29917</v>
      </c>
      <c r="E122" t="s">
        <v>1400</v>
      </c>
      <c r="F122">
        <v>556</v>
      </c>
      <c r="G122" s="3">
        <v>37718</v>
      </c>
      <c r="H122" t="s">
        <v>1863</v>
      </c>
      <c r="J122" t="s">
        <v>1523</v>
      </c>
      <c r="K122" t="s">
        <v>55</v>
      </c>
      <c r="L122" s="3">
        <v>47650</v>
      </c>
      <c r="M122" s="3">
        <v>46466</v>
      </c>
      <c r="N122" t="s">
        <v>1864</v>
      </c>
      <c r="O122" s="4">
        <v>0.8</v>
      </c>
      <c r="P122">
        <v>0</v>
      </c>
      <c r="Q122">
        <v>0</v>
      </c>
    </row>
    <row r="123" spans="1:17" x14ac:dyDescent="0.3">
      <c r="A123">
        <v>8016</v>
      </c>
      <c r="B123" t="s">
        <v>1865</v>
      </c>
      <c r="C123" t="s">
        <v>1866</v>
      </c>
      <c r="D123" s="3">
        <v>24555</v>
      </c>
      <c r="E123" t="s">
        <v>1656</v>
      </c>
      <c r="F123">
        <v>100</v>
      </c>
      <c r="G123" s="3">
        <v>35065</v>
      </c>
      <c r="H123" t="s">
        <v>1867</v>
      </c>
      <c r="J123" t="s">
        <v>1702</v>
      </c>
      <c r="K123" t="s">
        <v>52</v>
      </c>
      <c r="L123" s="3">
        <v>72686</v>
      </c>
      <c r="M123" s="3">
        <v>46146</v>
      </c>
      <c r="N123" t="s">
        <v>1868</v>
      </c>
      <c r="O123" s="4">
        <v>0.8</v>
      </c>
      <c r="P123">
        <v>0</v>
      </c>
      <c r="Q123">
        <v>0</v>
      </c>
    </row>
    <row r="124" spans="1:17" x14ac:dyDescent="0.3">
      <c r="A124">
        <v>26137</v>
      </c>
      <c r="B124" t="s">
        <v>1869</v>
      </c>
      <c r="C124" t="s">
        <v>1866</v>
      </c>
      <c r="D124" s="3">
        <v>22939</v>
      </c>
      <c r="E124" t="s">
        <v>1400</v>
      </c>
      <c r="F124">
        <v>61</v>
      </c>
      <c r="G124" s="3">
        <v>40623</v>
      </c>
      <c r="H124" t="s">
        <v>1870</v>
      </c>
      <c r="J124" t="s">
        <v>1480</v>
      </c>
      <c r="K124" t="s">
        <v>67</v>
      </c>
      <c r="L124" s="3">
        <v>45948</v>
      </c>
      <c r="M124" s="3">
        <v>46046</v>
      </c>
      <c r="N124" t="s">
        <v>1871</v>
      </c>
      <c r="O124" s="4">
        <v>0.8</v>
      </c>
      <c r="P124">
        <v>0</v>
      </c>
      <c r="Q124">
        <v>0</v>
      </c>
    </row>
    <row r="125" spans="1:17" x14ac:dyDescent="0.3">
      <c r="A125">
        <v>36625</v>
      </c>
      <c r="B125" t="s">
        <v>1872</v>
      </c>
      <c r="C125" t="s">
        <v>1873</v>
      </c>
      <c r="D125" s="3">
        <v>30329</v>
      </c>
      <c r="E125" t="s">
        <v>1400</v>
      </c>
      <c r="G125" s="3">
        <v>44389</v>
      </c>
      <c r="H125" t="s">
        <v>1874</v>
      </c>
      <c r="J125" t="s">
        <v>1446</v>
      </c>
      <c r="K125" t="s">
        <v>64</v>
      </c>
      <c r="L125" s="3">
        <v>46293</v>
      </c>
      <c r="M125" s="3">
        <v>46260</v>
      </c>
      <c r="N125" t="s">
        <v>1875</v>
      </c>
      <c r="O125" s="4">
        <v>1</v>
      </c>
      <c r="P125">
        <v>0</v>
      </c>
      <c r="Q125">
        <v>0</v>
      </c>
    </row>
    <row r="126" spans="1:17" x14ac:dyDescent="0.3">
      <c r="A126">
        <v>39889</v>
      </c>
      <c r="B126" t="s">
        <v>1876</v>
      </c>
      <c r="C126" t="s">
        <v>1877</v>
      </c>
      <c r="D126" s="3">
        <v>28307</v>
      </c>
      <c r="E126" t="s">
        <v>1400</v>
      </c>
      <c r="G126" s="3">
        <v>45293</v>
      </c>
      <c r="H126" t="s">
        <v>1878</v>
      </c>
      <c r="J126" t="s">
        <v>1408</v>
      </c>
      <c r="K126" t="s">
        <v>67</v>
      </c>
      <c r="L126" s="3">
        <v>47140</v>
      </c>
      <c r="M126" s="3">
        <v>47090</v>
      </c>
      <c r="N126" t="s">
        <v>1879</v>
      </c>
      <c r="O126" s="4">
        <v>1</v>
      </c>
      <c r="P126">
        <v>0</v>
      </c>
      <c r="Q126">
        <v>0</v>
      </c>
    </row>
    <row r="127" spans="1:17" x14ac:dyDescent="0.3">
      <c r="A127">
        <v>23481</v>
      </c>
      <c r="B127" t="s">
        <v>1880</v>
      </c>
      <c r="C127" t="s">
        <v>1881</v>
      </c>
      <c r="D127" s="3">
        <v>29923</v>
      </c>
      <c r="E127" t="s">
        <v>1400</v>
      </c>
      <c r="F127">
        <v>533</v>
      </c>
      <c r="G127" s="3">
        <v>39881</v>
      </c>
      <c r="H127" t="s">
        <v>1882</v>
      </c>
      <c r="J127" t="s">
        <v>1523</v>
      </c>
      <c r="K127" t="s">
        <v>55</v>
      </c>
      <c r="L127" s="3">
        <v>46987</v>
      </c>
      <c r="M127" s="3">
        <v>46916</v>
      </c>
      <c r="N127" t="s">
        <v>1883</v>
      </c>
      <c r="O127" s="4">
        <v>1</v>
      </c>
      <c r="P127">
        <v>0</v>
      </c>
      <c r="Q127">
        <v>1</v>
      </c>
    </row>
    <row r="128" spans="1:17" x14ac:dyDescent="0.3">
      <c r="A128">
        <v>31601</v>
      </c>
      <c r="B128" t="s">
        <v>1884</v>
      </c>
      <c r="C128" t="s">
        <v>1885</v>
      </c>
      <c r="D128" s="3">
        <v>32979</v>
      </c>
      <c r="E128" t="s">
        <v>1400</v>
      </c>
      <c r="F128">
        <v>225</v>
      </c>
      <c r="G128" s="3">
        <v>42843</v>
      </c>
      <c r="H128" t="s">
        <v>1886</v>
      </c>
      <c r="J128" t="s">
        <v>1480</v>
      </c>
      <c r="K128" t="s">
        <v>52</v>
      </c>
      <c r="L128" s="3">
        <v>46434</v>
      </c>
      <c r="M128" s="3">
        <v>46418</v>
      </c>
      <c r="N128" t="s">
        <v>1887</v>
      </c>
      <c r="O128" s="4">
        <v>1</v>
      </c>
      <c r="P128">
        <v>0</v>
      </c>
      <c r="Q128">
        <v>0</v>
      </c>
    </row>
    <row r="129" spans="1:17" x14ac:dyDescent="0.3">
      <c r="A129">
        <v>28690</v>
      </c>
      <c r="B129" t="s">
        <v>1888</v>
      </c>
      <c r="C129" t="s">
        <v>1889</v>
      </c>
      <c r="D129" s="3">
        <v>28385</v>
      </c>
      <c r="E129" t="s">
        <v>1400</v>
      </c>
      <c r="F129">
        <v>184</v>
      </c>
      <c r="G129" s="3">
        <v>41617</v>
      </c>
      <c r="H129" t="s">
        <v>1890</v>
      </c>
      <c r="I129">
        <v>92315307</v>
      </c>
      <c r="J129" t="s">
        <v>1626</v>
      </c>
      <c r="K129" t="s">
        <v>58</v>
      </c>
      <c r="L129" s="3">
        <v>47034</v>
      </c>
      <c r="M129" s="3">
        <v>46925</v>
      </c>
      <c r="N129" t="s">
        <v>1891</v>
      </c>
      <c r="O129" s="4">
        <v>0.5</v>
      </c>
      <c r="P129">
        <v>0</v>
      </c>
      <c r="Q129">
        <v>0</v>
      </c>
    </row>
    <row r="130" spans="1:17" x14ac:dyDescent="0.3">
      <c r="A130">
        <v>37345</v>
      </c>
      <c r="B130" t="s">
        <v>1892</v>
      </c>
      <c r="C130" t="s">
        <v>1893</v>
      </c>
      <c r="D130" s="3">
        <v>35891</v>
      </c>
      <c r="E130" t="s">
        <v>1400</v>
      </c>
      <c r="G130" s="3">
        <v>44655</v>
      </c>
      <c r="H130" t="s">
        <v>1894</v>
      </c>
      <c r="J130" t="s">
        <v>1408</v>
      </c>
      <c r="K130" t="s">
        <v>73</v>
      </c>
      <c r="L130" s="3">
        <v>46502</v>
      </c>
      <c r="M130" s="3">
        <v>46400</v>
      </c>
      <c r="N130" t="s">
        <v>1895</v>
      </c>
      <c r="O130" s="4">
        <v>1</v>
      </c>
      <c r="P130">
        <v>0</v>
      </c>
      <c r="Q130">
        <v>0</v>
      </c>
    </row>
    <row r="131" spans="1:17" x14ac:dyDescent="0.3">
      <c r="A131">
        <v>17566</v>
      </c>
      <c r="B131" t="s">
        <v>1896</v>
      </c>
      <c r="C131" t="s">
        <v>1897</v>
      </c>
      <c r="D131" s="3">
        <v>22889</v>
      </c>
      <c r="E131" t="s">
        <v>1400</v>
      </c>
      <c r="F131">
        <v>312</v>
      </c>
      <c r="G131" s="3">
        <v>38222</v>
      </c>
      <c r="H131" t="s">
        <v>1898</v>
      </c>
      <c r="J131" t="s">
        <v>1506</v>
      </c>
      <c r="K131" t="s">
        <v>55</v>
      </c>
      <c r="L131" s="3">
        <v>72686</v>
      </c>
      <c r="M131" s="3">
        <v>47163</v>
      </c>
      <c r="N131" t="s">
        <v>1899</v>
      </c>
      <c r="O131" s="4">
        <v>0.8</v>
      </c>
      <c r="P131">
        <v>0</v>
      </c>
      <c r="Q131">
        <v>1</v>
      </c>
    </row>
    <row r="132" spans="1:17" x14ac:dyDescent="0.3">
      <c r="A132">
        <v>37254</v>
      </c>
      <c r="B132" t="s">
        <v>1900</v>
      </c>
      <c r="C132" t="s">
        <v>1901</v>
      </c>
      <c r="D132" s="3">
        <v>36729</v>
      </c>
      <c r="E132" t="s">
        <v>1400</v>
      </c>
      <c r="G132" s="3">
        <v>44585</v>
      </c>
      <c r="H132" t="s">
        <v>1902</v>
      </c>
      <c r="J132" t="s">
        <v>1418</v>
      </c>
      <c r="K132" t="s">
        <v>64</v>
      </c>
      <c r="L132" s="3">
        <v>46425</v>
      </c>
      <c r="M132" s="3">
        <v>46033</v>
      </c>
      <c r="N132" t="s">
        <v>1903</v>
      </c>
      <c r="O132" s="4">
        <v>1</v>
      </c>
      <c r="P132">
        <v>0</v>
      </c>
      <c r="Q132">
        <v>0</v>
      </c>
    </row>
    <row r="133" spans="1:17" x14ac:dyDescent="0.3">
      <c r="A133">
        <v>36513</v>
      </c>
      <c r="B133" t="s">
        <v>1261</v>
      </c>
      <c r="C133" t="s">
        <v>1904</v>
      </c>
      <c r="D133" s="3">
        <v>35422</v>
      </c>
      <c r="E133" t="s">
        <v>1400</v>
      </c>
      <c r="G133" s="3">
        <v>44333</v>
      </c>
      <c r="H133" t="s">
        <v>1905</v>
      </c>
      <c r="J133" t="s">
        <v>1459</v>
      </c>
      <c r="K133" t="s">
        <v>64</v>
      </c>
      <c r="L133" s="3">
        <v>46174</v>
      </c>
      <c r="M133" s="3">
        <v>46124</v>
      </c>
      <c r="N133" t="s">
        <v>1906</v>
      </c>
      <c r="O133" s="4">
        <v>1</v>
      </c>
      <c r="P133">
        <v>0</v>
      </c>
      <c r="Q133">
        <v>0</v>
      </c>
    </row>
    <row r="134" spans="1:17" x14ac:dyDescent="0.3">
      <c r="A134">
        <v>36428</v>
      </c>
      <c r="B134" t="s">
        <v>1907</v>
      </c>
      <c r="C134" t="s">
        <v>1908</v>
      </c>
      <c r="D134" s="3">
        <v>33510</v>
      </c>
      <c r="E134" t="s">
        <v>1400</v>
      </c>
      <c r="G134" s="3">
        <v>44312</v>
      </c>
      <c r="H134" t="s">
        <v>1909</v>
      </c>
      <c r="J134" t="s">
        <v>1441</v>
      </c>
      <c r="K134" t="s">
        <v>73</v>
      </c>
      <c r="L134" s="3">
        <v>46152</v>
      </c>
      <c r="M134" s="3">
        <v>46084</v>
      </c>
      <c r="N134" t="s">
        <v>1910</v>
      </c>
      <c r="O134" s="4">
        <v>1</v>
      </c>
      <c r="P134">
        <v>0</v>
      </c>
      <c r="Q134">
        <v>1</v>
      </c>
    </row>
    <row r="135" spans="1:17" x14ac:dyDescent="0.3">
      <c r="A135">
        <v>41357</v>
      </c>
      <c r="B135" t="s">
        <v>1911</v>
      </c>
      <c r="C135" t="s">
        <v>1231</v>
      </c>
      <c r="D135" s="3">
        <v>35947</v>
      </c>
      <c r="E135" t="s">
        <v>1400</v>
      </c>
      <c r="G135" s="3">
        <v>45692</v>
      </c>
      <c r="H135" t="s">
        <v>1912</v>
      </c>
      <c r="J135" t="s">
        <v>1408</v>
      </c>
      <c r="K135" t="s">
        <v>55</v>
      </c>
      <c r="L135" s="3">
        <v>47538</v>
      </c>
      <c r="M135" s="3">
        <v>47407</v>
      </c>
      <c r="N135" t="s">
        <v>1913</v>
      </c>
      <c r="O135" s="4">
        <v>1</v>
      </c>
      <c r="P135">
        <v>0</v>
      </c>
      <c r="Q135">
        <v>0</v>
      </c>
    </row>
    <row r="136" spans="1:17" x14ac:dyDescent="0.3">
      <c r="A136">
        <v>39712</v>
      </c>
      <c r="B136" t="s">
        <v>1069</v>
      </c>
      <c r="C136" t="s">
        <v>1231</v>
      </c>
      <c r="D136" s="3">
        <v>35461</v>
      </c>
      <c r="E136" t="s">
        <v>1400</v>
      </c>
      <c r="G136" s="3">
        <v>45236</v>
      </c>
      <c r="H136" t="s">
        <v>1914</v>
      </c>
      <c r="J136" t="s">
        <v>1408</v>
      </c>
      <c r="K136" t="s">
        <v>55</v>
      </c>
      <c r="L136" s="3">
        <v>47077</v>
      </c>
      <c r="M136" s="3">
        <v>47034</v>
      </c>
      <c r="N136" t="s">
        <v>1915</v>
      </c>
      <c r="O136" s="4">
        <v>1</v>
      </c>
      <c r="P136">
        <v>0</v>
      </c>
      <c r="Q136">
        <v>0</v>
      </c>
    </row>
    <row r="137" spans="1:17" x14ac:dyDescent="0.3">
      <c r="A137">
        <v>13398</v>
      </c>
      <c r="B137" t="s">
        <v>1648</v>
      </c>
      <c r="C137" t="s">
        <v>1231</v>
      </c>
      <c r="D137" s="3">
        <v>28371</v>
      </c>
      <c r="E137" t="s">
        <v>1400</v>
      </c>
      <c r="F137">
        <v>340</v>
      </c>
      <c r="G137" s="3">
        <v>37047</v>
      </c>
      <c r="H137" t="s">
        <v>1916</v>
      </c>
      <c r="J137" t="s">
        <v>1574</v>
      </c>
      <c r="K137" t="s">
        <v>52</v>
      </c>
      <c r="L137" s="3">
        <v>45892</v>
      </c>
      <c r="M137" s="3">
        <v>46028</v>
      </c>
      <c r="N137" t="s">
        <v>1917</v>
      </c>
      <c r="O137" s="4">
        <v>1</v>
      </c>
      <c r="P137">
        <v>0</v>
      </c>
      <c r="Q137">
        <v>0</v>
      </c>
    </row>
    <row r="138" spans="1:17" x14ac:dyDescent="0.3">
      <c r="A138">
        <v>39930</v>
      </c>
      <c r="B138" t="s">
        <v>1918</v>
      </c>
      <c r="C138" t="s">
        <v>1919</v>
      </c>
      <c r="D138" s="3">
        <v>33604</v>
      </c>
      <c r="E138" t="s">
        <v>1400</v>
      </c>
      <c r="G138" s="3">
        <v>45307</v>
      </c>
      <c r="H138" t="s">
        <v>1920</v>
      </c>
      <c r="J138" t="s">
        <v>1408</v>
      </c>
      <c r="K138" t="s">
        <v>61</v>
      </c>
      <c r="L138" s="3">
        <v>47154</v>
      </c>
      <c r="M138" s="3">
        <v>47100</v>
      </c>
      <c r="N138" t="s">
        <v>1921</v>
      </c>
      <c r="O138" s="4">
        <v>1</v>
      </c>
      <c r="P138">
        <v>0</v>
      </c>
      <c r="Q138">
        <v>0</v>
      </c>
    </row>
    <row r="139" spans="1:17" x14ac:dyDescent="0.3">
      <c r="A139">
        <v>32169</v>
      </c>
      <c r="B139" t="s">
        <v>1922</v>
      </c>
      <c r="C139" t="s">
        <v>1923</v>
      </c>
      <c r="D139" s="3">
        <v>25554</v>
      </c>
      <c r="E139" t="s">
        <v>1400</v>
      </c>
      <c r="F139">
        <v>46</v>
      </c>
      <c r="G139" s="3">
        <v>43031</v>
      </c>
      <c r="H139" t="s">
        <v>1924</v>
      </c>
      <c r="J139" t="s">
        <v>1418</v>
      </c>
      <c r="K139" t="s">
        <v>67</v>
      </c>
      <c r="L139" s="3">
        <v>46637</v>
      </c>
      <c r="M139" s="3">
        <v>46637</v>
      </c>
      <c r="N139" t="s">
        <v>1925</v>
      </c>
      <c r="O139" s="4">
        <v>1</v>
      </c>
      <c r="P139">
        <v>0</v>
      </c>
      <c r="Q139">
        <v>1</v>
      </c>
    </row>
    <row r="140" spans="1:17" x14ac:dyDescent="0.3">
      <c r="A140">
        <v>39528</v>
      </c>
      <c r="B140" t="s">
        <v>1926</v>
      </c>
      <c r="C140" t="s">
        <v>1927</v>
      </c>
      <c r="D140" s="3">
        <v>32358</v>
      </c>
      <c r="E140" t="s">
        <v>1400</v>
      </c>
      <c r="G140" s="3">
        <v>45236</v>
      </c>
      <c r="H140" t="s">
        <v>1928</v>
      </c>
      <c r="J140" t="s">
        <v>1408</v>
      </c>
      <c r="K140" t="s">
        <v>61</v>
      </c>
      <c r="L140" s="3">
        <v>47077</v>
      </c>
      <c r="M140" s="3">
        <v>46981</v>
      </c>
      <c r="N140" t="s">
        <v>1929</v>
      </c>
      <c r="O140" s="4">
        <v>1</v>
      </c>
      <c r="P140">
        <v>0</v>
      </c>
      <c r="Q140">
        <v>0</v>
      </c>
    </row>
    <row r="141" spans="1:17" x14ac:dyDescent="0.3">
      <c r="A141">
        <v>22625</v>
      </c>
      <c r="B141" t="s">
        <v>1930</v>
      </c>
      <c r="C141" t="s">
        <v>1931</v>
      </c>
      <c r="D141" s="3">
        <v>28070</v>
      </c>
      <c r="E141" t="s">
        <v>1400</v>
      </c>
      <c r="F141">
        <v>537</v>
      </c>
      <c r="G141" s="3">
        <v>39643</v>
      </c>
      <c r="H141" t="s">
        <v>1932</v>
      </c>
      <c r="J141" t="s">
        <v>1626</v>
      </c>
      <c r="K141" t="s">
        <v>55</v>
      </c>
      <c r="L141" s="3">
        <v>47610</v>
      </c>
      <c r="M141" s="3">
        <v>46637</v>
      </c>
      <c r="N141" t="s">
        <v>1933</v>
      </c>
      <c r="O141" s="4">
        <v>1</v>
      </c>
      <c r="P141">
        <v>0</v>
      </c>
      <c r="Q141">
        <v>0</v>
      </c>
    </row>
    <row r="142" spans="1:17" x14ac:dyDescent="0.3">
      <c r="A142">
        <v>5599</v>
      </c>
      <c r="B142" t="s">
        <v>1934</v>
      </c>
      <c r="C142" t="s">
        <v>1935</v>
      </c>
      <c r="D142" s="3">
        <v>24551</v>
      </c>
      <c r="E142" t="s">
        <v>1400</v>
      </c>
      <c r="F142">
        <v>386</v>
      </c>
      <c r="G142" s="3">
        <v>33609</v>
      </c>
      <c r="H142" t="s">
        <v>1936</v>
      </c>
      <c r="I142">
        <v>93572595</v>
      </c>
      <c r="J142" t="s">
        <v>1506</v>
      </c>
      <c r="K142" t="s">
        <v>67</v>
      </c>
      <c r="L142" s="3">
        <v>73050</v>
      </c>
      <c r="M142" s="3">
        <v>46853</v>
      </c>
      <c r="N142" t="s">
        <v>1937</v>
      </c>
      <c r="O142" s="4">
        <v>1</v>
      </c>
      <c r="P142">
        <v>0</v>
      </c>
      <c r="Q142">
        <v>0</v>
      </c>
    </row>
    <row r="143" spans="1:17" x14ac:dyDescent="0.3">
      <c r="A143">
        <v>41721</v>
      </c>
      <c r="B143" t="s">
        <v>1938</v>
      </c>
      <c r="C143" t="s">
        <v>1935</v>
      </c>
      <c r="D143" s="3">
        <v>26073</v>
      </c>
      <c r="E143" t="s">
        <v>1400</v>
      </c>
      <c r="G143" s="3">
        <v>45749</v>
      </c>
      <c r="H143" t="s">
        <v>1939</v>
      </c>
      <c r="J143" t="s">
        <v>1408</v>
      </c>
      <c r="K143" t="s">
        <v>64</v>
      </c>
      <c r="L143" s="3">
        <v>47594</v>
      </c>
      <c r="M143" s="3">
        <v>47503</v>
      </c>
      <c r="N143" t="s">
        <v>1940</v>
      </c>
      <c r="O143" s="4">
        <v>1</v>
      </c>
      <c r="P143">
        <v>0</v>
      </c>
      <c r="Q143">
        <v>0</v>
      </c>
    </row>
    <row r="144" spans="1:17" x14ac:dyDescent="0.3">
      <c r="A144">
        <v>40005</v>
      </c>
      <c r="B144" t="s">
        <v>1941</v>
      </c>
      <c r="C144" t="s">
        <v>1942</v>
      </c>
      <c r="D144" s="3">
        <v>33365</v>
      </c>
      <c r="E144" t="s">
        <v>1400</v>
      </c>
      <c r="G144" s="3">
        <v>45307</v>
      </c>
      <c r="H144" t="s">
        <v>1943</v>
      </c>
      <c r="J144" t="s">
        <v>1944</v>
      </c>
      <c r="K144" t="s">
        <v>61</v>
      </c>
      <c r="L144" s="3">
        <v>47154</v>
      </c>
      <c r="M144" s="3">
        <v>47126</v>
      </c>
      <c r="N144" t="s">
        <v>1945</v>
      </c>
      <c r="O144" s="4">
        <v>1</v>
      </c>
      <c r="P144">
        <v>0</v>
      </c>
      <c r="Q144">
        <v>0</v>
      </c>
    </row>
    <row r="145" spans="1:17" x14ac:dyDescent="0.3">
      <c r="A145">
        <v>36820</v>
      </c>
      <c r="B145" t="s">
        <v>1946</v>
      </c>
      <c r="C145" t="s">
        <v>1942</v>
      </c>
      <c r="D145" s="3">
        <v>22295</v>
      </c>
      <c r="E145" t="s">
        <v>1400</v>
      </c>
      <c r="G145" s="3">
        <v>44473</v>
      </c>
      <c r="H145" t="s">
        <v>1947</v>
      </c>
      <c r="I145">
        <v>93720791</v>
      </c>
      <c r="J145" t="s">
        <v>1408</v>
      </c>
      <c r="K145" t="s">
        <v>67</v>
      </c>
      <c r="L145" s="3">
        <v>46300</v>
      </c>
      <c r="M145" s="3">
        <v>46236</v>
      </c>
      <c r="N145" t="s">
        <v>1948</v>
      </c>
      <c r="O145" s="4">
        <v>0.8</v>
      </c>
      <c r="P145">
        <v>0</v>
      </c>
      <c r="Q145">
        <v>1</v>
      </c>
    </row>
    <row r="146" spans="1:17" x14ac:dyDescent="0.3">
      <c r="A146">
        <v>14665</v>
      </c>
      <c r="B146" t="s">
        <v>1949</v>
      </c>
      <c r="C146" t="s">
        <v>1942</v>
      </c>
      <c r="D146" s="3">
        <v>29490</v>
      </c>
      <c r="E146" t="s">
        <v>1400</v>
      </c>
      <c r="F146">
        <v>558</v>
      </c>
      <c r="G146" s="3">
        <v>37424</v>
      </c>
      <c r="H146" t="s">
        <v>1950</v>
      </c>
      <c r="J146" t="s">
        <v>1523</v>
      </c>
      <c r="K146" t="s">
        <v>55</v>
      </c>
      <c r="L146" s="3">
        <v>45915</v>
      </c>
      <c r="M146" s="3">
        <v>46273</v>
      </c>
      <c r="N146" t="s">
        <v>1951</v>
      </c>
      <c r="O146" s="4">
        <v>1</v>
      </c>
      <c r="P146">
        <v>0</v>
      </c>
      <c r="Q146">
        <v>0</v>
      </c>
    </row>
    <row r="147" spans="1:17" x14ac:dyDescent="0.3">
      <c r="A147">
        <v>6310</v>
      </c>
      <c r="B147" t="s">
        <v>1952</v>
      </c>
      <c r="C147" t="s">
        <v>1953</v>
      </c>
      <c r="D147" s="3">
        <v>23504</v>
      </c>
      <c r="E147" t="s">
        <v>1400</v>
      </c>
      <c r="F147">
        <v>289</v>
      </c>
      <c r="G147" s="3">
        <v>34078</v>
      </c>
      <c r="J147" t="s">
        <v>1574</v>
      </c>
      <c r="K147" t="s">
        <v>70</v>
      </c>
      <c r="L147" s="3">
        <v>72686</v>
      </c>
      <c r="M147" s="3">
        <v>46140</v>
      </c>
      <c r="N147" t="s">
        <v>1954</v>
      </c>
      <c r="O147" s="4">
        <v>1</v>
      </c>
      <c r="P147">
        <v>0</v>
      </c>
      <c r="Q147">
        <v>0</v>
      </c>
    </row>
    <row r="148" spans="1:17" x14ac:dyDescent="0.3">
      <c r="A148">
        <v>5061</v>
      </c>
      <c r="B148" t="s">
        <v>1517</v>
      </c>
      <c r="C148" t="s">
        <v>1953</v>
      </c>
      <c r="D148" s="3">
        <v>24557</v>
      </c>
      <c r="E148" t="s">
        <v>1400</v>
      </c>
      <c r="F148">
        <v>649</v>
      </c>
      <c r="G148" s="3">
        <v>33287</v>
      </c>
      <c r="I148">
        <v>93300995</v>
      </c>
      <c r="J148" t="s">
        <v>1515</v>
      </c>
      <c r="K148" t="s">
        <v>64</v>
      </c>
      <c r="L148" s="3">
        <v>47672</v>
      </c>
      <c r="M148" s="3">
        <v>46665</v>
      </c>
      <c r="N148" t="s">
        <v>1955</v>
      </c>
      <c r="O148" s="4">
        <v>1</v>
      </c>
      <c r="P148">
        <v>0</v>
      </c>
      <c r="Q148">
        <v>0</v>
      </c>
    </row>
    <row r="149" spans="1:17" x14ac:dyDescent="0.3">
      <c r="A149">
        <v>36336</v>
      </c>
      <c r="B149" t="s">
        <v>1956</v>
      </c>
      <c r="C149" t="s">
        <v>1953</v>
      </c>
      <c r="D149" s="3">
        <v>29706</v>
      </c>
      <c r="E149" t="s">
        <v>1400</v>
      </c>
      <c r="G149" s="3">
        <v>44284</v>
      </c>
      <c r="H149" t="s">
        <v>1957</v>
      </c>
      <c r="J149" t="s">
        <v>1515</v>
      </c>
      <c r="K149" t="s">
        <v>73</v>
      </c>
      <c r="L149" s="3">
        <v>46125</v>
      </c>
      <c r="M149" s="3">
        <v>45985</v>
      </c>
      <c r="N149" t="s">
        <v>1958</v>
      </c>
      <c r="O149" s="4">
        <v>0.8</v>
      </c>
      <c r="P149">
        <v>0</v>
      </c>
      <c r="Q149">
        <v>1</v>
      </c>
    </row>
    <row r="150" spans="1:17" x14ac:dyDescent="0.3">
      <c r="A150">
        <v>22052</v>
      </c>
      <c r="B150" t="s">
        <v>1660</v>
      </c>
      <c r="C150" t="s">
        <v>1953</v>
      </c>
      <c r="D150" s="3">
        <v>23387</v>
      </c>
      <c r="E150" t="s">
        <v>1400</v>
      </c>
      <c r="F150">
        <v>131</v>
      </c>
      <c r="G150" s="3">
        <v>39538</v>
      </c>
      <c r="H150" t="s">
        <v>1959</v>
      </c>
      <c r="I150">
        <v>93306518</v>
      </c>
      <c r="J150" t="s">
        <v>1523</v>
      </c>
      <c r="K150" t="s">
        <v>70</v>
      </c>
      <c r="L150" s="3">
        <v>47616</v>
      </c>
      <c r="M150" s="3">
        <v>47568</v>
      </c>
      <c r="N150" t="s">
        <v>1960</v>
      </c>
      <c r="O150" s="4">
        <v>0.8</v>
      </c>
      <c r="P150">
        <v>0</v>
      </c>
      <c r="Q150">
        <v>0</v>
      </c>
    </row>
    <row r="151" spans="1:17" x14ac:dyDescent="0.3">
      <c r="A151">
        <v>19087</v>
      </c>
      <c r="B151" t="s">
        <v>1961</v>
      </c>
      <c r="C151" t="s">
        <v>1953</v>
      </c>
      <c r="D151" s="3">
        <v>29547</v>
      </c>
      <c r="E151" t="s">
        <v>1400</v>
      </c>
      <c r="F151">
        <v>562</v>
      </c>
      <c r="G151" s="3">
        <v>38789</v>
      </c>
      <c r="H151" t="s">
        <v>1962</v>
      </c>
      <c r="J151" t="s">
        <v>1658</v>
      </c>
      <c r="K151" t="s">
        <v>58</v>
      </c>
      <c r="L151" s="3">
        <v>47635</v>
      </c>
      <c r="M151" s="3">
        <v>47608</v>
      </c>
      <c r="N151" t="s">
        <v>1963</v>
      </c>
      <c r="O151" s="4">
        <v>1</v>
      </c>
      <c r="P151">
        <v>0</v>
      </c>
      <c r="Q151">
        <v>1</v>
      </c>
    </row>
    <row r="152" spans="1:17" x14ac:dyDescent="0.3">
      <c r="A152">
        <v>16094</v>
      </c>
      <c r="B152" t="s">
        <v>1964</v>
      </c>
      <c r="C152" t="s">
        <v>1953</v>
      </c>
      <c r="D152" s="3">
        <v>24895</v>
      </c>
      <c r="E152" t="s">
        <v>1400</v>
      </c>
      <c r="F152">
        <v>579</v>
      </c>
      <c r="G152" s="3">
        <v>37830</v>
      </c>
      <c r="H152" t="s">
        <v>1965</v>
      </c>
      <c r="J152" t="s">
        <v>1523</v>
      </c>
      <c r="K152" t="s">
        <v>64</v>
      </c>
      <c r="L152" s="3">
        <v>47678</v>
      </c>
      <c r="M152" s="3">
        <v>46686</v>
      </c>
      <c r="N152" t="s">
        <v>1966</v>
      </c>
      <c r="O152" s="4">
        <v>0.8</v>
      </c>
      <c r="P152">
        <v>0</v>
      </c>
      <c r="Q152">
        <v>0</v>
      </c>
    </row>
    <row r="153" spans="1:17" x14ac:dyDescent="0.3">
      <c r="A153">
        <v>15219</v>
      </c>
      <c r="B153" t="s">
        <v>1967</v>
      </c>
      <c r="C153" t="s">
        <v>1953</v>
      </c>
      <c r="D153" s="3">
        <v>29607</v>
      </c>
      <c r="E153" t="s">
        <v>1400</v>
      </c>
      <c r="F153">
        <v>314</v>
      </c>
      <c r="G153" s="3">
        <v>37543</v>
      </c>
      <c r="H153" t="s">
        <v>1968</v>
      </c>
      <c r="J153" t="s">
        <v>1506</v>
      </c>
      <c r="K153" t="s">
        <v>55</v>
      </c>
      <c r="L153" s="3">
        <v>72686</v>
      </c>
      <c r="M153" s="3">
        <v>46693</v>
      </c>
      <c r="N153" t="s">
        <v>1969</v>
      </c>
      <c r="O153" s="4">
        <v>0.8</v>
      </c>
      <c r="P153">
        <v>0</v>
      </c>
      <c r="Q153">
        <v>1</v>
      </c>
    </row>
    <row r="154" spans="1:17" x14ac:dyDescent="0.3">
      <c r="A154">
        <v>36507</v>
      </c>
      <c r="B154" t="s">
        <v>1970</v>
      </c>
      <c r="C154" t="s">
        <v>1971</v>
      </c>
      <c r="D154" s="3">
        <v>25171</v>
      </c>
      <c r="E154" t="s">
        <v>1400</v>
      </c>
      <c r="G154" s="3">
        <v>44347</v>
      </c>
      <c r="H154" t="s">
        <v>1972</v>
      </c>
      <c r="J154" t="s">
        <v>1418</v>
      </c>
      <c r="K154" t="s">
        <v>67</v>
      </c>
      <c r="L154" s="3">
        <v>46190</v>
      </c>
      <c r="M154" s="3">
        <v>46119</v>
      </c>
      <c r="N154" t="s">
        <v>1973</v>
      </c>
      <c r="O154" s="4">
        <v>1</v>
      </c>
      <c r="P154">
        <v>0</v>
      </c>
      <c r="Q154">
        <v>1</v>
      </c>
    </row>
    <row r="155" spans="1:17" x14ac:dyDescent="0.3">
      <c r="A155">
        <v>40422</v>
      </c>
      <c r="B155" t="s">
        <v>1974</v>
      </c>
      <c r="C155" t="s">
        <v>1975</v>
      </c>
      <c r="D155" s="3">
        <v>20716</v>
      </c>
      <c r="E155" t="s">
        <v>1400</v>
      </c>
      <c r="G155" s="3">
        <v>45407</v>
      </c>
      <c r="H155" t="s">
        <v>1976</v>
      </c>
      <c r="J155" t="s">
        <v>1977</v>
      </c>
      <c r="K155" t="s">
        <v>73</v>
      </c>
      <c r="L155" s="3">
        <v>1</v>
      </c>
      <c r="M155" s="3">
        <v>1</v>
      </c>
      <c r="N155" t="s">
        <v>1978</v>
      </c>
      <c r="O155" s="4">
        <v>1</v>
      </c>
      <c r="P155">
        <v>0</v>
      </c>
      <c r="Q155">
        <v>0</v>
      </c>
    </row>
    <row r="156" spans="1:17" x14ac:dyDescent="0.3">
      <c r="A156">
        <v>33488</v>
      </c>
      <c r="B156" t="s">
        <v>1979</v>
      </c>
      <c r="C156" t="s">
        <v>1980</v>
      </c>
      <c r="D156" s="3">
        <v>34182</v>
      </c>
      <c r="E156" t="s">
        <v>1400</v>
      </c>
      <c r="F156">
        <v>430</v>
      </c>
      <c r="G156" s="3">
        <v>43486</v>
      </c>
      <c r="H156" t="s">
        <v>1981</v>
      </c>
      <c r="J156" t="s">
        <v>1418</v>
      </c>
      <c r="K156" t="s">
        <v>58</v>
      </c>
      <c r="L156" s="3">
        <v>47139</v>
      </c>
      <c r="M156" s="3">
        <v>46897</v>
      </c>
      <c r="N156" t="s">
        <v>1982</v>
      </c>
      <c r="O156" s="4">
        <v>0.8</v>
      </c>
      <c r="P156">
        <v>0</v>
      </c>
      <c r="Q156">
        <v>1</v>
      </c>
    </row>
    <row r="157" spans="1:17" x14ac:dyDescent="0.3">
      <c r="A157">
        <v>35862</v>
      </c>
      <c r="B157" t="s">
        <v>1983</v>
      </c>
      <c r="C157" t="s">
        <v>1984</v>
      </c>
      <c r="D157" s="3">
        <v>23710</v>
      </c>
      <c r="E157" t="s">
        <v>1400</v>
      </c>
      <c r="F157">
        <v>224</v>
      </c>
      <c r="G157" s="3">
        <v>44123</v>
      </c>
      <c r="H157" t="s">
        <v>1985</v>
      </c>
      <c r="I157" t="s">
        <v>1986</v>
      </c>
      <c r="J157" t="s">
        <v>1413</v>
      </c>
      <c r="K157" t="s">
        <v>70</v>
      </c>
      <c r="L157" s="3">
        <v>47573</v>
      </c>
      <c r="M157" s="3">
        <v>47533</v>
      </c>
      <c r="N157" t="s">
        <v>1987</v>
      </c>
      <c r="O157" s="4">
        <v>1</v>
      </c>
      <c r="P157">
        <v>0</v>
      </c>
      <c r="Q157">
        <v>1</v>
      </c>
    </row>
    <row r="158" spans="1:17" x14ac:dyDescent="0.3">
      <c r="A158">
        <v>33640</v>
      </c>
      <c r="B158" t="s">
        <v>1988</v>
      </c>
      <c r="C158" t="s">
        <v>1984</v>
      </c>
      <c r="D158" s="3">
        <v>25094</v>
      </c>
      <c r="E158" t="s">
        <v>1400</v>
      </c>
      <c r="F158">
        <v>167</v>
      </c>
      <c r="G158" s="3">
        <v>43528</v>
      </c>
      <c r="H158" t="s">
        <v>1989</v>
      </c>
      <c r="I158">
        <v>486762575</v>
      </c>
      <c r="J158" t="s">
        <v>1446</v>
      </c>
      <c r="K158" t="s">
        <v>67</v>
      </c>
      <c r="L158" s="3">
        <v>47141</v>
      </c>
      <c r="M158" s="3">
        <v>47141</v>
      </c>
      <c r="N158" t="s">
        <v>1990</v>
      </c>
      <c r="O158" s="4">
        <v>1</v>
      </c>
      <c r="P158">
        <v>0</v>
      </c>
      <c r="Q158">
        <v>0</v>
      </c>
    </row>
    <row r="159" spans="1:17" x14ac:dyDescent="0.3">
      <c r="A159">
        <v>32369</v>
      </c>
      <c r="B159" t="s">
        <v>1991</v>
      </c>
      <c r="C159" t="s">
        <v>1984</v>
      </c>
      <c r="D159" s="3">
        <v>25527</v>
      </c>
      <c r="E159" t="s">
        <v>1400</v>
      </c>
      <c r="F159">
        <v>60</v>
      </c>
      <c r="G159" s="3">
        <v>43108</v>
      </c>
      <c r="H159" t="s">
        <v>1992</v>
      </c>
      <c r="I159" t="s">
        <v>1993</v>
      </c>
      <c r="J159" t="s">
        <v>1459</v>
      </c>
      <c r="K159" t="s">
        <v>58</v>
      </c>
      <c r="L159" s="3">
        <v>46593</v>
      </c>
      <c r="M159" s="3">
        <v>46546</v>
      </c>
      <c r="N159" t="s">
        <v>1994</v>
      </c>
      <c r="O159" s="4">
        <v>0.8</v>
      </c>
      <c r="P159">
        <v>0</v>
      </c>
      <c r="Q159">
        <v>0</v>
      </c>
    </row>
    <row r="160" spans="1:17" x14ac:dyDescent="0.3">
      <c r="A160">
        <v>21582</v>
      </c>
      <c r="B160" t="s">
        <v>1995</v>
      </c>
      <c r="C160" t="s">
        <v>1984</v>
      </c>
      <c r="D160" s="3">
        <v>24762</v>
      </c>
      <c r="E160" t="s">
        <v>1400</v>
      </c>
      <c r="F160">
        <v>317</v>
      </c>
      <c r="G160" s="3">
        <v>39433</v>
      </c>
      <c r="H160" t="s">
        <v>1996</v>
      </c>
      <c r="K160" t="s">
        <v>67</v>
      </c>
      <c r="L160" s="3">
        <v>72686</v>
      </c>
      <c r="M160" s="3">
        <v>47338</v>
      </c>
      <c r="N160" t="s">
        <v>1997</v>
      </c>
      <c r="O160" s="4">
        <v>0.8</v>
      </c>
      <c r="P160">
        <v>0</v>
      </c>
      <c r="Q160">
        <v>1</v>
      </c>
    </row>
    <row r="161" spans="1:17" x14ac:dyDescent="0.3">
      <c r="A161">
        <v>21506</v>
      </c>
      <c r="B161" t="s">
        <v>1998</v>
      </c>
      <c r="C161" t="s">
        <v>1984</v>
      </c>
      <c r="D161" s="3">
        <v>22969</v>
      </c>
      <c r="E161" t="s">
        <v>1400</v>
      </c>
      <c r="F161">
        <v>166</v>
      </c>
      <c r="G161" s="3">
        <v>39405</v>
      </c>
      <c r="H161" t="s">
        <v>1999</v>
      </c>
      <c r="J161" t="s">
        <v>1426</v>
      </c>
      <c r="K161" t="s">
        <v>67</v>
      </c>
      <c r="L161" s="3">
        <v>47602</v>
      </c>
      <c r="M161" s="3">
        <v>46476</v>
      </c>
      <c r="N161" t="s">
        <v>2000</v>
      </c>
      <c r="O161" s="4">
        <v>1</v>
      </c>
      <c r="P161">
        <v>0</v>
      </c>
      <c r="Q161">
        <v>1</v>
      </c>
    </row>
    <row r="162" spans="1:17" x14ac:dyDescent="0.3">
      <c r="A162">
        <v>19848</v>
      </c>
      <c r="B162" t="s">
        <v>2001</v>
      </c>
      <c r="C162" t="s">
        <v>1984</v>
      </c>
      <c r="D162" s="3">
        <v>22573</v>
      </c>
      <c r="E162" t="s">
        <v>1400</v>
      </c>
      <c r="F162">
        <v>353</v>
      </c>
      <c r="G162" s="3">
        <v>38992</v>
      </c>
      <c r="I162">
        <v>92313309</v>
      </c>
      <c r="J162" t="s">
        <v>1480</v>
      </c>
      <c r="K162" t="s">
        <v>67</v>
      </c>
      <c r="L162" s="3">
        <v>72686</v>
      </c>
      <c r="M162" s="3">
        <v>47034</v>
      </c>
      <c r="N162" t="s">
        <v>2002</v>
      </c>
      <c r="O162" s="4">
        <v>1</v>
      </c>
      <c r="P162">
        <v>0</v>
      </c>
      <c r="Q162">
        <v>1</v>
      </c>
    </row>
    <row r="163" spans="1:17" x14ac:dyDescent="0.3">
      <c r="A163">
        <v>16275</v>
      </c>
      <c r="B163" t="s">
        <v>2003</v>
      </c>
      <c r="C163" t="s">
        <v>1984</v>
      </c>
      <c r="D163" s="3">
        <v>25880</v>
      </c>
      <c r="E163" t="s">
        <v>1400</v>
      </c>
      <c r="F163">
        <v>420</v>
      </c>
      <c r="G163" s="3">
        <v>37886</v>
      </c>
      <c r="H163" t="s">
        <v>2004</v>
      </c>
      <c r="J163" t="s">
        <v>1506</v>
      </c>
      <c r="K163" t="s">
        <v>70</v>
      </c>
      <c r="L163" s="3">
        <v>72686</v>
      </c>
      <c r="M163" s="3">
        <v>46820</v>
      </c>
      <c r="N163" t="s">
        <v>2005</v>
      </c>
      <c r="O163" s="4">
        <v>0.8</v>
      </c>
      <c r="P163">
        <v>0</v>
      </c>
      <c r="Q163">
        <v>0</v>
      </c>
    </row>
    <row r="164" spans="1:17" x14ac:dyDescent="0.3">
      <c r="A164">
        <v>15726</v>
      </c>
      <c r="B164" t="s">
        <v>2006</v>
      </c>
      <c r="C164" t="s">
        <v>1984</v>
      </c>
      <c r="D164" s="3">
        <v>29405</v>
      </c>
      <c r="E164" t="s">
        <v>1400</v>
      </c>
      <c r="F164">
        <v>501</v>
      </c>
      <c r="G164" s="3">
        <v>37767</v>
      </c>
      <c r="H164" t="s">
        <v>2007</v>
      </c>
      <c r="J164" t="s">
        <v>1626</v>
      </c>
      <c r="K164" t="s">
        <v>55</v>
      </c>
      <c r="L164" s="3">
        <v>45969</v>
      </c>
      <c r="M164" s="3">
        <v>46686</v>
      </c>
      <c r="N164" t="s">
        <v>2008</v>
      </c>
      <c r="O164" s="4">
        <v>1</v>
      </c>
      <c r="P164">
        <v>0</v>
      </c>
      <c r="Q164">
        <v>1</v>
      </c>
    </row>
    <row r="165" spans="1:17" x14ac:dyDescent="0.3">
      <c r="A165">
        <v>39529</v>
      </c>
      <c r="B165" t="s">
        <v>2009</v>
      </c>
      <c r="C165" t="s">
        <v>2010</v>
      </c>
      <c r="D165" s="3">
        <v>23786</v>
      </c>
      <c r="E165" t="s">
        <v>1400</v>
      </c>
      <c r="G165" s="3">
        <v>45286</v>
      </c>
      <c r="H165" t="s">
        <v>2011</v>
      </c>
      <c r="J165" t="s">
        <v>1610</v>
      </c>
      <c r="K165" t="s">
        <v>61</v>
      </c>
      <c r="L165" s="3">
        <v>45934</v>
      </c>
      <c r="M165" s="3">
        <v>47621</v>
      </c>
      <c r="N165" t="s">
        <v>2012</v>
      </c>
      <c r="O165" s="4">
        <v>0.8</v>
      </c>
      <c r="P165">
        <v>0</v>
      </c>
      <c r="Q165">
        <v>0</v>
      </c>
    </row>
    <row r="166" spans="1:17" x14ac:dyDescent="0.3">
      <c r="A166">
        <v>26197</v>
      </c>
      <c r="B166" t="s">
        <v>2013</v>
      </c>
      <c r="C166" t="s">
        <v>2014</v>
      </c>
      <c r="D166" s="3">
        <v>25815</v>
      </c>
      <c r="E166" t="s">
        <v>1400</v>
      </c>
      <c r="F166">
        <v>8</v>
      </c>
      <c r="G166" s="3">
        <v>40637</v>
      </c>
      <c r="H166" t="s">
        <v>2015</v>
      </c>
      <c r="J166" t="s">
        <v>1476</v>
      </c>
      <c r="K166" t="s">
        <v>61</v>
      </c>
      <c r="L166" s="3">
        <v>46043</v>
      </c>
      <c r="M166" s="3">
        <v>46014</v>
      </c>
      <c r="N166" t="s">
        <v>2016</v>
      </c>
      <c r="O166" s="4">
        <v>1</v>
      </c>
      <c r="P166">
        <v>0</v>
      </c>
      <c r="Q166">
        <v>0</v>
      </c>
    </row>
    <row r="167" spans="1:17" x14ac:dyDescent="0.3">
      <c r="A167">
        <v>11866</v>
      </c>
      <c r="B167" t="s">
        <v>2017</v>
      </c>
      <c r="C167" t="s">
        <v>2018</v>
      </c>
      <c r="D167" s="3">
        <v>25467</v>
      </c>
      <c r="E167" t="s">
        <v>1400</v>
      </c>
      <c r="F167">
        <v>165</v>
      </c>
      <c r="G167" s="3">
        <v>36542</v>
      </c>
      <c r="H167" t="s">
        <v>2019</v>
      </c>
      <c r="J167" t="s">
        <v>1574</v>
      </c>
      <c r="K167" t="s">
        <v>73</v>
      </c>
      <c r="L167" s="3">
        <v>47338</v>
      </c>
      <c r="M167" s="3">
        <v>47251</v>
      </c>
      <c r="N167" t="s">
        <v>2020</v>
      </c>
      <c r="O167" s="4">
        <v>0.8</v>
      </c>
      <c r="P167">
        <v>0</v>
      </c>
      <c r="Q167">
        <v>0</v>
      </c>
    </row>
    <row r="168" spans="1:17" x14ac:dyDescent="0.3">
      <c r="A168">
        <v>6092</v>
      </c>
      <c r="B168" t="s">
        <v>2021</v>
      </c>
      <c r="C168" t="s">
        <v>2018</v>
      </c>
      <c r="D168" s="3">
        <v>23986</v>
      </c>
      <c r="E168" t="s">
        <v>1400</v>
      </c>
      <c r="F168">
        <v>216</v>
      </c>
      <c r="G168" s="3">
        <v>33868</v>
      </c>
      <c r="H168" t="s">
        <v>2022</v>
      </c>
      <c r="I168">
        <v>93285775</v>
      </c>
      <c r="J168" t="s">
        <v>1574</v>
      </c>
      <c r="K168" t="s">
        <v>67</v>
      </c>
      <c r="L168" s="3">
        <v>72686</v>
      </c>
      <c r="M168" s="3">
        <v>72686</v>
      </c>
      <c r="N168" t="s">
        <v>2023</v>
      </c>
      <c r="O168" s="4">
        <v>0.8</v>
      </c>
      <c r="P168">
        <v>0</v>
      </c>
      <c r="Q168">
        <v>0</v>
      </c>
    </row>
    <row r="169" spans="1:17" x14ac:dyDescent="0.3">
      <c r="A169">
        <v>31361</v>
      </c>
      <c r="B169" t="s">
        <v>2024</v>
      </c>
      <c r="C169" t="s">
        <v>2018</v>
      </c>
      <c r="D169" s="3">
        <v>28695</v>
      </c>
      <c r="E169" t="s">
        <v>1400</v>
      </c>
      <c r="F169">
        <v>228</v>
      </c>
      <c r="G169" s="3">
        <v>42751</v>
      </c>
      <c r="H169" t="s">
        <v>2025</v>
      </c>
      <c r="J169" t="s">
        <v>1418</v>
      </c>
      <c r="K169" t="s">
        <v>58</v>
      </c>
      <c r="L169" s="3">
        <v>46754</v>
      </c>
      <c r="M169" s="3">
        <v>46960</v>
      </c>
      <c r="N169" t="s">
        <v>2026</v>
      </c>
      <c r="O169" s="4">
        <v>1</v>
      </c>
      <c r="P169">
        <v>0</v>
      </c>
      <c r="Q169">
        <v>0</v>
      </c>
    </row>
    <row r="170" spans="1:17" x14ac:dyDescent="0.3">
      <c r="A170">
        <v>26331</v>
      </c>
      <c r="B170" t="s">
        <v>2027</v>
      </c>
      <c r="C170" t="s">
        <v>2018</v>
      </c>
      <c r="D170" s="3">
        <v>23837</v>
      </c>
      <c r="E170" t="s">
        <v>1400</v>
      </c>
      <c r="F170">
        <v>511</v>
      </c>
      <c r="G170" s="3">
        <v>40679</v>
      </c>
      <c r="H170" t="s">
        <v>2028</v>
      </c>
      <c r="J170" t="s">
        <v>1626</v>
      </c>
      <c r="K170" t="s">
        <v>55</v>
      </c>
      <c r="L170" s="3">
        <v>46162</v>
      </c>
      <c r="M170" s="3">
        <v>47337</v>
      </c>
      <c r="N170" t="s">
        <v>2029</v>
      </c>
      <c r="O170" s="4">
        <v>0.8</v>
      </c>
      <c r="P170">
        <v>0</v>
      </c>
      <c r="Q170">
        <v>0</v>
      </c>
    </row>
    <row r="171" spans="1:17" x14ac:dyDescent="0.3">
      <c r="A171">
        <v>22202</v>
      </c>
      <c r="B171" t="s">
        <v>2030</v>
      </c>
      <c r="C171" t="s">
        <v>2018</v>
      </c>
      <c r="D171" s="3">
        <v>28068</v>
      </c>
      <c r="E171" t="s">
        <v>1400</v>
      </c>
      <c r="F171">
        <v>302</v>
      </c>
      <c r="G171" s="3">
        <v>39573</v>
      </c>
      <c r="H171" t="s">
        <v>2031</v>
      </c>
      <c r="J171" t="s">
        <v>1569</v>
      </c>
      <c r="K171" t="s">
        <v>67</v>
      </c>
      <c r="L171" s="3">
        <v>45886</v>
      </c>
      <c r="M171" s="3">
        <v>46797</v>
      </c>
      <c r="N171" t="s">
        <v>2032</v>
      </c>
      <c r="O171" s="4">
        <v>0.8</v>
      </c>
      <c r="P171">
        <v>1</v>
      </c>
      <c r="Q171">
        <v>1</v>
      </c>
    </row>
    <row r="172" spans="1:17" x14ac:dyDescent="0.3">
      <c r="A172">
        <v>32611</v>
      </c>
      <c r="B172" t="s">
        <v>2033</v>
      </c>
      <c r="C172" t="s">
        <v>2034</v>
      </c>
      <c r="D172" s="3">
        <v>30873</v>
      </c>
      <c r="E172" t="s">
        <v>1400</v>
      </c>
      <c r="F172">
        <v>292</v>
      </c>
      <c r="G172" s="3">
        <v>43178</v>
      </c>
      <c r="H172" t="s">
        <v>2035</v>
      </c>
      <c r="J172" t="s">
        <v>1587</v>
      </c>
      <c r="K172" t="s">
        <v>64</v>
      </c>
      <c r="L172" s="3">
        <v>46685</v>
      </c>
      <c r="M172" s="3">
        <v>46672</v>
      </c>
      <c r="N172" t="s">
        <v>2036</v>
      </c>
      <c r="O172" s="4">
        <v>1</v>
      </c>
      <c r="P172">
        <v>0</v>
      </c>
      <c r="Q172">
        <v>1</v>
      </c>
    </row>
    <row r="173" spans="1:17" x14ac:dyDescent="0.3">
      <c r="A173">
        <v>41619</v>
      </c>
      <c r="B173" t="s">
        <v>2037</v>
      </c>
      <c r="C173" t="s">
        <v>2038</v>
      </c>
      <c r="D173" s="3">
        <v>33204</v>
      </c>
      <c r="E173" t="s">
        <v>1400</v>
      </c>
      <c r="G173" s="3">
        <v>45770</v>
      </c>
      <c r="H173" t="s">
        <v>2039</v>
      </c>
      <c r="J173" t="s">
        <v>1408</v>
      </c>
      <c r="K173" t="s">
        <v>55</v>
      </c>
      <c r="L173" s="3">
        <v>47050</v>
      </c>
      <c r="M173" s="3">
        <v>47044</v>
      </c>
      <c r="N173" t="s">
        <v>2040</v>
      </c>
      <c r="O173" s="4">
        <v>1</v>
      </c>
      <c r="P173">
        <v>0</v>
      </c>
      <c r="Q173">
        <v>0</v>
      </c>
    </row>
    <row r="174" spans="1:17" x14ac:dyDescent="0.3">
      <c r="A174">
        <v>42082</v>
      </c>
      <c r="B174" t="s">
        <v>2041</v>
      </c>
      <c r="C174" t="s">
        <v>2042</v>
      </c>
      <c r="D174" s="3">
        <v>37796</v>
      </c>
      <c r="E174" t="s">
        <v>1400</v>
      </c>
      <c r="G174" s="3">
        <v>45853</v>
      </c>
      <c r="H174" t="s">
        <v>2043</v>
      </c>
      <c r="J174" t="s">
        <v>1408</v>
      </c>
      <c r="K174" t="s">
        <v>52</v>
      </c>
      <c r="L174" s="3">
        <v>1</v>
      </c>
      <c r="M174" s="3">
        <v>1</v>
      </c>
      <c r="N174" t="s">
        <v>2044</v>
      </c>
      <c r="O174" s="4">
        <v>1</v>
      </c>
      <c r="P174">
        <v>0</v>
      </c>
      <c r="Q174">
        <v>0</v>
      </c>
    </row>
    <row r="175" spans="1:17" x14ac:dyDescent="0.3">
      <c r="A175">
        <v>28910</v>
      </c>
      <c r="B175" t="s">
        <v>2045</v>
      </c>
      <c r="C175" t="s">
        <v>2046</v>
      </c>
      <c r="D175" s="3">
        <v>30034</v>
      </c>
      <c r="E175" t="s">
        <v>1400</v>
      </c>
      <c r="F175">
        <v>144</v>
      </c>
      <c r="G175" s="3">
        <v>41743</v>
      </c>
      <c r="H175" t="s">
        <v>2047</v>
      </c>
      <c r="J175" t="s">
        <v>1658</v>
      </c>
      <c r="K175" t="s">
        <v>55</v>
      </c>
      <c r="L175" s="3">
        <v>47216</v>
      </c>
      <c r="M175" s="3">
        <v>47195</v>
      </c>
      <c r="N175" t="s">
        <v>2048</v>
      </c>
      <c r="O175" s="4">
        <v>0.8</v>
      </c>
      <c r="P175">
        <v>0</v>
      </c>
      <c r="Q175">
        <v>0</v>
      </c>
    </row>
    <row r="176" spans="1:17" x14ac:dyDescent="0.3">
      <c r="A176">
        <v>41482</v>
      </c>
      <c r="B176" t="s">
        <v>2049</v>
      </c>
      <c r="C176" t="s">
        <v>2050</v>
      </c>
      <c r="D176" s="3">
        <v>28837</v>
      </c>
      <c r="E176" t="s">
        <v>1400</v>
      </c>
      <c r="G176" s="3">
        <v>45735</v>
      </c>
      <c r="H176" t="s">
        <v>2051</v>
      </c>
      <c r="J176" t="s">
        <v>1408</v>
      </c>
      <c r="K176" t="s">
        <v>55</v>
      </c>
      <c r="L176" s="3">
        <v>47579</v>
      </c>
      <c r="M176" s="3">
        <v>47460</v>
      </c>
      <c r="N176" t="s">
        <v>2052</v>
      </c>
      <c r="O176" s="4">
        <v>1</v>
      </c>
      <c r="P176">
        <v>0</v>
      </c>
      <c r="Q176">
        <v>0</v>
      </c>
    </row>
    <row r="177" spans="1:17" x14ac:dyDescent="0.3">
      <c r="A177">
        <v>25873</v>
      </c>
      <c r="B177" t="s">
        <v>2053</v>
      </c>
      <c r="C177" t="s">
        <v>2050</v>
      </c>
      <c r="D177" s="3">
        <v>29202</v>
      </c>
      <c r="E177" t="s">
        <v>1400</v>
      </c>
      <c r="F177">
        <v>105</v>
      </c>
      <c r="G177" s="3">
        <v>40525</v>
      </c>
      <c r="H177" t="s">
        <v>2054</v>
      </c>
      <c r="J177" t="s">
        <v>1658</v>
      </c>
      <c r="K177" t="s">
        <v>58</v>
      </c>
      <c r="L177" s="3">
        <v>45922</v>
      </c>
      <c r="M177" s="3">
        <v>45916</v>
      </c>
      <c r="N177" t="s">
        <v>2055</v>
      </c>
      <c r="O177" s="4">
        <v>0.5</v>
      </c>
      <c r="P177">
        <v>0</v>
      </c>
      <c r="Q177">
        <v>1</v>
      </c>
    </row>
    <row r="178" spans="1:17" x14ac:dyDescent="0.3">
      <c r="A178">
        <v>39532</v>
      </c>
      <c r="B178" t="s">
        <v>2056</v>
      </c>
      <c r="C178" t="s">
        <v>2057</v>
      </c>
      <c r="D178" s="3">
        <v>36632</v>
      </c>
      <c r="E178" t="s">
        <v>1400</v>
      </c>
      <c r="F178">
        <v>87</v>
      </c>
      <c r="G178" s="3">
        <v>45208</v>
      </c>
      <c r="H178" t="s">
        <v>2058</v>
      </c>
      <c r="J178" t="s">
        <v>1408</v>
      </c>
      <c r="K178" t="s">
        <v>61</v>
      </c>
      <c r="L178" s="3">
        <v>47049</v>
      </c>
      <c r="M178" s="3">
        <v>46981</v>
      </c>
      <c r="N178" t="s">
        <v>2059</v>
      </c>
      <c r="O178" s="4">
        <v>1</v>
      </c>
      <c r="P178">
        <v>0</v>
      </c>
      <c r="Q178">
        <v>0</v>
      </c>
    </row>
    <row r="179" spans="1:17" x14ac:dyDescent="0.3">
      <c r="A179">
        <v>31634</v>
      </c>
      <c r="B179" t="s">
        <v>2060</v>
      </c>
      <c r="C179" t="s">
        <v>2061</v>
      </c>
      <c r="D179" s="3">
        <v>34483</v>
      </c>
      <c r="E179" t="s">
        <v>1400</v>
      </c>
      <c r="F179">
        <v>111</v>
      </c>
      <c r="G179" s="3">
        <v>42863</v>
      </c>
      <c r="H179" t="s">
        <v>2062</v>
      </c>
      <c r="J179" t="s">
        <v>1626</v>
      </c>
      <c r="K179" t="s">
        <v>58</v>
      </c>
      <c r="L179" s="3">
        <v>46488</v>
      </c>
      <c r="M179" s="3">
        <v>46469</v>
      </c>
      <c r="N179" t="s">
        <v>2063</v>
      </c>
      <c r="O179" s="4">
        <v>1</v>
      </c>
      <c r="P179">
        <v>0</v>
      </c>
      <c r="Q179">
        <v>0</v>
      </c>
    </row>
    <row r="180" spans="1:17" x14ac:dyDescent="0.3">
      <c r="A180">
        <v>10326</v>
      </c>
      <c r="B180" t="s">
        <v>2064</v>
      </c>
      <c r="C180" t="s">
        <v>2065</v>
      </c>
      <c r="D180" s="3">
        <v>28038</v>
      </c>
      <c r="E180" t="s">
        <v>1400</v>
      </c>
      <c r="F180">
        <v>534</v>
      </c>
      <c r="G180" s="3">
        <v>35948</v>
      </c>
      <c r="H180" t="s">
        <v>2066</v>
      </c>
      <c r="J180" t="s">
        <v>1626</v>
      </c>
      <c r="K180" t="s">
        <v>55</v>
      </c>
      <c r="L180" s="3">
        <v>45928</v>
      </c>
      <c r="M180" s="3">
        <v>46623</v>
      </c>
      <c r="N180" t="s">
        <v>2067</v>
      </c>
      <c r="O180" s="4">
        <v>0.5</v>
      </c>
      <c r="P180">
        <v>0</v>
      </c>
      <c r="Q180">
        <v>0</v>
      </c>
    </row>
    <row r="181" spans="1:17" x14ac:dyDescent="0.3">
      <c r="A181">
        <v>26959</v>
      </c>
      <c r="B181" t="s">
        <v>2068</v>
      </c>
      <c r="C181" t="s">
        <v>2065</v>
      </c>
      <c r="D181" s="3">
        <v>25346</v>
      </c>
      <c r="E181" t="s">
        <v>1400</v>
      </c>
      <c r="F181">
        <v>39</v>
      </c>
      <c r="G181" s="3">
        <v>40861</v>
      </c>
      <c r="H181" t="s">
        <v>2069</v>
      </c>
      <c r="J181" t="s">
        <v>1722</v>
      </c>
      <c r="K181" t="s">
        <v>52</v>
      </c>
      <c r="L181" s="3">
        <v>46259</v>
      </c>
      <c r="M181" s="3">
        <v>46210</v>
      </c>
      <c r="N181" t="s">
        <v>2070</v>
      </c>
      <c r="O181" s="4">
        <v>0.8</v>
      </c>
      <c r="P181">
        <v>0</v>
      </c>
      <c r="Q181">
        <v>0</v>
      </c>
    </row>
    <row r="182" spans="1:17" x14ac:dyDescent="0.3">
      <c r="A182">
        <v>28830</v>
      </c>
      <c r="B182" t="s">
        <v>2071</v>
      </c>
      <c r="C182" t="s">
        <v>2072</v>
      </c>
      <c r="D182" s="3">
        <v>29494</v>
      </c>
      <c r="E182" t="s">
        <v>1400</v>
      </c>
      <c r="F182">
        <v>619</v>
      </c>
      <c r="G182" s="3">
        <v>41722</v>
      </c>
      <c r="H182" t="s">
        <v>2073</v>
      </c>
      <c r="J182" t="s">
        <v>1515</v>
      </c>
      <c r="K182" t="s">
        <v>61</v>
      </c>
      <c r="L182" s="3">
        <v>47108</v>
      </c>
      <c r="M182" s="3">
        <v>47034</v>
      </c>
      <c r="N182" t="s">
        <v>2074</v>
      </c>
      <c r="O182" s="4">
        <v>0.8</v>
      </c>
      <c r="P182">
        <v>0</v>
      </c>
      <c r="Q182">
        <v>0</v>
      </c>
    </row>
    <row r="183" spans="1:17" x14ac:dyDescent="0.3">
      <c r="A183">
        <v>42113</v>
      </c>
      <c r="B183" t="s">
        <v>2075</v>
      </c>
      <c r="C183" t="s">
        <v>2076</v>
      </c>
      <c r="D183" s="3">
        <v>28657</v>
      </c>
      <c r="E183" t="s">
        <v>1400</v>
      </c>
      <c r="G183" s="3">
        <v>45860</v>
      </c>
      <c r="H183" t="s">
        <v>2077</v>
      </c>
      <c r="J183" t="s">
        <v>1408</v>
      </c>
      <c r="K183" t="s">
        <v>67</v>
      </c>
      <c r="L183" s="3">
        <v>1</v>
      </c>
      <c r="M183" s="3">
        <v>1</v>
      </c>
      <c r="N183" t="s">
        <v>2078</v>
      </c>
      <c r="O183" s="4">
        <v>1</v>
      </c>
      <c r="P183">
        <v>0</v>
      </c>
      <c r="Q183">
        <v>0</v>
      </c>
    </row>
    <row r="184" spans="1:17" x14ac:dyDescent="0.3">
      <c r="A184">
        <v>40036</v>
      </c>
      <c r="B184" t="s">
        <v>2079</v>
      </c>
      <c r="C184" t="s">
        <v>2080</v>
      </c>
      <c r="D184" s="3">
        <v>28723</v>
      </c>
      <c r="E184" t="s">
        <v>1400</v>
      </c>
      <c r="G184" s="3">
        <v>45364</v>
      </c>
      <c r="H184" t="s">
        <v>2081</v>
      </c>
      <c r="J184" t="s">
        <v>1408</v>
      </c>
      <c r="K184" t="s">
        <v>52</v>
      </c>
      <c r="L184" s="3">
        <v>47210</v>
      </c>
      <c r="M184" s="3">
        <v>47092</v>
      </c>
      <c r="N184" t="s">
        <v>2082</v>
      </c>
      <c r="O184" s="4">
        <v>1</v>
      </c>
      <c r="P184">
        <v>0</v>
      </c>
      <c r="Q184">
        <v>0</v>
      </c>
    </row>
    <row r="185" spans="1:17" x14ac:dyDescent="0.3">
      <c r="A185">
        <v>41296</v>
      </c>
      <c r="B185" t="s">
        <v>2083</v>
      </c>
      <c r="C185" t="s">
        <v>2084</v>
      </c>
      <c r="D185" s="3">
        <v>36719</v>
      </c>
      <c r="E185" t="s">
        <v>1400</v>
      </c>
      <c r="G185" s="3">
        <v>45618</v>
      </c>
      <c r="H185" t="s">
        <v>2085</v>
      </c>
      <c r="J185" t="s">
        <v>1408</v>
      </c>
      <c r="K185" t="s">
        <v>61</v>
      </c>
      <c r="L185" s="3">
        <v>47462</v>
      </c>
      <c r="M185" s="3">
        <v>47433</v>
      </c>
      <c r="N185" t="s">
        <v>2086</v>
      </c>
      <c r="O185" s="4">
        <v>1</v>
      </c>
      <c r="P185">
        <v>0</v>
      </c>
      <c r="Q185">
        <v>0</v>
      </c>
    </row>
    <row r="186" spans="1:17" x14ac:dyDescent="0.3">
      <c r="A186">
        <v>31111</v>
      </c>
      <c r="B186" t="s">
        <v>2087</v>
      </c>
      <c r="C186" t="s">
        <v>2088</v>
      </c>
      <c r="D186" s="3">
        <v>28962</v>
      </c>
      <c r="E186" t="s">
        <v>1400</v>
      </c>
      <c r="F186">
        <v>419</v>
      </c>
      <c r="G186" s="3">
        <v>42604</v>
      </c>
      <c r="H186" t="s">
        <v>2089</v>
      </c>
      <c r="I186">
        <v>486365426</v>
      </c>
      <c r="J186" t="s">
        <v>1432</v>
      </c>
      <c r="K186" t="s">
        <v>58</v>
      </c>
      <c r="L186" s="3">
        <v>46316</v>
      </c>
      <c r="M186" s="3">
        <v>46181</v>
      </c>
      <c r="N186" t="s">
        <v>2090</v>
      </c>
      <c r="O186" s="4">
        <v>1</v>
      </c>
      <c r="P186">
        <v>0</v>
      </c>
      <c r="Q186">
        <v>1</v>
      </c>
    </row>
    <row r="187" spans="1:17" x14ac:dyDescent="0.3">
      <c r="A187">
        <v>28794</v>
      </c>
      <c r="B187" t="s">
        <v>2091</v>
      </c>
      <c r="C187" t="s">
        <v>2092</v>
      </c>
      <c r="D187" s="3">
        <v>31809</v>
      </c>
      <c r="E187" t="s">
        <v>1400</v>
      </c>
      <c r="F187">
        <v>41</v>
      </c>
      <c r="G187" s="3">
        <v>41701</v>
      </c>
      <c r="H187" t="s">
        <v>2093</v>
      </c>
      <c r="J187" t="s">
        <v>1587</v>
      </c>
      <c r="K187" t="s">
        <v>73</v>
      </c>
      <c r="L187" s="3">
        <v>47128</v>
      </c>
      <c r="M187" s="3">
        <v>47077</v>
      </c>
      <c r="N187" t="s">
        <v>2094</v>
      </c>
      <c r="O187" s="4">
        <v>0.8</v>
      </c>
      <c r="P187">
        <v>0</v>
      </c>
      <c r="Q187">
        <v>1</v>
      </c>
    </row>
    <row r="188" spans="1:17" x14ac:dyDescent="0.3">
      <c r="A188">
        <v>11508</v>
      </c>
      <c r="B188" t="s">
        <v>2095</v>
      </c>
      <c r="C188" t="s">
        <v>2096</v>
      </c>
      <c r="D188" s="3">
        <v>27991</v>
      </c>
      <c r="E188" t="s">
        <v>1400</v>
      </c>
      <c r="F188">
        <v>333</v>
      </c>
      <c r="G188" s="3">
        <v>36388</v>
      </c>
      <c r="H188" t="s">
        <v>2097</v>
      </c>
      <c r="I188">
        <v>92324068</v>
      </c>
      <c r="J188" t="s">
        <v>1519</v>
      </c>
      <c r="K188" t="s">
        <v>73</v>
      </c>
      <c r="L188" s="3">
        <v>47639</v>
      </c>
      <c r="M188" s="3">
        <v>46974</v>
      </c>
      <c r="N188" t="s">
        <v>2098</v>
      </c>
      <c r="O188" s="4">
        <v>1</v>
      </c>
      <c r="P188">
        <v>0</v>
      </c>
      <c r="Q188">
        <v>0</v>
      </c>
    </row>
    <row r="189" spans="1:17" x14ac:dyDescent="0.3">
      <c r="A189">
        <v>37600</v>
      </c>
      <c r="B189" t="s">
        <v>2099</v>
      </c>
      <c r="C189" t="s">
        <v>2096</v>
      </c>
      <c r="D189" s="3">
        <v>29705</v>
      </c>
      <c r="E189" t="s">
        <v>1400</v>
      </c>
      <c r="G189" s="3">
        <v>44704</v>
      </c>
      <c r="H189" t="s">
        <v>2100</v>
      </c>
      <c r="J189" t="s">
        <v>1459</v>
      </c>
      <c r="K189" t="s">
        <v>73</v>
      </c>
      <c r="L189" s="3">
        <v>46546</v>
      </c>
      <c r="M189" s="3">
        <v>46497</v>
      </c>
      <c r="N189" t="s">
        <v>2101</v>
      </c>
      <c r="O189" s="4">
        <v>1</v>
      </c>
      <c r="P189">
        <v>0</v>
      </c>
      <c r="Q189">
        <v>0</v>
      </c>
    </row>
    <row r="190" spans="1:17" x14ac:dyDescent="0.3">
      <c r="A190">
        <v>36425</v>
      </c>
      <c r="B190" t="s">
        <v>2102</v>
      </c>
      <c r="C190" t="s">
        <v>2096</v>
      </c>
      <c r="D190" s="3">
        <v>27833</v>
      </c>
      <c r="E190" t="s">
        <v>1400</v>
      </c>
      <c r="G190" s="3">
        <v>44333</v>
      </c>
      <c r="H190" t="s">
        <v>2103</v>
      </c>
      <c r="J190" t="s">
        <v>1418</v>
      </c>
      <c r="K190" t="s">
        <v>58</v>
      </c>
      <c r="L190" s="3">
        <v>46175</v>
      </c>
      <c r="M190" s="3">
        <v>45936</v>
      </c>
      <c r="N190" t="s">
        <v>2104</v>
      </c>
      <c r="O190" s="4">
        <v>1</v>
      </c>
      <c r="P190">
        <v>0</v>
      </c>
      <c r="Q190">
        <v>1</v>
      </c>
    </row>
    <row r="191" spans="1:17" x14ac:dyDescent="0.3">
      <c r="A191">
        <v>41786</v>
      </c>
      <c r="B191" t="s">
        <v>2105</v>
      </c>
      <c r="C191" t="s">
        <v>2106</v>
      </c>
      <c r="D191" s="3">
        <v>34724</v>
      </c>
      <c r="E191" t="s">
        <v>1400</v>
      </c>
      <c r="G191" s="3">
        <v>45763</v>
      </c>
      <c r="H191" t="s">
        <v>2107</v>
      </c>
      <c r="J191" t="s">
        <v>1408</v>
      </c>
      <c r="K191" t="s">
        <v>61</v>
      </c>
      <c r="L191" s="3">
        <v>47611</v>
      </c>
      <c r="M191" s="3">
        <v>47561</v>
      </c>
      <c r="N191" t="s">
        <v>2108</v>
      </c>
      <c r="O191" s="4">
        <v>1</v>
      </c>
      <c r="P191">
        <v>0</v>
      </c>
      <c r="Q191">
        <v>0</v>
      </c>
    </row>
    <row r="192" spans="1:17" x14ac:dyDescent="0.3">
      <c r="A192">
        <v>31404</v>
      </c>
      <c r="B192" t="s">
        <v>2109</v>
      </c>
      <c r="C192" t="s">
        <v>2106</v>
      </c>
      <c r="D192" s="3">
        <v>28234</v>
      </c>
      <c r="E192" t="s">
        <v>1656</v>
      </c>
      <c r="F192">
        <v>62</v>
      </c>
      <c r="G192" s="3">
        <v>42758</v>
      </c>
      <c r="H192" t="s">
        <v>2110</v>
      </c>
      <c r="J192" t="s">
        <v>1587</v>
      </c>
      <c r="K192" t="s">
        <v>52</v>
      </c>
      <c r="L192" s="3">
        <v>46330</v>
      </c>
      <c r="M192" s="3">
        <v>46320</v>
      </c>
      <c r="N192" t="s">
        <v>2111</v>
      </c>
      <c r="O192" s="4">
        <v>1</v>
      </c>
      <c r="P192">
        <v>0</v>
      </c>
      <c r="Q192">
        <v>0</v>
      </c>
    </row>
    <row r="193" spans="1:17" x14ac:dyDescent="0.3">
      <c r="A193">
        <v>40938</v>
      </c>
      <c r="B193" t="s">
        <v>2112</v>
      </c>
      <c r="C193" t="s">
        <v>2113</v>
      </c>
      <c r="D193" s="3">
        <v>31961</v>
      </c>
      <c r="E193" t="s">
        <v>1400</v>
      </c>
      <c r="G193" s="3">
        <v>45530</v>
      </c>
      <c r="H193" t="s">
        <v>2114</v>
      </c>
      <c r="J193" t="s">
        <v>1408</v>
      </c>
      <c r="K193" t="s">
        <v>52</v>
      </c>
      <c r="L193" s="3">
        <v>47463</v>
      </c>
      <c r="M193" s="3">
        <v>46678</v>
      </c>
      <c r="N193" t="s">
        <v>2115</v>
      </c>
      <c r="O193" s="4">
        <v>1</v>
      </c>
      <c r="P193">
        <v>0</v>
      </c>
      <c r="Q193">
        <v>0</v>
      </c>
    </row>
    <row r="194" spans="1:17" x14ac:dyDescent="0.3">
      <c r="A194">
        <v>37564</v>
      </c>
      <c r="B194" t="s">
        <v>2116</v>
      </c>
      <c r="C194" t="s">
        <v>2117</v>
      </c>
      <c r="D194" s="3">
        <v>37200</v>
      </c>
      <c r="E194" t="s">
        <v>1400</v>
      </c>
      <c r="G194" s="3">
        <v>44683</v>
      </c>
      <c r="H194" t="s">
        <v>2118</v>
      </c>
      <c r="J194" t="s">
        <v>1408</v>
      </c>
      <c r="K194" t="s">
        <v>58</v>
      </c>
      <c r="L194" s="3">
        <v>46524</v>
      </c>
      <c r="M194" s="3">
        <v>46476</v>
      </c>
      <c r="N194" t="s">
        <v>2119</v>
      </c>
      <c r="O194" s="4">
        <v>0.5</v>
      </c>
      <c r="P194">
        <v>0</v>
      </c>
      <c r="Q194">
        <v>0</v>
      </c>
    </row>
    <row r="195" spans="1:17" x14ac:dyDescent="0.3">
      <c r="A195">
        <v>16623</v>
      </c>
      <c r="B195" t="s">
        <v>2120</v>
      </c>
      <c r="C195" t="s">
        <v>2121</v>
      </c>
      <c r="D195" s="3">
        <v>25363</v>
      </c>
      <c r="E195" t="s">
        <v>1400</v>
      </c>
      <c r="F195">
        <v>560</v>
      </c>
      <c r="G195" s="3">
        <v>38019</v>
      </c>
      <c r="H195" t="s">
        <v>2122</v>
      </c>
      <c r="J195" t="s">
        <v>1523</v>
      </c>
      <c r="K195" t="s">
        <v>58</v>
      </c>
      <c r="L195" s="3">
        <v>45865</v>
      </c>
      <c r="M195" s="3">
        <v>46827</v>
      </c>
      <c r="N195" t="s">
        <v>2123</v>
      </c>
      <c r="O195" s="4">
        <v>0.5</v>
      </c>
      <c r="P195">
        <v>0</v>
      </c>
      <c r="Q195">
        <v>0</v>
      </c>
    </row>
    <row r="196" spans="1:17" x14ac:dyDescent="0.3">
      <c r="A196">
        <v>39101</v>
      </c>
      <c r="B196" t="s">
        <v>2124</v>
      </c>
      <c r="C196" t="s">
        <v>2125</v>
      </c>
      <c r="D196" s="3">
        <v>29763</v>
      </c>
      <c r="E196" t="s">
        <v>1400</v>
      </c>
      <c r="G196" s="3">
        <v>45076</v>
      </c>
      <c r="H196" t="s">
        <v>2126</v>
      </c>
      <c r="J196" t="s">
        <v>1408</v>
      </c>
      <c r="K196" t="s">
        <v>61</v>
      </c>
      <c r="L196" s="3">
        <v>47048</v>
      </c>
      <c r="M196" s="3">
        <v>46959</v>
      </c>
      <c r="N196" t="s">
        <v>2127</v>
      </c>
      <c r="O196" s="4">
        <v>1</v>
      </c>
      <c r="P196">
        <v>0</v>
      </c>
      <c r="Q196">
        <v>0</v>
      </c>
    </row>
    <row r="197" spans="1:17" x14ac:dyDescent="0.3">
      <c r="A197">
        <v>37808</v>
      </c>
      <c r="B197" t="s">
        <v>2128</v>
      </c>
      <c r="C197" t="s">
        <v>2125</v>
      </c>
      <c r="D197" s="3">
        <v>29946</v>
      </c>
      <c r="E197" t="s">
        <v>1400</v>
      </c>
      <c r="G197" s="3">
        <v>44795</v>
      </c>
      <c r="H197" t="s">
        <v>2129</v>
      </c>
      <c r="J197" t="s">
        <v>1403</v>
      </c>
      <c r="K197" t="s">
        <v>58</v>
      </c>
      <c r="L197" s="3">
        <v>46637</v>
      </c>
      <c r="M197" s="3">
        <v>46504</v>
      </c>
      <c r="N197" t="s">
        <v>2130</v>
      </c>
      <c r="O197" s="4">
        <v>1</v>
      </c>
      <c r="P197">
        <v>0</v>
      </c>
      <c r="Q197">
        <v>0</v>
      </c>
    </row>
    <row r="198" spans="1:17" x14ac:dyDescent="0.3">
      <c r="A198">
        <v>37439</v>
      </c>
      <c r="B198" t="s">
        <v>2131</v>
      </c>
      <c r="C198" t="s">
        <v>2125</v>
      </c>
      <c r="D198" s="3">
        <v>35810</v>
      </c>
      <c r="E198" t="s">
        <v>1400</v>
      </c>
      <c r="G198" s="3">
        <v>44655</v>
      </c>
      <c r="H198" t="s">
        <v>2132</v>
      </c>
      <c r="J198" t="s">
        <v>1408</v>
      </c>
      <c r="K198" t="s">
        <v>64</v>
      </c>
      <c r="L198" s="3">
        <v>46497</v>
      </c>
      <c r="M198" s="3">
        <v>46445</v>
      </c>
      <c r="N198" t="s">
        <v>2133</v>
      </c>
      <c r="O198" s="4">
        <v>1</v>
      </c>
      <c r="P198">
        <v>0</v>
      </c>
      <c r="Q198">
        <v>0</v>
      </c>
    </row>
    <row r="199" spans="1:17" x14ac:dyDescent="0.3">
      <c r="A199">
        <v>35005</v>
      </c>
      <c r="B199" t="s">
        <v>2134</v>
      </c>
      <c r="C199" t="s">
        <v>2125</v>
      </c>
      <c r="D199" s="3">
        <v>31020</v>
      </c>
      <c r="E199" t="s">
        <v>1400</v>
      </c>
      <c r="F199">
        <v>450</v>
      </c>
      <c r="G199" s="3">
        <v>43850</v>
      </c>
      <c r="H199" t="s">
        <v>2135</v>
      </c>
      <c r="J199" t="s">
        <v>1459</v>
      </c>
      <c r="K199" t="s">
        <v>55</v>
      </c>
      <c r="L199" s="3">
        <v>47239</v>
      </c>
      <c r="M199" s="3">
        <v>47237</v>
      </c>
      <c r="N199" t="s">
        <v>2136</v>
      </c>
      <c r="O199" s="4">
        <v>1</v>
      </c>
      <c r="P199">
        <v>0</v>
      </c>
      <c r="Q199">
        <v>1</v>
      </c>
    </row>
    <row r="200" spans="1:17" x14ac:dyDescent="0.3">
      <c r="A200">
        <v>30623</v>
      </c>
      <c r="B200" t="s">
        <v>2045</v>
      </c>
      <c r="C200" t="s">
        <v>2125</v>
      </c>
      <c r="D200" s="3">
        <v>25613</v>
      </c>
      <c r="E200" t="s">
        <v>1400</v>
      </c>
      <c r="F200">
        <v>51</v>
      </c>
      <c r="G200" s="3">
        <v>42429</v>
      </c>
      <c r="H200" t="s">
        <v>2137</v>
      </c>
      <c r="J200" t="s">
        <v>1587</v>
      </c>
      <c r="K200" t="s">
        <v>64</v>
      </c>
      <c r="L200" s="3">
        <v>45966</v>
      </c>
      <c r="M200" s="3">
        <v>45958</v>
      </c>
      <c r="N200" t="s">
        <v>2138</v>
      </c>
      <c r="O200" s="4">
        <v>1</v>
      </c>
      <c r="P200">
        <v>0</v>
      </c>
      <c r="Q200">
        <v>1</v>
      </c>
    </row>
    <row r="201" spans="1:17" x14ac:dyDescent="0.3">
      <c r="A201">
        <v>23543</v>
      </c>
      <c r="B201" t="s">
        <v>2139</v>
      </c>
      <c r="C201" t="s">
        <v>2125</v>
      </c>
      <c r="D201" s="3">
        <v>30706</v>
      </c>
      <c r="E201" t="s">
        <v>1400</v>
      </c>
      <c r="F201">
        <v>427</v>
      </c>
      <c r="G201" s="3">
        <v>39895</v>
      </c>
      <c r="H201" t="s">
        <v>2140</v>
      </c>
      <c r="J201" t="s">
        <v>1569</v>
      </c>
      <c r="K201" t="s">
        <v>61</v>
      </c>
      <c r="L201" s="3">
        <v>46985</v>
      </c>
      <c r="M201" s="3">
        <v>46981</v>
      </c>
      <c r="N201" t="s">
        <v>2141</v>
      </c>
      <c r="O201" s="4">
        <v>1</v>
      </c>
      <c r="P201">
        <v>0</v>
      </c>
      <c r="Q201">
        <v>1</v>
      </c>
    </row>
    <row r="202" spans="1:17" x14ac:dyDescent="0.3">
      <c r="A202">
        <v>29591</v>
      </c>
      <c r="B202" t="s">
        <v>2142</v>
      </c>
      <c r="C202" t="s">
        <v>2143</v>
      </c>
      <c r="D202" s="3">
        <v>33643</v>
      </c>
      <c r="E202" t="s">
        <v>1400</v>
      </c>
      <c r="F202">
        <v>388</v>
      </c>
      <c r="G202" s="3">
        <v>42023</v>
      </c>
      <c r="H202" t="s">
        <v>2144</v>
      </c>
      <c r="J202" t="s">
        <v>1403</v>
      </c>
      <c r="K202" t="s">
        <v>61</v>
      </c>
      <c r="L202" s="3">
        <v>47399</v>
      </c>
      <c r="M202" s="3">
        <v>47369</v>
      </c>
      <c r="N202" t="s">
        <v>2145</v>
      </c>
      <c r="O202" s="4">
        <v>1</v>
      </c>
      <c r="P202">
        <v>0</v>
      </c>
      <c r="Q202">
        <v>1</v>
      </c>
    </row>
    <row r="203" spans="1:17" x14ac:dyDescent="0.3">
      <c r="A203">
        <v>26266</v>
      </c>
      <c r="B203" t="s">
        <v>2128</v>
      </c>
      <c r="C203" t="s">
        <v>2146</v>
      </c>
      <c r="D203" s="3">
        <v>31706</v>
      </c>
      <c r="E203" t="s">
        <v>1400</v>
      </c>
      <c r="F203">
        <v>36</v>
      </c>
      <c r="G203" s="3">
        <v>40658</v>
      </c>
      <c r="H203" t="s">
        <v>2147</v>
      </c>
      <c r="J203" t="s">
        <v>1476</v>
      </c>
      <c r="K203" t="s">
        <v>58</v>
      </c>
      <c r="L203" s="3">
        <v>72686</v>
      </c>
      <c r="M203" s="3">
        <v>46838</v>
      </c>
      <c r="N203" t="s">
        <v>2148</v>
      </c>
      <c r="O203" s="4">
        <v>0.8</v>
      </c>
      <c r="P203">
        <v>0</v>
      </c>
      <c r="Q203">
        <v>1</v>
      </c>
    </row>
    <row r="204" spans="1:17" x14ac:dyDescent="0.3">
      <c r="A204">
        <v>20954</v>
      </c>
      <c r="B204" t="s">
        <v>2149</v>
      </c>
      <c r="C204" t="s">
        <v>2146</v>
      </c>
      <c r="D204" s="3">
        <v>28705</v>
      </c>
      <c r="E204" t="s">
        <v>1400</v>
      </c>
      <c r="F204">
        <v>244</v>
      </c>
      <c r="G204" s="3">
        <v>39272</v>
      </c>
      <c r="H204" t="s">
        <v>2150</v>
      </c>
      <c r="J204" t="s">
        <v>1426</v>
      </c>
      <c r="K204" t="s">
        <v>70</v>
      </c>
      <c r="L204" s="3">
        <v>46680</v>
      </c>
      <c r="M204" s="3">
        <v>46679</v>
      </c>
      <c r="N204" t="s">
        <v>2151</v>
      </c>
      <c r="O204" s="4">
        <v>1</v>
      </c>
      <c r="P204">
        <v>0</v>
      </c>
      <c r="Q204">
        <v>1</v>
      </c>
    </row>
    <row r="205" spans="1:17" x14ac:dyDescent="0.3">
      <c r="A205">
        <v>39831</v>
      </c>
      <c r="B205" t="s">
        <v>2152</v>
      </c>
      <c r="C205" t="s">
        <v>2153</v>
      </c>
      <c r="D205" s="3">
        <v>35158</v>
      </c>
      <c r="E205" t="s">
        <v>1400</v>
      </c>
      <c r="G205" s="3">
        <v>45264</v>
      </c>
      <c r="H205" t="s">
        <v>2154</v>
      </c>
      <c r="J205" t="s">
        <v>1408</v>
      </c>
      <c r="K205" t="s">
        <v>70</v>
      </c>
      <c r="L205" s="3">
        <v>47106</v>
      </c>
      <c r="M205" s="3">
        <v>47072</v>
      </c>
      <c r="N205" t="s">
        <v>2155</v>
      </c>
      <c r="O205" s="4">
        <v>0.5</v>
      </c>
      <c r="P205">
        <v>0</v>
      </c>
      <c r="Q205">
        <v>0</v>
      </c>
    </row>
    <row r="206" spans="1:17" x14ac:dyDescent="0.3">
      <c r="A206">
        <v>33986</v>
      </c>
      <c r="B206" t="s">
        <v>2156</v>
      </c>
      <c r="C206" t="s">
        <v>2157</v>
      </c>
      <c r="D206" s="3">
        <v>31149</v>
      </c>
      <c r="E206" t="s">
        <v>1400</v>
      </c>
      <c r="F206">
        <v>163</v>
      </c>
      <c r="G206" s="3">
        <v>43605</v>
      </c>
      <c r="H206" t="s">
        <v>2158</v>
      </c>
      <c r="J206" t="s">
        <v>1432</v>
      </c>
      <c r="K206" t="s">
        <v>64</v>
      </c>
      <c r="L206" s="3">
        <v>47162</v>
      </c>
      <c r="M206" s="3">
        <v>47126</v>
      </c>
      <c r="N206" t="s">
        <v>2159</v>
      </c>
      <c r="O206" s="4">
        <v>0.8</v>
      </c>
      <c r="P206">
        <v>0</v>
      </c>
      <c r="Q206">
        <v>1</v>
      </c>
    </row>
    <row r="207" spans="1:17" x14ac:dyDescent="0.3">
      <c r="A207">
        <v>38648</v>
      </c>
      <c r="B207" t="s">
        <v>2160</v>
      </c>
      <c r="C207" t="s">
        <v>2161</v>
      </c>
      <c r="D207" s="3">
        <v>34795</v>
      </c>
      <c r="E207" t="s">
        <v>1400</v>
      </c>
      <c r="G207" s="3">
        <v>45027</v>
      </c>
      <c r="H207" t="s">
        <v>2162</v>
      </c>
      <c r="J207" t="s">
        <v>1408</v>
      </c>
      <c r="K207" t="s">
        <v>73</v>
      </c>
      <c r="L207" s="3">
        <v>46874</v>
      </c>
      <c r="M207" s="3">
        <v>46774</v>
      </c>
      <c r="N207" t="s">
        <v>2163</v>
      </c>
      <c r="O207" s="4">
        <v>1</v>
      </c>
      <c r="P207">
        <v>0</v>
      </c>
      <c r="Q207">
        <v>0</v>
      </c>
    </row>
    <row r="208" spans="1:17" x14ac:dyDescent="0.3">
      <c r="A208">
        <v>39779</v>
      </c>
      <c r="B208" t="s">
        <v>2164</v>
      </c>
      <c r="C208" t="s">
        <v>2165</v>
      </c>
      <c r="D208" s="3">
        <v>33855</v>
      </c>
      <c r="E208" t="s">
        <v>1400</v>
      </c>
      <c r="G208" s="3">
        <v>45250</v>
      </c>
      <c r="H208" t="s">
        <v>2166</v>
      </c>
      <c r="J208" t="s">
        <v>1408</v>
      </c>
      <c r="K208" t="s">
        <v>55</v>
      </c>
      <c r="L208" s="3">
        <v>47093</v>
      </c>
      <c r="M208" s="3">
        <v>47051</v>
      </c>
      <c r="N208" t="s">
        <v>2167</v>
      </c>
      <c r="O208" s="4">
        <v>1</v>
      </c>
      <c r="P208">
        <v>0</v>
      </c>
      <c r="Q208">
        <v>0</v>
      </c>
    </row>
    <row r="209" spans="1:17" x14ac:dyDescent="0.3">
      <c r="A209">
        <v>37179</v>
      </c>
      <c r="B209" t="s">
        <v>2168</v>
      </c>
      <c r="C209" t="s">
        <v>2169</v>
      </c>
      <c r="D209" s="3">
        <v>35029</v>
      </c>
      <c r="E209" t="s">
        <v>1400</v>
      </c>
      <c r="G209" s="3">
        <v>44571</v>
      </c>
      <c r="H209" t="s">
        <v>2170</v>
      </c>
      <c r="J209" t="s">
        <v>1484</v>
      </c>
      <c r="K209" t="s">
        <v>55</v>
      </c>
      <c r="L209" s="3">
        <v>46411</v>
      </c>
      <c r="M209" s="3">
        <v>46340</v>
      </c>
      <c r="N209" t="s">
        <v>2171</v>
      </c>
      <c r="O209" s="4">
        <v>1</v>
      </c>
      <c r="P209">
        <v>0</v>
      </c>
      <c r="Q209">
        <v>1</v>
      </c>
    </row>
    <row r="210" spans="1:17" x14ac:dyDescent="0.3">
      <c r="A210">
        <v>34286</v>
      </c>
      <c r="B210" t="s">
        <v>2172</v>
      </c>
      <c r="C210" t="s">
        <v>2173</v>
      </c>
      <c r="D210" s="3">
        <v>31192</v>
      </c>
      <c r="E210" t="s">
        <v>1400</v>
      </c>
      <c r="F210">
        <v>385</v>
      </c>
      <c r="G210" s="3">
        <v>43724</v>
      </c>
      <c r="H210" t="s">
        <v>2174</v>
      </c>
      <c r="I210">
        <v>485827666</v>
      </c>
      <c r="J210" t="s">
        <v>1441</v>
      </c>
      <c r="K210" t="s">
        <v>67</v>
      </c>
      <c r="L210" s="3">
        <v>47280</v>
      </c>
      <c r="M210" s="3">
        <v>47216</v>
      </c>
      <c r="N210" t="s">
        <v>2175</v>
      </c>
      <c r="O210" s="4">
        <v>1</v>
      </c>
      <c r="P210">
        <v>0</v>
      </c>
      <c r="Q210">
        <v>0</v>
      </c>
    </row>
    <row r="211" spans="1:17" x14ac:dyDescent="0.3">
      <c r="A211">
        <v>21812</v>
      </c>
      <c r="B211" t="s">
        <v>2176</v>
      </c>
      <c r="C211" t="s">
        <v>2177</v>
      </c>
      <c r="D211" s="3">
        <v>29324</v>
      </c>
      <c r="E211" t="s">
        <v>1400</v>
      </c>
      <c r="F211">
        <v>441</v>
      </c>
      <c r="G211" s="3">
        <v>39496</v>
      </c>
      <c r="H211" t="s">
        <v>2178</v>
      </c>
      <c r="J211" t="s">
        <v>1476</v>
      </c>
      <c r="K211" t="s">
        <v>52</v>
      </c>
      <c r="L211" s="3">
        <v>72686</v>
      </c>
      <c r="M211" s="3">
        <v>46672</v>
      </c>
      <c r="N211" t="s">
        <v>2179</v>
      </c>
      <c r="O211" s="4">
        <v>1</v>
      </c>
      <c r="P211">
        <v>0</v>
      </c>
      <c r="Q211">
        <v>1</v>
      </c>
    </row>
    <row r="212" spans="1:17" x14ac:dyDescent="0.3">
      <c r="A212">
        <v>26960</v>
      </c>
      <c r="B212" t="s">
        <v>1415</v>
      </c>
      <c r="C212" t="s">
        <v>2180</v>
      </c>
      <c r="D212" s="3">
        <v>32970</v>
      </c>
      <c r="E212" t="s">
        <v>1400</v>
      </c>
      <c r="F212">
        <v>411</v>
      </c>
      <c r="G212" s="3">
        <v>40861</v>
      </c>
      <c r="I212">
        <v>485002480</v>
      </c>
      <c r="J212" t="s">
        <v>1658</v>
      </c>
      <c r="K212" t="s">
        <v>58</v>
      </c>
      <c r="L212" s="3">
        <v>45952</v>
      </c>
      <c r="M212" s="3">
        <v>45944</v>
      </c>
      <c r="N212" t="s">
        <v>2181</v>
      </c>
      <c r="O212" s="4">
        <v>0.8</v>
      </c>
      <c r="P212">
        <v>0</v>
      </c>
      <c r="Q212">
        <v>0</v>
      </c>
    </row>
    <row r="213" spans="1:17" x14ac:dyDescent="0.3">
      <c r="A213">
        <v>39379</v>
      </c>
      <c r="B213" t="s">
        <v>2182</v>
      </c>
      <c r="C213" t="s">
        <v>2183</v>
      </c>
      <c r="D213" s="3">
        <v>31775</v>
      </c>
      <c r="E213" t="s">
        <v>1400</v>
      </c>
      <c r="F213">
        <v>28</v>
      </c>
      <c r="G213" s="3">
        <v>45194</v>
      </c>
      <c r="H213" t="s">
        <v>2184</v>
      </c>
      <c r="J213" t="s">
        <v>1408</v>
      </c>
      <c r="K213" t="s">
        <v>61</v>
      </c>
      <c r="L213" s="3">
        <v>47036</v>
      </c>
      <c r="M213" s="3">
        <v>46946</v>
      </c>
      <c r="N213" t="s">
        <v>2185</v>
      </c>
      <c r="O213" s="4">
        <v>1</v>
      </c>
      <c r="P213">
        <v>0</v>
      </c>
      <c r="Q213">
        <v>0</v>
      </c>
    </row>
    <row r="214" spans="1:17" x14ac:dyDescent="0.3">
      <c r="A214">
        <v>31150</v>
      </c>
      <c r="B214" t="s">
        <v>2186</v>
      </c>
      <c r="C214" t="s">
        <v>2187</v>
      </c>
      <c r="D214" s="3">
        <v>28226</v>
      </c>
      <c r="E214" t="s">
        <v>1400</v>
      </c>
      <c r="F214">
        <v>33</v>
      </c>
      <c r="G214" s="3">
        <v>42643</v>
      </c>
      <c r="H214" t="s">
        <v>2188</v>
      </c>
      <c r="I214">
        <v>94306073</v>
      </c>
      <c r="J214" t="s">
        <v>1626</v>
      </c>
      <c r="K214" t="s">
        <v>64</v>
      </c>
      <c r="L214" s="3">
        <v>46286</v>
      </c>
      <c r="M214" s="3">
        <v>46187</v>
      </c>
      <c r="N214" t="s">
        <v>2189</v>
      </c>
      <c r="O214" s="4">
        <v>1</v>
      </c>
      <c r="P214">
        <v>0</v>
      </c>
      <c r="Q214">
        <v>0</v>
      </c>
    </row>
    <row r="215" spans="1:17" x14ac:dyDescent="0.3">
      <c r="A215">
        <v>28737</v>
      </c>
      <c r="B215" t="s">
        <v>2190</v>
      </c>
      <c r="C215" t="s">
        <v>2191</v>
      </c>
      <c r="D215" s="3">
        <v>27642</v>
      </c>
      <c r="E215" t="s">
        <v>1400</v>
      </c>
      <c r="F215">
        <v>17</v>
      </c>
      <c r="G215" s="3">
        <v>41680</v>
      </c>
      <c r="H215" t="s">
        <v>2192</v>
      </c>
      <c r="J215" t="s">
        <v>1587</v>
      </c>
      <c r="K215" t="s">
        <v>73</v>
      </c>
      <c r="L215" s="3">
        <v>47174</v>
      </c>
      <c r="M215" s="3">
        <v>47615</v>
      </c>
      <c r="N215" t="s">
        <v>2193</v>
      </c>
      <c r="O215" s="4">
        <v>1</v>
      </c>
      <c r="P215">
        <v>0</v>
      </c>
      <c r="Q215">
        <v>1</v>
      </c>
    </row>
    <row r="216" spans="1:17" x14ac:dyDescent="0.3">
      <c r="A216">
        <v>26521</v>
      </c>
      <c r="B216" t="s">
        <v>2194</v>
      </c>
      <c r="C216" t="s">
        <v>2195</v>
      </c>
      <c r="D216" s="3">
        <v>32073</v>
      </c>
      <c r="E216" t="s">
        <v>1400</v>
      </c>
      <c r="F216">
        <v>307</v>
      </c>
      <c r="G216" s="3">
        <v>40728</v>
      </c>
      <c r="H216" t="s">
        <v>2196</v>
      </c>
      <c r="J216" t="s">
        <v>1480</v>
      </c>
      <c r="K216" t="s">
        <v>58</v>
      </c>
      <c r="L216" s="3">
        <v>72686</v>
      </c>
      <c r="M216" s="3">
        <v>47135</v>
      </c>
      <c r="N216" t="s">
        <v>2197</v>
      </c>
      <c r="O216" s="4">
        <v>0.8</v>
      </c>
      <c r="P216">
        <v>0</v>
      </c>
      <c r="Q216">
        <v>1</v>
      </c>
    </row>
    <row r="217" spans="1:17" x14ac:dyDescent="0.3">
      <c r="A217">
        <v>41838</v>
      </c>
      <c r="B217" t="s">
        <v>2198</v>
      </c>
      <c r="C217" t="s">
        <v>2199</v>
      </c>
      <c r="D217" s="3">
        <v>37565</v>
      </c>
      <c r="E217" t="s">
        <v>1400</v>
      </c>
      <c r="G217" s="3">
        <v>45783</v>
      </c>
      <c r="H217" t="s">
        <v>2200</v>
      </c>
      <c r="J217" t="s">
        <v>1408</v>
      </c>
      <c r="K217" t="s">
        <v>67</v>
      </c>
      <c r="L217" s="3">
        <v>47629</v>
      </c>
      <c r="M217" s="3">
        <v>47596</v>
      </c>
      <c r="N217" t="s">
        <v>2201</v>
      </c>
      <c r="O217" s="4">
        <v>1</v>
      </c>
      <c r="P217">
        <v>0</v>
      </c>
      <c r="Q217">
        <v>0</v>
      </c>
    </row>
    <row r="218" spans="1:17" x14ac:dyDescent="0.3">
      <c r="A218">
        <v>36838</v>
      </c>
      <c r="B218" t="s">
        <v>2202</v>
      </c>
      <c r="C218" t="s">
        <v>2199</v>
      </c>
      <c r="D218" s="3">
        <v>36488</v>
      </c>
      <c r="E218" t="s">
        <v>1400</v>
      </c>
      <c r="G218" s="3">
        <v>44480</v>
      </c>
      <c r="H218" t="s">
        <v>2203</v>
      </c>
      <c r="J218" t="s">
        <v>1446</v>
      </c>
      <c r="K218" t="s">
        <v>52</v>
      </c>
      <c r="L218" s="3">
        <v>47338</v>
      </c>
      <c r="M218" s="3">
        <v>47350</v>
      </c>
      <c r="N218" t="s">
        <v>2204</v>
      </c>
      <c r="O218" s="4">
        <v>0.8</v>
      </c>
      <c r="P218">
        <v>0</v>
      </c>
      <c r="Q218">
        <v>1</v>
      </c>
    </row>
    <row r="219" spans="1:17" x14ac:dyDescent="0.3">
      <c r="A219">
        <v>42141</v>
      </c>
      <c r="B219" t="s">
        <v>2205</v>
      </c>
      <c r="C219" t="s">
        <v>2206</v>
      </c>
      <c r="D219" s="3">
        <v>34485</v>
      </c>
      <c r="E219" t="s">
        <v>1400</v>
      </c>
      <c r="G219" s="3">
        <v>45868</v>
      </c>
      <c r="H219" t="s">
        <v>2207</v>
      </c>
      <c r="J219" t="s">
        <v>1413</v>
      </c>
      <c r="K219" t="s">
        <v>61</v>
      </c>
      <c r="L219" s="3">
        <v>47428</v>
      </c>
      <c r="M219" s="3">
        <v>47243</v>
      </c>
      <c r="N219" t="s">
        <v>2208</v>
      </c>
      <c r="O219" s="4">
        <v>1</v>
      </c>
      <c r="P219">
        <v>0</v>
      </c>
      <c r="Q219">
        <v>0</v>
      </c>
    </row>
    <row r="220" spans="1:17" x14ac:dyDescent="0.3">
      <c r="A220">
        <v>41949</v>
      </c>
      <c r="B220" t="s">
        <v>2209</v>
      </c>
      <c r="C220" t="s">
        <v>2206</v>
      </c>
      <c r="D220" s="3">
        <v>32049</v>
      </c>
      <c r="E220" t="s">
        <v>1400</v>
      </c>
      <c r="G220" s="3">
        <v>45845</v>
      </c>
      <c r="H220" t="s">
        <v>2210</v>
      </c>
      <c r="J220" t="s">
        <v>1408</v>
      </c>
      <c r="K220" t="s">
        <v>61</v>
      </c>
      <c r="L220" s="3">
        <v>47688</v>
      </c>
      <c r="M220" s="3">
        <v>47616</v>
      </c>
      <c r="N220" t="s">
        <v>2211</v>
      </c>
      <c r="O220" s="4">
        <v>1</v>
      </c>
      <c r="P220">
        <v>0</v>
      </c>
      <c r="Q220">
        <v>0</v>
      </c>
    </row>
    <row r="221" spans="1:17" x14ac:dyDescent="0.3">
      <c r="A221">
        <v>21121</v>
      </c>
      <c r="B221" t="s">
        <v>2212</v>
      </c>
      <c r="C221" t="s">
        <v>2206</v>
      </c>
      <c r="D221" s="3">
        <v>30571</v>
      </c>
      <c r="E221" t="s">
        <v>1400</v>
      </c>
      <c r="F221">
        <v>309</v>
      </c>
      <c r="G221" s="3">
        <v>39286</v>
      </c>
      <c r="H221" t="s">
        <v>2213</v>
      </c>
      <c r="J221" t="s">
        <v>1426</v>
      </c>
      <c r="K221" t="s">
        <v>64</v>
      </c>
      <c r="L221" s="3">
        <v>72686</v>
      </c>
      <c r="M221" s="3">
        <v>46504</v>
      </c>
      <c r="N221" t="s">
        <v>2214</v>
      </c>
      <c r="O221" s="4">
        <v>1</v>
      </c>
      <c r="P221">
        <v>0</v>
      </c>
      <c r="Q221">
        <v>0</v>
      </c>
    </row>
    <row r="222" spans="1:17" x14ac:dyDescent="0.3">
      <c r="A222">
        <v>26695</v>
      </c>
      <c r="B222" t="s">
        <v>2215</v>
      </c>
      <c r="C222" t="s">
        <v>2216</v>
      </c>
      <c r="D222" s="3">
        <v>31035</v>
      </c>
      <c r="E222" t="s">
        <v>1400</v>
      </c>
      <c r="F222">
        <v>119</v>
      </c>
      <c r="G222" s="3">
        <v>40771</v>
      </c>
      <c r="H222" t="s">
        <v>2217</v>
      </c>
      <c r="J222" t="s">
        <v>1519</v>
      </c>
      <c r="K222" t="s">
        <v>61</v>
      </c>
      <c r="L222" s="3">
        <v>46085</v>
      </c>
      <c r="M222" s="3">
        <v>46028</v>
      </c>
      <c r="N222" t="s">
        <v>2218</v>
      </c>
      <c r="O222" s="4">
        <v>1</v>
      </c>
      <c r="P222">
        <v>0</v>
      </c>
      <c r="Q222">
        <v>1</v>
      </c>
    </row>
    <row r="223" spans="1:17" x14ac:dyDescent="0.3">
      <c r="A223">
        <v>31635</v>
      </c>
      <c r="B223" t="s">
        <v>2219</v>
      </c>
      <c r="C223" t="s">
        <v>2220</v>
      </c>
      <c r="D223" s="3">
        <v>34219</v>
      </c>
      <c r="E223" t="s">
        <v>1400</v>
      </c>
      <c r="F223">
        <v>238</v>
      </c>
      <c r="G223" s="3">
        <v>42863</v>
      </c>
      <c r="H223" t="s">
        <v>2221</v>
      </c>
      <c r="J223" t="s">
        <v>1446</v>
      </c>
      <c r="K223" t="s">
        <v>58</v>
      </c>
      <c r="L223" s="3">
        <v>46377</v>
      </c>
      <c r="M223" s="3">
        <v>46369</v>
      </c>
      <c r="N223" t="s">
        <v>2222</v>
      </c>
      <c r="O223" s="4">
        <v>1</v>
      </c>
      <c r="P223">
        <v>0</v>
      </c>
      <c r="Q223">
        <v>1</v>
      </c>
    </row>
    <row r="224" spans="1:17" x14ac:dyDescent="0.3">
      <c r="A224">
        <v>31118</v>
      </c>
      <c r="B224" t="s">
        <v>2223</v>
      </c>
      <c r="C224" t="s">
        <v>1364</v>
      </c>
      <c r="D224" s="3">
        <v>30190</v>
      </c>
      <c r="E224" t="s">
        <v>1400</v>
      </c>
      <c r="F224">
        <v>13</v>
      </c>
      <c r="G224" s="3">
        <v>42618</v>
      </c>
      <c r="H224" t="s">
        <v>2224</v>
      </c>
      <c r="J224" t="s">
        <v>1432</v>
      </c>
      <c r="K224" t="s">
        <v>70</v>
      </c>
      <c r="L224" s="3">
        <v>46218</v>
      </c>
      <c r="M224" s="3">
        <v>46182</v>
      </c>
      <c r="N224" t="s">
        <v>2225</v>
      </c>
      <c r="O224" s="4">
        <v>1</v>
      </c>
      <c r="P224">
        <v>0</v>
      </c>
      <c r="Q224">
        <v>0</v>
      </c>
    </row>
    <row r="225" spans="1:17" x14ac:dyDescent="0.3">
      <c r="A225">
        <v>27786</v>
      </c>
      <c r="B225" t="s">
        <v>2226</v>
      </c>
      <c r="C225" t="s">
        <v>2227</v>
      </c>
      <c r="D225" s="3">
        <v>24757</v>
      </c>
      <c r="E225" t="s">
        <v>1400</v>
      </c>
      <c r="F225">
        <v>96</v>
      </c>
      <c r="G225" s="3">
        <v>41253</v>
      </c>
      <c r="H225" t="s">
        <v>2228</v>
      </c>
      <c r="J225" t="s">
        <v>1480</v>
      </c>
      <c r="K225" t="s">
        <v>70</v>
      </c>
      <c r="L225" s="3">
        <v>46735</v>
      </c>
      <c r="M225" s="3">
        <v>46254</v>
      </c>
      <c r="N225" t="s">
        <v>2229</v>
      </c>
      <c r="O225" s="4">
        <v>1</v>
      </c>
      <c r="P225">
        <v>0</v>
      </c>
      <c r="Q225">
        <v>1</v>
      </c>
    </row>
    <row r="226" spans="1:17" x14ac:dyDescent="0.3">
      <c r="A226">
        <v>40403</v>
      </c>
      <c r="B226" t="s">
        <v>2230</v>
      </c>
      <c r="C226" t="s">
        <v>2231</v>
      </c>
      <c r="D226" s="3">
        <v>28898</v>
      </c>
      <c r="E226" t="s">
        <v>1400</v>
      </c>
      <c r="G226" s="3">
        <v>45481</v>
      </c>
      <c r="H226" t="s">
        <v>2232</v>
      </c>
      <c r="J226" t="s">
        <v>1408</v>
      </c>
      <c r="K226" t="s">
        <v>52</v>
      </c>
      <c r="L226" s="3">
        <v>45959</v>
      </c>
      <c r="M226" s="3">
        <v>45923</v>
      </c>
      <c r="N226" t="s">
        <v>2233</v>
      </c>
      <c r="O226" s="4">
        <v>1</v>
      </c>
      <c r="P226">
        <v>0</v>
      </c>
      <c r="Q226">
        <v>0</v>
      </c>
    </row>
    <row r="227" spans="1:17" x14ac:dyDescent="0.3">
      <c r="A227">
        <v>40143</v>
      </c>
      <c r="B227" t="s">
        <v>2234</v>
      </c>
      <c r="C227" t="s">
        <v>2235</v>
      </c>
      <c r="D227" s="3">
        <v>33333</v>
      </c>
      <c r="E227" t="s">
        <v>1400</v>
      </c>
      <c r="G227" s="3">
        <v>45335</v>
      </c>
      <c r="H227" t="s">
        <v>2236</v>
      </c>
      <c r="J227" t="s">
        <v>1408</v>
      </c>
      <c r="K227" t="s">
        <v>61</v>
      </c>
      <c r="L227" s="3">
        <v>47181</v>
      </c>
      <c r="M227" s="3">
        <v>47143</v>
      </c>
      <c r="N227" t="s">
        <v>2237</v>
      </c>
      <c r="O227" s="4">
        <v>1</v>
      </c>
      <c r="P227">
        <v>0</v>
      </c>
      <c r="Q227">
        <v>0</v>
      </c>
    </row>
    <row r="228" spans="1:17" x14ac:dyDescent="0.3">
      <c r="A228">
        <v>37908</v>
      </c>
      <c r="B228" t="s">
        <v>2238</v>
      </c>
      <c r="C228" t="s">
        <v>2235</v>
      </c>
      <c r="D228" s="3">
        <v>33185</v>
      </c>
      <c r="E228" t="s">
        <v>1400</v>
      </c>
      <c r="G228" s="3">
        <v>44823</v>
      </c>
      <c r="H228" t="s">
        <v>2239</v>
      </c>
      <c r="J228" t="s">
        <v>1459</v>
      </c>
      <c r="K228" t="s">
        <v>67</v>
      </c>
      <c r="L228" s="3">
        <v>46664</v>
      </c>
      <c r="M228" s="3">
        <v>46518</v>
      </c>
      <c r="N228" t="s">
        <v>2240</v>
      </c>
      <c r="O228" s="4">
        <v>1</v>
      </c>
      <c r="P228">
        <v>0</v>
      </c>
      <c r="Q228">
        <v>0</v>
      </c>
    </row>
    <row r="229" spans="1:17" x14ac:dyDescent="0.3">
      <c r="A229">
        <v>21160</v>
      </c>
      <c r="B229" t="s">
        <v>2241</v>
      </c>
      <c r="C229" t="s">
        <v>2242</v>
      </c>
      <c r="D229" s="3">
        <v>24630</v>
      </c>
      <c r="E229" t="s">
        <v>1400</v>
      </c>
      <c r="F229">
        <v>403</v>
      </c>
      <c r="G229" s="3">
        <v>39300</v>
      </c>
      <c r="H229" t="s">
        <v>2243</v>
      </c>
      <c r="I229">
        <v>93285584</v>
      </c>
      <c r="J229" t="s">
        <v>1426</v>
      </c>
      <c r="K229" t="s">
        <v>67</v>
      </c>
      <c r="L229" s="3">
        <v>72686</v>
      </c>
      <c r="M229" s="3">
        <v>46476</v>
      </c>
      <c r="N229" t="s">
        <v>2244</v>
      </c>
      <c r="O229" s="4">
        <v>1</v>
      </c>
      <c r="P229">
        <v>0</v>
      </c>
      <c r="Q229">
        <v>1</v>
      </c>
    </row>
    <row r="230" spans="1:17" x14ac:dyDescent="0.3">
      <c r="A230">
        <v>29646</v>
      </c>
      <c r="B230" t="s">
        <v>2033</v>
      </c>
      <c r="C230" t="s">
        <v>2245</v>
      </c>
      <c r="D230" s="3">
        <v>30289</v>
      </c>
      <c r="E230" t="s">
        <v>1400</v>
      </c>
      <c r="F230">
        <v>455</v>
      </c>
      <c r="G230" s="3">
        <v>42051</v>
      </c>
      <c r="H230" t="s">
        <v>2246</v>
      </c>
      <c r="J230" t="s">
        <v>1484</v>
      </c>
      <c r="K230" t="s">
        <v>52</v>
      </c>
      <c r="L230" s="3">
        <v>47471</v>
      </c>
      <c r="M230" s="3">
        <v>47462</v>
      </c>
      <c r="N230" t="s">
        <v>2247</v>
      </c>
      <c r="O230" s="4">
        <v>1</v>
      </c>
      <c r="P230">
        <v>0</v>
      </c>
      <c r="Q230">
        <v>1</v>
      </c>
    </row>
    <row r="231" spans="1:17" x14ac:dyDescent="0.3">
      <c r="A231">
        <v>40969</v>
      </c>
      <c r="B231" t="s">
        <v>1880</v>
      </c>
      <c r="C231" t="s">
        <v>2248</v>
      </c>
      <c r="D231" s="3">
        <v>37138</v>
      </c>
      <c r="E231" t="s">
        <v>1400</v>
      </c>
      <c r="G231" s="3">
        <v>45544</v>
      </c>
      <c r="H231" t="s">
        <v>2249</v>
      </c>
      <c r="J231" t="s">
        <v>1408</v>
      </c>
      <c r="K231" t="s">
        <v>67</v>
      </c>
      <c r="L231" s="3">
        <v>47390</v>
      </c>
      <c r="M231" s="3">
        <v>47357</v>
      </c>
      <c r="N231" t="s">
        <v>2250</v>
      </c>
      <c r="O231" s="4">
        <v>1</v>
      </c>
      <c r="P231">
        <v>0</v>
      </c>
      <c r="Q231">
        <v>0</v>
      </c>
    </row>
    <row r="232" spans="1:17" x14ac:dyDescent="0.3">
      <c r="A232">
        <v>35216</v>
      </c>
      <c r="B232" t="s">
        <v>2251</v>
      </c>
      <c r="C232" t="s">
        <v>2252</v>
      </c>
      <c r="D232" s="3">
        <v>36459</v>
      </c>
      <c r="E232" t="s">
        <v>1400</v>
      </c>
      <c r="F232">
        <v>421</v>
      </c>
      <c r="G232" s="3">
        <v>43892</v>
      </c>
      <c r="H232" t="s">
        <v>2253</v>
      </c>
      <c r="J232" t="s">
        <v>1441</v>
      </c>
      <c r="K232" t="s">
        <v>73</v>
      </c>
      <c r="L232" s="3">
        <v>47611</v>
      </c>
      <c r="M232" s="3">
        <v>47441</v>
      </c>
      <c r="N232" t="s">
        <v>2254</v>
      </c>
      <c r="O232" s="4">
        <v>1</v>
      </c>
      <c r="P232">
        <v>0</v>
      </c>
      <c r="Q232">
        <v>1</v>
      </c>
    </row>
    <row r="233" spans="1:17" x14ac:dyDescent="0.3">
      <c r="A233">
        <v>37131</v>
      </c>
      <c r="B233" t="s">
        <v>2255</v>
      </c>
      <c r="C233" t="s">
        <v>2256</v>
      </c>
      <c r="D233" s="3">
        <v>29117</v>
      </c>
      <c r="E233" t="s">
        <v>1400</v>
      </c>
      <c r="G233" s="3">
        <v>44585</v>
      </c>
      <c r="H233" t="s">
        <v>2257</v>
      </c>
      <c r="J233" t="s">
        <v>1413</v>
      </c>
      <c r="K233" t="s">
        <v>64</v>
      </c>
      <c r="L233" s="3">
        <v>46431</v>
      </c>
      <c r="M233" s="3">
        <v>46210</v>
      </c>
      <c r="N233" t="s">
        <v>2258</v>
      </c>
      <c r="O233" s="4">
        <v>1</v>
      </c>
      <c r="P233">
        <v>0</v>
      </c>
      <c r="Q233">
        <v>0</v>
      </c>
    </row>
    <row r="234" spans="1:17" x14ac:dyDescent="0.3">
      <c r="A234">
        <v>37313</v>
      </c>
      <c r="B234" t="s">
        <v>2259</v>
      </c>
      <c r="C234" t="s">
        <v>2260</v>
      </c>
      <c r="D234" s="3">
        <v>27618</v>
      </c>
      <c r="E234" t="s">
        <v>1400</v>
      </c>
      <c r="G234" s="3">
        <v>44704</v>
      </c>
      <c r="H234" t="s">
        <v>2261</v>
      </c>
      <c r="J234" t="s">
        <v>1413</v>
      </c>
      <c r="K234" t="s">
        <v>55</v>
      </c>
      <c r="L234" s="3">
        <v>46546</v>
      </c>
      <c r="M234" s="3">
        <v>46431</v>
      </c>
      <c r="N234" t="s">
        <v>2262</v>
      </c>
      <c r="O234" s="4">
        <v>1</v>
      </c>
      <c r="P234">
        <v>0</v>
      </c>
      <c r="Q234">
        <v>0</v>
      </c>
    </row>
    <row r="235" spans="1:17" x14ac:dyDescent="0.3">
      <c r="A235">
        <v>31668</v>
      </c>
      <c r="B235" t="s">
        <v>2263</v>
      </c>
      <c r="C235" t="s">
        <v>2264</v>
      </c>
      <c r="D235" s="3">
        <v>25181</v>
      </c>
      <c r="E235" t="s">
        <v>1400</v>
      </c>
      <c r="F235">
        <v>269</v>
      </c>
      <c r="G235" s="3">
        <v>42877</v>
      </c>
      <c r="H235" t="s">
        <v>2265</v>
      </c>
      <c r="I235" t="s">
        <v>2266</v>
      </c>
      <c r="J235" t="s">
        <v>1418</v>
      </c>
      <c r="K235" t="s">
        <v>52</v>
      </c>
      <c r="L235" s="3">
        <v>46454</v>
      </c>
      <c r="M235" s="3">
        <v>47470</v>
      </c>
      <c r="N235" t="s">
        <v>2267</v>
      </c>
      <c r="O235" s="4">
        <v>0.8</v>
      </c>
      <c r="P235">
        <v>0</v>
      </c>
      <c r="Q235">
        <v>0</v>
      </c>
    </row>
    <row r="236" spans="1:17" x14ac:dyDescent="0.3">
      <c r="A236">
        <v>35334</v>
      </c>
      <c r="B236" t="s">
        <v>2268</v>
      </c>
      <c r="C236" t="s">
        <v>2269</v>
      </c>
      <c r="D236" s="3">
        <v>33578</v>
      </c>
      <c r="E236" t="s">
        <v>1400</v>
      </c>
      <c r="F236">
        <v>114</v>
      </c>
      <c r="G236" s="3">
        <v>43944</v>
      </c>
      <c r="H236" t="s">
        <v>2270</v>
      </c>
      <c r="I236">
        <v>92788949</v>
      </c>
      <c r="J236" t="s">
        <v>1459</v>
      </c>
      <c r="K236" t="s">
        <v>58</v>
      </c>
      <c r="L236" s="3">
        <v>46384</v>
      </c>
      <c r="M236" s="3">
        <v>46378</v>
      </c>
      <c r="N236" t="s">
        <v>2271</v>
      </c>
      <c r="O236" s="4">
        <v>1</v>
      </c>
      <c r="P236">
        <v>0</v>
      </c>
      <c r="Q236">
        <v>1</v>
      </c>
    </row>
    <row r="237" spans="1:17" x14ac:dyDescent="0.3">
      <c r="A237">
        <v>33600</v>
      </c>
      <c r="B237" t="s">
        <v>2272</v>
      </c>
      <c r="C237" t="s">
        <v>2273</v>
      </c>
      <c r="D237" s="3">
        <v>30867</v>
      </c>
      <c r="E237" t="s">
        <v>1400</v>
      </c>
      <c r="F237">
        <v>268</v>
      </c>
      <c r="G237" s="3">
        <v>43514</v>
      </c>
      <c r="H237" t="s">
        <v>2274</v>
      </c>
      <c r="J237" t="s">
        <v>1459</v>
      </c>
      <c r="K237" t="s">
        <v>64</v>
      </c>
      <c r="L237" s="3">
        <v>47135</v>
      </c>
      <c r="M237" s="3">
        <v>47072</v>
      </c>
      <c r="N237" t="s">
        <v>2275</v>
      </c>
      <c r="O237" s="4">
        <v>1</v>
      </c>
      <c r="P237">
        <v>0</v>
      </c>
      <c r="Q237">
        <v>1</v>
      </c>
    </row>
    <row r="238" spans="1:17" x14ac:dyDescent="0.3">
      <c r="A238">
        <v>30389</v>
      </c>
      <c r="B238" t="s">
        <v>2276</v>
      </c>
      <c r="C238" t="s">
        <v>2273</v>
      </c>
      <c r="D238" s="3">
        <v>34452</v>
      </c>
      <c r="E238" t="s">
        <v>1400</v>
      </c>
      <c r="F238">
        <v>374</v>
      </c>
      <c r="G238" s="3">
        <v>42324</v>
      </c>
      <c r="H238" t="s">
        <v>2277</v>
      </c>
      <c r="K238" t="s">
        <v>73</v>
      </c>
      <c r="L238" s="3">
        <v>45993</v>
      </c>
      <c r="M238" s="3">
        <v>45993</v>
      </c>
      <c r="N238" t="s">
        <v>2278</v>
      </c>
      <c r="O238" s="4">
        <v>0.5</v>
      </c>
      <c r="P238">
        <v>0</v>
      </c>
      <c r="Q238">
        <v>1</v>
      </c>
    </row>
    <row r="239" spans="1:17" x14ac:dyDescent="0.3">
      <c r="A239">
        <v>38633</v>
      </c>
      <c r="B239" t="s">
        <v>2279</v>
      </c>
      <c r="C239" t="s">
        <v>2280</v>
      </c>
      <c r="D239" s="3">
        <v>32105</v>
      </c>
      <c r="E239" t="s">
        <v>1400</v>
      </c>
      <c r="G239" s="3">
        <v>44970</v>
      </c>
      <c r="H239" t="s">
        <v>2281</v>
      </c>
      <c r="J239" t="s">
        <v>1408</v>
      </c>
      <c r="K239" t="s">
        <v>70</v>
      </c>
      <c r="L239" s="3">
        <v>46810</v>
      </c>
      <c r="M239" s="3">
        <v>46770</v>
      </c>
      <c r="N239" t="s">
        <v>2282</v>
      </c>
      <c r="O239" s="4">
        <v>0.6</v>
      </c>
      <c r="P239">
        <v>1</v>
      </c>
      <c r="Q239">
        <v>0</v>
      </c>
    </row>
    <row r="240" spans="1:17" x14ac:dyDescent="0.3">
      <c r="A240">
        <v>34325</v>
      </c>
      <c r="B240" t="s">
        <v>2283</v>
      </c>
      <c r="C240" t="s">
        <v>2284</v>
      </c>
      <c r="D240" s="3">
        <v>30816</v>
      </c>
      <c r="E240" t="s">
        <v>1400</v>
      </c>
      <c r="G240" s="3">
        <v>43710</v>
      </c>
      <c r="H240" t="s">
        <v>2285</v>
      </c>
      <c r="J240" t="s">
        <v>1413</v>
      </c>
      <c r="K240" t="s">
        <v>67</v>
      </c>
      <c r="L240" s="3">
        <v>47267</v>
      </c>
      <c r="M240" s="3">
        <v>47216</v>
      </c>
      <c r="N240" t="s">
        <v>2286</v>
      </c>
      <c r="O240" s="4">
        <v>1</v>
      </c>
      <c r="P240">
        <v>0</v>
      </c>
      <c r="Q240">
        <v>0</v>
      </c>
    </row>
    <row r="241" spans="1:17" x14ac:dyDescent="0.3">
      <c r="A241">
        <v>38047</v>
      </c>
      <c r="B241" t="s">
        <v>2287</v>
      </c>
      <c r="C241" t="s">
        <v>2288</v>
      </c>
      <c r="D241" s="3">
        <v>27600</v>
      </c>
      <c r="E241" t="s">
        <v>1400</v>
      </c>
      <c r="G241" s="3">
        <v>44867</v>
      </c>
      <c r="H241" t="s">
        <v>2289</v>
      </c>
      <c r="J241" t="s">
        <v>1408</v>
      </c>
      <c r="K241" t="s">
        <v>61</v>
      </c>
      <c r="L241" s="3">
        <v>46831</v>
      </c>
      <c r="M241" s="3">
        <v>46084</v>
      </c>
      <c r="N241" t="s">
        <v>2290</v>
      </c>
      <c r="O241" s="4">
        <v>1</v>
      </c>
      <c r="P241">
        <v>0</v>
      </c>
      <c r="Q241">
        <v>0</v>
      </c>
    </row>
    <row r="242" spans="1:17" x14ac:dyDescent="0.3">
      <c r="A242">
        <v>36577</v>
      </c>
      <c r="B242" t="s">
        <v>2291</v>
      </c>
      <c r="C242" t="s">
        <v>2292</v>
      </c>
      <c r="D242" s="3">
        <v>27133</v>
      </c>
      <c r="E242" t="s">
        <v>1400</v>
      </c>
      <c r="G242" s="3">
        <v>44389</v>
      </c>
      <c r="H242" t="s">
        <v>2293</v>
      </c>
      <c r="I242" t="s">
        <v>2294</v>
      </c>
      <c r="J242" t="s">
        <v>1441</v>
      </c>
      <c r="K242" t="s">
        <v>70</v>
      </c>
      <c r="L242" s="3">
        <v>46231</v>
      </c>
      <c r="M242" s="3">
        <v>46140</v>
      </c>
      <c r="N242" t="s">
        <v>2295</v>
      </c>
      <c r="O242" s="4">
        <v>1</v>
      </c>
      <c r="P242">
        <v>0</v>
      </c>
      <c r="Q242">
        <v>0</v>
      </c>
    </row>
    <row r="243" spans="1:17" x14ac:dyDescent="0.3">
      <c r="A243">
        <v>12684</v>
      </c>
      <c r="B243" t="s">
        <v>2296</v>
      </c>
      <c r="C243" t="s">
        <v>2292</v>
      </c>
      <c r="D243" s="3">
        <v>23480</v>
      </c>
      <c r="E243" t="s">
        <v>1400</v>
      </c>
      <c r="F243">
        <v>633</v>
      </c>
      <c r="G243" s="3">
        <v>36815</v>
      </c>
      <c r="H243" t="s">
        <v>2297</v>
      </c>
      <c r="J243" t="s">
        <v>1523</v>
      </c>
      <c r="K243" t="s">
        <v>58</v>
      </c>
      <c r="L243" s="3">
        <v>45963</v>
      </c>
      <c r="M243" s="3">
        <v>45944</v>
      </c>
      <c r="N243" t="s">
        <v>2298</v>
      </c>
      <c r="O243" s="4">
        <v>0.5</v>
      </c>
      <c r="P243">
        <v>0</v>
      </c>
      <c r="Q243">
        <v>0</v>
      </c>
    </row>
    <row r="244" spans="1:17" x14ac:dyDescent="0.3">
      <c r="A244">
        <v>11021</v>
      </c>
      <c r="B244" t="s">
        <v>2299</v>
      </c>
      <c r="C244" t="s">
        <v>2300</v>
      </c>
      <c r="D244" s="3">
        <v>23986</v>
      </c>
      <c r="E244" t="s">
        <v>1400</v>
      </c>
      <c r="F244">
        <v>181</v>
      </c>
      <c r="G244" s="3">
        <v>36227</v>
      </c>
      <c r="H244" t="s">
        <v>2301</v>
      </c>
      <c r="I244">
        <v>93622072</v>
      </c>
      <c r="J244" t="s">
        <v>1506</v>
      </c>
      <c r="K244" t="s">
        <v>67</v>
      </c>
      <c r="L244" s="3">
        <v>73050</v>
      </c>
      <c r="M244" s="3">
        <v>45902</v>
      </c>
      <c r="N244" t="s">
        <v>2302</v>
      </c>
      <c r="O244" s="4">
        <v>1</v>
      </c>
      <c r="P244">
        <v>0</v>
      </c>
      <c r="Q244">
        <v>0</v>
      </c>
    </row>
    <row r="245" spans="1:17" x14ac:dyDescent="0.3">
      <c r="A245">
        <v>39929</v>
      </c>
      <c r="B245" t="s">
        <v>2303</v>
      </c>
      <c r="C245" t="s">
        <v>2304</v>
      </c>
      <c r="D245" s="3">
        <v>30553</v>
      </c>
      <c r="E245" t="s">
        <v>1400</v>
      </c>
      <c r="G245" s="3">
        <v>45299</v>
      </c>
      <c r="H245" t="s">
        <v>2305</v>
      </c>
      <c r="J245" t="s">
        <v>1408</v>
      </c>
      <c r="K245" t="s">
        <v>61</v>
      </c>
      <c r="L245" s="3">
        <v>46530</v>
      </c>
      <c r="M245" s="3">
        <v>45999</v>
      </c>
      <c r="N245" t="s">
        <v>2306</v>
      </c>
      <c r="O245" s="4">
        <v>1</v>
      </c>
      <c r="P245">
        <v>0</v>
      </c>
      <c r="Q245">
        <v>0</v>
      </c>
    </row>
    <row r="246" spans="1:17" x14ac:dyDescent="0.3">
      <c r="A246">
        <v>20653</v>
      </c>
      <c r="B246" t="s">
        <v>2307</v>
      </c>
      <c r="C246" t="s">
        <v>2308</v>
      </c>
      <c r="D246" s="3">
        <v>29923</v>
      </c>
      <c r="E246" t="s">
        <v>1400</v>
      </c>
      <c r="F246">
        <v>341</v>
      </c>
      <c r="G246" s="3">
        <v>39204</v>
      </c>
      <c r="H246" t="s">
        <v>2309</v>
      </c>
      <c r="J246" t="s">
        <v>1426</v>
      </c>
      <c r="K246" t="s">
        <v>55</v>
      </c>
      <c r="L246" s="3">
        <v>72686</v>
      </c>
      <c r="M246" s="3">
        <v>46191</v>
      </c>
      <c r="N246" t="s">
        <v>2310</v>
      </c>
      <c r="O246" s="4">
        <v>1</v>
      </c>
      <c r="P246">
        <v>0</v>
      </c>
      <c r="Q246">
        <v>0</v>
      </c>
    </row>
    <row r="247" spans="1:17" x14ac:dyDescent="0.3">
      <c r="A247">
        <v>25994</v>
      </c>
      <c r="B247" t="s">
        <v>2311</v>
      </c>
      <c r="C247" t="s">
        <v>2312</v>
      </c>
      <c r="D247" s="3">
        <v>27418</v>
      </c>
      <c r="E247" t="s">
        <v>1400</v>
      </c>
      <c r="F247">
        <v>138</v>
      </c>
      <c r="G247" s="3">
        <v>40567</v>
      </c>
      <c r="H247" t="s">
        <v>2313</v>
      </c>
      <c r="J247" t="s">
        <v>1441</v>
      </c>
      <c r="K247" t="s">
        <v>70</v>
      </c>
      <c r="L247" s="3">
        <v>46063</v>
      </c>
      <c r="M247" s="3">
        <v>46497</v>
      </c>
      <c r="N247" t="s">
        <v>2314</v>
      </c>
      <c r="O247" s="4">
        <v>0.8</v>
      </c>
      <c r="P247">
        <v>0</v>
      </c>
      <c r="Q247">
        <v>0</v>
      </c>
    </row>
    <row r="248" spans="1:17" x14ac:dyDescent="0.3">
      <c r="A248">
        <v>20376</v>
      </c>
      <c r="B248" t="s">
        <v>2315</v>
      </c>
      <c r="C248" t="s">
        <v>2312</v>
      </c>
      <c r="D248" s="3">
        <v>26892</v>
      </c>
      <c r="E248" t="s">
        <v>1400</v>
      </c>
      <c r="F248">
        <v>155</v>
      </c>
      <c r="G248" s="3">
        <v>39132</v>
      </c>
      <c r="H248" t="s">
        <v>2316</v>
      </c>
      <c r="J248" t="s">
        <v>1506</v>
      </c>
      <c r="K248" t="s">
        <v>67</v>
      </c>
      <c r="L248" s="3">
        <v>45951</v>
      </c>
      <c r="M248" s="3">
        <v>46364</v>
      </c>
      <c r="N248" t="s">
        <v>2317</v>
      </c>
      <c r="O248" s="4">
        <v>1</v>
      </c>
      <c r="P248">
        <v>0</v>
      </c>
      <c r="Q248">
        <v>1</v>
      </c>
    </row>
    <row r="249" spans="1:17" x14ac:dyDescent="0.3">
      <c r="A249">
        <v>31731</v>
      </c>
      <c r="B249" t="s">
        <v>2318</v>
      </c>
      <c r="C249" t="s">
        <v>2319</v>
      </c>
      <c r="D249" s="3">
        <v>28290</v>
      </c>
      <c r="E249" t="s">
        <v>1400</v>
      </c>
      <c r="F249">
        <v>202</v>
      </c>
      <c r="G249" s="3">
        <v>42919</v>
      </c>
      <c r="H249" t="s">
        <v>2320</v>
      </c>
      <c r="J249" t="s">
        <v>1944</v>
      </c>
      <c r="K249" t="s">
        <v>58</v>
      </c>
      <c r="L249" s="3">
        <v>46466</v>
      </c>
      <c r="M249" s="3">
        <v>46460</v>
      </c>
      <c r="N249" t="s">
        <v>2321</v>
      </c>
      <c r="O249" s="4">
        <v>1</v>
      </c>
      <c r="P249">
        <v>0</v>
      </c>
      <c r="Q249">
        <v>0</v>
      </c>
    </row>
    <row r="250" spans="1:17" x14ac:dyDescent="0.3">
      <c r="A250">
        <v>35493</v>
      </c>
      <c r="B250" t="s">
        <v>2322</v>
      </c>
      <c r="C250" t="s">
        <v>2323</v>
      </c>
      <c r="D250" s="3">
        <v>28007</v>
      </c>
      <c r="E250" t="s">
        <v>1400</v>
      </c>
      <c r="F250">
        <v>282</v>
      </c>
      <c r="G250" s="3">
        <v>44039</v>
      </c>
      <c r="H250" t="s">
        <v>2324</v>
      </c>
      <c r="J250" t="s">
        <v>1413</v>
      </c>
      <c r="K250" t="s">
        <v>73</v>
      </c>
      <c r="L250" s="3">
        <v>47568</v>
      </c>
      <c r="M250" s="3">
        <v>47561</v>
      </c>
      <c r="N250" t="s">
        <v>2325</v>
      </c>
      <c r="O250" s="4">
        <v>1</v>
      </c>
      <c r="P250">
        <v>0</v>
      </c>
      <c r="Q250">
        <v>1</v>
      </c>
    </row>
    <row r="251" spans="1:17" x14ac:dyDescent="0.3">
      <c r="A251">
        <v>40486</v>
      </c>
      <c r="B251" t="s">
        <v>2326</v>
      </c>
      <c r="C251" t="s">
        <v>2327</v>
      </c>
      <c r="D251" s="3">
        <v>36922</v>
      </c>
      <c r="E251" t="s">
        <v>1400</v>
      </c>
      <c r="G251" s="3">
        <v>45427</v>
      </c>
      <c r="H251" t="s">
        <v>2328</v>
      </c>
      <c r="J251" t="s">
        <v>1408</v>
      </c>
      <c r="K251" t="s">
        <v>61</v>
      </c>
      <c r="L251" s="3">
        <v>47273</v>
      </c>
      <c r="M251" s="3">
        <v>47230</v>
      </c>
      <c r="N251" t="s">
        <v>2329</v>
      </c>
      <c r="O251" s="4">
        <v>1</v>
      </c>
      <c r="P251">
        <v>0</v>
      </c>
      <c r="Q251">
        <v>0</v>
      </c>
    </row>
    <row r="252" spans="1:17" x14ac:dyDescent="0.3">
      <c r="A252">
        <v>8918</v>
      </c>
      <c r="B252" t="s">
        <v>2330</v>
      </c>
      <c r="C252" t="s">
        <v>2331</v>
      </c>
      <c r="D252" s="3">
        <v>23172</v>
      </c>
      <c r="E252" t="s">
        <v>1400</v>
      </c>
      <c r="F252">
        <v>429</v>
      </c>
      <c r="G252" s="3">
        <v>35394</v>
      </c>
      <c r="H252" t="s">
        <v>2332</v>
      </c>
      <c r="J252" t="s">
        <v>1722</v>
      </c>
      <c r="K252" t="s">
        <v>64</v>
      </c>
      <c r="L252" s="3">
        <v>46000</v>
      </c>
      <c r="M252" s="3">
        <v>46019</v>
      </c>
      <c r="N252" t="s">
        <v>2333</v>
      </c>
      <c r="O252" s="4">
        <v>0.8</v>
      </c>
      <c r="P252">
        <v>0</v>
      </c>
      <c r="Q252">
        <v>0</v>
      </c>
    </row>
    <row r="253" spans="1:17" x14ac:dyDescent="0.3">
      <c r="A253">
        <v>3926</v>
      </c>
      <c r="B253" t="s">
        <v>1517</v>
      </c>
      <c r="C253" t="s">
        <v>2331</v>
      </c>
      <c r="D253" s="3">
        <v>21648</v>
      </c>
      <c r="E253" t="s">
        <v>1400</v>
      </c>
      <c r="F253">
        <v>306</v>
      </c>
      <c r="G253" s="3">
        <v>29885</v>
      </c>
      <c r="H253" t="s">
        <v>2334</v>
      </c>
      <c r="I253">
        <v>93240876</v>
      </c>
      <c r="J253" t="s">
        <v>1537</v>
      </c>
      <c r="K253" t="s">
        <v>55</v>
      </c>
      <c r="L253" s="3">
        <v>72686</v>
      </c>
      <c r="M253" s="3">
        <v>46827</v>
      </c>
      <c r="N253" t="s">
        <v>2335</v>
      </c>
      <c r="O253" s="4">
        <v>1</v>
      </c>
      <c r="P253">
        <v>0</v>
      </c>
      <c r="Q253">
        <v>0</v>
      </c>
    </row>
    <row r="254" spans="1:17" x14ac:dyDescent="0.3">
      <c r="A254">
        <v>36845</v>
      </c>
      <c r="B254" t="s">
        <v>2336</v>
      </c>
      <c r="C254" t="s">
        <v>2331</v>
      </c>
      <c r="D254" s="3">
        <v>21595</v>
      </c>
      <c r="E254" t="s">
        <v>1400</v>
      </c>
      <c r="G254" s="3">
        <v>44440</v>
      </c>
      <c r="J254" t="s">
        <v>1977</v>
      </c>
      <c r="K254" t="s">
        <v>73</v>
      </c>
      <c r="L254" s="3">
        <v>45948</v>
      </c>
      <c r="M254" s="3">
        <v>45930</v>
      </c>
      <c r="N254" t="s">
        <v>2337</v>
      </c>
      <c r="O254" s="4">
        <v>1</v>
      </c>
      <c r="P254">
        <v>0</v>
      </c>
      <c r="Q254">
        <v>0</v>
      </c>
    </row>
    <row r="255" spans="1:17" x14ac:dyDescent="0.3">
      <c r="A255">
        <v>21382</v>
      </c>
      <c r="B255" t="s">
        <v>2338</v>
      </c>
      <c r="C255" t="s">
        <v>2331</v>
      </c>
      <c r="D255" s="3">
        <v>27768</v>
      </c>
      <c r="E255" t="s">
        <v>1400</v>
      </c>
      <c r="F255">
        <v>281</v>
      </c>
      <c r="G255" s="3">
        <v>39356</v>
      </c>
      <c r="H255" t="s">
        <v>2339</v>
      </c>
      <c r="J255" t="s">
        <v>1426</v>
      </c>
      <c r="K255" t="s">
        <v>70</v>
      </c>
      <c r="L255" s="3">
        <v>72686</v>
      </c>
      <c r="M255" s="3">
        <v>46838</v>
      </c>
      <c r="N255" t="s">
        <v>2340</v>
      </c>
      <c r="O255" s="4">
        <v>1</v>
      </c>
      <c r="P255">
        <v>0</v>
      </c>
      <c r="Q255">
        <v>1</v>
      </c>
    </row>
    <row r="256" spans="1:17" x14ac:dyDescent="0.3">
      <c r="A256">
        <v>38555</v>
      </c>
      <c r="B256" t="s">
        <v>2341</v>
      </c>
      <c r="C256" t="s">
        <v>2342</v>
      </c>
      <c r="D256" s="3">
        <v>31437</v>
      </c>
      <c r="E256" t="s">
        <v>1400</v>
      </c>
      <c r="G256" s="3">
        <v>44984</v>
      </c>
      <c r="H256" t="s">
        <v>2343</v>
      </c>
      <c r="J256" t="s">
        <v>1413</v>
      </c>
      <c r="K256" t="s">
        <v>58</v>
      </c>
      <c r="L256" s="3">
        <v>46825</v>
      </c>
      <c r="M256" s="3">
        <v>46735</v>
      </c>
      <c r="N256" t="s">
        <v>2344</v>
      </c>
      <c r="O256" s="4">
        <v>1</v>
      </c>
      <c r="P256">
        <v>0</v>
      </c>
      <c r="Q256">
        <v>0</v>
      </c>
    </row>
    <row r="257" spans="1:17" x14ac:dyDescent="0.3">
      <c r="A257">
        <v>40591</v>
      </c>
      <c r="B257" t="s">
        <v>2345</v>
      </c>
      <c r="C257" t="s">
        <v>2346</v>
      </c>
      <c r="D257" s="3">
        <v>27167</v>
      </c>
      <c r="E257" t="s">
        <v>1400</v>
      </c>
      <c r="G257" s="3">
        <v>45450</v>
      </c>
      <c r="H257" t="s">
        <v>2347</v>
      </c>
      <c r="J257" t="s">
        <v>1408</v>
      </c>
      <c r="K257" t="s">
        <v>52</v>
      </c>
      <c r="L257" s="3">
        <v>47286</v>
      </c>
      <c r="M257" s="3">
        <v>47267</v>
      </c>
      <c r="N257" t="s">
        <v>2348</v>
      </c>
      <c r="O257" s="4">
        <v>1</v>
      </c>
      <c r="P257">
        <v>0</v>
      </c>
      <c r="Q257">
        <v>0</v>
      </c>
    </row>
    <row r="258" spans="1:17" x14ac:dyDescent="0.3">
      <c r="A258">
        <v>40443</v>
      </c>
      <c r="B258" t="s">
        <v>2349</v>
      </c>
      <c r="C258" t="s">
        <v>2346</v>
      </c>
      <c r="D258" s="3">
        <v>37624</v>
      </c>
      <c r="E258" t="s">
        <v>1400</v>
      </c>
      <c r="G258" s="3">
        <v>45408</v>
      </c>
      <c r="H258" t="s">
        <v>2350</v>
      </c>
      <c r="J258" t="s">
        <v>1408</v>
      </c>
      <c r="K258" t="s">
        <v>55</v>
      </c>
      <c r="L258" s="3">
        <v>47245</v>
      </c>
      <c r="M258" s="3">
        <v>47225</v>
      </c>
      <c r="N258" t="s">
        <v>2351</v>
      </c>
      <c r="O258" s="4">
        <v>1</v>
      </c>
      <c r="P258">
        <v>0</v>
      </c>
      <c r="Q258">
        <v>0</v>
      </c>
    </row>
    <row r="259" spans="1:17" x14ac:dyDescent="0.3">
      <c r="A259">
        <v>39988</v>
      </c>
      <c r="B259" t="s">
        <v>2352</v>
      </c>
      <c r="C259" t="s">
        <v>2346</v>
      </c>
      <c r="D259" s="3">
        <v>30468</v>
      </c>
      <c r="E259" t="s">
        <v>1400</v>
      </c>
      <c r="G259" s="3">
        <v>45321</v>
      </c>
      <c r="H259" t="s">
        <v>2353</v>
      </c>
      <c r="J259" t="s">
        <v>1408</v>
      </c>
      <c r="K259" t="s">
        <v>61</v>
      </c>
      <c r="L259" s="3">
        <v>47164</v>
      </c>
      <c r="M259" s="3">
        <v>47092</v>
      </c>
      <c r="N259" t="s">
        <v>2354</v>
      </c>
      <c r="O259" s="4">
        <v>1</v>
      </c>
      <c r="P259">
        <v>0</v>
      </c>
      <c r="Q259">
        <v>0</v>
      </c>
    </row>
    <row r="260" spans="1:17" x14ac:dyDescent="0.3">
      <c r="A260">
        <v>35495</v>
      </c>
      <c r="B260" t="s">
        <v>2355</v>
      </c>
      <c r="C260" t="s">
        <v>2346</v>
      </c>
      <c r="D260" s="3">
        <v>34121</v>
      </c>
      <c r="E260" t="s">
        <v>1400</v>
      </c>
      <c r="F260">
        <v>22</v>
      </c>
      <c r="G260" s="3">
        <v>44025</v>
      </c>
      <c r="H260" t="s">
        <v>2356</v>
      </c>
      <c r="J260" t="s">
        <v>1413</v>
      </c>
      <c r="K260" t="s">
        <v>64</v>
      </c>
      <c r="L260" s="3">
        <v>47554</v>
      </c>
      <c r="M260" s="3">
        <v>47547</v>
      </c>
      <c r="N260" t="s">
        <v>2357</v>
      </c>
      <c r="O260" s="4">
        <v>1</v>
      </c>
      <c r="P260">
        <v>0</v>
      </c>
      <c r="Q260">
        <v>0</v>
      </c>
    </row>
    <row r="261" spans="1:17" x14ac:dyDescent="0.3">
      <c r="A261">
        <v>35494</v>
      </c>
      <c r="B261" t="s">
        <v>2358</v>
      </c>
      <c r="C261" t="s">
        <v>2359</v>
      </c>
      <c r="D261" s="3">
        <v>29509</v>
      </c>
      <c r="E261" t="s">
        <v>1400</v>
      </c>
      <c r="F261">
        <v>260</v>
      </c>
      <c r="G261" s="3">
        <v>44039</v>
      </c>
      <c r="H261" t="s">
        <v>2360</v>
      </c>
      <c r="J261" t="s">
        <v>1459</v>
      </c>
      <c r="K261" t="s">
        <v>58</v>
      </c>
      <c r="L261" s="3">
        <v>47617</v>
      </c>
      <c r="M261" s="3">
        <v>47579</v>
      </c>
      <c r="N261" t="s">
        <v>2361</v>
      </c>
      <c r="O261" s="4">
        <v>0.8</v>
      </c>
      <c r="P261">
        <v>0</v>
      </c>
      <c r="Q261">
        <v>0</v>
      </c>
    </row>
    <row r="262" spans="1:17" x14ac:dyDescent="0.3">
      <c r="A262">
        <v>22143</v>
      </c>
      <c r="B262" t="s">
        <v>2362</v>
      </c>
      <c r="C262" t="s">
        <v>2359</v>
      </c>
      <c r="D262" s="3">
        <v>29586</v>
      </c>
      <c r="E262" t="s">
        <v>1400</v>
      </c>
      <c r="F262">
        <v>514</v>
      </c>
      <c r="G262" s="3">
        <v>39552</v>
      </c>
      <c r="H262" t="s">
        <v>2363</v>
      </c>
      <c r="I262">
        <v>32479391613</v>
      </c>
      <c r="J262" t="s">
        <v>1523</v>
      </c>
      <c r="K262" t="s">
        <v>58</v>
      </c>
      <c r="L262" s="3">
        <v>47665</v>
      </c>
      <c r="M262" s="3">
        <v>46665</v>
      </c>
      <c r="N262" t="s">
        <v>2364</v>
      </c>
      <c r="O262" s="4">
        <v>0.8</v>
      </c>
      <c r="P262">
        <v>0</v>
      </c>
      <c r="Q262">
        <v>0</v>
      </c>
    </row>
    <row r="263" spans="1:17" x14ac:dyDescent="0.3">
      <c r="A263">
        <v>39985</v>
      </c>
      <c r="B263" t="s">
        <v>2365</v>
      </c>
      <c r="C263" t="s">
        <v>2366</v>
      </c>
      <c r="D263" s="3">
        <v>35670</v>
      </c>
      <c r="E263" t="s">
        <v>1400</v>
      </c>
      <c r="G263" s="3">
        <v>45321</v>
      </c>
      <c r="H263" t="s">
        <v>2367</v>
      </c>
      <c r="J263" t="s">
        <v>1408</v>
      </c>
      <c r="K263" t="s">
        <v>61</v>
      </c>
      <c r="L263" s="3">
        <v>47165</v>
      </c>
      <c r="M263" s="3">
        <v>47105</v>
      </c>
      <c r="N263" t="s">
        <v>2368</v>
      </c>
      <c r="O263" s="4">
        <v>1</v>
      </c>
      <c r="P263">
        <v>0</v>
      </c>
      <c r="Q263">
        <v>0</v>
      </c>
    </row>
    <row r="264" spans="1:17" x14ac:dyDescent="0.3">
      <c r="A264">
        <v>18624</v>
      </c>
      <c r="B264" t="s">
        <v>2369</v>
      </c>
      <c r="C264" t="s">
        <v>2370</v>
      </c>
      <c r="D264" s="3">
        <v>22884</v>
      </c>
      <c r="E264" t="s">
        <v>1400</v>
      </c>
      <c r="F264">
        <v>634</v>
      </c>
      <c r="G264" s="3">
        <v>38593</v>
      </c>
      <c r="H264" t="s">
        <v>2371</v>
      </c>
      <c r="I264" t="s">
        <v>2372</v>
      </c>
      <c r="J264" t="s">
        <v>1523</v>
      </c>
      <c r="K264" t="s">
        <v>55</v>
      </c>
      <c r="L264" s="3">
        <v>46007</v>
      </c>
      <c r="M264" s="3">
        <v>46065</v>
      </c>
      <c r="N264" t="s">
        <v>2373</v>
      </c>
      <c r="O264" s="4">
        <v>0.5</v>
      </c>
      <c r="P264">
        <v>0</v>
      </c>
      <c r="Q264">
        <v>0</v>
      </c>
    </row>
    <row r="265" spans="1:17" x14ac:dyDescent="0.3">
      <c r="A265">
        <v>18141</v>
      </c>
      <c r="B265" t="s">
        <v>2374</v>
      </c>
      <c r="C265" t="s">
        <v>2375</v>
      </c>
      <c r="D265" s="3">
        <v>24596</v>
      </c>
      <c r="E265" t="s">
        <v>1400</v>
      </c>
      <c r="F265">
        <v>68</v>
      </c>
      <c r="G265" s="3">
        <v>38460</v>
      </c>
      <c r="H265" t="s">
        <v>2376</v>
      </c>
      <c r="J265" t="s">
        <v>1484</v>
      </c>
      <c r="K265" t="s">
        <v>61</v>
      </c>
      <c r="L265" s="3">
        <v>47527</v>
      </c>
      <c r="M265" s="3">
        <v>47524</v>
      </c>
      <c r="N265" t="s">
        <v>2377</v>
      </c>
      <c r="O265" s="4">
        <v>0.5</v>
      </c>
      <c r="P265">
        <v>0</v>
      </c>
      <c r="Q265">
        <v>0</v>
      </c>
    </row>
    <row r="266" spans="1:17" x14ac:dyDescent="0.3">
      <c r="A266">
        <v>41032</v>
      </c>
      <c r="B266" t="s">
        <v>2378</v>
      </c>
      <c r="C266" t="s">
        <v>2379</v>
      </c>
      <c r="D266" s="3">
        <v>36725</v>
      </c>
      <c r="E266" t="s">
        <v>1400</v>
      </c>
      <c r="G266" s="3">
        <v>45559</v>
      </c>
      <c r="H266" t="s">
        <v>2380</v>
      </c>
      <c r="J266" t="s">
        <v>1408</v>
      </c>
      <c r="K266" t="s">
        <v>58</v>
      </c>
      <c r="L266" s="3">
        <v>47404</v>
      </c>
      <c r="M266" s="3">
        <v>47371</v>
      </c>
      <c r="N266" t="s">
        <v>2381</v>
      </c>
      <c r="O266" s="4">
        <v>1</v>
      </c>
      <c r="P266">
        <v>0</v>
      </c>
      <c r="Q266">
        <v>0</v>
      </c>
    </row>
    <row r="267" spans="1:17" x14ac:dyDescent="0.3">
      <c r="A267">
        <v>11120</v>
      </c>
      <c r="B267" t="s">
        <v>2382</v>
      </c>
      <c r="C267" t="s">
        <v>2383</v>
      </c>
      <c r="D267" s="3">
        <v>24187</v>
      </c>
      <c r="E267" t="s">
        <v>1400</v>
      </c>
      <c r="F267">
        <v>325</v>
      </c>
      <c r="G267" s="3">
        <v>36262</v>
      </c>
      <c r="H267" t="s">
        <v>2384</v>
      </c>
      <c r="J267" t="s">
        <v>1702</v>
      </c>
      <c r="K267" t="s">
        <v>73</v>
      </c>
      <c r="L267" s="3">
        <v>45938</v>
      </c>
      <c r="M267" s="3">
        <v>46938</v>
      </c>
      <c r="N267" t="s">
        <v>2385</v>
      </c>
      <c r="O267" s="4">
        <v>0.8</v>
      </c>
      <c r="P267">
        <v>0</v>
      </c>
      <c r="Q267">
        <v>1</v>
      </c>
    </row>
    <row r="268" spans="1:17" x14ac:dyDescent="0.3">
      <c r="A268">
        <v>26334</v>
      </c>
      <c r="B268" t="s">
        <v>2386</v>
      </c>
      <c r="C268" t="s">
        <v>2387</v>
      </c>
      <c r="D268" s="3">
        <v>23313</v>
      </c>
      <c r="E268" t="s">
        <v>1400</v>
      </c>
      <c r="F268">
        <v>257</v>
      </c>
      <c r="G268" s="3">
        <v>40679</v>
      </c>
      <c r="H268" t="s">
        <v>2388</v>
      </c>
      <c r="J268" t="s">
        <v>1537</v>
      </c>
      <c r="K268" t="s">
        <v>58</v>
      </c>
      <c r="L268" s="3">
        <v>72686</v>
      </c>
      <c r="M268" s="3">
        <v>46140</v>
      </c>
      <c r="N268" t="s">
        <v>2389</v>
      </c>
      <c r="O268" s="4">
        <v>0.8</v>
      </c>
      <c r="P268">
        <v>0</v>
      </c>
      <c r="Q268">
        <v>1</v>
      </c>
    </row>
    <row r="269" spans="1:17" x14ac:dyDescent="0.3">
      <c r="A269">
        <v>16899</v>
      </c>
      <c r="B269" t="s">
        <v>2390</v>
      </c>
      <c r="C269" t="s">
        <v>2387</v>
      </c>
      <c r="D269" s="3">
        <v>23057</v>
      </c>
      <c r="E269" t="s">
        <v>1400</v>
      </c>
      <c r="F269">
        <v>423</v>
      </c>
      <c r="G269" s="3">
        <v>38103</v>
      </c>
      <c r="H269" t="s">
        <v>2391</v>
      </c>
      <c r="J269" t="s">
        <v>1426</v>
      </c>
      <c r="K269" t="s">
        <v>67</v>
      </c>
      <c r="L269" s="3">
        <v>72686</v>
      </c>
      <c r="M269" s="3">
        <v>47201</v>
      </c>
      <c r="N269" t="s">
        <v>2392</v>
      </c>
      <c r="O269" s="4">
        <v>0.8</v>
      </c>
      <c r="P269">
        <v>0</v>
      </c>
      <c r="Q269">
        <v>0</v>
      </c>
    </row>
    <row r="270" spans="1:17" x14ac:dyDescent="0.3">
      <c r="A270">
        <v>37258</v>
      </c>
      <c r="B270" t="s">
        <v>2393</v>
      </c>
      <c r="C270" t="s">
        <v>2394</v>
      </c>
      <c r="D270" s="3">
        <v>30517</v>
      </c>
      <c r="E270" t="s">
        <v>1400</v>
      </c>
      <c r="G270" s="3">
        <v>44599</v>
      </c>
      <c r="H270" t="s">
        <v>2395</v>
      </c>
      <c r="J270" t="s">
        <v>1408</v>
      </c>
      <c r="K270" t="s">
        <v>58</v>
      </c>
      <c r="L270" s="3">
        <v>46440</v>
      </c>
      <c r="M270" s="3">
        <v>46340</v>
      </c>
      <c r="N270" t="s">
        <v>2396</v>
      </c>
      <c r="O270" s="4">
        <v>1</v>
      </c>
      <c r="P270">
        <v>0</v>
      </c>
      <c r="Q270">
        <v>0</v>
      </c>
    </row>
    <row r="271" spans="1:17" x14ac:dyDescent="0.3">
      <c r="A271">
        <v>40590</v>
      </c>
      <c r="B271" t="s">
        <v>2397</v>
      </c>
      <c r="C271" t="s">
        <v>2398</v>
      </c>
      <c r="D271" s="3">
        <v>31306</v>
      </c>
      <c r="E271" t="s">
        <v>1400</v>
      </c>
      <c r="G271" s="3">
        <v>45464</v>
      </c>
      <c r="H271" t="s">
        <v>2399</v>
      </c>
      <c r="J271" t="s">
        <v>1408</v>
      </c>
      <c r="K271" t="s">
        <v>55</v>
      </c>
      <c r="L271" s="3">
        <v>47300</v>
      </c>
      <c r="M271" s="3">
        <v>47243</v>
      </c>
      <c r="N271" t="s">
        <v>2400</v>
      </c>
      <c r="O271" s="4">
        <v>1</v>
      </c>
      <c r="P271">
        <v>0</v>
      </c>
      <c r="Q271">
        <v>0</v>
      </c>
    </row>
    <row r="272" spans="1:17" x14ac:dyDescent="0.3">
      <c r="A272">
        <v>39654</v>
      </c>
      <c r="B272" t="s">
        <v>2401</v>
      </c>
      <c r="C272" t="s">
        <v>2402</v>
      </c>
      <c r="D272" s="3">
        <v>35555</v>
      </c>
      <c r="E272" t="s">
        <v>1400</v>
      </c>
      <c r="G272" s="3">
        <v>45222</v>
      </c>
      <c r="H272" t="s">
        <v>2403</v>
      </c>
      <c r="J272" t="s">
        <v>1408</v>
      </c>
      <c r="K272" t="s">
        <v>64</v>
      </c>
      <c r="L272" s="3">
        <v>47065</v>
      </c>
      <c r="M272" s="3">
        <v>47016</v>
      </c>
      <c r="N272" t="s">
        <v>2404</v>
      </c>
      <c r="O272" s="4">
        <v>1</v>
      </c>
      <c r="P272">
        <v>0</v>
      </c>
      <c r="Q272">
        <v>0</v>
      </c>
    </row>
    <row r="273" spans="1:17" x14ac:dyDescent="0.3">
      <c r="A273">
        <v>39581</v>
      </c>
      <c r="B273" t="s">
        <v>2405</v>
      </c>
      <c r="C273" t="s">
        <v>2406</v>
      </c>
      <c r="D273" s="3">
        <v>36481</v>
      </c>
      <c r="E273" t="s">
        <v>1400</v>
      </c>
      <c r="G273" s="3">
        <v>45194</v>
      </c>
      <c r="H273" t="s">
        <v>2407</v>
      </c>
      <c r="J273" t="s">
        <v>1446</v>
      </c>
      <c r="K273" t="s">
        <v>70</v>
      </c>
      <c r="L273" s="3">
        <v>47036</v>
      </c>
      <c r="M273" s="3">
        <v>47009</v>
      </c>
      <c r="N273" t="s">
        <v>2408</v>
      </c>
      <c r="O273" s="4">
        <v>0.5</v>
      </c>
      <c r="P273">
        <v>0</v>
      </c>
      <c r="Q273">
        <v>0</v>
      </c>
    </row>
    <row r="274" spans="1:17" x14ac:dyDescent="0.3">
      <c r="A274">
        <v>20375</v>
      </c>
      <c r="B274" t="s">
        <v>2409</v>
      </c>
      <c r="C274" t="s">
        <v>2410</v>
      </c>
      <c r="D274" s="3">
        <v>27391</v>
      </c>
      <c r="E274" t="s">
        <v>1656</v>
      </c>
      <c r="F274">
        <v>402</v>
      </c>
      <c r="G274" s="3">
        <v>39132</v>
      </c>
      <c r="H274" t="s">
        <v>2411</v>
      </c>
      <c r="J274" t="s">
        <v>1506</v>
      </c>
      <c r="K274" t="s">
        <v>52</v>
      </c>
      <c r="L274" s="3">
        <v>72686</v>
      </c>
      <c r="M274" s="3">
        <v>46427</v>
      </c>
      <c r="N274" t="s">
        <v>2412</v>
      </c>
      <c r="O274" s="4">
        <v>1</v>
      </c>
      <c r="P274">
        <v>0</v>
      </c>
      <c r="Q274">
        <v>0</v>
      </c>
    </row>
    <row r="275" spans="1:17" x14ac:dyDescent="0.3">
      <c r="A275">
        <v>28995</v>
      </c>
      <c r="B275" t="s">
        <v>2413</v>
      </c>
      <c r="C275" t="s">
        <v>2414</v>
      </c>
      <c r="D275" s="3">
        <v>22706</v>
      </c>
      <c r="E275" t="s">
        <v>1400</v>
      </c>
      <c r="F275">
        <v>55</v>
      </c>
      <c r="G275" s="3">
        <v>41771</v>
      </c>
      <c r="H275" t="s">
        <v>2415</v>
      </c>
      <c r="J275" t="s">
        <v>1418</v>
      </c>
      <c r="K275" t="s">
        <v>61</v>
      </c>
      <c r="L275" s="3">
        <v>45543</v>
      </c>
      <c r="M275" s="3">
        <v>45306</v>
      </c>
      <c r="N275" t="s">
        <v>2416</v>
      </c>
      <c r="O275" s="4">
        <v>0.8</v>
      </c>
      <c r="P275">
        <v>0</v>
      </c>
      <c r="Q275">
        <v>0</v>
      </c>
    </row>
    <row r="276" spans="1:17" x14ac:dyDescent="0.3">
      <c r="A276">
        <v>27865</v>
      </c>
      <c r="B276" t="s">
        <v>2417</v>
      </c>
      <c r="C276" t="s">
        <v>2418</v>
      </c>
      <c r="D276" s="3">
        <v>25648</v>
      </c>
      <c r="E276" t="s">
        <v>1400</v>
      </c>
      <c r="F276">
        <v>221</v>
      </c>
      <c r="G276" s="3">
        <v>41313</v>
      </c>
      <c r="H276" t="s">
        <v>2419</v>
      </c>
      <c r="J276" t="s">
        <v>1480</v>
      </c>
      <c r="K276" t="s">
        <v>70</v>
      </c>
      <c r="L276" s="3">
        <v>46166</v>
      </c>
      <c r="M276" s="3">
        <v>47135</v>
      </c>
      <c r="N276" t="s">
        <v>2420</v>
      </c>
      <c r="O276" s="4">
        <v>1</v>
      </c>
      <c r="P276">
        <v>0</v>
      </c>
      <c r="Q276">
        <v>1</v>
      </c>
    </row>
    <row r="277" spans="1:17" x14ac:dyDescent="0.3">
      <c r="A277">
        <v>28072</v>
      </c>
      <c r="B277" t="s">
        <v>2421</v>
      </c>
      <c r="C277" t="s">
        <v>2422</v>
      </c>
      <c r="D277" s="3">
        <v>25585</v>
      </c>
      <c r="E277" t="s">
        <v>1400</v>
      </c>
      <c r="F277">
        <v>179</v>
      </c>
      <c r="G277" s="3">
        <v>41372</v>
      </c>
      <c r="H277" t="s">
        <v>2423</v>
      </c>
      <c r="J277" t="s">
        <v>1519</v>
      </c>
      <c r="K277" t="s">
        <v>73</v>
      </c>
      <c r="L277" s="3">
        <v>46877</v>
      </c>
      <c r="M277" s="3">
        <v>47083</v>
      </c>
      <c r="N277" t="s">
        <v>2424</v>
      </c>
      <c r="O277" s="4">
        <v>1</v>
      </c>
      <c r="P277">
        <v>0</v>
      </c>
      <c r="Q277">
        <v>0</v>
      </c>
    </row>
    <row r="278" spans="1:17" x14ac:dyDescent="0.3">
      <c r="A278">
        <v>39014</v>
      </c>
      <c r="B278" t="s">
        <v>2425</v>
      </c>
      <c r="C278" t="s">
        <v>2426</v>
      </c>
      <c r="D278" s="3">
        <v>36757</v>
      </c>
      <c r="E278" t="s">
        <v>1400</v>
      </c>
      <c r="G278" s="3">
        <v>45076</v>
      </c>
      <c r="H278" t="s">
        <v>2427</v>
      </c>
      <c r="J278" t="s">
        <v>1446</v>
      </c>
      <c r="K278" t="s">
        <v>55</v>
      </c>
      <c r="L278" s="3">
        <v>46923</v>
      </c>
      <c r="M278" s="3">
        <v>46860</v>
      </c>
      <c r="N278" t="s">
        <v>2428</v>
      </c>
      <c r="O278" s="4">
        <v>1</v>
      </c>
      <c r="P278">
        <v>0</v>
      </c>
      <c r="Q278">
        <v>0</v>
      </c>
    </row>
    <row r="279" spans="1:17" x14ac:dyDescent="0.3">
      <c r="A279">
        <v>12024</v>
      </c>
      <c r="B279" t="s">
        <v>2429</v>
      </c>
      <c r="C279" t="s">
        <v>2430</v>
      </c>
      <c r="D279" s="3">
        <v>23853</v>
      </c>
      <c r="E279" t="s">
        <v>1400</v>
      </c>
      <c r="F279">
        <v>214</v>
      </c>
      <c r="G279" s="3">
        <v>36612</v>
      </c>
      <c r="H279" t="s">
        <v>2431</v>
      </c>
      <c r="I279">
        <v>92312370</v>
      </c>
      <c r="J279" t="s">
        <v>1658</v>
      </c>
      <c r="K279" t="s">
        <v>73</v>
      </c>
      <c r="L279" s="3">
        <v>47400</v>
      </c>
      <c r="M279" s="3">
        <v>47399</v>
      </c>
      <c r="N279" t="s">
        <v>2432</v>
      </c>
      <c r="O279" s="4">
        <v>0.8</v>
      </c>
      <c r="P279">
        <v>0</v>
      </c>
      <c r="Q279">
        <v>0</v>
      </c>
    </row>
    <row r="280" spans="1:17" x14ac:dyDescent="0.3">
      <c r="A280">
        <v>36624</v>
      </c>
      <c r="B280" t="s">
        <v>2433</v>
      </c>
      <c r="C280" t="s">
        <v>2430</v>
      </c>
      <c r="D280" s="3">
        <v>24255</v>
      </c>
      <c r="E280" t="s">
        <v>1400</v>
      </c>
      <c r="G280" s="3">
        <v>44375</v>
      </c>
      <c r="H280" t="s">
        <v>2434</v>
      </c>
      <c r="I280">
        <v>3254255856</v>
      </c>
      <c r="J280" t="s">
        <v>1459</v>
      </c>
      <c r="K280" t="s">
        <v>52</v>
      </c>
      <c r="L280" s="3">
        <v>46208</v>
      </c>
      <c r="M280" s="3">
        <v>46138</v>
      </c>
      <c r="N280" t="s">
        <v>2435</v>
      </c>
      <c r="O280" s="4">
        <v>1</v>
      </c>
      <c r="P280">
        <v>0</v>
      </c>
      <c r="Q280">
        <v>1</v>
      </c>
    </row>
    <row r="281" spans="1:17" x14ac:dyDescent="0.3">
      <c r="A281">
        <v>28165</v>
      </c>
      <c r="B281" t="s">
        <v>1561</v>
      </c>
      <c r="C281" t="s">
        <v>2430</v>
      </c>
      <c r="D281" s="3">
        <v>25640</v>
      </c>
      <c r="E281" t="s">
        <v>1400</v>
      </c>
      <c r="F281">
        <v>3</v>
      </c>
      <c r="G281" s="3">
        <v>41421</v>
      </c>
      <c r="H281" t="s">
        <v>2436</v>
      </c>
      <c r="I281">
        <v>55427502</v>
      </c>
      <c r="J281" t="s">
        <v>1722</v>
      </c>
      <c r="K281" t="s">
        <v>70</v>
      </c>
      <c r="L281" s="3">
        <v>46777</v>
      </c>
      <c r="M281" s="3">
        <v>46763</v>
      </c>
      <c r="N281" t="s">
        <v>2437</v>
      </c>
      <c r="O281" s="4">
        <v>1</v>
      </c>
      <c r="P281">
        <v>0</v>
      </c>
      <c r="Q281">
        <v>0</v>
      </c>
    </row>
    <row r="282" spans="1:17" x14ac:dyDescent="0.3">
      <c r="A282">
        <v>20402</v>
      </c>
      <c r="B282" t="s">
        <v>2438</v>
      </c>
      <c r="C282" t="s">
        <v>2430</v>
      </c>
      <c r="D282" s="3">
        <v>23889</v>
      </c>
      <c r="E282" t="s">
        <v>1400</v>
      </c>
      <c r="F282">
        <v>172</v>
      </c>
      <c r="G282" s="3">
        <v>39146</v>
      </c>
      <c r="H282" t="s">
        <v>2439</v>
      </c>
      <c r="I282">
        <v>55424915</v>
      </c>
      <c r="J282" t="s">
        <v>1523</v>
      </c>
      <c r="K282" t="s">
        <v>70</v>
      </c>
      <c r="L282" s="3">
        <v>47629</v>
      </c>
      <c r="M282" s="3">
        <v>46378</v>
      </c>
      <c r="N282" t="s">
        <v>2440</v>
      </c>
      <c r="O282" s="4">
        <v>0.8</v>
      </c>
      <c r="P282">
        <v>0</v>
      </c>
      <c r="Q282">
        <v>0</v>
      </c>
    </row>
    <row r="283" spans="1:17" x14ac:dyDescent="0.3">
      <c r="A283">
        <v>18139</v>
      </c>
      <c r="B283" t="s">
        <v>2441</v>
      </c>
      <c r="C283" t="s">
        <v>2430</v>
      </c>
      <c r="D283" s="3">
        <v>24575</v>
      </c>
      <c r="E283" t="s">
        <v>1400</v>
      </c>
      <c r="F283">
        <v>348</v>
      </c>
      <c r="G283" s="3">
        <v>38460</v>
      </c>
      <c r="H283" t="s">
        <v>2442</v>
      </c>
      <c r="J283" t="s">
        <v>1506</v>
      </c>
      <c r="K283" t="s">
        <v>55</v>
      </c>
      <c r="L283" s="3">
        <v>72686</v>
      </c>
      <c r="M283" s="3">
        <v>46467</v>
      </c>
      <c r="N283" t="s">
        <v>2443</v>
      </c>
      <c r="O283" s="4">
        <v>0.8</v>
      </c>
      <c r="P283">
        <v>0</v>
      </c>
      <c r="Q283">
        <v>0</v>
      </c>
    </row>
    <row r="284" spans="1:17" x14ac:dyDescent="0.3">
      <c r="A284">
        <v>15282</v>
      </c>
      <c r="B284" t="s">
        <v>2444</v>
      </c>
      <c r="C284" t="s">
        <v>2445</v>
      </c>
      <c r="D284" s="3">
        <v>26952</v>
      </c>
      <c r="E284" t="s">
        <v>1400</v>
      </c>
      <c r="F284">
        <v>373</v>
      </c>
      <c r="G284" s="3">
        <v>37564</v>
      </c>
      <c r="H284" t="s">
        <v>2446</v>
      </c>
      <c r="J284" t="s">
        <v>1722</v>
      </c>
      <c r="K284" t="s">
        <v>64</v>
      </c>
      <c r="L284" s="3">
        <v>47639</v>
      </c>
      <c r="M284" s="3">
        <v>46201</v>
      </c>
      <c r="N284" t="s">
        <v>2447</v>
      </c>
      <c r="O284" s="4">
        <v>1</v>
      </c>
      <c r="P284">
        <v>0</v>
      </c>
      <c r="Q284">
        <v>0</v>
      </c>
    </row>
    <row r="285" spans="1:17" x14ac:dyDescent="0.3">
      <c r="A285">
        <v>31733</v>
      </c>
      <c r="B285" t="s">
        <v>2448</v>
      </c>
      <c r="C285" t="s">
        <v>1368</v>
      </c>
      <c r="D285" s="3">
        <v>30582</v>
      </c>
      <c r="E285" t="s">
        <v>1656</v>
      </c>
      <c r="F285">
        <v>231</v>
      </c>
      <c r="G285" s="3">
        <v>42919</v>
      </c>
      <c r="H285" t="s">
        <v>2449</v>
      </c>
      <c r="I285">
        <v>477594505</v>
      </c>
      <c r="J285" t="s">
        <v>1515</v>
      </c>
      <c r="K285" t="s">
        <v>52</v>
      </c>
      <c r="L285" s="3">
        <v>46537</v>
      </c>
      <c r="M285" s="3">
        <v>46497</v>
      </c>
      <c r="N285" t="s">
        <v>2450</v>
      </c>
      <c r="O285" s="4">
        <v>1</v>
      </c>
      <c r="P285">
        <v>0</v>
      </c>
      <c r="Q285">
        <v>1</v>
      </c>
    </row>
    <row r="286" spans="1:17" x14ac:dyDescent="0.3">
      <c r="A286">
        <v>19810</v>
      </c>
      <c r="B286" t="s">
        <v>2451</v>
      </c>
      <c r="C286" t="s">
        <v>2452</v>
      </c>
      <c r="D286" s="3">
        <v>26051</v>
      </c>
      <c r="E286" t="s">
        <v>1400</v>
      </c>
      <c r="F286">
        <v>161</v>
      </c>
      <c r="G286" s="3">
        <v>38971</v>
      </c>
      <c r="H286" t="s">
        <v>2453</v>
      </c>
      <c r="J286" t="s">
        <v>1702</v>
      </c>
      <c r="K286" t="s">
        <v>52</v>
      </c>
      <c r="L286" s="3">
        <v>72686</v>
      </c>
      <c r="M286" s="3">
        <v>46820</v>
      </c>
      <c r="N286" t="s">
        <v>2454</v>
      </c>
      <c r="O286" s="4">
        <v>0.8</v>
      </c>
      <c r="P286">
        <v>0</v>
      </c>
      <c r="Q286">
        <v>0</v>
      </c>
    </row>
    <row r="287" spans="1:17" x14ac:dyDescent="0.3">
      <c r="A287">
        <v>21509</v>
      </c>
      <c r="B287" t="s">
        <v>2455</v>
      </c>
      <c r="C287" t="s">
        <v>2456</v>
      </c>
      <c r="D287" s="3">
        <v>30190</v>
      </c>
      <c r="E287" t="s">
        <v>1400</v>
      </c>
      <c r="F287">
        <v>274</v>
      </c>
      <c r="G287" s="3">
        <v>39405</v>
      </c>
      <c r="H287" t="s">
        <v>2457</v>
      </c>
      <c r="J287" t="s">
        <v>1476</v>
      </c>
      <c r="K287" t="s">
        <v>52</v>
      </c>
      <c r="L287" s="3">
        <v>72686</v>
      </c>
      <c r="M287" s="3">
        <v>46201</v>
      </c>
      <c r="N287" t="s">
        <v>2458</v>
      </c>
      <c r="O287" s="4">
        <v>1</v>
      </c>
      <c r="P287">
        <v>0</v>
      </c>
      <c r="Q287">
        <v>0</v>
      </c>
    </row>
    <row r="288" spans="1:17" x14ac:dyDescent="0.3">
      <c r="A288">
        <v>19520</v>
      </c>
      <c r="B288" t="s">
        <v>2459</v>
      </c>
      <c r="C288" t="s">
        <v>2456</v>
      </c>
      <c r="D288" s="3">
        <v>29721</v>
      </c>
      <c r="E288" t="s">
        <v>1400</v>
      </c>
      <c r="F288">
        <v>52</v>
      </c>
      <c r="G288" s="3">
        <v>38908</v>
      </c>
      <c r="H288" t="s">
        <v>2460</v>
      </c>
      <c r="I288">
        <v>55613250</v>
      </c>
      <c r="J288" t="s">
        <v>1418</v>
      </c>
      <c r="K288" t="s">
        <v>70</v>
      </c>
      <c r="L288" s="3">
        <v>45923</v>
      </c>
      <c r="M288" s="3">
        <v>46005</v>
      </c>
      <c r="N288" t="s">
        <v>2461</v>
      </c>
      <c r="O288" s="4">
        <v>0.8</v>
      </c>
      <c r="P288">
        <v>0</v>
      </c>
      <c r="Q288">
        <v>0</v>
      </c>
    </row>
    <row r="289" spans="1:17" x14ac:dyDescent="0.3">
      <c r="A289">
        <v>27673</v>
      </c>
      <c r="B289" t="s">
        <v>2462</v>
      </c>
      <c r="C289" t="s">
        <v>2463</v>
      </c>
      <c r="D289" s="3">
        <v>27365</v>
      </c>
      <c r="E289" t="s">
        <v>1400</v>
      </c>
      <c r="F289">
        <v>315</v>
      </c>
      <c r="G289" s="3">
        <v>41204</v>
      </c>
      <c r="H289" t="s">
        <v>2464</v>
      </c>
      <c r="J289" t="s">
        <v>1480</v>
      </c>
      <c r="K289" t="s">
        <v>61</v>
      </c>
      <c r="L289" s="3">
        <v>46505</v>
      </c>
      <c r="M289" s="3">
        <v>46497</v>
      </c>
      <c r="N289" t="s">
        <v>2465</v>
      </c>
      <c r="O289" s="4">
        <v>1</v>
      </c>
      <c r="P289">
        <v>0</v>
      </c>
      <c r="Q289">
        <v>0</v>
      </c>
    </row>
    <row r="290" spans="1:17" x14ac:dyDescent="0.3">
      <c r="A290">
        <v>24155</v>
      </c>
      <c r="B290" t="s">
        <v>2466</v>
      </c>
      <c r="C290" t="s">
        <v>2463</v>
      </c>
      <c r="D290" s="3">
        <v>26728</v>
      </c>
      <c r="E290" t="s">
        <v>1400</v>
      </c>
      <c r="F290">
        <v>507</v>
      </c>
      <c r="G290" s="3">
        <v>40000</v>
      </c>
      <c r="H290" t="s">
        <v>2467</v>
      </c>
      <c r="J290" t="s">
        <v>1480</v>
      </c>
      <c r="K290" t="s">
        <v>58</v>
      </c>
      <c r="L290" s="3">
        <v>73050</v>
      </c>
      <c r="M290" s="3">
        <v>46279</v>
      </c>
      <c r="N290" t="s">
        <v>2468</v>
      </c>
      <c r="O290" s="4">
        <v>0.8</v>
      </c>
      <c r="P290">
        <v>0</v>
      </c>
      <c r="Q290">
        <v>1</v>
      </c>
    </row>
    <row r="291" spans="1:17" x14ac:dyDescent="0.3">
      <c r="A291">
        <v>14072</v>
      </c>
      <c r="B291" t="s">
        <v>2469</v>
      </c>
      <c r="C291" t="s">
        <v>2463</v>
      </c>
      <c r="D291" s="3">
        <v>28506</v>
      </c>
      <c r="E291" t="s">
        <v>1400</v>
      </c>
      <c r="F291">
        <v>249</v>
      </c>
      <c r="G291" s="3">
        <v>37214</v>
      </c>
      <c r="H291" t="s">
        <v>2470</v>
      </c>
      <c r="J291" t="s">
        <v>1506</v>
      </c>
      <c r="K291" t="s">
        <v>73</v>
      </c>
      <c r="L291" s="3">
        <v>45840</v>
      </c>
      <c r="M291" s="3">
        <v>46152</v>
      </c>
      <c r="N291" t="s">
        <v>2471</v>
      </c>
      <c r="O291" s="4">
        <v>0.8</v>
      </c>
      <c r="P291">
        <v>0</v>
      </c>
      <c r="Q291">
        <v>0</v>
      </c>
    </row>
    <row r="292" spans="1:17" x14ac:dyDescent="0.3">
      <c r="A292">
        <v>39633</v>
      </c>
      <c r="B292" t="s">
        <v>2472</v>
      </c>
      <c r="C292" t="s">
        <v>2473</v>
      </c>
      <c r="D292" s="3">
        <v>36852</v>
      </c>
      <c r="E292" t="s">
        <v>1400</v>
      </c>
      <c r="G292" s="3">
        <v>45236</v>
      </c>
      <c r="H292" t="s">
        <v>2474</v>
      </c>
      <c r="J292" t="s">
        <v>1408</v>
      </c>
      <c r="K292" t="s">
        <v>73</v>
      </c>
      <c r="L292" s="3">
        <v>47077</v>
      </c>
      <c r="M292" s="3">
        <v>47016</v>
      </c>
      <c r="N292" t="s">
        <v>2475</v>
      </c>
      <c r="O292" s="4">
        <v>0.9</v>
      </c>
      <c r="P292">
        <v>0</v>
      </c>
      <c r="Q292">
        <v>0</v>
      </c>
    </row>
    <row r="293" spans="1:17" x14ac:dyDescent="0.3">
      <c r="A293">
        <v>40414</v>
      </c>
      <c r="B293" t="s">
        <v>2476</v>
      </c>
      <c r="C293" t="s">
        <v>2477</v>
      </c>
      <c r="D293" s="3">
        <v>37300</v>
      </c>
      <c r="E293" t="s">
        <v>1400</v>
      </c>
      <c r="G293" s="3">
        <v>45408</v>
      </c>
      <c r="H293" t="s">
        <v>2478</v>
      </c>
      <c r="J293" t="s">
        <v>1408</v>
      </c>
      <c r="K293" t="s">
        <v>67</v>
      </c>
      <c r="L293" s="3">
        <v>47259</v>
      </c>
      <c r="M293" s="3">
        <v>47216</v>
      </c>
      <c r="N293" t="s">
        <v>2479</v>
      </c>
      <c r="O293" s="4">
        <v>1</v>
      </c>
      <c r="P293">
        <v>0</v>
      </c>
      <c r="Q293">
        <v>0</v>
      </c>
    </row>
    <row r="294" spans="1:17" x14ac:dyDescent="0.3">
      <c r="A294">
        <v>40200</v>
      </c>
      <c r="B294" t="s">
        <v>2480</v>
      </c>
      <c r="C294" t="s">
        <v>2481</v>
      </c>
      <c r="D294" s="3">
        <v>33970</v>
      </c>
      <c r="E294" t="s">
        <v>1400</v>
      </c>
      <c r="G294" s="3">
        <v>45345</v>
      </c>
      <c r="H294" t="s">
        <v>2482</v>
      </c>
      <c r="J294" t="s">
        <v>1408</v>
      </c>
      <c r="K294" t="s">
        <v>52</v>
      </c>
      <c r="L294" s="3">
        <v>46719</v>
      </c>
      <c r="M294" s="3">
        <v>46616</v>
      </c>
      <c r="N294" t="s">
        <v>2483</v>
      </c>
      <c r="O294" s="4">
        <v>1</v>
      </c>
      <c r="P294">
        <v>0</v>
      </c>
      <c r="Q294">
        <v>0</v>
      </c>
    </row>
    <row r="295" spans="1:17" x14ac:dyDescent="0.3">
      <c r="A295">
        <v>36429</v>
      </c>
      <c r="B295" t="s">
        <v>2484</v>
      </c>
      <c r="C295" t="s">
        <v>2485</v>
      </c>
      <c r="D295" s="3">
        <v>31748</v>
      </c>
      <c r="E295" t="s">
        <v>1400</v>
      </c>
      <c r="G295" s="3">
        <v>44312</v>
      </c>
      <c r="H295" t="s">
        <v>2486</v>
      </c>
      <c r="J295" t="s">
        <v>1403</v>
      </c>
      <c r="K295" t="s">
        <v>64</v>
      </c>
      <c r="L295" s="3">
        <v>46152</v>
      </c>
      <c r="M295" s="3">
        <v>46897</v>
      </c>
      <c r="N295" t="s">
        <v>2487</v>
      </c>
      <c r="O295" s="4">
        <v>0.8</v>
      </c>
      <c r="P295">
        <v>0</v>
      </c>
      <c r="Q295">
        <v>0</v>
      </c>
    </row>
    <row r="296" spans="1:17" x14ac:dyDescent="0.3">
      <c r="A296">
        <v>42002</v>
      </c>
      <c r="B296" t="s">
        <v>2488</v>
      </c>
      <c r="C296" t="s">
        <v>2489</v>
      </c>
      <c r="D296" s="3">
        <v>37670</v>
      </c>
      <c r="E296" t="s">
        <v>1400</v>
      </c>
      <c r="G296" s="3">
        <v>45814</v>
      </c>
      <c r="H296" t="s">
        <v>2490</v>
      </c>
      <c r="J296" t="s">
        <v>1408</v>
      </c>
      <c r="K296" t="s">
        <v>58</v>
      </c>
      <c r="L296" s="3">
        <v>47660</v>
      </c>
      <c r="M296" s="3">
        <v>47622</v>
      </c>
      <c r="N296" t="s">
        <v>2491</v>
      </c>
      <c r="O296" s="4">
        <v>1</v>
      </c>
      <c r="P296">
        <v>0</v>
      </c>
      <c r="Q296">
        <v>0</v>
      </c>
    </row>
    <row r="297" spans="1:17" x14ac:dyDescent="0.3">
      <c r="A297">
        <v>34044</v>
      </c>
      <c r="B297" t="s">
        <v>2492</v>
      </c>
      <c r="C297" t="s">
        <v>2489</v>
      </c>
      <c r="D297" s="3">
        <v>34969</v>
      </c>
      <c r="E297" t="s">
        <v>1400</v>
      </c>
      <c r="F297">
        <v>300</v>
      </c>
      <c r="G297" s="3">
        <v>43640</v>
      </c>
      <c r="H297" t="s">
        <v>2493</v>
      </c>
      <c r="I297">
        <v>494587601</v>
      </c>
      <c r="J297" t="s">
        <v>1484</v>
      </c>
      <c r="K297" t="s">
        <v>61</v>
      </c>
      <c r="L297" s="3">
        <v>47215</v>
      </c>
      <c r="M297" s="3">
        <v>47170</v>
      </c>
      <c r="N297" t="s">
        <v>2494</v>
      </c>
      <c r="O297" s="4">
        <v>1</v>
      </c>
      <c r="P297">
        <v>0</v>
      </c>
      <c r="Q297">
        <v>0</v>
      </c>
    </row>
    <row r="298" spans="1:17" x14ac:dyDescent="0.3">
      <c r="A298">
        <v>31092</v>
      </c>
      <c r="B298" t="s">
        <v>2495</v>
      </c>
      <c r="C298" t="s">
        <v>2489</v>
      </c>
      <c r="D298" s="3">
        <v>34149</v>
      </c>
      <c r="E298" t="s">
        <v>1400</v>
      </c>
      <c r="F298">
        <v>389</v>
      </c>
      <c r="G298" s="3">
        <v>42604</v>
      </c>
      <c r="H298" t="s">
        <v>2496</v>
      </c>
      <c r="J298" t="s">
        <v>1418</v>
      </c>
      <c r="K298" t="s">
        <v>73</v>
      </c>
      <c r="L298" s="3">
        <v>46081</v>
      </c>
      <c r="M298" s="3">
        <v>46056</v>
      </c>
      <c r="N298" t="s">
        <v>2497</v>
      </c>
      <c r="O298" s="4">
        <v>1</v>
      </c>
      <c r="P298">
        <v>0</v>
      </c>
      <c r="Q298">
        <v>1</v>
      </c>
    </row>
    <row r="299" spans="1:17" x14ac:dyDescent="0.3">
      <c r="A299">
        <v>37809</v>
      </c>
      <c r="B299" t="s">
        <v>1579</v>
      </c>
      <c r="C299" t="s">
        <v>2498</v>
      </c>
      <c r="D299" s="3">
        <v>30433</v>
      </c>
      <c r="E299" t="s">
        <v>1400</v>
      </c>
      <c r="G299" s="3">
        <v>44809</v>
      </c>
      <c r="H299" t="s">
        <v>2499</v>
      </c>
      <c r="J299" t="s">
        <v>1408</v>
      </c>
      <c r="K299" t="s">
        <v>67</v>
      </c>
      <c r="L299" s="3">
        <v>46650</v>
      </c>
      <c r="M299" s="3">
        <v>46504</v>
      </c>
      <c r="N299" t="s">
        <v>2500</v>
      </c>
      <c r="O299" s="4">
        <v>1</v>
      </c>
      <c r="P299">
        <v>0</v>
      </c>
      <c r="Q299">
        <v>0</v>
      </c>
    </row>
    <row r="300" spans="1:17" x14ac:dyDescent="0.3">
      <c r="A300">
        <v>34664</v>
      </c>
      <c r="B300" t="s">
        <v>2501</v>
      </c>
      <c r="C300" t="s">
        <v>2498</v>
      </c>
      <c r="D300" s="3">
        <v>34283</v>
      </c>
      <c r="E300" t="s">
        <v>1400</v>
      </c>
      <c r="F300">
        <v>158</v>
      </c>
      <c r="G300" s="3">
        <v>43781</v>
      </c>
      <c r="H300" t="s">
        <v>2502</v>
      </c>
      <c r="J300" t="s">
        <v>1441</v>
      </c>
      <c r="K300" t="s">
        <v>67</v>
      </c>
      <c r="L300" s="3">
        <v>47357</v>
      </c>
      <c r="M300" s="3">
        <v>47357</v>
      </c>
      <c r="N300" t="s">
        <v>2503</v>
      </c>
      <c r="O300" s="4">
        <v>1</v>
      </c>
      <c r="P300">
        <v>0</v>
      </c>
      <c r="Q300">
        <v>1</v>
      </c>
    </row>
    <row r="301" spans="1:17" x14ac:dyDescent="0.3">
      <c r="A301">
        <v>32542</v>
      </c>
      <c r="B301" t="s">
        <v>2504</v>
      </c>
      <c r="C301" t="s">
        <v>2498</v>
      </c>
      <c r="D301" s="3">
        <v>31239</v>
      </c>
      <c r="E301" t="s">
        <v>1400</v>
      </c>
      <c r="F301">
        <v>239</v>
      </c>
      <c r="G301" s="3">
        <v>43150</v>
      </c>
      <c r="H301" t="s">
        <v>2505</v>
      </c>
      <c r="I301" t="s">
        <v>2506</v>
      </c>
      <c r="J301" t="s">
        <v>1454</v>
      </c>
      <c r="K301" t="s">
        <v>52</v>
      </c>
      <c r="L301" s="3">
        <v>46673</v>
      </c>
      <c r="M301" s="3">
        <v>46665</v>
      </c>
      <c r="N301" t="s">
        <v>2507</v>
      </c>
      <c r="O301" s="4">
        <v>0.8</v>
      </c>
      <c r="P301">
        <v>0</v>
      </c>
      <c r="Q301">
        <v>0</v>
      </c>
    </row>
    <row r="302" spans="1:17" x14ac:dyDescent="0.3">
      <c r="A302">
        <v>31659</v>
      </c>
      <c r="B302" t="s">
        <v>2508</v>
      </c>
      <c r="C302" t="s">
        <v>1362</v>
      </c>
      <c r="D302" s="3">
        <v>32677</v>
      </c>
      <c r="E302" t="s">
        <v>1400</v>
      </c>
      <c r="F302">
        <v>44</v>
      </c>
      <c r="G302" s="3">
        <v>42877</v>
      </c>
      <c r="H302" t="s">
        <v>2509</v>
      </c>
      <c r="J302" t="s">
        <v>1610</v>
      </c>
      <c r="K302" t="s">
        <v>55</v>
      </c>
      <c r="L302" s="3">
        <v>46461</v>
      </c>
      <c r="M302" s="3">
        <v>46460</v>
      </c>
      <c r="N302" t="s">
        <v>2510</v>
      </c>
      <c r="O302" s="4">
        <v>1</v>
      </c>
      <c r="P302">
        <v>0</v>
      </c>
      <c r="Q302">
        <v>0</v>
      </c>
    </row>
    <row r="303" spans="1:17" x14ac:dyDescent="0.3">
      <c r="A303">
        <v>20400</v>
      </c>
      <c r="B303" t="s">
        <v>2511</v>
      </c>
      <c r="C303" t="s">
        <v>1362</v>
      </c>
      <c r="D303" s="3">
        <v>23779</v>
      </c>
      <c r="E303" t="s">
        <v>1400</v>
      </c>
      <c r="F303">
        <v>157</v>
      </c>
      <c r="G303" s="3">
        <v>39146</v>
      </c>
      <c r="H303" t="s">
        <v>2512</v>
      </c>
      <c r="J303" t="s">
        <v>1537</v>
      </c>
      <c r="K303" t="s">
        <v>52</v>
      </c>
      <c r="L303" s="3">
        <v>72686</v>
      </c>
      <c r="M303" s="3">
        <v>46343</v>
      </c>
      <c r="N303" t="s">
        <v>2513</v>
      </c>
      <c r="O303" s="4">
        <v>0.8</v>
      </c>
      <c r="P303">
        <v>0</v>
      </c>
      <c r="Q303">
        <v>0</v>
      </c>
    </row>
    <row r="304" spans="1:17" x14ac:dyDescent="0.3">
      <c r="A304">
        <v>20404</v>
      </c>
      <c r="B304" t="s">
        <v>1398</v>
      </c>
      <c r="C304" t="s">
        <v>1362</v>
      </c>
      <c r="D304" s="3">
        <v>26247</v>
      </c>
      <c r="E304" t="s">
        <v>1400</v>
      </c>
      <c r="F304">
        <v>218</v>
      </c>
      <c r="G304" s="3">
        <v>39146</v>
      </c>
      <c r="H304" t="s">
        <v>2514</v>
      </c>
      <c r="J304" t="s">
        <v>1484</v>
      </c>
      <c r="K304" t="s">
        <v>61</v>
      </c>
      <c r="L304" s="3">
        <v>45956</v>
      </c>
      <c r="M304" s="3">
        <v>46306</v>
      </c>
      <c r="N304" t="s">
        <v>2515</v>
      </c>
      <c r="O304" s="4">
        <v>1</v>
      </c>
      <c r="P304">
        <v>0</v>
      </c>
      <c r="Q304">
        <v>0</v>
      </c>
    </row>
    <row r="305" spans="1:17" x14ac:dyDescent="0.3">
      <c r="A305">
        <v>12514</v>
      </c>
      <c r="B305" t="s">
        <v>2291</v>
      </c>
      <c r="C305" t="s">
        <v>1362</v>
      </c>
      <c r="D305" s="3">
        <v>28745</v>
      </c>
      <c r="E305" t="s">
        <v>1400</v>
      </c>
      <c r="F305">
        <v>417</v>
      </c>
      <c r="G305" s="3">
        <v>36759</v>
      </c>
      <c r="H305" t="s">
        <v>2516</v>
      </c>
      <c r="J305" t="s">
        <v>1454</v>
      </c>
      <c r="K305" t="s">
        <v>73</v>
      </c>
      <c r="L305" s="3">
        <v>47356</v>
      </c>
      <c r="M305" s="3">
        <v>47351</v>
      </c>
      <c r="N305" t="s">
        <v>2517</v>
      </c>
      <c r="O305" s="4">
        <v>0.8</v>
      </c>
      <c r="P305">
        <v>0</v>
      </c>
      <c r="Q305">
        <v>0</v>
      </c>
    </row>
    <row r="306" spans="1:17" x14ac:dyDescent="0.3">
      <c r="A306">
        <v>41690</v>
      </c>
      <c r="B306" t="s">
        <v>2518</v>
      </c>
      <c r="C306" t="s">
        <v>2519</v>
      </c>
      <c r="D306" s="3">
        <v>31471</v>
      </c>
      <c r="E306" t="s">
        <v>1400</v>
      </c>
      <c r="G306" s="3">
        <v>45783</v>
      </c>
      <c r="H306" t="s">
        <v>2520</v>
      </c>
      <c r="J306" t="s">
        <v>1408</v>
      </c>
      <c r="K306" t="s">
        <v>70</v>
      </c>
      <c r="L306" s="3">
        <v>47628</v>
      </c>
      <c r="M306" s="3">
        <v>47524</v>
      </c>
      <c r="N306" t="s">
        <v>2521</v>
      </c>
      <c r="O306" s="4">
        <v>1</v>
      </c>
      <c r="P306">
        <v>0</v>
      </c>
      <c r="Q306">
        <v>0</v>
      </c>
    </row>
    <row r="307" spans="1:17" x14ac:dyDescent="0.3">
      <c r="A307">
        <v>39859</v>
      </c>
      <c r="B307" t="s">
        <v>2522</v>
      </c>
      <c r="C307" t="s">
        <v>2519</v>
      </c>
      <c r="D307" s="3">
        <v>29906</v>
      </c>
      <c r="E307" t="s">
        <v>1400</v>
      </c>
      <c r="G307" s="3">
        <v>45264</v>
      </c>
      <c r="H307" t="s">
        <v>2523</v>
      </c>
      <c r="J307" t="s">
        <v>1408</v>
      </c>
      <c r="K307" t="s">
        <v>55</v>
      </c>
      <c r="L307" s="3">
        <v>47106</v>
      </c>
      <c r="M307" s="3">
        <v>47083</v>
      </c>
      <c r="N307" t="s">
        <v>2524</v>
      </c>
      <c r="O307" s="4">
        <v>1</v>
      </c>
      <c r="P307">
        <v>0</v>
      </c>
      <c r="Q307">
        <v>0</v>
      </c>
    </row>
    <row r="308" spans="1:17" x14ac:dyDescent="0.3">
      <c r="A308">
        <v>39019</v>
      </c>
      <c r="B308" t="s">
        <v>2525</v>
      </c>
      <c r="C308" t="s">
        <v>2519</v>
      </c>
      <c r="D308" s="3">
        <v>30913</v>
      </c>
      <c r="E308" t="s">
        <v>1400</v>
      </c>
      <c r="G308" s="3">
        <v>45061</v>
      </c>
      <c r="H308" t="s">
        <v>2526</v>
      </c>
      <c r="J308" t="s">
        <v>1519</v>
      </c>
      <c r="K308" t="s">
        <v>73</v>
      </c>
      <c r="L308" s="3">
        <v>46904</v>
      </c>
      <c r="M308" s="3">
        <v>46862</v>
      </c>
      <c r="N308" t="s">
        <v>2527</v>
      </c>
      <c r="O308" s="4">
        <v>1</v>
      </c>
      <c r="P308">
        <v>0</v>
      </c>
      <c r="Q308">
        <v>0</v>
      </c>
    </row>
    <row r="309" spans="1:17" x14ac:dyDescent="0.3">
      <c r="A309">
        <v>37794</v>
      </c>
      <c r="B309" t="s">
        <v>1715</v>
      </c>
      <c r="C309" t="s">
        <v>2528</v>
      </c>
      <c r="D309" s="3">
        <v>33202</v>
      </c>
      <c r="E309" t="s">
        <v>1400</v>
      </c>
      <c r="G309" s="3">
        <v>44790</v>
      </c>
      <c r="H309" t="s">
        <v>2529</v>
      </c>
      <c r="J309" t="s">
        <v>1408</v>
      </c>
      <c r="K309" t="s">
        <v>67</v>
      </c>
      <c r="L309" s="3">
        <v>46421</v>
      </c>
      <c r="M309" s="3">
        <v>46120</v>
      </c>
      <c r="N309" t="s">
        <v>2530</v>
      </c>
      <c r="O309" s="4">
        <v>1</v>
      </c>
      <c r="P309">
        <v>0</v>
      </c>
      <c r="Q309">
        <v>0</v>
      </c>
    </row>
    <row r="310" spans="1:17" x14ac:dyDescent="0.3">
      <c r="A310">
        <v>38475</v>
      </c>
      <c r="B310" t="s">
        <v>1988</v>
      </c>
      <c r="C310" t="s">
        <v>2531</v>
      </c>
      <c r="D310" s="3">
        <v>27197</v>
      </c>
      <c r="E310" t="s">
        <v>1400</v>
      </c>
      <c r="G310" s="3">
        <v>44942</v>
      </c>
      <c r="H310" t="s">
        <v>2532</v>
      </c>
      <c r="J310" t="s">
        <v>1446</v>
      </c>
      <c r="K310" t="s">
        <v>70</v>
      </c>
      <c r="L310" s="3">
        <v>46782</v>
      </c>
      <c r="M310" s="3">
        <v>46665</v>
      </c>
      <c r="N310" t="s">
        <v>2533</v>
      </c>
      <c r="O310" s="4">
        <v>1</v>
      </c>
      <c r="P310">
        <v>0</v>
      </c>
      <c r="Q310">
        <v>0</v>
      </c>
    </row>
    <row r="311" spans="1:17" x14ac:dyDescent="0.3">
      <c r="A311">
        <v>15220</v>
      </c>
      <c r="B311" t="s">
        <v>2534</v>
      </c>
      <c r="C311" t="s">
        <v>2531</v>
      </c>
      <c r="D311" s="3">
        <v>26171</v>
      </c>
      <c r="E311" t="s">
        <v>1400</v>
      </c>
      <c r="F311">
        <v>383</v>
      </c>
      <c r="G311" s="3">
        <v>37543</v>
      </c>
      <c r="H311" t="s">
        <v>2535</v>
      </c>
      <c r="J311" t="s">
        <v>1574</v>
      </c>
      <c r="K311" t="s">
        <v>52</v>
      </c>
      <c r="L311" s="3">
        <v>45902</v>
      </c>
      <c r="M311" s="3">
        <v>46434</v>
      </c>
      <c r="N311" t="s">
        <v>2536</v>
      </c>
      <c r="O311" s="4">
        <v>0.8</v>
      </c>
      <c r="P311">
        <v>0</v>
      </c>
      <c r="Q311">
        <v>0</v>
      </c>
    </row>
    <row r="312" spans="1:17" x14ac:dyDescent="0.3">
      <c r="A312">
        <v>29778</v>
      </c>
      <c r="B312" t="s">
        <v>2537</v>
      </c>
      <c r="C312" t="s">
        <v>2538</v>
      </c>
      <c r="D312" s="3">
        <v>24404</v>
      </c>
      <c r="E312" t="s">
        <v>1400</v>
      </c>
      <c r="F312">
        <v>173</v>
      </c>
      <c r="G312" s="3">
        <v>42107</v>
      </c>
      <c r="H312" t="s">
        <v>2539</v>
      </c>
      <c r="I312">
        <v>56371827</v>
      </c>
      <c r="J312" t="s">
        <v>1519</v>
      </c>
      <c r="K312" t="s">
        <v>64</v>
      </c>
      <c r="L312" s="3">
        <v>47322</v>
      </c>
      <c r="M312" s="3">
        <v>47306</v>
      </c>
      <c r="N312" t="s">
        <v>2540</v>
      </c>
      <c r="O312" s="4">
        <v>0.8</v>
      </c>
      <c r="P312">
        <v>0</v>
      </c>
      <c r="Q312">
        <v>0</v>
      </c>
    </row>
    <row r="313" spans="1:17" x14ac:dyDescent="0.3">
      <c r="A313">
        <v>22240</v>
      </c>
      <c r="B313" t="s">
        <v>2541</v>
      </c>
      <c r="C313" t="s">
        <v>2542</v>
      </c>
      <c r="D313" s="3">
        <v>26235</v>
      </c>
      <c r="E313" t="s">
        <v>1400</v>
      </c>
      <c r="F313">
        <v>422</v>
      </c>
      <c r="G313" s="3">
        <v>39587</v>
      </c>
      <c r="H313" t="s">
        <v>2543</v>
      </c>
      <c r="J313" t="s">
        <v>1426</v>
      </c>
      <c r="K313" t="s">
        <v>70</v>
      </c>
      <c r="L313" s="3">
        <v>72686</v>
      </c>
      <c r="M313" s="3">
        <v>46897</v>
      </c>
      <c r="N313" t="s">
        <v>2544</v>
      </c>
      <c r="O313" s="4">
        <v>0.8</v>
      </c>
      <c r="P313">
        <v>0</v>
      </c>
      <c r="Q313">
        <v>0</v>
      </c>
    </row>
    <row r="314" spans="1:17" x14ac:dyDescent="0.3">
      <c r="A314">
        <v>5080</v>
      </c>
      <c r="B314" t="s">
        <v>1983</v>
      </c>
      <c r="C314" t="s">
        <v>2545</v>
      </c>
      <c r="D314" s="3">
        <v>24420</v>
      </c>
      <c r="E314" t="s">
        <v>1400</v>
      </c>
      <c r="F314">
        <v>313</v>
      </c>
      <c r="G314" s="3">
        <v>33308</v>
      </c>
      <c r="H314" t="s">
        <v>2546</v>
      </c>
      <c r="I314">
        <v>92370122</v>
      </c>
      <c r="J314" t="s">
        <v>1519</v>
      </c>
      <c r="K314" t="s">
        <v>58</v>
      </c>
      <c r="L314" s="3">
        <v>47635</v>
      </c>
      <c r="M314" s="3">
        <v>46882</v>
      </c>
      <c r="N314" t="s">
        <v>2547</v>
      </c>
      <c r="O314" s="4">
        <v>0.5</v>
      </c>
      <c r="P314">
        <v>0</v>
      </c>
      <c r="Q314">
        <v>0</v>
      </c>
    </row>
    <row r="315" spans="1:17" x14ac:dyDescent="0.3">
      <c r="A315">
        <v>42044</v>
      </c>
      <c r="B315" t="s">
        <v>2548</v>
      </c>
      <c r="C315" t="s">
        <v>2549</v>
      </c>
      <c r="D315" s="3">
        <v>33500</v>
      </c>
      <c r="E315" t="s">
        <v>1400</v>
      </c>
      <c r="G315" s="3">
        <v>45854</v>
      </c>
      <c r="H315" t="s">
        <v>2550</v>
      </c>
      <c r="J315" t="s">
        <v>1408</v>
      </c>
      <c r="K315" t="s">
        <v>52</v>
      </c>
      <c r="L315" s="3">
        <v>46678</v>
      </c>
      <c r="M315" s="3">
        <v>46606</v>
      </c>
      <c r="N315" t="s">
        <v>2551</v>
      </c>
      <c r="O315" s="4">
        <v>1</v>
      </c>
      <c r="P315">
        <v>0</v>
      </c>
      <c r="Q315">
        <v>0</v>
      </c>
    </row>
    <row r="316" spans="1:17" x14ac:dyDescent="0.3">
      <c r="A316">
        <v>35246</v>
      </c>
      <c r="B316" t="s">
        <v>1276</v>
      </c>
      <c r="C316" t="s">
        <v>2552</v>
      </c>
      <c r="D316" s="3">
        <v>25938</v>
      </c>
      <c r="E316" t="s">
        <v>1400</v>
      </c>
      <c r="F316">
        <v>160</v>
      </c>
      <c r="G316" s="3">
        <v>43906</v>
      </c>
      <c r="H316" t="s">
        <v>2553</v>
      </c>
      <c r="J316" t="s">
        <v>1459</v>
      </c>
      <c r="K316" t="s">
        <v>58</v>
      </c>
      <c r="L316" s="3">
        <v>47517</v>
      </c>
      <c r="M316" s="3">
        <v>47441</v>
      </c>
      <c r="N316" t="s">
        <v>2554</v>
      </c>
      <c r="O316" s="4">
        <v>1</v>
      </c>
      <c r="P316">
        <v>0</v>
      </c>
      <c r="Q316">
        <v>1</v>
      </c>
    </row>
    <row r="317" spans="1:17" x14ac:dyDescent="0.3">
      <c r="A317">
        <v>42146</v>
      </c>
      <c r="B317" t="s">
        <v>2555</v>
      </c>
      <c r="C317" t="s">
        <v>2556</v>
      </c>
      <c r="D317" s="3">
        <v>34251</v>
      </c>
      <c r="E317" t="s">
        <v>1400</v>
      </c>
      <c r="G317" s="3">
        <v>45874</v>
      </c>
      <c r="H317" t="s">
        <v>2557</v>
      </c>
      <c r="J317" t="s">
        <v>1413</v>
      </c>
      <c r="K317" t="s">
        <v>67</v>
      </c>
      <c r="L317" s="3">
        <v>1</v>
      </c>
      <c r="M317" s="3">
        <v>1</v>
      </c>
      <c r="N317" t="s">
        <v>2558</v>
      </c>
      <c r="O317" s="4">
        <v>1</v>
      </c>
      <c r="P317">
        <v>0</v>
      </c>
      <c r="Q317">
        <v>0</v>
      </c>
    </row>
    <row r="318" spans="1:17" x14ac:dyDescent="0.3">
      <c r="A318">
        <v>36626</v>
      </c>
      <c r="B318" t="s">
        <v>2559</v>
      </c>
      <c r="C318" t="s">
        <v>2560</v>
      </c>
      <c r="D318" s="3">
        <v>35465</v>
      </c>
      <c r="E318" t="s">
        <v>1400</v>
      </c>
      <c r="G318" s="3">
        <v>44389</v>
      </c>
      <c r="H318" t="s">
        <v>2561</v>
      </c>
      <c r="J318" t="s">
        <v>1446</v>
      </c>
      <c r="K318" t="s">
        <v>70</v>
      </c>
      <c r="L318" s="3">
        <v>46230</v>
      </c>
      <c r="M318" s="3">
        <v>46126</v>
      </c>
      <c r="N318" t="s">
        <v>2562</v>
      </c>
      <c r="O318" s="4">
        <v>1</v>
      </c>
      <c r="P318">
        <v>0</v>
      </c>
      <c r="Q318">
        <v>1</v>
      </c>
    </row>
    <row r="319" spans="1:17" x14ac:dyDescent="0.3">
      <c r="A319">
        <v>19249</v>
      </c>
      <c r="B319" t="s">
        <v>2563</v>
      </c>
      <c r="C319" t="s">
        <v>2560</v>
      </c>
      <c r="D319" s="3">
        <v>30809</v>
      </c>
      <c r="E319" t="s">
        <v>1400</v>
      </c>
      <c r="F319">
        <v>297</v>
      </c>
      <c r="G319" s="3">
        <v>38852</v>
      </c>
      <c r="H319" t="s">
        <v>2564</v>
      </c>
      <c r="J319" t="s">
        <v>1569</v>
      </c>
      <c r="K319" t="s">
        <v>73</v>
      </c>
      <c r="L319" s="3">
        <v>45889</v>
      </c>
      <c r="M319" s="3">
        <v>46000</v>
      </c>
      <c r="N319" t="s">
        <v>2565</v>
      </c>
      <c r="O319" s="4">
        <v>1</v>
      </c>
      <c r="P319">
        <v>0</v>
      </c>
      <c r="Q319">
        <v>0</v>
      </c>
    </row>
    <row r="320" spans="1:17" x14ac:dyDescent="0.3">
      <c r="A320">
        <v>34328</v>
      </c>
      <c r="B320" t="s">
        <v>2566</v>
      </c>
      <c r="C320" t="s">
        <v>2567</v>
      </c>
      <c r="D320" s="3">
        <v>27707</v>
      </c>
      <c r="E320" t="s">
        <v>1400</v>
      </c>
      <c r="F320">
        <v>445</v>
      </c>
      <c r="G320" s="3">
        <v>43710</v>
      </c>
      <c r="H320" t="s">
        <v>2568</v>
      </c>
      <c r="I320">
        <v>32496141860</v>
      </c>
      <c r="J320" t="s">
        <v>1480</v>
      </c>
      <c r="K320" t="s">
        <v>64</v>
      </c>
      <c r="L320" s="3">
        <v>48784</v>
      </c>
      <c r="M320" s="3">
        <v>46892</v>
      </c>
      <c r="N320" t="s">
        <v>2569</v>
      </c>
      <c r="O320" s="4">
        <v>1</v>
      </c>
      <c r="P320">
        <v>0</v>
      </c>
      <c r="Q320">
        <v>1</v>
      </c>
    </row>
    <row r="321" spans="1:17" x14ac:dyDescent="0.3">
      <c r="A321">
        <v>16971</v>
      </c>
      <c r="B321" t="s">
        <v>2570</v>
      </c>
      <c r="C321" t="s">
        <v>2567</v>
      </c>
      <c r="D321" s="3">
        <v>26011</v>
      </c>
      <c r="E321" t="s">
        <v>1400</v>
      </c>
      <c r="F321">
        <v>384</v>
      </c>
      <c r="G321" s="3">
        <v>38124</v>
      </c>
      <c r="H321" t="s">
        <v>2571</v>
      </c>
      <c r="J321" t="s">
        <v>1574</v>
      </c>
      <c r="K321" t="s">
        <v>55</v>
      </c>
      <c r="L321" s="3">
        <v>72686</v>
      </c>
      <c r="M321" s="3">
        <v>47231</v>
      </c>
      <c r="N321" t="s">
        <v>2572</v>
      </c>
      <c r="O321" s="4">
        <v>1</v>
      </c>
      <c r="P321">
        <v>0</v>
      </c>
      <c r="Q321">
        <v>1</v>
      </c>
    </row>
    <row r="322" spans="1:17" x14ac:dyDescent="0.3">
      <c r="A322">
        <v>23924</v>
      </c>
      <c r="B322" t="s">
        <v>2573</v>
      </c>
      <c r="C322" t="s">
        <v>2574</v>
      </c>
      <c r="D322" s="3">
        <v>26572</v>
      </c>
      <c r="E322" t="s">
        <v>1400</v>
      </c>
      <c r="F322">
        <v>75</v>
      </c>
      <c r="G322" s="3">
        <v>39979</v>
      </c>
      <c r="H322" t="s">
        <v>2575</v>
      </c>
      <c r="J322" t="s">
        <v>1426</v>
      </c>
      <c r="K322" t="s">
        <v>61</v>
      </c>
      <c r="L322" s="3">
        <v>47362</v>
      </c>
      <c r="M322" s="3">
        <v>46399</v>
      </c>
      <c r="N322" t="s">
        <v>2576</v>
      </c>
      <c r="O322" s="4">
        <v>1</v>
      </c>
      <c r="P322">
        <v>0</v>
      </c>
      <c r="Q322">
        <v>1</v>
      </c>
    </row>
    <row r="323" spans="1:17" x14ac:dyDescent="0.3">
      <c r="A323">
        <v>40264</v>
      </c>
      <c r="B323" t="s">
        <v>2577</v>
      </c>
      <c r="C323" t="s">
        <v>2578</v>
      </c>
      <c r="D323" s="3">
        <v>32793</v>
      </c>
      <c r="E323" t="s">
        <v>1400</v>
      </c>
      <c r="G323" s="3">
        <v>45364</v>
      </c>
      <c r="H323" t="s">
        <v>2579</v>
      </c>
      <c r="J323" t="s">
        <v>1408</v>
      </c>
      <c r="K323" t="s">
        <v>61</v>
      </c>
      <c r="L323" s="3">
        <v>47224</v>
      </c>
      <c r="M323" s="3">
        <v>47167</v>
      </c>
      <c r="N323" t="s">
        <v>2580</v>
      </c>
      <c r="O323" s="4">
        <v>1</v>
      </c>
      <c r="P323">
        <v>0</v>
      </c>
      <c r="Q323">
        <v>0</v>
      </c>
    </row>
    <row r="324" spans="1:17" x14ac:dyDescent="0.3">
      <c r="A324">
        <v>39927</v>
      </c>
      <c r="B324" t="s">
        <v>2581</v>
      </c>
      <c r="C324" t="s">
        <v>2582</v>
      </c>
      <c r="D324" s="3">
        <v>34161</v>
      </c>
      <c r="E324" t="s">
        <v>1400</v>
      </c>
      <c r="G324" s="3">
        <v>45307</v>
      </c>
      <c r="H324" t="s">
        <v>2583</v>
      </c>
      <c r="J324" t="s">
        <v>1408</v>
      </c>
      <c r="K324" t="s">
        <v>61</v>
      </c>
      <c r="L324" s="3">
        <v>47150</v>
      </c>
      <c r="M324" s="3">
        <v>47092</v>
      </c>
      <c r="N324" t="s">
        <v>2584</v>
      </c>
      <c r="O324" s="4">
        <v>1</v>
      </c>
      <c r="P324">
        <v>0</v>
      </c>
      <c r="Q324">
        <v>0</v>
      </c>
    </row>
    <row r="325" spans="1:17" x14ac:dyDescent="0.3">
      <c r="A325">
        <v>41344</v>
      </c>
      <c r="B325" t="s">
        <v>2585</v>
      </c>
      <c r="C325" t="s">
        <v>2586</v>
      </c>
      <c r="D325" s="3">
        <v>34983</v>
      </c>
      <c r="E325" t="s">
        <v>1400</v>
      </c>
      <c r="G325" s="3">
        <v>45663</v>
      </c>
      <c r="H325" t="s">
        <v>2587</v>
      </c>
      <c r="J325" t="s">
        <v>1408</v>
      </c>
      <c r="K325" t="s">
        <v>58</v>
      </c>
      <c r="L325" s="3">
        <v>46391</v>
      </c>
      <c r="M325" s="3">
        <v>46389</v>
      </c>
      <c r="N325" t="s">
        <v>2588</v>
      </c>
      <c r="O325" s="4">
        <v>1</v>
      </c>
      <c r="P325">
        <v>0</v>
      </c>
      <c r="Q325">
        <v>0</v>
      </c>
    </row>
    <row r="326" spans="1:17" x14ac:dyDescent="0.3">
      <c r="A326">
        <v>36569</v>
      </c>
      <c r="B326" t="s">
        <v>2589</v>
      </c>
      <c r="C326" t="s">
        <v>2590</v>
      </c>
      <c r="D326" s="3">
        <v>35752</v>
      </c>
      <c r="E326" t="s">
        <v>1400</v>
      </c>
      <c r="G326" s="3">
        <v>44347</v>
      </c>
      <c r="H326" t="s">
        <v>2591</v>
      </c>
      <c r="J326" t="s">
        <v>1408</v>
      </c>
      <c r="K326" t="s">
        <v>58</v>
      </c>
      <c r="L326" s="3">
        <v>46188</v>
      </c>
      <c r="M326" s="3">
        <v>46145</v>
      </c>
      <c r="N326" t="s">
        <v>2592</v>
      </c>
      <c r="O326" s="4">
        <v>0.8</v>
      </c>
      <c r="P326">
        <v>0</v>
      </c>
      <c r="Q326">
        <v>1</v>
      </c>
    </row>
    <row r="327" spans="1:17" x14ac:dyDescent="0.3">
      <c r="A327">
        <v>19251</v>
      </c>
      <c r="B327" t="s">
        <v>2593</v>
      </c>
      <c r="C327" t="s">
        <v>2594</v>
      </c>
      <c r="D327" s="3">
        <v>24261</v>
      </c>
      <c r="E327" t="s">
        <v>1400</v>
      </c>
      <c r="G327" s="3">
        <v>38852</v>
      </c>
      <c r="H327" t="s">
        <v>2595</v>
      </c>
      <c r="J327" t="s">
        <v>1459</v>
      </c>
      <c r="K327" t="s">
        <v>52</v>
      </c>
      <c r="L327" s="3">
        <v>47637</v>
      </c>
      <c r="M327" s="3">
        <v>47628</v>
      </c>
      <c r="N327" t="s">
        <v>2596</v>
      </c>
      <c r="O327" s="4">
        <v>0.8</v>
      </c>
      <c r="P327">
        <v>0</v>
      </c>
      <c r="Q327">
        <v>0</v>
      </c>
    </row>
    <row r="328" spans="1:17" x14ac:dyDescent="0.3">
      <c r="A328">
        <v>19766</v>
      </c>
      <c r="B328" t="s">
        <v>2597</v>
      </c>
      <c r="C328" t="s">
        <v>2598</v>
      </c>
      <c r="D328" s="3">
        <v>22649</v>
      </c>
      <c r="E328" t="s">
        <v>1400</v>
      </c>
      <c r="G328" s="3">
        <v>38957</v>
      </c>
      <c r="H328" t="s">
        <v>2599</v>
      </c>
      <c r="J328" t="s">
        <v>1403</v>
      </c>
      <c r="K328" t="s">
        <v>55</v>
      </c>
      <c r="L328" s="3">
        <v>47497</v>
      </c>
      <c r="M328" s="3">
        <v>47470</v>
      </c>
      <c r="N328" t="s">
        <v>2600</v>
      </c>
      <c r="O328" s="4">
        <v>1</v>
      </c>
      <c r="P328">
        <v>0</v>
      </c>
      <c r="Q328">
        <v>0</v>
      </c>
    </row>
    <row r="329" spans="1:17" x14ac:dyDescent="0.3">
      <c r="A329">
        <v>4608</v>
      </c>
      <c r="B329" t="s">
        <v>2601</v>
      </c>
      <c r="C329" t="s">
        <v>2602</v>
      </c>
      <c r="D329" s="3">
        <v>23029</v>
      </c>
      <c r="E329" t="s">
        <v>1400</v>
      </c>
      <c r="F329">
        <v>410</v>
      </c>
      <c r="G329" s="3">
        <v>32644</v>
      </c>
      <c r="H329" t="s">
        <v>2603</v>
      </c>
      <c r="J329" t="s">
        <v>1528</v>
      </c>
      <c r="K329" t="s">
        <v>73</v>
      </c>
      <c r="L329" s="3">
        <v>47573</v>
      </c>
      <c r="M329" s="3">
        <v>46306</v>
      </c>
      <c r="N329" t="s">
        <v>2604</v>
      </c>
      <c r="O329" s="4">
        <v>0.8</v>
      </c>
      <c r="P329">
        <v>0</v>
      </c>
      <c r="Q329">
        <v>0</v>
      </c>
    </row>
    <row r="330" spans="1:17" x14ac:dyDescent="0.3">
      <c r="A330">
        <v>30901</v>
      </c>
      <c r="B330" t="s">
        <v>2605</v>
      </c>
      <c r="C330" t="s">
        <v>2602</v>
      </c>
      <c r="D330" s="3">
        <v>25679</v>
      </c>
      <c r="E330" t="s">
        <v>1400</v>
      </c>
      <c r="F330">
        <v>187</v>
      </c>
      <c r="G330" s="3">
        <v>42534</v>
      </c>
      <c r="H330" t="s">
        <v>2606</v>
      </c>
      <c r="J330" t="s">
        <v>1515</v>
      </c>
      <c r="K330" t="s">
        <v>70</v>
      </c>
      <c r="L330" s="3">
        <v>46134</v>
      </c>
      <c r="M330" s="3">
        <v>46097</v>
      </c>
      <c r="N330" t="s">
        <v>2607</v>
      </c>
      <c r="O330" s="4">
        <v>1</v>
      </c>
      <c r="P330">
        <v>0</v>
      </c>
      <c r="Q330">
        <v>0</v>
      </c>
    </row>
    <row r="331" spans="1:17" x14ac:dyDescent="0.3">
      <c r="A331">
        <v>27577</v>
      </c>
      <c r="B331" t="s">
        <v>2608</v>
      </c>
      <c r="C331" t="s">
        <v>2602</v>
      </c>
      <c r="D331" s="3">
        <v>25646</v>
      </c>
      <c r="E331" t="s">
        <v>1400</v>
      </c>
      <c r="F331">
        <v>72</v>
      </c>
      <c r="G331" s="3">
        <v>41113</v>
      </c>
      <c r="H331" t="s">
        <v>2609</v>
      </c>
      <c r="J331" t="s">
        <v>1480</v>
      </c>
      <c r="K331" t="s">
        <v>61</v>
      </c>
      <c r="L331" s="3">
        <v>1</v>
      </c>
      <c r="M331" s="3">
        <v>46427</v>
      </c>
      <c r="N331" t="s">
        <v>2610</v>
      </c>
      <c r="O331" s="4">
        <v>1</v>
      </c>
      <c r="P331">
        <v>0</v>
      </c>
      <c r="Q331">
        <v>0</v>
      </c>
    </row>
    <row r="332" spans="1:17" x14ac:dyDescent="0.3">
      <c r="A332">
        <v>22767</v>
      </c>
      <c r="B332" t="s">
        <v>2611</v>
      </c>
      <c r="C332" t="s">
        <v>2602</v>
      </c>
      <c r="D332" s="3">
        <v>30532</v>
      </c>
      <c r="E332" t="s">
        <v>1400</v>
      </c>
      <c r="F332">
        <v>80</v>
      </c>
      <c r="G332" s="3">
        <v>39664</v>
      </c>
      <c r="H332" t="s">
        <v>2612</v>
      </c>
      <c r="J332" t="s">
        <v>1476</v>
      </c>
      <c r="K332" t="s">
        <v>52</v>
      </c>
      <c r="L332" s="3">
        <v>72686</v>
      </c>
      <c r="M332" s="3">
        <v>46679</v>
      </c>
      <c r="N332" t="s">
        <v>2613</v>
      </c>
      <c r="O332" s="4">
        <v>1</v>
      </c>
      <c r="P332">
        <v>0</v>
      </c>
      <c r="Q332">
        <v>0</v>
      </c>
    </row>
    <row r="333" spans="1:17" x14ac:dyDescent="0.3">
      <c r="A333">
        <v>39677</v>
      </c>
      <c r="B333" t="s">
        <v>2614</v>
      </c>
      <c r="C333" t="s">
        <v>2615</v>
      </c>
      <c r="D333" s="3">
        <v>36222</v>
      </c>
      <c r="E333" t="s">
        <v>1400</v>
      </c>
      <c r="G333" s="3">
        <v>45222</v>
      </c>
      <c r="H333" t="s">
        <v>2616</v>
      </c>
      <c r="J333" t="s">
        <v>1408</v>
      </c>
      <c r="K333" t="s">
        <v>64</v>
      </c>
      <c r="L333" s="3">
        <v>47064</v>
      </c>
      <c r="M333" s="3">
        <v>47030</v>
      </c>
      <c r="N333" t="s">
        <v>2617</v>
      </c>
      <c r="O333" s="4">
        <v>1</v>
      </c>
      <c r="P333">
        <v>0</v>
      </c>
      <c r="Q333">
        <v>0</v>
      </c>
    </row>
    <row r="334" spans="1:17" x14ac:dyDescent="0.3">
      <c r="A334">
        <v>8391</v>
      </c>
      <c r="B334" t="s">
        <v>2618</v>
      </c>
      <c r="C334" t="s">
        <v>2619</v>
      </c>
      <c r="D334" s="3">
        <v>25627</v>
      </c>
      <c r="E334" t="s">
        <v>1400</v>
      </c>
      <c r="F334">
        <v>508</v>
      </c>
      <c r="G334" s="3">
        <v>35219</v>
      </c>
      <c r="I334">
        <v>474276343</v>
      </c>
      <c r="J334" t="s">
        <v>1523</v>
      </c>
      <c r="K334" t="s">
        <v>58</v>
      </c>
      <c r="L334" s="3">
        <v>47566</v>
      </c>
      <c r="M334" s="3">
        <v>47561</v>
      </c>
      <c r="N334" t="s">
        <v>2620</v>
      </c>
      <c r="O334" s="4">
        <v>0.8</v>
      </c>
      <c r="P334">
        <v>0</v>
      </c>
      <c r="Q334">
        <v>1</v>
      </c>
    </row>
    <row r="335" spans="1:17" x14ac:dyDescent="0.3">
      <c r="A335">
        <v>4720</v>
      </c>
      <c r="B335" t="s">
        <v>1974</v>
      </c>
      <c r="C335" t="s">
        <v>2621</v>
      </c>
      <c r="D335" s="3">
        <v>24146</v>
      </c>
      <c r="E335" t="s">
        <v>1400</v>
      </c>
      <c r="F335">
        <v>509</v>
      </c>
      <c r="G335" s="3">
        <v>32797</v>
      </c>
      <c r="J335" t="s">
        <v>1523</v>
      </c>
      <c r="K335" t="s">
        <v>58</v>
      </c>
      <c r="L335" s="3">
        <v>47602</v>
      </c>
      <c r="M335" s="3">
        <v>46399</v>
      </c>
      <c r="N335" t="s">
        <v>2622</v>
      </c>
      <c r="O335" s="4">
        <v>0.8</v>
      </c>
      <c r="P335">
        <v>0</v>
      </c>
      <c r="Q335">
        <v>0</v>
      </c>
    </row>
    <row r="336" spans="1:17" x14ac:dyDescent="0.3">
      <c r="A336">
        <v>39358</v>
      </c>
      <c r="B336" t="s">
        <v>2623</v>
      </c>
      <c r="C336" t="s">
        <v>2624</v>
      </c>
      <c r="D336" s="3">
        <v>29195</v>
      </c>
      <c r="E336" t="s">
        <v>1400</v>
      </c>
      <c r="G336" s="3">
        <v>45124</v>
      </c>
      <c r="H336" t="s">
        <v>2625</v>
      </c>
      <c r="J336" t="s">
        <v>1408</v>
      </c>
      <c r="K336" t="s">
        <v>61</v>
      </c>
      <c r="L336" s="3">
        <v>47526</v>
      </c>
      <c r="M336" s="3">
        <v>47460</v>
      </c>
      <c r="N336" t="s">
        <v>2626</v>
      </c>
      <c r="O336" s="4">
        <v>1</v>
      </c>
      <c r="P336">
        <v>0</v>
      </c>
      <c r="Q336">
        <v>0</v>
      </c>
    </row>
    <row r="337" spans="1:17" x14ac:dyDescent="0.3">
      <c r="A337">
        <v>21424</v>
      </c>
      <c r="B337" t="s">
        <v>2627</v>
      </c>
      <c r="C337" t="s">
        <v>2628</v>
      </c>
      <c r="D337" s="3">
        <v>27407</v>
      </c>
      <c r="E337" t="s">
        <v>1400</v>
      </c>
      <c r="F337">
        <v>118</v>
      </c>
      <c r="G337" s="3">
        <v>39370</v>
      </c>
      <c r="H337" t="s">
        <v>2629</v>
      </c>
      <c r="J337" t="s">
        <v>1569</v>
      </c>
      <c r="K337" t="s">
        <v>70</v>
      </c>
      <c r="L337" s="3">
        <v>47094</v>
      </c>
      <c r="M337" s="3">
        <v>47083</v>
      </c>
      <c r="N337" t="s">
        <v>2630</v>
      </c>
      <c r="O337" s="4">
        <v>1</v>
      </c>
      <c r="P337">
        <v>0</v>
      </c>
      <c r="Q337">
        <v>1</v>
      </c>
    </row>
    <row r="338" spans="1:17" x14ac:dyDescent="0.3">
      <c r="A338">
        <v>26102</v>
      </c>
      <c r="B338" t="s">
        <v>2631</v>
      </c>
      <c r="C338" t="s">
        <v>2632</v>
      </c>
      <c r="D338" s="3">
        <v>31566</v>
      </c>
      <c r="E338" t="s">
        <v>1400</v>
      </c>
      <c r="F338">
        <v>207</v>
      </c>
      <c r="G338" s="3">
        <v>40602</v>
      </c>
      <c r="H338" t="s">
        <v>2633</v>
      </c>
      <c r="J338" t="s">
        <v>1432</v>
      </c>
      <c r="K338" t="s">
        <v>70</v>
      </c>
      <c r="L338" s="3">
        <v>47548</v>
      </c>
      <c r="M338" s="3">
        <v>47533</v>
      </c>
      <c r="N338" t="s">
        <v>2634</v>
      </c>
      <c r="O338" s="4">
        <v>0.8</v>
      </c>
      <c r="P338">
        <v>0</v>
      </c>
      <c r="Q338">
        <v>0</v>
      </c>
    </row>
    <row r="339" spans="1:17" x14ac:dyDescent="0.3">
      <c r="A339">
        <v>41162</v>
      </c>
      <c r="B339" t="s">
        <v>2635</v>
      </c>
      <c r="C339" t="s">
        <v>2636</v>
      </c>
      <c r="D339" s="3">
        <v>28323</v>
      </c>
      <c r="E339" t="s">
        <v>1400</v>
      </c>
      <c r="G339" s="3">
        <v>45603</v>
      </c>
      <c r="H339" t="s">
        <v>2637</v>
      </c>
      <c r="J339" t="s">
        <v>1408</v>
      </c>
      <c r="K339" t="s">
        <v>52</v>
      </c>
      <c r="L339" s="3">
        <v>47448</v>
      </c>
      <c r="M339" s="3">
        <v>47407</v>
      </c>
      <c r="N339" t="s">
        <v>2638</v>
      </c>
      <c r="O339" s="4">
        <v>1</v>
      </c>
      <c r="P339">
        <v>0</v>
      </c>
      <c r="Q339">
        <v>0</v>
      </c>
    </row>
    <row r="340" spans="1:17" x14ac:dyDescent="0.3">
      <c r="A340">
        <v>30271</v>
      </c>
      <c r="B340" t="s">
        <v>1964</v>
      </c>
      <c r="C340" t="s">
        <v>2636</v>
      </c>
      <c r="D340" s="3">
        <v>31836</v>
      </c>
      <c r="E340" t="s">
        <v>1400</v>
      </c>
      <c r="F340">
        <v>266</v>
      </c>
      <c r="G340" s="3">
        <v>42268</v>
      </c>
      <c r="H340" t="s">
        <v>2639</v>
      </c>
      <c r="J340" t="s">
        <v>1528</v>
      </c>
      <c r="K340" t="s">
        <v>70</v>
      </c>
      <c r="L340" s="3">
        <v>47576</v>
      </c>
      <c r="M340" s="3">
        <v>47524</v>
      </c>
      <c r="N340" t="s">
        <v>2640</v>
      </c>
      <c r="O340" s="4">
        <v>1</v>
      </c>
      <c r="P340">
        <v>0</v>
      </c>
      <c r="Q340">
        <v>1</v>
      </c>
    </row>
    <row r="341" spans="1:17" x14ac:dyDescent="0.3">
      <c r="A341">
        <v>16095</v>
      </c>
      <c r="B341" t="s">
        <v>2641</v>
      </c>
      <c r="C341" t="s">
        <v>2636</v>
      </c>
      <c r="D341" s="3">
        <v>27290</v>
      </c>
      <c r="E341" t="s">
        <v>1400</v>
      </c>
      <c r="F341">
        <v>198</v>
      </c>
      <c r="G341" s="3">
        <v>37830</v>
      </c>
      <c r="H341" t="s">
        <v>2642</v>
      </c>
      <c r="J341" t="s">
        <v>1722</v>
      </c>
      <c r="K341" t="s">
        <v>64</v>
      </c>
      <c r="L341" s="3">
        <v>47611</v>
      </c>
      <c r="M341" s="3">
        <v>46518</v>
      </c>
      <c r="N341" t="s">
        <v>2643</v>
      </c>
      <c r="O341" s="4">
        <v>1</v>
      </c>
      <c r="P341">
        <v>0</v>
      </c>
      <c r="Q341">
        <v>0</v>
      </c>
    </row>
    <row r="342" spans="1:17" x14ac:dyDescent="0.3">
      <c r="A342">
        <v>39267</v>
      </c>
      <c r="B342" t="s">
        <v>1465</v>
      </c>
      <c r="C342" t="s">
        <v>2644</v>
      </c>
      <c r="D342" s="3">
        <v>36104</v>
      </c>
      <c r="E342" t="s">
        <v>1400</v>
      </c>
      <c r="G342" s="3">
        <v>45173</v>
      </c>
      <c r="H342" t="s">
        <v>2645</v>
      </c>
      <c r="J342" t="s">
        <v>1408</v>
      </c>
      <c r="K342" t="s">
        <v>61</v>
      </c>
      <c r="L342" s="3">
        <v>47014</v>
      </c>
      <c r="M342" s="3">
        <v>46903</v>
      </c>
      <c r="N342" t="s">
        <v>2646</v>
      </c>
      <c r="O342" s="4">
        <v>1</v>
      </c>
      <c r="P342">
        <v>0</v>
      </c>
      <c r="Q342">
        <v>0</v>
      </c>
    </row>
    <row r="343" spans="1:17" x14ac:dyDescent="0.3">
      <c r="A343">
        <v>38808</v>
      </c>
      <c r="B343" t="s">
        <v>2647</v>
      </c>
      <c r="C343" t="s">
        <v>2644</v>
      </c>
      <c r="D343" s="3">
        <v>30718</v>
      </c>
      <c r="E343" t="s">
        <v>1400</v>
      </c>
      <c r="G343" s="3">
        <v>45090</v>
      </c>
      <c r="H343" t="s">
        <v>2648</v>
      </c>
      <c r="J343" t="s">
        <v>1418</v>
      </c>
      <c r="K343" t="s">
        <v>70</v>
      </c>
      <c r="L343" s="3">
        <v>46933</v>
      </c>
      <c r="M343" s="3">
        <v>46810</v>
      </c>
      <c r="N343" t="s">
        <v>2649</v>
      </c>
      <c r="O343" s="4">
        <v>1</v>
      </c>
      <c r="P343">
        <v>0</v>
      </c>
      <c r="Q343">
        <v>0</v>
      </c>
    </row>
    <row r="344" spans="1:17" x14ac:dyDescent="0.3">
      <c r="A344">
        <v>11023</v>
      </c>
      <c r="B344" t="s">
        <v>2650</v>
      </c>
      <c r="C344" t="s">
        <v>2651</v>
      </c>
      <c r="D344" s="3">
        <v>27316</v>
      </c>
      <c r="E344" t="s">
        <v>1400</v>
      </c>
      <c r="F344">
        <v>9</v>
      </c>
      <c r="G344" s="3">
        <v>36227</v>
      </c>
      <c r="H344" t="s">
        <v>2652</v>
      </c>
      <c r="J344" t="s">
        <v>1574</v>
      </c>
      <c r="K344" t="s">
        <v>58</v>
      </c>
      <c r="L344" s="3">
        <v>46880</v>
      </c>
      <c r="M344" s="3">
        <v>46853</v>
      </c>
      <c r="N344" t="s">
        <v>2653</v>
      </c>
      <c r="O344" s="4">
        <v>0.8</v>
      </c>
      <c r="P344">
        <v>0</v>
      </c>
      <c r="Q344">
        <v>0</v>
      </c>
    </row>
    <row r="345" spans="1:17" x14ac:dyDescent="0.3">
      <c r="A345">
        <v>23880</v>
      </c>
      <c r="B345" t="s">
        <v>2654</v>
      </c>
      <c r="C345" t="s">
        <v>2655</v>
      </c>
      <c r="D345" s="3">
        <v>24328</v>
      </c>
      <c r="E345" t="s">
        <v>1400</v>
      </c>
      <c r="F345">
        <v>259</v>
      </c>
      <c r="G345" s="3">
        <v>39958</v>
      </c>
      <c r="H345" t="s">
        <v>2656</v>
      </c>
      <c r="J345" t="s">
        <v>1722</v>
      </c>
      <c r="K345" t="s">
        <v>52</v>
      </c>
      <c r="L345" s="3">
        <v>47106</v>
      </c>
      <c r="M345" s="3">
        <v>47105</v>
      </c>
      <c r="N345" t="s">
        <v>2657</v>
      </c>
      <c r="O345" s="4">
        <v>1</v>
      </c>
      <c r="P345">
        <v>0</v>
      </c>
      <c r="Q345">
        <v>0</v>
      </c>
    </row>
    <row r="346" spans="1:17" x14ac:dyDescent="0.3">
      <c r="A346">
        <v>31689</v>
      </c>
      <c r="B346" t="s">
        <v>2658</v>
      </c>
      <c r="C346" t="s">
        <v>2659</v>
      </c>
      <c r="D346" s="3">
        <v>33354</v>
      </c>
      <c r="E346" t="s">
        <v>1400</v>
      </c>
      <c r="F346">
        <v>223</v>
      </c>
      <c r="G346" s="3">
        <v>42892</v>
      </c>
      <c r="H346" t="s">
        <v>2660</v>
      </c>
      <c r="J346" t="s">
        <v>1587</v>
      </c>
      <c r="K346" t="s">
        <v>67</v>
      </c>
      <c r="L346" s="3">
        <v>46531</v>
      </c>
      <c r="M346" s="3">
        <v>46504</v>
      </c>
      <c r="N346" t="s">
        <v>2661</v>
      </c>
      <c r="O346" s="4">
        <v>1</v>
      </c>
      <c r="P346">
        <v>0</v>
      </c>
      <c r="Q346">
        <v>1</v>
      </c>
    </row>
    <row r="347" spans="1:17" x14ac:dyDescent="0.3">
      <c r="A347">
        <v>30999</v>
      </c>
      <c r="B347" t="s">
        <v>2662</v>
      </c>
      <c r="C347" t="s">
        <v>2663</v>
      </c>
      <c r="D347" s="3">
        <v>32844</v>
      </c>
      <c r="E347" t="s">
        <v>1400</v>
      </c>
      <c r="G347" s="3">
        <v>42562</v>
      </c>
      <c r="H347" t="s">
        <v>2664</v>
      </c>
      <c r="J347" t="s">
        <v>1418</v>
      </c>
      <c r="K347" t="s">
        <v>58</v>
      </c>
      <c r="L347" s="3">
        <v>46159</v>
      </c>
      <c r="M347" s="3">
        <v>46147</v>
      </c>
      <c r="N347" t="s">
        <v>2665</v>
      </c>
      <c r="O347" s="4">
        <v>1</v>
      </c>
      <c r="P347">
        <v>0</v>
      </c>
      <c r="Q347">
        <v>0</v>
      </c>
    </row>
    <row r="348" spans="1:17" x14ac:dyDescent="0.3">
      <c r="A348">
        <v>40645</v>
      </c>
      <c r="B348" t="s">
        <v>2666</v>
      </c>
      <c r="C348" t="s">
        <v>2667</v>
      </c>
      <c r="D348" s="3">
        <v>34393</v>
      </c>
      <c r="E348" t="s">
        <v>1400</v>
      </c>
      <c r="G348" s="3">
        <v>45544</v>
      </c>
      <c r="H348" t="s">
        <v>2668</v>
      </c>
      <c r="J348" t="s">
        <v>1408</v>
      </c>
      <c r="K348" t="s">
        <v>70</v>
      </c>
      <c r="L348" s="3">
        <v>47390</v>
      </c>
      <c r="M348" s="3">
        <v>47267</v>
      </c>
      <c r="N348" t="s">
        <v>2669</v>
      </c>
      <c r="O348" s="4">
        <v>1</v>
      </c>
      <c r="P348">
        <v>0</v>
      </c>
      <c r="Q348">
        <v>0</v>
      </c>
    </row>
    <row r="349" spans="1:17" x14ac:dyDescent="0.3">
      <c r="A349">
        <v>42105</v>
      </c>
      <c r="B349" t="s">
        <v>2670</v>
      </c>
      <c r="C349" t="s">
        <v>2671</v>
      </c>
      <c r="D349" s="3">
        <v>37799</v>
      </c>
      <c r="E349" t="s">
        <v>1400</v>
      </c>
      <c r="G349" s="3">
        <v>45860</v>
      </c>
      <c r="H349" t="s">
        <v>2672</v>
      </c>
      <c r="J349" t="s">
        <v>1408</v>
      </c>
      <c r="K349" t="s">
        <v>70</v>
      </c>
      <c r="L349" s="3">
        <v>1</v>
      </c>
      <c r="M349" s="3">
        <v>1</v>
      </c>
      <c r="N349" t="s">
        <v>2673</v>
      </c>
      <c r="O349" s="4">
        <v>1</v>
      </c>
      <c r="P349">
        <v>0</v>
      </c>
      <c r="Q349">
        <v>0</v>
      </c>
    </row>
    <row r="350" spans="1:17" x14ac:dyDescent="0.3">
      <c r="A350">
        <v>38529</v>
      </c>
      <c r="B350" t="s">
        <v>2674</v>
      </c>
      <c r="C350" t="s">
        <v>2675</v>
      </c>
      <c r="D350" s="3">
        <v>30245</v>
      </c>
      <c r="E350" t="s">
        <v>1400</v>
      </c>
      <c r="G350" s="3">
        <v>44956</v>
      </c>
      <c r="H350" t="s">
        <v>2676</v>
      </c>
      <c r="J350" t="s">
        <v>1408</v>
      </c>
      <c r="K350" t="s">
        <v>70</v>
      </c>
      <c r="L350" s="3">
        <v>46796</v>
      </c>
      <c r="M350" s="3">
        <v>46644</v>
      </c>
      <c r="N350" t="s">
        <v>2677</v>
      </c>
      <c r="O350" s="4">
        <v>1</v>
      </c>
      <c r="P350">
        <v>0</v>
      </c>
      <c r="Q350">
        <v>0</v>
      </c>
    </row>
    <row r="351" spans="1:17" x14ac:dyDescent="0.3">
      <c r="A351">
        <v>29540</v>
      </c>
      <c r="B351" t="s">
        <v>2678</v>
      </c>
      <c r="C351" t="s">
        <v>2675</v>
      </c>
      <c r="D351" s="3">
        <v>28532</v>
      </c>
      <c r="E351" t="s">
        <v>1400</v>
      </c>
      <c r="F351">
        <v>330</v>
      </c>
      <c r="G351" s="3">
        <v>41981</v>
      </c>
      <c r="H351" t="s">
        <v>2679</v>
      </c>
      <c r="J351" t="s">
        <v>1515</v>
      </c>
      <c r="K351" t="s">
        <v>73</v>
      </c>
      <c r="L351" s="3">
        <v>47335</v>
      </c>
      <c r="M351" s="3">
        <v>47293</v>
      </c>
      <c r="N351" t="s">
        <v>2680</v>
      </c>
      <c r="O351" s="4">
        <v>1</v>
      </c>
      <c r="P351">
        <v>0</v>
      </c>
      <c r="Q351">
        <v>0</v>
      </c>
    </row>
    <row r="352" spans="1:17" x14ac:dyDescent="0.3">
      <c r="A352">
        <v>21738</v>
      </c>
      <c r="B352" t="s">
        <v>2681</v>
      </c>
      <c r="C352" t="s">
        <v>2675</v>
      </c>
      <c r="D352" s="3">
        <v>30888</v>
      </c>
      <c r="E352" t="s">
        <v>1400</v>
      </c>
      <c r="F352">
        <v>431</v>
      </c>
      <c r="G352" s="3">
        <v>39468</v>
      </c>
      <c r="H352" t="s">
        <v>2682</v>
      </c>
      <c r="J352" t="s">
        <v>1432</v>
      </c>
      <c r="K352" t="s">
        <v>70</v>
      </c>
      <c r="L352" s="3">
        <v>47064</v>
      </c>
      <c r="M352" s="3">
        <v>47044</v>
      </c>
      <c r="N352" t="s">
        <v>2683</v>
      </c>
      <c r="O352" s="4">
        <v>0.8</v>
      </c>
      <c r="P352">
        <v>0</v>
      </c>
      <c r="Q352">
        <v>0</v>
      </c>
    </row>
    <row r="353" spans="1:17" x14ac:dyDescent="0.3">
      <c r="A353">
        <v>13089</v>
      </c>
      <c r="B353" t="s">
        <v>1495</v>
      </c>
      <c r="C353" t="s">
        <v>2675</v>
      </c>
      <c r="D353" s="3">
        <v>29008</v>
      </c>
      <c r="E353" t="s">
        <v>1400</v>
      </c>
      <c r="F353">
        <v>140</v>
      </c>
      <c r="G353" s="3">
        <v>36948</v>
      </c>
      <c r="I353">
        <v>477886484</v>
      </c>
      <c r="J353" t="s">
        <v>1441</v>
      </c>
      <c r="K353" t="s">
        <v>61</v>
      </c>
      <c r="L353" s="3">
        <v>47635</v>
      </c>
      <c r="M353" s="3">
        <v>47615</v>
      </c>
      <c r="N353" t="s">
        <v>2684</v>
      </c>
      <c r="O353" s="4">
        <v>1</v>
      </c>
      <c r="P353">
        <v>0</v>
      </c>
      <c r="Q353">
        <v>0</v>
      </c>
    </row>
    <row r="354" spans="1:17" x14ac:dyDescent="0.3">
      <c r="A354">
        <v>39715</v>
      </c>
      <c r="B354" t="s">
        <v>2685</v>
      </c>
      <c r="C354" t="s">
        <v>2686</v>
      </c>
      <c r="D354" s="3">
        <v>29587</v>
      </c>
      <c r="E354" t="s">
        <v>1400</v>
      </c>
      <c r="G354" s="3">
        <v>45313</v>
      </c>
      <c r="H354" t="s">
        <v>2687</v>
      </c>
      <c r="J354" t="s">
        <v>1408</v>
      </c>
      <c r="K354" t="s">
        <v>64</v>
      </c>
      <c r="L354" s="3">
        <v>46313</v>
      </c>
      <c r="M354" s="3">
        <v>45873</v>
      </c>
      <c r="N354" t="s">
        <v>2688</v>
      </c>
      <c r="O354" s="4">
        <v>1</v>
      </c>
      <c r="P354">
        <v>0</v>
      </c>
      <c r="Q354">
        <v>0</v>
      </c>
    </row>
    <row r="355" spans="1:17" x14ac:dyDescent="0.3">
      <c r="A355">
        <v>39901</v>
      </c>
      <c r="B355" t="s">
        <v>2689</v>
      </c>
      <c r="C355" t="s">
        <v>2690</v>
      </c>
      <c r="D355" s="3">
        <v>34727</v>
      </c>
      <c r="E355" t="s">
        <v>1400</v>
      </c>
      <c r="G355" s="3">
        <v>45307</v>
      </c>
      <c r="H355" t="s">
        <v>2691</v>
      </c>
      <c r="J355" t="s">
        <v>1408</v>
      </c>
      <c r="K355" t="s">
        <v>61</v>
      </c>
      <c r="L355" s="3">
        <v>46999</v>
      </c>
      <c r="M355" s="3">
        <v>46999</v>
      </c>
      <c r="N355" t="s">
        <v>2692</v>
      </c>
      <c r="O355" s="4">
        <v>1</v>
      </c>
      <c r="P355">
        <v>0</v>
      </c>
      <c r="Q355">
        <v>0</v>
      </c>
    </row>
    <row r="356" spans="1:17" x14ac:dyDescent="0.3">
      <c r="A356">
        <v>33085</v>
      </c>
      <c r="B356" t="s">
        <v>1428</v>
      </c>
      <c r="C356" t="s">
        <v>2693</v>
      </c>
      <c r="D356" s="3">
        <v>33077</v>
      </c>
      <c r="E356" t="s">
        <v>1400</v>
      </c>
      <c r="G356" s="3">
        <v>43325</v>
      </c>
      <c r="H356" t="s">
        <v>2694</v>
      </c>
      <c r="J356" t="s">
        <v>1408</v>
      </c>
      <c r="K356" t="s">
        <v>64</v>
      </c>
      <c r="L356" s="3">
        <v>47294</v>
      </c>
      <c r="M356" s="3">
        <v>47233</v>
      </c>
      <c r="N356" t="s">
        <v>2695</v>
      </c>
      <c r="O356" s="4">
        <v>1</v>
      </c>
      <c r="P356">
        <v>0</v>
      </c>
      <c r="Q356">
        <v>0</v>
      </c>
    </row>
    <row r="357" spans="1:17" x14ac:dyDescent="0.3">
      <c r="A357">
        <v>39575</v>
      </c>
      <c r="B357" t="s">
        <v>2696</v>
      </c>
      <c r="C357" t="s">
        <v>2697</v>
      </c>
      <c r="D357" s="3">
        <v>35965</v>
      </c>
      <c r="E357" t="s">
        <v>1400</v>
      </c>
      <c r="G357" s="3">
        <v>45222</v>
      </c>
      <c r="H357" t="s">
        <v>2698</v>
      </c>
      <c r="J357" t="s">
        <v>1408</v>
      </c>
      <c r="K357" t="s">
        <v>70</v>
      </c>
      <c r="L357" s="3">
        <v>47064</v>
      </c>
      <c r="M357" s="3">
        <v>47009</v>
      </c>
      <c r="N357" t="s">
        <v>2699</v>
      </c>
      <c r="O357" s="4">
        <v>1</v>
      </c>
      <c r="P357">
        <v>0</v>
      </c>
      <c r="Q357">
        <v>0</v>
      </c>
    </row>
    <row r="358" spans="1:17" x14ac:dyDescent="0.3">
      <c r="A358">
        <v>40745</v>
      </c>
      <c r="B358" t="s">
        <v>2700</v>
      </c>
      <c r="C358" t="s">
        <v>2701</v>
      </c>
      <c r="D358" s="3">
        <v>33523</v>
      </c>
      <c r="E358" t="s">
        <v>1400</v>
      </c>
      <c r="G358" s="3">
        <v>45498</v>
      </c>
      <c r="H358" t="s">
        <v>2702</v>
      </c>
      <c r="J358" t="s">
        <v>1408</v>
      </c>
      <c r="K358" t="s">
        <v>55</v>
      </c>
      <c r="L358" s="3">
        <v>47342</v>
      </c>
      <c r="M358" s="3">
        <v>47594</v>
      </c>
      <c r="N358" t="s">
        <v>2703</v>
      </c>
      <c r="O358" s="4">
        <v>1</v>
      </c>
      <c r="P358">
        <v>0</v>
      </c>
      <c r="Q358">
        <v>0</v>
      </c>
    </row>
    <row r="359" spans="1:17" x14ac:dyDescent="0.3">
      <c r="A359">
        <v>19676</v>
      </c>
      <c r="B359" t="s">
        <v>2704</v>
      </c>
      <c r="C359" t="s">
        <v>2701</v>
      </c>
      <c r="D359" s="3">
        <v>30660</v>
      </c>
      <c r="E359" t="s">
        <v>1400</v>
      </c>
      <c r="F359">
        <v>347</v>
      </c>
      <c r="G359" s="3">
        <v>38929</v>
      </c>
      <c r="H359" t="s">
        <v>2705</v>
      </c>
      <c r="J359" t="s">
        <v>1480</v>
      </c>
      <c r="K359" t="s">
        <v>67</v>
      </c>
      <c r="L359" s="3">
        <v>72686</v>
      </c>
      <c r="M359" s="3">
        <v>46042</v>
      </c>
      <c r="N359" t="s">
        <v>2706</v>
      </c>
      <c r="O359" s="4">
        <v>1</v>
      </c>
      <c r="P359">
        <v>0</v>
      </c>
      <c r="Q359">
        <v>0</v>
      </c>
    </row>
    <row r="360" spans="1:17" x14ac:dyDescent="0.3">
      <c r="A360">
        <v>30321</v>
      </c>
      <c r="B360" t="s">
        <v>2707</v>
      </c>
      <c r="C360" t="s">
        <v>2708</v>
      </c>
      <c r="D360" s="3">
        <v>34204</v>
      </c>
      <c r="E360" t="s">
        <v>1400</v>
      </c>
      <c r="G360" s="3">
        <v>42296</v>
      </c>
      <c r="H360" t="s">
        <v>2709</v>
      </c>
      <c r="I360">
        <v>0</v>
      </c>
      <c r="J360" t="s">
        <v>1441</v>
      </c>
      <c r="K360" t="s">
        <v>64</v>
      </c>
      <c r="L360" s="3">
        <v>46181</v>
      </c>
      <c r="M360" s="3">
        <v>46105</v>
      </c>
      <c r="N360" t="s">
        <v>2710</v>
      </c>
      <c r="O360" s="4">
        <v>1</v>
      </c>
      <c r="P360">
        <v>0</v>
      </c>
      <c r="Q360">
        <v>1</v>
      </c>
    </row>
    <row r="361" spans="1:17" x14ac:dyDescent="0.3">
      <c r="A361">
        <v>38035</v>
      </c>
      <c r="B361" t="s">
        <v>2711</v>
      </c>
      <c r="C361" t="s">
        <v>2712</v>
      </c>
      <c r="D361" s="3">
        <v>36352</v>
      </c>
      <c r="E361" t="s">
        <v>1400</v>
      </c>
      <c r="G361" s="3">
        <v>44837</v>
      </c>
      <c r="H361" t="s">
        <v>2713</v>
      </c>
      <c r="J361" t="s">
        <v>1408</v>
      </c>
      <c r="K361" t="s">
        <v>55</v>
      </c>
      <c r="L361" s="3">
        <v>46678</v>
      </c>
      <c r="M361" s="3">
        <v>46552</v>
      </c>
      <c r="N361" t="s">
        <v>2714</v>
      </c>
      <c r="O361" s="4">
        <v>1</v>
      </c>
      <c r="P361">
        <v>0</v>
      </c>
      <c r="Q361">
        <v>0</v>
      </c>
    </row>
    <row r="362" spans="1:17" x14ac:dyDescent="0.3">
      <c r="A362">
        <v>16280</v>
      </c>
      <c r="B362" t="s">
        <v>2715</v>
      </c>
      <c r="C362" t="s">
        <v>2716</v>
      </c>
      <c r="D362" s="3">
        <v>27842</v>
      </c>
      <c r="E362" t="s">
        <v>1400</v>
      </c>
      <c r="F362">
        <v>293</v>
      </c>
      <c r="G362" s="3">
        <v>37886</v>
      </c>
      <c r="H362" t="s">
        <v>2717</v>
      </c>
      <c r="J362" t="s">
        <v>1454</v>
      </c>
      <c r="K362" t="s">
        <v>73</v>
      </c>
      <c r="L362" s="3">
        <v>47275</v>
      </c>
      <c r="M362" s="3">
        <v>47237</v>
      </c>
      <c r="N362" t="s">
        <v>2718</v>
      </c>
      <c r="O362" s="4">
        <v>0.8</v>
      </c>
      <c r="P362">
        <v>0</v>
      </c>
      <c r="Q362">
        <v>0</v>
      </c>
    </row>
    <row r="363" spans="1:17" x14ac:dyDescent="0.3">
      <c r="A363">
        <v>5718</v>
      </c>
      <c r="B363" t="s">
        <v>2719</v>
      </c>
      <c r="C363" t="s">
        <v>2720</v>
      </c>
      <c r="D363" s="3">
        <v>25098</v>
      </c>
      <c r="E363" t="s">
        <v>1400</v>
      </c>
      <c r="F363">
        <v>189</v>
      </c>
      <c r="G363" s="3">
        <v>33707</v>
      </c>
      <c r="H363" t="s">
        <v>2721</v>
      </c>
      <c r="I363">
        <v>93848830</v>
      </c>
      <c r="J363" t="s">
        <v>1722</v>
      </c>
      <c r="K363" t="s">
        <v>64</v>
      </c>
      <c r="L363" s="3">
        <v>45872</v>
      </c>
      <c r="M363" s="3">
        <v>46318</v>
      </c>
      <c r="N363" t="s">
        <v>2722</v>
      </c>
      <c r="O363" s="4">
        <v>1</v>
      </c>
      <c r="P363">
        <v>0</v>
      </c>
      <c r="Q363">
        <v>0</v>
      </c>
    </row>
    <row r="364" spans="1:17" x14ac:dyDescent="0.3">
      <c r="A364">
        <v>10782</v>
      </c>
      <c r="B364" t="s">
        <v>2723</v>
      </c>
      <c r="C364" t="s">
        <v>2724</v>
      </c>
      <c r="D364" s="3">
        <v>27384</v>
      </c>
      <c r="E364" t="s">
        <v>1400</v>
      </c>
      <c r="F364">
        <v>48</v>
      </c>
      <c r="G364" s="3">
        <v>36080</v>
      </c>
      <c r="H364" t="s">
        <v>2725</v>
      </c>
      <c r="J364" t="s">
        <v>1454</v>
      </c>
      <c r="K364" t="s">
        <v>64</v>
      </c>
      <c r="L364" s="3">
        <v>47614</v>
      </c>
      <c r="M364" s="3">
        <v>46704</v>
      </c>
      <c r="N364" t="s">
        <v>2726</v>
      </c>
      <c r="O364" s="4">
        <v>1</v>
      </c>
      <c r="P364">
        <v>0</v>
      </c>
      <c r="Q364">
        <v>0</v>
      </c>
    </row>
    <row r="365" spans="1:17" x14ac:dyDescent="0.3">
      <c r="A365">
        <v>34445</v>
      </c>
      <c r="B365" t="s">
        <v>2727</v>
      </c>
      <c r="C365" t="s">
        <v>2728</v>
      </c>
      <c r="D365" s="3">
        <v>34663</v>
      </c>
      <c r="E365" t="s">
        <v>1400</v>
      </c>
      <c r="F365">
        <v>132</v>
      </c>
      <c r="G365" s="3">
        <v>43752</v>
      </c>
      <c r="H365" t="s">
        <v>2729</v>
      </c>
      <c r="I365">
        <v>498707898</v>
      </c>
      <c r="J365" t="s">
        <v>1610</v>
      </c>
      <c r="K365" t="s">
        <v>52</v>
      </c>
      <c r="L365" s="3">
        <v>47274</v>
      </c>
      <c r="M365" s="3">
        <v>47237</v>
      </c>
      <c r="N365" t="s">
        <v>2730</v>
      </c>
      <c r="O365" s="4">
        <v>1</v>
      </c>
      <c r="P365">
        <v>0</v>
      </c>
      <c r="Q365">
        <v>1</v>
      </c>
    </row>
    <row r="366" spans="1:17" x14ac:dyDescent="0.3">
      <c r="A366">
        <v>20543</v>
      </c>
      <c r="B366" t="s">
        <v>2731</v>
      </c>
      <c r="C366" t="s">
        <v>2732</v>
      </c>
      <c r="D366" s="3">
        <v>24788</v>
      </c>
      <c r="E366" t="s">
        <v>1400</v>
      </c>
      <c r="F366">
        <v>290</v>
      </c>
      <c r="G366" s="3">
        <v>39174</v>
      </c>
      <c r="H366" t="s">
        <v>2733</v>
      </c>
      <c r="J366" t="s">
        <v>1426</v>
      </c>
      <c r="K366" t="s">
        <v>64</v>
      </c>
      <c r="L366" s="3">
        <v>72686</v>
      </c>
      <c r="M366" s="3">
        <v>72686</v>
      </c>
      <c r="N366" t="s">
        <v>2734</v>
      </c>
      <c r="O366" s="4">
        <v>0.8</v>
      </c>
      <c r="P366">
        <v>1</v>
      </c>
      <c r="Q366">
        <v>0</v>
      </c>
    </row>
    <row r="367" spans="1:17" x14ac:dyDescent="0.3">
      <c r="A367">
        <v>41871</v>
      </c>
      <c r="B367" t="s">
        <v>2735</v>
      </c>
      <c r="C367" t="s">
        <v>2736</v>
      </c>
      <c r="D367" s="3">
        <v>36357</v>
      </c>
      <c r="E367" t="s">
        <v>1400</v>
      </c>
      <c r="G367" s="3">
        <v>45798</v>
      </c>
      <c r="H367" t="s">
        <v>2737</v>
      </c>
      <c r="J367" t="s">
        <v>1408</v>
      </c>
      <c r="K367" t="s">
        <v>52</v>
      </c>
      <c r="L367" s="3">
        <v>47645</v>
      </c>
      <c r="M367" s="3">
        <v>47538</v>
      </c>
      <c r="N367" t="s">
        <v>2738</v>
      </c>
      <c r="O367" s="4">
        <v>1</v>
      </c>
      <c r="P367">
        <v>0</v>
      </c>
      <c r="Q367">
        <v>0</v>
      </c>
    </row>
    <row r="368" spans="1:17" x14ac:dyDescent="0.3">
      <c r="A368">
        <v>41685</v>
      </c>
      <c r="B368" t="s">
        <v>2739</v>
      </c>
      <c r="C368" t="s">
        <v>2740</v>
      </c>
      <c r="D368" s="3">
        <v>37767</v>
      </c>
      <c r="E368" t="s">
        <v>1400</v>
      </c>
      <c r="G368" s="3">
        <v>45735</v>
      </c>
      <c r="H368" t="s">
        <v>2741</v>
      </c>
      <c r="J368" t="s">
        <v>1408</v>
      </c>
      <c r="K368" t="s">
        <v>64</v>
      </c>
      <c r="L368" s="3">
        <v>47582</v>
      </c>
      <c r="M368" s="3">
        <v>47538</v>
      </c>
      <c r="N368" t="s">
        <v>2742</v>
      </c>
      <c r="O368" s="4">
        <v>1</v>
      </c>
      <c r="P368">
        <v>0</v>
      </c>
      <c r="Q368">
        <v>0</v>
      </c>
    </row>
    <row r="369" spans="1:17" x14ac:dyDescent="0.3">
      <c r="A369">
        <v>35761</v>
      </c>
      <c r="B369" t="s">
        <v>2711</v>
      </c>
      <c r="C369" t="s">
        <v>2743</v>
      </c>
      <c r="D369" s="3">
        <v>33856</v>
      </c>
      <c r="E369" t="s">
        <v>1400</v>
      </c>
      <c r="F369">
        <v>324</v>
      </c>
      <c r="G369" s="3">
        <v>44067</v>
      </c>
      <c r="H369" t="s">
        <v>2744</v>
      </c>
      <c r="J369" t="s">
        <v>1408</v>
      </c>
      <c r="K369" t="s">
        <v>70</v>
      </c>
      <c r="L369" s="3">
        <v>45916</v>
      </c>
      <c r="M369" s="3">
        <v>45874</v>
      </c>
      <c r="N369" t="s">
        <v>2745</v>
      </c>
      <c r="O369" s="4">
        <v>0.8</v>
      </c>
      <c r="P369">
        <v>0</v>
      </c>
      <c r="Q369">
        <v>1</v>
      </c>
    </row>
    <row r="370" spans="1:17" x14ac:dyDescent="0.3">
      <c r="A370">
        <v>36635</v>
      </c>
      <c r="B370" t="s">
        <v>2746</v>
      </c>
      <c r="C370" t="s">
        <v>2747</v>
      </c>
      <c r="D370" s="3">
        <v>34087</v>
      </c>
      <c r="E370" t="s">
        <v>1400</v>
      </c>
      <c r="G370" s="3">
        <v>44417</v>
      </c>
      <c r="H370" t="s">
        <v>2748</v>
      </c>
      <c r="J370" t="s">
        <v>1408</v>
      </c>
      <c r="K370" t="s">
        <v>64</v>
      </c>
      <c r="L370" s="3">
        <v>46257</v>
      </c>
      <c r="M370" s="3">
        <v>46147</v>
      </c>
      <c r="N370" t="s">
        <v>2749</v>
      </c>
      <c r="O370" s="4">
        <v>1</v>
      </c>
      <c r="P370">
        <v>0</v>
      </c>
      <c r="Q370">
        <v>0</v>
      </c>
    </row>
    <row r="371" spans="1:17" x14ac:dyDescent="0.3">
      <c r="A371">
        <v>35450</v>
      </c>
      <c r="B371" t="s">
        <v>2750</v>
      </c>
      <c r="C371" t="s">
        <v>2751</v>
      </c>
      <c r="D371" s="3">
        <v>30458</v>
      </c>
      <c r="E371" t="s">
        <v>1400</v>
      </c>
      <c r="F371">
        <v>400</v>
      </c>
      <c r="G371" s="3">
        <v>43997</v>
      </c>
      <c r="H371" t="s">
        <v>2752</v>
      </c>
      <c r="J371" t="s">
        <v>1446</v>
      </c>
      <c r="K371" t="s">
        <v>70</v>
      </c>
      <c r="L371" s="3">
        <v>47581</v>
      </c>
      <c r="M371" s="3">
        <v>47533</v>
      </c>
      <c r="N371" t="s">
        <v>2753</v>
      </c>
      <c r="O371" s="4">
        <v>1</v>
      </c>
      <c r="P371">
        <v>0</v>
      </c>
      <c r="Q371">
        <v>0</v>
      </c>
    </row>
    <row r="372" spans="1:17" x14ac:dyDescent="0.3">
      <c r="A372">
        <v>33757</v>
      </c>
      <c r="B372" t="s">
        <v>2754</v>
      </c>
      <c r="C372" t="s">
        <v>2751</v>
      </c>
      <c r="D372" s="3">
        <v>24507</v>
      </c>
      <c r="E372" t="s">
        <v>1400</v>
      </c>
      <c r="F372">
        <v>220</v>
      </c>
      <c r="G372" s="3">
        <v>43556</v>
      </c>
      <c r="H372" t="s">
        <v>2755</v>
      </c>
      <c r="I372">
        <v>499245846</v>
      </c>
      <c r="J372" t="s">
        <v>1459</v>
      </c>
      <c r="K372" t="s">
        <v>67</v>
      </c>
      <c r="L372" s="3">
        <v>47222</v>
      </c>
      <c r="M372" s="3">
        <v>46404</v>
      </c>
      <c r="N372" t="s">
        <v>2756</v>
      </c>
      <c r="O372" s="4">
        <v>1</v>
      </c>
      <c r="P372">
        <v>0</v>
      </c>
      <c r="Q372">
        <v>0</v>
      </c>
    </row>
    <row r="373" spans="1:17" x14ac:dyDescent="0.3">
      <c r="A373">
        <v>36354</v>
      </c>
      <c r="B373" t="s">
        <v>2757</v>
      </c>
      <c r="C373" t="s">
        <v>2758</v>
      </c>
      <c r="D373" s="3">
        <v>35740</v>
      </c>
      <c r="E373" t="s">
        <v>1400</v>
      </c>
      <c r="G373" s="3">
        <v>44298</v>
      </c>
      <c r="H373" t="s">
        <v>2759</v>
      </c>
      <c r="I373">
        <v>471573703</v>
      </c>
      <c r="J373" t="s">
        <v>1408</v>
      </c>
      <c r="K373" t="s">
        <v>58</v>
      </c>
      <c r="L373" s="3">
        <v>46138</v>
      </c>
      <c r="M373" s="3">
        <v>45923</v>
      </c>
      <c r="N373" t="s">
        <v>2760</v>
      </c>
      <c r="O373" s="4">
        <v>1</v>
      </c>
      <c r="P373">
        <v>0</v>
      </c>
      <c r="Q373">
        <v>1</v>
      </c>
    </row>
    <row r="374" spans="1:17" x14ac:dyDescent="0.3">
      <c r="A374">
        <v>14667</v>
      </c>
      <c r="B374" t="s">
        <v>2761</v>
      </c>
      <c r="C374" t="s">
        <v>2762</v>
      </c>
      <c r="D374" s="3">
        <v>26648</v>
      </c>
      <c r="E374" t="s">
        <v>1400</v>
      </c>
      <c r="F374">
        <v>190</v>
      </c>
      <c r="G374" s="3">
        <v>37424</v>
      </c>
      <c r="H374" t="s">
        <v>2763</v>
      </c>
      <c r="J374" t="s">
        <v>1702</v>
      </c>
      <c r="K374" t="s">
        <v>70</v>
      </c>
      <c r="L374" s="3">
        <v>72686</v>
      </c>
      <c r="M374" s="3">
        <v>46369</v>
      </c>
      <c r="N374" t="s">
        <v>2764</v>
      </c>
      <c r="O374" s="4">
        <v>1</v>
      </c>
      <c r="P374">
        <v>0</v>
      </c>
      <c r="Q374">
        <v>0</v>
      </c>
    </row>
    <row r="375" spans="1:17" x14ac:dyDescent="0.3">
      <c r="A375">
        <v>38205</v>
      </c>
      <c r="B375" t="s">
        <v>2765</v>
      </c>
      <c r="C375" t="s">
        <v>2766</v>
      </c>
      <c r="D375" s="3">
        <v>26731</v>
      </c>
      <c r="E375" t="s">
        <v>1400</v>
      </c>
      <c r="G375" s="3">
        <v>44893</v>
      </c>
      <c r="H375" t="s">
        <v>2767</v>
      </c>
      <c r="I375">
        <v>93280697</v>
      </c>
      <c r="J375" t="s">
        <v>1459</v>
      </c>
      <c r="K375" t="s">
        <v>64</v>
      </c>
      <c r="L375" s="3">
        <v>46734</v>
      </c>
      <c r="M375" s="3">
        <v>46616</v>
      </c>
      <c r="N375" t="s">
        <v>2768</v>
      </c>
      <c r="O375" s="4">
        <v>1</v>
      </c>
      <c r="P375">
        <v>0</v>
      </c>
      <c r="Q375">
        <v>0</v>
      </c>
    </row>
    <row r="376" spans="1:17" x14ac:dyDescent="0.3">
      <c r="A376">
        <v>32387</v>
      </c>
      <c r="B376" t="s">
        <v>2769</v>
      </c>
      <c r="C376" t="s">
        <v>2770</v>
      </c>
      <c r="D376" s="3">
        <v>23792</v>
      </c>
      <c r="E376" t="s">
        <v>1400</v>
      </c>
      <c r="F376">
        <v>217</v>
      </c>
      <c r="G376" s="3">
        <v>43108</v>
      </c>
      <c r="H376" t="s">
        <v>2771</v>
      </c>
      <c r="J376" t="s">
        <v>1418</v>
      </c>
      <c r="K376" t="s">
        <v>67</v>
      </c>
      <c r="L376" s="3">
        <v>46620</v>
      </c>
      <c r="M376" s="3">
        <v>46616</v>
      </c>
      <c r="N376" t="s">
        <v>2772</v>
      </c>
      <c r="O376" s="4">
        <v>0.8</v>
      </c>
      <c r="P376">
        <v>0</v>
      </c>
      <c r="Q376">
        <v>1</v>
      </c>
    </row>
    <row r="377" spans="1:17" x14ac:dyDescent="0.3">
      <c r="A377">
        <v>40469</v>
      </c>
      <c r="B377" t="s">
        <v>2773</v>
      </c>
      <c r="C377" t="s">
        <v>2774</v>
      </c>
      <c r="D377" s="3">
        <v>29573</v>
      </c>
      <c r="E377" t="s">
        <v>1400</v>
      </c>
      <c r="G377" s="3">
        <v>45408</v>
      </c>
      <c r="H377" t="s">
        <v>2775</v>
      </c>
      <c r="J377" t="s">
        <v>1408</v>
      </c>
      <c r="K377" t="s">
        <v>70</v>
      </c>
      <c r="L377" s="3">
        <v>47258</v>
      </c>
      <c r="M377" s="3">
        <v>47225</v>
      </c>
      <c r="N377" t="s">
        <v>2776</v>
      </c>
      <c r="O377" s="4">
        <v>1</v>
      </c>
      <c r="P377">
        <v>0</v>
      </c>
      <c r="Q377">
        <v>0</v>
      </c>
    </row>
    <row r="378" spans="1:17" x14ac:dyDescent="0.3">
      <c r="A378">
        <v>39673</v>
      </c>
      <c r="B378" t="s">
        <v>2777</v>
      </c>
      <c r="C378" t="s">
        <v>2778</v>
      </c>
      <c r="D378" s="3">
        <v>25391</v>
      </c>
      <c r="E378" t="s">
        <v>1400</v>
      </c>
      <c r="G378" s="3">
        <v>45236</v>
      </c>
      <c r="H378" t="s">
        <v>2779</v>
      </c>
      <c r="J378" t="s">
        <v>1408</v>
      </c>
      <c r="K378" t="s">
        <v>58</v>
      </c>
      <c r="L378" s="3">
        <v>47110</v>
      </c>
      <c r="M378" s="3">
        <v>47030</v>
      </c>
      <c r="N378" t="s">
        <v>2780</v>
      </c>
      <c r="O378" s="4">
        <v>1</v>
      </c>
      <c r="P378">
        <v>0</v>
      </c>
      <c r="Q378">
        <v>0</v>
      </c>
    </row>
    <row r="379" spans="1:17" x14ac:dyDescent="0.3">
      <c r="A379">
        <v>32002</v>
      </c>
      <c r="B379" t="s">
        <v>2781</v>
      </c>
      <c r="C379" t="s">
        <v>2782</v>
      </c>
      <c r="D379" s="3">
        <v>26130</v>
      </c>
      <c r="E379" t="s">
        <v>1400</v>
      </c>
      <c r="F379">
        <v>204</v>
      </c>
      <c r="G379" s="3">
        <v>42989</v>
      </c>
      <c r="H379" t="s">
        <v>2783</v>
      </c>
      <c r="J379" t="s">
        <v>1480</v>
      </c>
      <c r="K379" t="s">
        <v>67</v>
      </c>
      <c r="L379" s="3">
        <v>46518</v>
      </c>
      <c r="M379" s="3">
        <v>46511</v>
      </c>
      <c r="N379" t="s">
        <v>2784</v>
      </c>
      <c r="O379" s="4">
        <v>1</v>
      </c>
      <c r="P379">
        <v>0</v>
      </c>
      <c r="Q379">
        <v>1</v>
      </c>
    </row>
    <row r="380" spans="1:17" x14ac:dyDescent="0.3">
      <c r="A380">
        <v>29478</v>
      </c>
      <c r="B380" t="s">
        <v>2785</v>
      </c>
      <c r="C380" t="s">
        <v>2786</v>
      </c>
      <c r="D380" s="3">
        <v>21893</v>
      </c>
      <c r="E380" t="s">
        <v>1400</v>
      </c>
      <c r="F380">
        <v>437</v>
      </c>
      <c r="G380" s="3">
        <v>41946</v>
      </c>
      <c r="H380" t="s">
        <v>2787</v>
      </c>
      <c r="J380" t="s">
        <v>1537</v>
      </c>
      <c r="K380" t="s">
        <v>70</v>
      </c>
      <c r="L380" s="3">
        <v>47509</v>
      </c>
      <c r="M380" s="3">
        <v>47460</v>
      </c>
      <c r="N380" t="s">
        <v>2788</v>
      </c>
      <c r="O380" s="4">
        <v>1</v>
      </c>
      <c r="P380">
        <v>0</v>
      </c>
      <c r="Q380">
        <v>1</v>
      </c>
    </row>
    <row r="381" spans="1:17" x14ac:dyDescent="0.3">
      <c r="A381">
        <v>35395</v>
      </c>
      <c r="B381" t="s">
        <v>2789</v>
      </c>
      <c r="C381" t="s">
        <v>2790</v>
      </c>
      <c r="D381" s="3">
        <v>28038</v>
      </c>
      <c r="E381" t="s">
        <v>1400</v>
      </c>
      <c r="F381">
        <v>335</v>
      </c>
      <c r="G381" s="3">
        <v>43980</v>
      </c>
      <c r="H381" t="s">
        <v>2791</v>
      </c>
      <c r="J381" t="s">
        <v>1610</v>
      </c>
      <c r="K381" t="s">
        <v>67</v>
      </c>
      <c r="L381" s="3">
        <v>73050</v>
      </c>
      <c r="M381" s="3">
        <v>47460</v>
      </c>
      <c r="N381" t="s">
        <v>2792</v>
      </c>
      <c r="O381" s="4">
        <v>0.8</v>
      </c>
      <c r="P381">
        <v>0</v>
      </c>
      <c r="Q381">
        <v>1</v>
      </c>
    </row>
    <row r="382" spans="1:17" x14ac:dyDescent="0.3">
      <c r="A382">
        <v>17931</v>
      </c>
      <c r="B382" t="s">
        <v>2793</v>
      </c>
      <c r="C382" t="s">
        <v>2794</v>
      </c>
      <c r="D382" s="3">
        <v>25055</v>
      </c>
      <c r="E382" t="s">
        <v>1400</v>
      </c>
      <c r="F382">
        <v>53</v>
      </c>
      <c r="G382" s="3">
        <v>38390</v>
      </c>
      <c r="H382" t="s">
        <v>2795</v>
      </c>
      <c r="I382" t="s">
        <v>2796</v>
      </c>
      <c r="J382" t="s">
        <v>1426</v>
      </c>
      <c r="K382" t="s">
        <v>70</v>
      </c>
      <c r="L382" s="3">
        <v>72686</v>
      </c>
      <c r="M382" s="3">
        <v>47323</v>
      </c>
      <c r="N382" t="s">
        <v>2797</v>
      </c>
      <c r="O382" s="4">
        <v>0.5</v>
      </c>
      <c r="P382">
        <v>0</v>
      </c>
      <c r="Q382">
        <v>0</v>
      </c>
    </row>
    <row r="383" spans="1:17" x14ac:dyDescent="0.3">
      <c r="A383">
        <v>37542</v>
      </c>
      <c r="B383" t="s">
        <v>2798</v>
      </c>
      <c r="C383" t="s">
        <v>2799</v>
      </c>
      <c r="D383" s="3">
        <v>25000</v>
      </c>
      <c r="E383" t="s">
        <v>1400</v>
      </c>
      <c r="G383" s="3">
        <v>44683</v>
      </c>
      <c r="H383" t="s">
        <v>2800</v>
      </c>
      <c r="J383" t="s">
        <v>1408</v>
      </c>
      <c r="K383" t="s">
        <v>55</v>
      </c>
      <c r="L383" s="3">
        <v>46524</v>
      </c>
      <c r="M383" s="3">
        <v>46470</v>
      </c>
      <c r="N383" t="s">
        <v>2801</v>
      </c>
      <c r="O383" s="4">
        <v>1</v>
      </c>
      <c r="P383">
        <v>0</v>
      </c>
      <c r="Q383">
        <v>0</v>
      </c>
    </row>
    <row r="384" spans="1:17" x14ac:dyDescent="0.3">
      <c r="A384">
        <v>41944</v>
      </c>
      <c r="B384" t="s">
        <v>2802</v>
      </c>
      <c r="C384" t="s">
        <v>2803</v>
      </c>
      <c r="D384" s="3">
        <v>36537</v>
      </c>
      <c r="E384" t="s">
        <v>1400</v>
      </c>
      <c r="G384" s="3">
        <v>45798</v>
      </c>
      <c r="H384" t="s">
        <v>2804</v>
      </c>
      <c r="J384" t="s">
        <v>1408</v>
      </c>
      <c r="K384" t="s">
        <v>52</v>
      </c>
      <c r="L384" s="3">
        <v>47645</v>
      </c>
      <c r="M384" s="3">
        <v>47615</v>
      </c>
      <c r="N384" t="s">
        <v>2805</v>
      </c>
      <c r="O384" s="4">
        <v>1</v>
      </c>
      <c r="P384">
        <v>0</v>
      </c>
      <c r="Q384">
        <v>0</v>
      </c>
    </row>
    <row r="385" spans="1:17" x14ac:dyDescent="0.3">
      <c r="A385">
        <v>38938</v>
      </c>
      <c r="B385" t="s">
        <v>2806</v>
      </c>
      <c r="C385" t="s">
        <v>2807</v>
      </c>
      <c r="D385" s="3">
        <v>33351</v>
      </c>
      <c r="E385" t="s">
        <v>1400</v>
      </c>
      <c r="G385" s="3">
        <v>45061</v>
      </c>
      <c r="H385" t="s">
        <v>2808</v>
      </c>
      <c r="J385" t="s">
        <v>1408</v>
      </c>
      <c r="K385" t="s">
        <v>73</v>
      </c>
      <c r="L385" s="3">
        <v>46904</v>
      </c>
      <c r="M385" s="3">
        <v>46838</v>
      </c>
      <c r="N385" t="s">
        <v>2809</v>
      </c>
      <c r="O385" s="4">
        <v>1</v>
      </c>
      <c r="P385">
        <v>0</v>
      </c>
      <c r="Q385">
        <v>0</v>
      </c>
    </row>
    <row r="386" spans="1:17" x14ac:dyDescent="0.3">
      <c r="A386">
        <v>34312</v>
      </c>
      <c r="B386" t="s">
        <v>2810</v>
      </c>
      <c r="C386" t="s">
        <v>2811</v>
      </c>
      <c r="D386" s="3">
        <v>34089</v>
      </c>
      <c r="E386" t="s">
        <v>1400</v>
      </c>
      <c r="F386">
        <v>351</v>
      </c>
      <c r="G386" s="3">
        <v>43710</v>
      </c>
      <c r="H386" t="s">
        <v>2812</v>
      </c>
      <c r="I386">
        <v>488372246</v>
      </c>
      <c r="J386" t="s">
        <v>1441</v>
      </c>
      <c r="K386" t="s">
        <v>67</v>
      </c>
      <c r="L386" s="3">
        <v>47281</v>
      </c>
      <c r="M386" s="3">
        <v>47267</v>
      </c>
      <c r="N386" t="s">
        <v>2813</v>
      </c>
      <c r="O386" s="4">
        <v>1</v>
      </c>
      <c r="P386">
        <v>0</v>
      </c>
      <c r="Q386">
        <v>1</v>
      </c>
    </row>
    <row r="387" spans="1:17" x14ac:dyDescent="0.3">
      <c r="A387">
        <v>39013</v>
      </c>
      <c r="B387" t="s">
        <v>2814</v>
      </c>
      <c r="C387" t="s">
        <v>2815</v>
      </c>
      <c r="D387" s="3">
        <v>27937</v>
      </c>
      <c r="E387" t="s">
        <v>1400</v>
      </c>
      <c r="G387" s="3">
        <v>45076</v>
      </c>
      <c r="H387" t="s">
        <v>2816</v>
      </c>
      <c r="J387" t="s">
        <v>1408</v>
      </c>
      <c r="K387" t="s">
        <v>70</v>
      </c>
      <c r="L387" s="3">
        <v>46923</v>
      </c>
      <c r="M387" s="3">
        <v>46827</v>
      </c>
      <c r="N387" t="s">
        <v>2817</v>
      </c>
      <c r="O387" s="4">
        <v>1</v>
      </c>
      <c r="P387">
        <v>0</v>
      </c>
      <c r="Q387">
        <v>0</v>
      </c>
    </row>
    <row r="388" spans="1:17" x14ac:dyDescent="0.3">
      <c r="A388">
        <v>22877</v>
      </c>
      <c r="B388" t="s">
        <v>1461</v>
      </c>
      <c r="C388" t="s">
        <v>2818</v>
      </c>
      <c r="D388" s="3">
        <v>25777</v>
      </c>
      <c r="E388" t="s">
        <v>1400</v>
      </c>
      <c r="F388">
        <v>393</v>
      </c>
      <c r="G388" s="3">
        <v>39706</v>
      </c>
      <c r="H388" t="s">
        <v>2819</v>
      </c>
      <c r="J388" t="s">
        <v>1626</v>
      </c>
      <c r="K388" t="s">
        <v>70</v>
      </c>
      <c r="L388" s="3">
        <v>47665</v>
      </c>
      <c r="M388" s="3">
        <v>46791</v>
      </c>
      <c r="N388" t="s">
        <v>2820</v>
      </c>
      <c r="O388" s="4">
        <v>0.5</v>
      </c>
      <c r="P388">
        <v>0</v>
      </c>
      <c r="Q388">
        <v>0</v>
      </c>
    </row>
    <row r="389" spans="1:17" x14ac:dyDescent="0.3">
      <c r="A389">
        <v>18173</v>
      </c>
      <c r="B389" t="s">
        <v>2821</v>
      </c>
      <c r="C389" t="s">
        <v>2822</v>
      </c>
      <c r="D389" s="3">
        <v>29127</v>
      </c>
      <c r="E389" t="s">
        <v>1400</v>
      </c>
      <c r="F389">
        <v>580</v>
      </c>
      <c r="G389" s="3">
        <v>38481</v>
      </c>
      <c r="H389" t="s">
        <v>2823</v>
      </c>
      <c r="J389" t="s">
        <v>1515</v>
      </c>
      <c r="K389" t="s">
        <v>64</v>
      </c>
      <c r="L389" s="3">
        <v>47434</v>
      </c>
      <c r="M389" s="3">
        <v>47408</v>
      </c>
      <c r="N389" t="s">
        <v>2824</v>
      </c>
      <c r="O389" s="4">
        <v>1</v>
      </c>
      <c r="P389">
        <v>0</v>
      </c>
      <c r="Q389">
        <v>0</v>
      </c>
    </row>
    <row r="390" spans="1:17" x14ac:dyDescent="0.3">
      <c r="A390">
        <v>11213</v>
      </c>
      <c r="B390" t="s">
        <v>2825</v>
      </c>
      <c r="C390" t="s">
        <v>2826</v>
      </c>
      <c r="D390" s="3">
        <v>27019</v>
      </c>
      <c r="E390" t="s">
        <v>1400</v>
      </c>
      <c r="F390">
        <v>246</v>
      </c>
      <c r="G390" s="3">
        <v>36311</v>
      </c>
      <c r="H390" t="s">
        <v>2827</v>
      </c>
      <c r="J390" t="s">
        <v>1702</v>
      </c>
      <c r="K390" t="s">
        <v>55</v>
      </c>
      <c r="L390" s="3">
        <v>72686</v>
      </c>
      <c r="M390" s="3">
        <v>47189</v>
      </c>
      <c r="N390" t="s">
        <v>2828</v>
      </c>
      <c r="O390" s="4">
        <v>1</v>
      </c>
      <c r="P390">
        <v>0</v>
      </c>
      <c r="Q390">
        <v>1</v>
      </c>
    </row>
    <row r="391" spans="1:17" x14ac:dyDescent="0.3">
      <c r="A391">
        <v>4943</v>
      </c>
      <c r="B391" t="s">
        <v>2829</v>
      </c>
      <c r="C391" t="s">
        <v>2830</v>
      </c>
      <c r="D391" s="3">
        <v>22990</v>
      </c>
      <c r="E391" t="s">
        <v>1400</v>
      </c>
      <c r="F391">
        <v>368</v>
      </c>
      <c r="G391" s="3">
        <v>33098</v>
      </c>
      <c r="H391" t="s">
        <v>2831</v>
      </c>
      <c r="I391">
        <v>93290244</v>
      </c>
      <c r="J391" t="s">
        <v>1574</v>
      </c>
      <c r="K391" t="s">
        <v>70</v>
      </c>
      <c r="L391" s="3">
        <v>72686</v>
      </c>
      <c r="M391" s="3">
        <v>47046</v>
      </c>
      <c r="N391" t="s">
        <v>2832</v>
      </c>
      <c r="O391" s="4">
        <v>0.8</v>
      </c>
      <c r="P391">
        <v>0</v>
      </c>
      <c r="Q391">
        <v>0</v>
      </c>
    </row>
    <row r="392" spans="1:17" x14ac:dyDescent="0.3">
      <c r="A392">
        <v>37208</v>
      </c>
      <c r="B392" t="s">
        <v>2833</v>
      </c>
      <c r="C392" t="s">
        <v>2834</v>
      </c>
      <c r="D392" s="3">
        <v>33504</v>
      </c>
      <c r="E392" t="s">
        <v>1400</v>
      </c>
      <c r="G392" s="3">
        <v>44641</v>
      </c>
      <c r="H392" t="s">
        <v>2835</v>
      </c>
      <c r="J392" t="s">
        <v>1413</v>
      </c>
      <c r="K392" t="s">
        <v>64</v>
      </c>
      <c r="L392" s="3">
        <v>46482</v>
      </c>
      <c r="M392" s="3">
        <v>46364</v>
      </c>
      <c r="N392" t="s">
        <v>2836</v>
      </c>
      <c r="O392" s="4">
        <v>0.8</v>
      </c>
      <c r="P392">
        <v>0</v>
      </c>
      <c r="Q392">
        <v>0</v>
      </c>
    </row>
    <row r="393" spans="1:17" x14ac:dyDescent="0.3">
      <c r="A393">
        <v>40444</v>
      </c>
      <c r="B393" t="s">
        <v>1983</v>
      </c>
      <c r="C393" t="s">
        <v>2837</v>
      </c>
      <c r="D393" s="3">
        <v>34034</v>
      </c>
      <c r="E393" t="s">
        <v>1400</v>
      </c>
      <c r="G393" s="3">
        <v>45408</v>
      </c>
      <c r="H393" t="s">
        <v>2838</v>
      </c>
      <c r="J393" t="s">
        <v>1408</v>
      </c>
      <c r="K393" t="s">
        <v>70</v>
      </c>
      <c r="L393" s="3">
        <v>47253</v>
      </c>
      <c r="M393" s="3">
        <v>47225</v>
      </c>
      <c r="N393" t="s">
        <v>2839</v>
      </c>
      <c r="O393" s="4">
        <v>1</v>
      </c>
      <c r="P393">
        <v>0</v>
      </c>
      <c r="Q393">
        <v>0</v>
      </c>
    </row>
    <row r="394" spans="1:17" x14ac:dyDescent="0.3">
      <c r="A394">
        <v>39660</v>
      </c>
      <c r="B394" t="s">
        <v>2840</v>
      </c>
      <c r="C394" t="s">
        <v>2837</v>
      </c>
      <c r="D394" s="3">
        <v>32368</v>
      </c>
      <c r="E394" t="s">
        <v>1400</v>
      </c>
      <c r="G394" s="3">
        <v>45222</v>
      </c>
      <c r="H394" t="s">
        <v>2841</v>
      </c>
      <c r="J394" t="s">
        <v>1408</v>
      </c>
      <c r="K394" t="s">
        <v>55</v>
      </c>
      <c r="L394" s="3">
        <v>47064</v>
      </c>
      <c r="M394" s="3">
        <v>47027</v>
      </c>
      <c r="N394" t="s">
        <v>2842</v>
      </c>
      <c r="O394" s="4">
        <v>1</v>
      </c>
      <c r="P394">
        <v>0</v>
      </c>
      <c r="Q394">
        <v>0</v>
      </c>
    </row>
    <row r="395" spans="1:17" x14ac:dyDescent="0.3">
      <c r="A395">
        <v>35588</v>
      </c>
      <c r="B395" t="s">
        <v>2099</v>
      </c>
      <c r="C395" t="s">
        <v>2837</v>
      </c>
      <c r="D395" s="3">
        <v>33879</v>
      </c>
      <c r="E395" t="s">
        <v>1400</v>
      </c>
      <c r="F395">
        <v>435</v>
      </c>
      <c r="G395" s="3">
        <v>44039</v>
      </c>
      <c r="H395" t="s">
        <v>2843</v>
      </c>
      <c r="J395" t="s">
        <v>1413</v>
      </c>
      <c r="K395" t="s">
        <v>73</v>
      </c>
      <c r="L395" s="3">
        <v>47635</v>
      </c>
      <c r="M395" s="3">
        <v>47547</v>
      </c>
      <c r="N395" t="s">
        <v>2844</v>
      </c>
      <c r="O395" s="4">
        <v>1</v>
      </c>
      <c r="P395">
        <v>0</v>
      </c>
      <c r="Q395">
        <v>1</v>
      </c>
    </row>
    <row r="396" spans="1:17" x14ac:dyDescent="0.3">
      <c r="A396">
        <v>40652</v>
      </c>
      <c r="B396" t="s">
        <v>1983</v>
      </c>
      <c r="C396" t="s">
        <v>2845</v>
      </c>
      <c r="D396" s="3">
        <v>36483</v>
      </c>
      <c r="E396" t="s">
        <v>1400</v>
      </c>
      <c r="G396" s="3">
        <v>45470</v>
      </c>
      <c r="H396" t="s">
        <v>2846</v>
      </c>
      <c r="J396" t="s">
        <v>1408</v>
      </c>
      <c r="K396" t="s">
        <v>58</v>
      </c>
      <c r="L396" s="3">
        <v>47314</v>
      </c>
      <c r="M396" s="3">
        <v>47314</v>
      </c>
      <c r="N396" t="s">
        <v>2847</v>
      </c>
      <c r="O396" s="4">
        <v>1</v>
      </c>
      <c r="P396">
        <v>0</v>
      </c>
      <c r="Q396">
        <v>0</v>
      </c>
    </row>
    <row r="397" spans="1:17" x14ac:dyDescent="0.3">
      <c r="A397">
        <v>33965</v>
      </c>
      <c r="B397" t="s">
        <v>2848</v>
      </c>
      <c r="C397" t="s">
        <v>2849</v>
      </c>
      <c r="D397" s="3">
        <v>34310</v>
      </c>
      <c r="E397" t="s">
        <v>1400</v>
      </c>
      <c r="G397" s="3">
        <v>43605</v>
      </c>
      <c r="H397" t="s">
        <v>2850</v>
      </c>
      <c r="I397">
        <v>471897684</v>
      </c>
      <c r="J397" t="s">
        <v>1459</v>
      </c>
      <c r="K397" t="s">
        <v>64</v>
      </c>
      <c r="L397" s="3">
        <v>47202</v>
      </c>
      <c r="M397" s="3">
        <v>47170</v>
      </c>
      <c r="N397" t="s">
        <v>2851</v>
      </c>
      <c r="O397" s="4">
        <v>1</v>
      </c>
      <c r="P397">
        <v>0</v>
      </c>
      <c r="Q397">
        <v>0</v>
      </c>
    </row>
    <row r="398" spans="1:17" x14ac:dyDescent="0.3">
      <c r="A398">
        <v>42169</v>
      </c>
      <c r="B398" t="s">
        <v>2852</v>
      </c>
      <c r="C398" t="s">
        <v>2853</v>
      </c>
      <c r="D398" s="3">
        <v>28890</v>
      </c>
      <c r="E398" t="s">
        <v>1400</v>
      </c>
      <c r="G398" s="3">
        <v>45874</v>
      </c>
      <c r="H398" t="s">
        <v>2854</v>
      </c>
      <c r="J398" t="s">
        <v>1859</v>
      </c>
      <c r="K398" t="s">
        <v>73</v>
      </c>
      <c r="L398" s="3">
        <v>1</v>
      </c>
      <c r="M398" s="3">
        <v>1</v>
      </c>
      <c r="N398" t="s">
        <v>2855</v>
      </c>
      <c r="O398" s="4">
        <v>1</v>
      </c>
      <c r="P398">
        <v>0</v>
      </c>
      <c r="Q398">
        <v>0</v>
      </c>
    </row>
    <row r="399" spans="1:17" x14ac:dyDescent="0.3">
      <c r="A399">
        <v>36378</v>
      </c>
      <c r="B399" t="s">
        <v>2856</v>
      </c>
      <c r="C399" t="s">
        <v>2857</v>
      </c>
      <c r="D399" s="3">
        <v>22566</v>
      </c>
      <c r="E399" t="s">
        <v>1400</v>
      </c>
      <c r="G399" s="3">
        <v>44336</v>
      </c>
      <c r="H399" t="s">
        <v>2858</v>
      </c>
      <c r="J399" t="s">
        <v>1413</v>
      </c>
      <c r="K399" t="s">
        <v>73</v>
      </c>
      <c r="L399" s="3">
        <v>47576</v>
      </c>
      <c r="M399" s="3">
        <v>47547</v>
      </c>
      <c r="N399" t="s">
        <v>2859</v>
      </c>
      <c r="O399" s="4">
        <v>1</v>
      </c>
      <c r="P399">
        <v>0</v>
      </c>
      <c r="Q399">
        <v>1</v>
      </c>
    </row>
    <row r="400" spans="1:17" x14ac:dyDescent="0.3">
      <c r="A400">
        <v>26792</v>
      </c>
      <c r="B400" t="s">
        <v>2860</v>
      </c>
      <c r="C400" t="s">
        <v>2861</v>
      </c>
      <c r="D400" s="3">
        <v>24034</v>
      </c>
      <c r="E400" t="s">
        <v>1400</v>
      </c>
      <c r="F400">
        <v>203</v>
      </c>
      <c r="G400" s="3">
        <v>40812</v>
      </c>
      <c r="H400" t="s">
        <v>2862</v>
      </c>
      <c r="I400">
        <v>93348063</v>
      </c>
      <c r="J400" t="s">
        <v>1658</v>
      </c>
      <c r="K400" t="s">
        <v>73</v>
      </c>
      <c r="L400" s="3">
        <v>46870</v>
      </c>
      <c r="M400" s="3">
        <v>46862</v>
      </c>
      <c r="N400" t="s">
        <v>2863</v>
      </c>
      <c r="O400" s="4">
        <v>1</v>
      </c>
      <c r="P400">
        <v>0</v>
      </c>
      <c r="Q400">
        <v>0</v>
      </c>
    </row>
    <row r="401" spans="1:17" x14ac:dyDescent="0.3">
      <c r="A401">
        <v>29674</v>
      </c>
      <c r="B401" t="s">
        <v>2864</v>
      </c>
      <c r="C401" t="s">
        <v>2865</v>
      </c>
      <c r="D401" s="3">
        <v>33868</v>
      </c>
      <c r="E401" t="s">
        <v>1400</v>
      </c>
      <c r="G401" s="3">
        <v>42065</v>
      </c>
      <c r="H401" t="s">
        <v>2866</v>
      </c>
      <c r="J401" t="s">
        <v>1408</v>
      </c>
      <c r="K401" t="s">
        <v>52</v>
      </c>
      <c r="L401" s="3">
        <v>47499</v>
      </c>
      <c r="M401" s="3">
        <v>47441</v>
      </c>
      <c r="N401" t="s">
        <v>2867</v>
      </c>
      <c r="O401" s="4">
        <v>1</v>
      </c>
      <c r="P401">
        <v>0</v>
      </c>
      <c r="Q401">
        <v>0</v>
      </c>
    </row>
    <row r="402" spans="1:17" x14ac:dyDescent="0.3">
      <c r="A402">
        <v>4525</v>
      </c>
      <c r="B402" t="s">
        <v>2868</v>
      </c>
      <c r="C402" t="s">
        <v>2869</v>
      </c>
      <c r="D402" s="3">
        <v>24001</v>
      </c>
      <c r="E402" t="s">
        <v>1400</v>
      </c>
      <c r="F402">
        <v>16</v>
      </c>
      <c r="G402" s="3">
        <v>32489</v>
      </c>
      <c r="H402" t="s">
        <v>2870</v>
      </c>
      <c r="J402" t="s">
        <v>1722</v>
      </c>
      <c r="K402" t="s">
        <v>64</v>
      </c>
      <c r="L402" s="3">
        <v>47590</v>
      </c>
      <c r="M402" s="3">
        <v>46960</v>
      </c>
      <c r="N402" t="s">
        <v>2871</v>
      </c>
      <c r="O402" s="4">
        <v>0.8</v>
      </c>
      <c r="P402">
        <v>0</v>
      </c>
      <c r="Q402">
        <v>0</v>
      </c>
    </row>
    <row r="403" spans="1:17" x14ac:dyDescent="0.3">
      <c r="A403">
        <v>26638</v>
      </c>
      <c r="B403" t="s">
        <v>2872</v>
      </c>
      <c r="C403" t="s">
        <v>2869</v>
      </c>
      <c r="D403" s="3">
        <v>27001</v>
      </c>
      <c r="E403" t="s">
        <v>1400</v>
      </c>
      <c r="F403">
        <v>211</v>
      </c>
      <c r="G403" s="3">
        <v>40749</v>
      </c>
      <c r="H403" t="s">
        <v>2873</v>
      </c>
      <c r="J403" t="s">
        <v>1569</v>
      </c>
      <c r="K403" t="s">
        <v>52</v>
      </c>
      <c r="L403" s="3">
        <v>46175</v>
      </c>
      <c r="M403" s="3">
        <v>45996</v>
      </c>
      <c r="N403" t="s">
        <v>2874</v>
      </c>
      <c r="O403" s="4">
        <v>1</v>
      </c>
      <c r="P403">
        <v>0</v>
      </c>
      <c r="Q403">
        <v>0</v>
      </c>
    </row>
    <row r="404" spans="1:17" x14ac:dyDescent="0.3">
      <c r="A404">
        <v>25234</v>
      </c>
      <c r="B404" t="s">
        <v>2875</v>
      </c>
      <c r="C404" t="s">
        <v>2869</v>
      </c>
      <c r="D404" s="3">
        <v>23931</v>
      </c>
      <c r="E404" t="s">
        <v>1400</v>
      </c>
      <c r="F404">
        <v>613</v>
      </c>
      <c r="G404" s="3">
        <v>40350</v>
      </c>
      <c r="H404" t="s">
        <v>2876</v>
      </c>
      <c r="I404">
        <v>53622213</v>
      </c>
      <c r="J404" t="s">
        <v>1480</v>
      </c>
      <c r="K404" t="s">
        <v>64</v>
      </c>
      <c r="L404" s="3">
        <v>72686</v>
      </c>
      <c r="M404" s="3">
        <v>47189</v>
      </c>
      <c r="N404" t="s">
        <v>2877</v>
      </c>
      <c r="O404" s="4">
        <v>1</v>
      </c>
      <c r="P404">
        <v>0</v>
      </c>
      <c r="Q404">
        <v>0</v>
      </c>
    </row>
    <row r="405" spans="1:17" x14ac:dyDescent="0.3">
      <c r="A405">
        <v>19219</v>
      </c>
      <c r="B405" t="s">
        <v>2878</v>
      </c>
      <c r="C405" t="s">
        <v>2869</v>
      </c>
      <c r="D405" s="3">
        <v>23793</v>
      </c>
      <c r="E405" t="s">
        <v>1400</v>
      </c>
      <c r="F405">
        <v>461</v>
      </c>
      <c r="G405" s="3">
        <v>38831</v>
      </c>
      <c r="H405" t="s">
        <v>2879</v>
      </c>
      <c r="J405" t="s">
        <v>1528</v>
      </c>
      <c r="K405" t="s">
        <v>73</v>
      </c>
      <c r="L405" s="3">
        <v>47588</v>
      </c>
      <c r="M405" s="3">
        <v>47573</v>
      </c>
      <c r="N405" t="s">
        <v>2880</v>
      </c>
      <c r="O405" s="4">
        <v>1</v>
      </c>
      <c r="P405">
        <v>0</v>
      </c>
      <c r="Q405">
        <v>0</v>
      </c>
    </row>
    <row r="406" spans="1:17" x14ac:dyDescent="0.3">
      <c r="A406">
        <v>40400</v>
      </c>
      <c r="B406" t="s">
        <v>2881</v>
      </c>
      <c r="C406" t="s">
        <v>2882</v>
      </c>
      <c r="D406" s="3">
        <v>25646</v>
      </c>
      <c r="E406" t="s">
        <v>1400</v>
      </c>
      <c r="G406" s="3">
        <v>45478</v>
      </c>
      <c r="H406" t="s">
        <v>2883</v>
      </c>
      <c r="J406" t="s">
        <v>1408</v>
      </c>
      <c r="K406" t="s">
        <v>52</v>
      </c>
      <c r="L406" s="3">
        <v>46733</v>
      </c>
      <c r="M406" s="3">
        <v>46040</v>
      </c>
      <c r="N406" t="s">
        <v>2884</v>
      </c>
      <c r="O406" s="4">
        <v>1</v>
      </c>
      <c r="P406">
        <v>0</v>
      </c>
      <c r="Q406">
        <v>0</v>
      </c>
    </row>
    <row r="407" spans="1:17" x14ac:dyDescent="0.3">
      <c r="A407">
        <v>27607</v>
      </c>
      <c r="B407" t="s">
        <v>2885</v>
      </c>
      <c r="C407" t="s">
        <v>2886</v>
      </c>
      <c r="D407" s="3">
        <v>29887</v>
      </c>
      <c r="E407" t="s">
        <v>1400</v>
      </c>
      <c r="F407">
        <v>277</v>
      </c>
      <c r="G407" s="3">
        <v>41141</v>
      </c>
      <c r="H407" t="s">
        <v>2887</v>
      </c>
      <c r="J407" t="s">
        <v>1480</v>
      </c>
      <c r="K407" t="s">
        <v>64</v>
      </c>
      <c r="L407" s="3">
        <v>72686</v>
      </c>
      <c r="M407" s="3">
        <v>46621</v>
      </c>
      <c r="N407" t="s">
        <v>2888</v>
      </c>
      <c r="O407" s="4">
        <v>1</v>
      </c>
      <c r="P407">
        <v>0</v>
      </c>
      <c r="Q407">
        <v>1</v>
      </c>
    </row>
    <row r="408" spans="1:17" x14ac:dyDescent="0.3">
      <c r="A408">
        <v>36021</v>
      </c>
      <c r="B408" t="s">
        <v>2889</v>
      </c>
      <c r="C408" t="s">
        <v>2890</v>
      </c>
      <c r="D408" s="3">
        <v>33168</v>
      </c>
      <c r="E408" t="s">
        <v>1400</v>
      </c>
      <c r="F408">
        <v>308</v>
      </c>
      <c r="G408" s="3">
        <v>44151</v>
      </c>
      <c r="H408" t="s">
        <v>2891</v>
      </c>
      <c r="J408" t="s">
        <v>1432</v>
      </c>
      <c r="K408" t="s">
        <v>73</v>
      </c>
      <c r="L408" s="3">
        <v>45992</v>
      </c>
      <c r="M408" s="3">
        <v>45915</v>
      </c>
      <c r="N408" t="s">
        <v>2892</v>
      </c>
      <c r="O408" s="4">
        <v>1</v>
      </c>
      <c r="P408">
        <v>0</v>
      </c>
      <c r="Q408">
        <v>0</v>
      </c>
    </row>
    <row r="409" spans="1:17" x14ac:dyDescent="0.3">
      <c r="A409">
        <v>20610</v>
      </c>
      <c r="B409" t="s">
        <v>2893</v>
      </c>
      <c r="C409" t="s">
        <v>2890</v>
      </c>
      <c r="D409" s="3">
        <v>27176</v>
      </c>
      <c r="E409" t="s">
        <v>1400</v>
      </c>
      <c r="F409">
        <v>279</v>
      </c>
      <c r="G409" s="3">
        <v>39188</v>
      </c>
      <c r="J409" t="s">
        <v>1480</v>
      </c>
      <c r="K409" t="s">
        <v>67</v>
      </c>
      <c r="L409" s="3">
        <v>72686</v>
      </c>
      <c r="M409" s="3">
        <v>46182</v>
      </c>
      <c r="N409" t="s">
        <v>2894</v>
      </c>
      <c r="O409" s="4">
        <v>0.8</v>
      </c>
      <c r="P409">
        <v>0</v>
      </c>
      <c r="Q409">
        <v>0</v>
      </c>
    </row>
    <row r="410" spans="1:17" x14ac:dyDescent="0.3">
      <c r="A410">
        <v>25871</v>
      </c>
      <c r="B410" t="s">
        <v>2895</v>
      </c>
      <c r="C410" t="s">
        <v>2896</v>
      </c>
      <c r="D410" s="3">
        <v>29751</v>
      </c>
      <c r="E410" t="s">
        <v>1400</v>
      </c>
      <c r="F410">
        <v>617</v>
      </c>
      <c r="G410" s="3">
        <v>40525</v>
      </c>
      <c r="H410" t="s">
        <v>2897</v>
      </c>
      <c r="J410" t="s">
        <v>1523</v>
      </c>
      <c r="K410" t="s">
        <v>64</v>
      </c>
      <c r="L410" s="3">
        <v>47657</v>
      </c>
      <c r="M410" s="3">
        <v>47611</v>
      </c>
      <c r="N410" t="s">
        <v>2898</v>
      </c>
      <c r="O410" s="4">
        <v>1</v>
      </c>
      <c r="P410">
        <v>0</v>
      </c>
      <c r="Q410">
        <v>0</v>
      </c>
    </row>
    <row r="411" spans="1:17" x14ac:dyDescent="0.3">
      <c r="A411">
        <v>11236</v>
      </c>
      <c r="B411" t="s">
        <v>1839</v>
      </c>
      <c r="C411" t="s">
        <v>2899</v>
      </c>
      <c r="D411" s="3">
        <v>23283</v>
      </c>
      <c r="E411" t="s">
        <v>1400</v>
      </c>
      <c r="F411">
        <v>632</v>
      </c>
      <c r="G411" s="3">
        <v>36332</v>
      </c>
      <c r="H411" t="s">
        <v>2900</v>
      </c>
      <c r="J411" t="s">
        <v>1523</v>
      </c>
      <c r="K411" t="s">
        <v>55</v>
      </c>
      <c r="L411" s="3">
        <v>47659</v>
      </c>
      <c r="M411" s="3">
        <v>46974</v>
      </c>
      <c r="N411" t="s">
        <v>2901</v>
      </c>
      <c r="O411" s="4">
        <v>1</v>
      </c>
      <c r="P411">
        <v>0</v>
      </c>
      <c r="Q411">
        <v>0</v>
      </c>
    </row>
    <row r="412" spans="1:17" x14ac:dyDescent="0.3">
      <c r="A412">
        <v>35471</v>
      </c>
      <c r="B412" t="s">
        <v>1767</v>
      </c>
      <c r="C412" t="s">
        <v>2899</v>
      </c>
      <c r="D412" s="3">
        <v>18345</v>
      </c>
      <c r="E412" t="s">
        <v>1400</v>
      </c>
      <c r="G412" s="3">
        <v>43993</v>
      </c>
      <c r="J412" t="s">
        <v>1977</v>
      </c>
      <c r="K412" t="s">
        <v>73</v>
      </c>
      <c r="L412" s="3">
        <v>47664</v>
      </c>
      <c r="M412" s="3">
        <v>46186</v>
      </c>
      <c r="N412" t="s">
        <v>2902</v>
      </c>
      <c r="O412" s="4">
        <v>1</v>
      </c>
      <c r="P412">
        <v>0</v>
      </c>
      <c r="Q412">
        <v>0</v>
      </c>
    </row>
    <row r="413" spans="1:17" x14ac:dyDescent="0.3">
      <c r="A413">
        <v>16895</v>
      </c>
      <c r="B413" t="s">
        <v>2903</v>
      </c>
      <c r="C413" t="s">
        <v>2899</v>
      </c>
      <c r="D413" s="3">
        <v>24194</v>
      </c>
      <c r="E413" t="s">
        <v>1400</v>
      </c>
      <c r="F413">
        <v>213</v>
      </c>
      <c r="G413" s="3">
        <v>38103</v>
      </c>
      <c r="I413">
        <v>93572904</v>
      </c>
      <c r="J413" t="s">
        <v>1426</v>
      </c>
      <c r="K413" t="s">
        <v>55</v>
      </c>
      <c r="L413" s="3">
        <v>72686</v>
      </c>
      <c r="M413" s="3">
        <v>72686</v>
      </c>
      <c r="N413" t="s">
        <v>2904</v>
      </c>
      <c r="O413" s="4">
        <v>1</v>
      </c>
      <c r="P413">
        <v>0</v>
      </c>
      <c r="Q413">
        <v>0</v>
      </c>
    </row>
    <row r="414" spans="1:17" x14ac:dyDescent="0.3">
      <c r="A414">
        <v>29181</v>
      </c>
      <c r="B414" t="s">
        <v>2905</v>
      </c>
      <c r="C414" t="s">
        <v>2906</v>
      </c>
      <c r="D414" s="3">
        <v>25391</v>
      </c>
      <c r="E414" t="s">
        <v>1400</v>
      </c>
      <c r="F414">
        <v>339</v>
      </c>
      <c r="G414" s="3">
        <v>41827</v>
      </c>
      <c r="H414" t="s">
        <v>2907</v>
      </c>
      <c r="J414" t="s">
        <v>1418</v>
      </c>
      <c r="K414" t="s">
        <v>55</v>
      </c>
      <c r="L414" s="3">
        <v>47243</v>
      </c>
      <c r="M414" s="3">
        <v>47196</v>
      </c>
      <c r="N414" t="s">
        <v>2908</v>
      </c>
      <c r="O414" s="4">
        <v>1</v>
      </c>
      <c r="P414">
        <v>0</v>
      </c>
      <c r="Q414">
        <v>1</v>
      </c>
    </row>
    <row r="415" spans="1:17" x14ac:dyDescent="0.3">
      <c r="A415">
        <v>26199</v>
      </c>
      <c r="B415" t="s">
        <v>2909</v>
      </c>
      <c r="C415" t="s">
        <v>2906</v>
      </c>
      <c r="D415" s="3">
        <v>23749</v>
      </c>
      <c r="E415" t="s">
        <v>1400</v>
      </c>
      <c r="F415">
        <v>109</v>
      </c>
      <c r="G415" s="3">
        <v>40637</v>
      </c>
      <c r="H415" t="s">
        <v>2910</v>
      </c>
      <c r="I415">
        <v>92257858</v>
      </c>
      <c r="J415" t="s">
        <v>1426</v>
      </c>
      <c r="K415" t="s">
        <v>58</v>
      </c>
      <c r="L415" s="3">
        <v>72686</v>
      </c>
      <c r="M415" s="3">
        <v>46210</v>
      </c>
      <c r="N415" t="s">
        <v>2911</v>
      </c>
      <c r="O415" s="4">
        <v>0.8</v>
      </c>
      <c r="P415">
        <v>0</v>
      </c>
      <c r="Q415">
        <v>0</v>
      </c>
    </row>
    <row r="416" spans="1:17" x14ac:dyDescent="0.3">
      <c r="A416">
        <v>21581</v>
      </c>
      <c r="B416" t="s">
        <v>2912</v>
      </c>
      <c r="C416" t="s">
        <v>2906</v>
      </c>
      <c r="D416" s="3">
        <v>26100</v>
      </c>
      <c r="E416" t="s">
        <v>1400</v>
      </c>
      <c r="F416">
        <v>148</v>
      </c>
      <c r="G416" s="3">
        <v>39433</v>
      </c>
      <c r="H416" t="s">
        <v>2913</v>
      </c>
      <c r="J416" t="s">
        <v>1528</v>
      </c>
      <c r="K416" t="s">
        <v>73</v>
      </c>
      <c r="L416" s="3">
        <v>47602</v>
      </c>
      <c r="M416" s="3">
        <v>46511</v>
      </c>
      <c r="N416" t="s">
        <v>2914</v>
      </c>
      <c r="O416" s="4">
        <v>1</v>
      </c>
      <c r="P416">
        <v>0</v>
      </c>
      <c r="Q416">
        <v>0</v>
      </c>
    </row>
    <row r="417" spans="1:17" x14ac:dyDescent="0.3">
      <c r="A417">
        <v>37744</v>
      </c>
      <c r="B417" t="s">
        <v>1834</v>
      </c>
      <c r="C417" t="s">
        <v>2915</v>
      </c>
      <c r="D417" s="3">
        <v>24576</v>
      </c>
      <c r="E417" t="s">
        <v>1400</v>
      </c>
      <c r="G417" s="3">
        <v>44753</v>
      </c>
      <c r="H417" t="s">
        <v>2916</v>
      </c>
      <c r="J417" t="s">
        <v>1403</v>
      </c>
      <c r="K417" t="s">
        <v>52</v>
      </c>
      <c r="L417" s="3">
        <v>46595</v>
      </c>
      <c r="M417" s="3">
        <v>46530</v>
      </c>
      <c r="N417" t="s">
        <v>2917</v>
      </c>
      <c r="O417" s="4">
        <v>1</v>
      </c>
      <c r="P417">
        <v>0</v>
      </c>
      <c r="Q417">
        <v>0</v>
      </c>
    </row>
    <row r="418" spans="1:17" x14ac:dyDescent="0.3">
      <c r="A418">
        <v>19917</v>
      </c>
      <c r="B418" t="s">
        <v>2918</v>
      </c>
      <c r="C418" t="s">
        <v>2915</v>
      </c>
      <c r="D418" s="3">
        <v>24135</v>
      </c>
      <c r="E418" t="s">
        <v>1400</v>
      </c>
      <c r="F418">
        <v>532</v>
      </c>
      <c r="G418" s="3">
        <v>39006</v>
      </c>
      <c r="H418" t="s">
        <v>2919</v>
      </c>
      <c r="J418" t="s">
        <v>1626</v>
      </c>
      <c r="K418" t="s">
        <v>55</v>
      </c>
      <c r="L418" s="3">
        <v>47467</v>
      </c>
      <c r="M418" s="3">
        <v>46729</v>
      </c>
      <c r="N418" t="s">
        <v>2920</v>
      </c>
      <c r="O418" s="4">
        <v>1</v>
      </c>
      <c r="P418">
        <v>0</v>
      </c>
      <c r="Q418">
        <v>0</v>
      </c>
    </row>
    <row r="419" spans="1:17" x14ac:dyDescent="0.3">
      <c r="A419">
        <v>15412</v>
      </c>
      <c r="B419" t="s">
        <v>2921</v>
      </c>
      <c r="C419" t="s">
        <v>2915</v>
      </c>
      <c r="D419" s="3">
        <v>24476</v>
      </c>
      <c r="E419" t="s">
        <v>1400</v>
      </c>
      <c r="F419">
        <v>503</v>
      </c>
      <c r="G419" s="3">
        <v>37634</v>
      </c>
      <c r="H419" t="s">
        <v>2922</v>
      </c>
      <c r="J419" t="s">
        <v>1523</v>
      </c>
      <c r="K419" t="s">
        <v>55</v>
      </c>
      <c r="L419" s="3">
        <v>47541</v>
      </c>
      <c r="M419" s="3">
        <v>46772</v>
      </c>
      <c r="N419" t="s">
        <v>2923</v>
      </c>
      <c r="O419" s="4">
        <v>0.8</v>
      </c>
      <c r="P419">
        <v>0</v>
      </c>
      <c r="Q419">
        <v>0</v>
      </c>
    </row>
    <row r="420" spans="1:17" x14ac:dyDescent="0.3">
      <c r="A420">
        <v>40278</v>
      </c>
      <c r="B420" t="s">
        <v>2924</v>
      </c>
      <c r="C420" t="s">
        <v>2925</v>
      </c>
      <c r="D420" s="3">
        <v>30353</v>
      </c>
      <c r="E420" t="s">
        <v>1400</v>
      </c>
      <c r="G420" s="3">
        <v>45378</v>
      </c>
      <c r="H420" t="s">
        <v>2926</v>
      </c>
      <c r="J420" t="s">
        <v>1408</v>
      </c>
      <c r="K420" t="s">
        <v>61</v>
      </c>
      <c r="L420" s="3">
        <v>47229</v>
      </c>
      <c r="M420" s="3">
        <v>47167</v>
      </c>
      <c r="N420" t="s">
        <v>2927</v>
      </c>
      <c r="O420" s="4">
        <v>1</v>
      </c>
      <c r="P420">
        <v>0</v>
      </c>
      <c r="Q420">
        <v>0</v>
      </c>
    </row>
    <row r="421" spans="1:17" x14ac:dyDescent="0.3">
      <c r="A421">
        <v>29271</v>
      </c>
      <c r="B421" t="s">
        <v>1564</v>
      </c>
      <c r="C421" t="s">
        <v>2928</v>
      </c>
      <c r="D421" s="3">
        <v>29005</v>
      </c>
      <c r="E421" t="s">
        <v>1400</v>
      </c>
      <c r="F421">
        <v>298</v>
      </c>
      <c r="G421" s="3">
        <v>41855</v>
      </c>
      <c r="H421" t="s">
        <v>2929</v>
      </c>
      <c r="J421" t="s">
        <v>1626</v>
      </c>
      <c r="K421" t="s">
        <v>70</v>
      </c>
      <c r="L421" s="3">
        <v>47205</v>
      </c>
      <c r="M421" s="3">
        <v>47195</v>
      </c>
      <c r="N421" t="s">
        <v>2930</v>
      </c>
      <c r="O421" s="4">
        <v>1</v>
      </c>
      <c r="P421">
        <v>0</v>
      </c>
      <c r="Q421">
        <v>0</v>
      </c>
    </row>
    <row r="422" spans="1:17" x14ac:dyDescent="0.3">
      <c r="A422">
        <v>18051</v>
      </c>
      <c r="B422" t="s">
        <v>2931</v>
      </c>
      <c r="C422" t="s">
        <v>2928</v>
      </c>
      <c r="D422" s="3">
        <v>24058</v>
      </c>
      <c r="E422" t="s">
        <v>1400</v>
      </c>
      <c r="F422">
        <v>76</v>
      </c>
      <c r="G422" s="3">
        <v>38446</v>
      </c>
      <c r="H422" t="s">
        <v>2932</v>
      </c>
      <c r="I422">
        <v>92783143</v>
      </c>
      <c r="J422" t="s">
        <v>1722</v>
      </c>
      <c r="K422" t="s">
        <v>61</v>
      </c>
      <c r="L422" s="3">
        <v>45983</v>
      </c>
      <c r="M422" s="3">
        <v>45936</v>
      </c>
      <c r="N422" t="s">
        <v>2933</v>
      </c>
      <c r="O422" s="4">
        <v>0.8</v>
      </c>
      <c r="P422">
        <v>0</v>
      </c>
      <c r="Q422">
        <v>0</v>
      </c>
    </row>
    <row r="423" spans="1:17" x14ac:dyDescent="0.3">
      <c r="A423">
        <v>15320</v>
      </c>
      <c r="B423" t="s">
        <v>2238</v>
      </c>
      <c r="C423" t="s">
        <v>2928</v>
      </c>
      <c r="D423" s="3">
        <v>28129</v>
      </c>
      <c r="E423" t="s">
        <v>1400</v>
      </c>
      <c r="F423">
        <v>561</v>
      </c>
      <c r="G423" s="3">
        <v>37585</v>
      </c>
      <c r="H423" t="s">
        <v>2934</v>
      </c>
      <c r="J423" t="s">
        <v>1658</v>
      </c>
      <c r="K423" t="s">
        <v>58</v>
      </c>
      <c r="L423" s="3">
        <v>47679</v>
      </c>
      <c r="M423" s="3">
        <v>46511</v>
      </c>
      <c r="N423" t="s">
        <v>2935</v>
      </c>
      <c r="O423" s="4">
        <v>1</v>
      </c>
      <c r="P423">
        <v>0</v>
      </c>
      <c r="Q423">
        <v>0</v>
      </c>
    </row>
    <row r="424" spans="1:17" x14ac:dyDescent="0.3">
      <c r="A424">
        <v>41710</v>
      </c>
      <c r="B424" t="s">
        <v>2172</v>
      </c>
      <c r="C424" t="s">
        <v>2936</v>
      </c>
      <c r="D424" s="3">
        <v>25405</v>
      </c>
      <c r="E424" t="s">
        <v>1400</v>
      </c>
      <c r="G424" s="3">
        <v>45735</v>
      </c>
      <c r="H424" t="s">
        <v>2937</v>
      </c>
      <c r="J424" t="s">
        <v>1408</v>
      </c>
      <c r="K424" t="s">
        <v>58</v>
      </c>
      <c r="L424" s="3">
        <v>47581</v>
      </c>
      <c r="M424" s="3">
        <v>46817</v>
      </c>
      <c r="N424" t="s">
        <v>2938</v>
      </c>
      <c r="O424" s="4">
        <v>1</v>
      </c>
      <c r="P424">
        <v>0</v>
      </c>
      <c r="Q424">
        <v>0</v>
      </c>
    </row>
    <row r="425" spans="1:17" x14ac:dyDescent="0.3">
      <c r="A425">
        <v>31360</v>
      </c>
      <c r="B425" t="s">
        <v>2711</v>
      </c>
      <c r="C425" t="s">
        <v>2939</v>
      </c>
      <c r="D425" s="3">
        <v>34227</v>
      </c>
      <c r="E425" t="s">
        <v>1400</v>
      </c>
      <c r="F425">
        <v>229</v>
      </c>
      <c r="G425" s="3">
        <v>42744</v>
      </c>
      <c r="H425" t="s">
        <v>2940</v>
      </c>
      <c r="J425" t="s">
        <v>1587</v>
      </c>
      <c r="K425" t="s">
        <v>52</v>
      </c>
      <c r="L425" s="3">
        <v>46279</v>
      </c>
      <c r="M425" s="3">
        <v>46201</v>
      </c>
      <c r="N425" t="s">
        <v>2941</v>
      </c>
      <c r="O425" s="4">
        <v>1</v>
      </c>
      <c r="P425">
        <v>0</v>
      </c>
      <c r="Q425">
        <v>0</v>
      </c>
    </row>
    <row r="426" spans="1:17" x14ac:dyDescent="0.3">
      <c r="A426">
        <v>30967</v>
      </c>
      <c r="B426" t="s">
        <v>2942</v>
      </c>
      <c r="C426" t="s">
        <v>2939</v>
      </c>
      <c r="D426" s="3">
        <v>29408</v>
      </c>
      <c r="E426" t="s">
        <v>1400</v>
      </c>
      <c r="F426">
        <v>128</v>
      </c>
      <c r="G426" s="3">
        <v>42548</v>
      </c>
      <c r="H426" t="s">
        <v>2943</v>
      </c>
      <c r="J426" t="s">
        <v>1658</v>
      </c>
      <c r="K426" t="s">
        <v>52</v>
      </c>
      <c r="L426" s="3">
        <v>46207</v>
      </c>
      <c r="M426" s="3">
        <v>45935</v>
      </c>
      <c r="N426" t="s">
        <v>2944</v>
      </c>
      <c r="O426" s="4">
        <v>1</v>
      </c>
      <c r="P426">
        <v>0</v>
      </c>
      <c r="Q426">
        <v>1</v>
      </c>
    </row>
    <row r="427" spans="1:17" x14ac:dyDescent="0.3">
      <c r="A427">
        <v>27186</v>
      </c>
      <c r="B427" t="s">
        <v>2945</v>
      </c>
      <c r="C427" t="s">
        <v>2946</v>
      </c>
      <c r="D427" s="3">
        <v>27314</v>
      </c>
      <c r="E427" t="s">
        <v>1400</v>
      </c>
      <c r="G427" s="3">
        <v>40959</v>
      </c>
      <c r="H427" t="s">
        <v>2947</v>
      </c>
      <c r="J427" t="s">
        <v>1408</v>
      </c>
      <c r="K427" t="s">
        <v>61</v>
      </c>
      <c r="L427" s="3">
        <v>46272</v>
      </c>
      <c r="M427" s="3">
        <v>46266</v>
      </c>
      <c r="N427" t="s">
        <v>2948</v>
      </c>
      <c r="O427" s="4">
        <v>1</v>
      </c>
      <c r="P427">
        <v>0</v>
      </c>
      <c r="Q427">
        <v>0</v>
      </c>
    </row>
    <row r="428" spans="1:17" x14ac:dyDescent="0.3">
      <c r="A428">
        <v>29821</v>
      </c>
      <c r="B428" t="s">
        <v>2949</v>
      </c>
      <c r="C428" t="s">
        <v>2950</v>
      </c>
      <c r="D428" s="3">
        <v>24617</v>
      </c>
      <c r="E428" t="s">
        <v>1400</v>
      </c>
      <c r="F428">
        <v>346</v>
      </c>
      <c r="G428" s="3">
        <v>42121</v>
      </c>
      <c r="H428" t="s">
        <v>2951</v>
      </c>
      <c r="I428">
        <v>0</v>
      </c>
      <c r="J428" t="s">
        <v>1454</v>
      </c>
      <c r="K428" t="s">
        <v>52</v>
      </c>
      <c r="L428" s="3">
        <v>47614</v>
      </c>
      <c r="M428" s="3">
        <v>47195</v>
      </c>
      <c r="N428" t="s">
        <v>2952</v>
      </c>
      <c r="O428" s="4">
        <v>1</v>
      </c>
      <c r="P428">
        <v>0</v>
      </c>
      <c r="Q428">
        <v>1</v>
      </c>
    </row>
    <row r="429" spans="1:17" x14ac:dyDescent="0.3">
      <c r="A429">
        <v>6067</v>
      </c>
      <c r="B429" t="s">
        <v>2953</v>
      </c>
      <c r="C429" t="s">
        <v>2954</v>
      </c>
      <c r="D429" s="3">
        <v>25610</v>
      </c>
      <c r="E429" t="s">
        <v>1400</v>
      </c>
      <c r="F429">
        <v>467</v>
      </c>
      <c r="G429" s="3">
        <v>33848</v>
      </c>
      <c r="H429" t="s">
        <v>2955</v>
      </c>
      <c r="J429" t="s">
        <v>1528</v>
      </c>
      <c r="K429" t="s">
        <v>73</v>
      </c>
      <c r="L429" s="3">
        <v>45894</v>
      </c>
      <c r="M429" s="3">
        <v>46152</v>
      </c>
      <c r="N429" t="s">
        <v>2956</v>
      </c>
      <c r="O429" s="4">
        <v>0.5</v>
      </c>
      <c r="P429">
        <v>0</v>
      </c>
      <c r="Q429">
        <v>0</v>
      </c>
    </row>
    <row r="430" spans="1:17" x14ac:dyDescent="0.3">
      <c r="A430">
        <v>38931</v>
      </c>
      <c r="B430" t="s">
        <v>2957</v>
      </c>
      <c r="C430" t="s">
        <v>2958</v>
      </c>
      <c r="D430" s="3">
        <v>36438</v>
      </c>
      <c r="E430" t="s">
        <v>1400</v>
      </c>
      <c r="G430" s="3">
        <v>45040</v>
      </c>
      <c r="H430" t="s">
        <v>2959</v>
      </c>
      <c r="J430" t="s">
        <v>1408</v>
      </c>
      <c r="K430" t="s">
        <v>55</v>
      </c>
      <c r="L430" s="3">
        <v>46882</v>
      </c>
      <c r="M430" s="3">
        <v>46842</v>
      </c>
      <c r="N430" t="s">
        <v>2960</v>
      </c>
      <c r="O430" s="4">
        <v>1</v>
      </c>
      <c r="P430">
        <v>0</v>
      </c>
      <c r="Q430">
        <v>0</v>
      </c>
    </row>
    <row r="431" spans="1:17" x14ac:dyDescent="0.3">
      <c r="A431">
        <v>40393</v>
      </c>
      <c r="B431" t="s">
        <v>2961</v>
      </c>
      <c r="C431" t="s">
        <v>2962</v>
      </c>
      <c r="D431" s="3">
        <v>35772</v>
      </c>
      <c r="E431" t="s">
        <v>1400</v>
      </c>
      <c r="G431" s="3">
        <v>45408</v>
      </c>
      <c r="H431" t="s">
        <v>2963</v>
      </c>
      <c r="J431" t="s">
        <v>1408</v>
      </c>
      <c r="K431" t="s">
        <v>52</v>
      </c>
      <c r="L431" s="3">
        <v>47258</v>
      </c>
      <c r="M431" s="3">
        <v>47204</v>
      </c>
      <c r="N431" t="s">
        <v>2964</v>
      </c>
      <c r="O431" s="4">
        <v>1</v>
      </c>
      <c r="P431">
        <v>0</v>
      </c>
      <c r="Q431">
        <v>0</v>
      </c>
    </row>
    <row r="432" spans="1:17" x14ac:dyDescent="0.3">
      <c r="A432">
        <v>37132</v>
      </c>
      <c r="B432" t="s">
        <v>2965</v>
      </c>
      <c r="C432" t="s">
        <v>2966</v>
      </c>
      <c r="D432" s="3">
        <v>34746</v>
      </c>
      <c r="E432" t="s">
        <v>1400</v>
      </c>
      <c r="G432" s="3">
        <v>44599</v>
      </c>
      <c r="H432" t="s">
        <v>2967</v>
      </c>
      <c r="J432" t="s">
        <v>1408</v>
      </c>
      <c r="K432" t="s">
        <v>52</v>
      </c>
      <c r="L432" s="3">
        <v>46439</v>
      </c>
      <c r="M432" s="3">
        <v>46320</v>
      </c>
      <c r="N432" t="s">
        <v>2968</v>
      </c>
      <c r="O432" s="4">
        <v>1</v>
      </c>
      <c r="P432">
        <v>0</v>
      </c>
      <c r="Q432">
        <v>0</v>
      </c>
    </row>
    <row r="433" spans="1:17" x14ac:dyDescent="0.3">
      <c r="A433">
        <v>16545</v>
      </c>
      <c r="B433" t="s">
        <v>2969</v>
      </c>
      <c r="C433" t="s">
        <v>2970</v>
      </c>
      <c r="D433" s="3">
        <v>24848</v>
      </c>
      <c r="E433" t="s">
        <v>1400</v>
      </c>
      <c r="F433">
        <v>535</v>
      </c>
      <c r="G433" s="3">
        <v>37991</v>
      </c>
      <c r="H433" t="s">
        <v>2971</v>
      </c>
      <c r="I433">
        <v>93557570</v>
      </c>
      <c r="J433" t="s">
        <v>1523</v>
      </c>
      <c r="K433" t="s">
        <v>55</v>
      </c>
      <c r="L433" s="3">
        <v>46889</v>
      </c>
      <c r="M433" s="3">
        <v>46882</v>
      </c>
      <c r="N433" t="s">
        <v>2972</v>
      </c>
      <c r="O433" s="4">
        <v>1</v>
      </c>
      <c r="P433">
        <v>0</v>
      </c>
      <c r="Q433">
        <v>0</v>
      </c>
    </row>
    <row r="434" spans="1:17" x14ac:dyDescent="0.3">
      <c r="A434">
        <v>4764</v>
      </c>
      <c r="B434" t="s">
        <v>2973</v>
      </c>
      <c r="C434" t="s">
        <v>2974</v>
      </c>
      <c r="D434" s="3">
        <v>24539</v>
      </c>
      <c r="E434" t="s">
        <v>1400</v>
      </c>
      <c r="F434">
        <v>539</v>
      </c>
      <c r="G434" s="3">
        <v>32924</v>
      </c>
      <c r="H434" t="s">
        <v>2975</v>
      </c>
      <c r="J434" t="s">
        <v>1523</v>
      </c>
      <c r="K434" t="s">
        <v>55</v>
      </c>
      <c r="L434" s="3">
        <v>45943</v>
      </c>
      <c r="M434" s="3">
        <v>46637</v>
      </c>
      <c r="N434" t="s">
        <v>2976</v>
      </c>
      <c r="O434" s="4">
        <v>0.8</v>
      </c>
      <c r="P434">
        <v>0</v>
      </c>
      <c r="Q434">
        <v>0</v>
      </c>
    </row>
    <row r="435" spans="1:17" x14ac:dyDescent="0.3">
      <c r="A435">
        <v>20476</v>
      </c>
      <c r="B435" t="s">
        <v>2977</v>
      </c>
      <c r="C435" t="s">
        <v>2974</v>
      </c>
      <c r="D435" s="3">
        <v>30153</v>
      </c>
      <c r="E435" t="s">
        <v>1656</v>
      </c>
      <c r="F435">
        <v>83</v>
      </c>
      <c r="G435" s="3">
        <v>39160</v>
      </c>
      <c r="H435" t="s">
        <v>2978</v>
      </c>
      <c r="J435" t="s">
        <v>1506</v>
      </c>
      <c r="K435" t="s">
        <v>52</v>
      </c>
      <c r="L435" s="3">
        <v>72686</v>
      </c>
      <c r="M435" s="3">
        <v>46838</v>
      </c>
      <c r="N435" t="s">
        <v>2979</v>
      </c>
      <c r="O435" s="4">
        <v>1</v>
      </c>
      <c r="P435">
        <v>0</v>
      </c>
      <c r="Q435">
        <v>0</v>
      </c>
    </row>
    <row r="436" spans="1:17" x14ac:dyDescent="0.3">
      <c r="A436">
        <v>9824</v>
      </c>
      <c r="B436" t="s">
        <v>2433</v>
      </c>
      <c r="C436" t="s">
        <v>2980</v>
      </c>
      <c r="D436" s="3">
        <v>23784</v>
      </c>
      <c r="E436" t="s">
        <v>1400</v>
      </c>
      <c r="F436">
        <v>192</v>
      </c>
      <c r="G436" s="3">
        <v>35723</v>
      </c>
      <c r="H436" t="s">
        <v>2981</v>
      </c>
      <c r="J436" t="s">
        <v>1506</v>
      </c>
      <c r="K436" t="s">
        <v>67</v>
      </c>
      <c r="L436" s="3">
        <v>72686</v>
      </c>
      <c r="M436" s="3">
        <v>46236</v>
      </c>
      <c r="N436" t="s">
        <v>2982</v>
      </c>
      <c r="O436" s="4">
        <v>1</v>
      </c>
      <c r="P436">
        <v>0</v>
      </c>
      <c r="Q436">
        <v>1</v>
      </c>
    </row>
    <row r="437" spans="1:17" x14ac:dyDescent="0.3">
      <c r="A437">
        <v>40421</v>
      </c>
      <c r="B437" t="s">
        <v>2983</v>
      </c>
      <c r="C437" t="s">
        <v>2980</v>
      </c>
      <c r="D437" s="3">
        <v>20536</v>
      </c>
      <c r="E437" t="s">
        <v>1400</v>
      </c>
      <c r="G437" s="3">
        <v>45407</v>
      </c>
      <c r="J437" t="s">
        <v>1977</v>
      </c>
      <c r="K437" t="s">
        <v>73</v>
      </c>
      <c r="L437" s="3">
        <v>1</v>
      </c>
      <c r="M437" s="3">
        <v>1</v>
      </c>
      <c r="N437" t="s">
        <v>2984</v>
      </c>
      <c r="O437" s="4">
        <v>1</v>
      </c>
      <c r="P437">
        <v>0</v>
      </c>
      <c r="Q437">
        <v>0</v>
      </c>
    </row>
    <row r="438" spans="1:17" x14ac:dyDescent="0.3">
      <c r="A438">
        <v>35187</v>
      </c>
      <c r="B438" t="s">
        <v>2985</v>
      </c>
      <c r="C438" t="s">
        <v>2980</v>
      </c>
      <c r="D438" s="3">
        <v>19500</v>
      </c>
      <c r="E438" t="s">
        <v>1400</v>
      </c>
      <c r="G438" s="3">
        <v>43891</v>
      </c>
      <c r="H438" t="s">
        <v>2986</v>
      </c>
      <c r="J438" t="s">
        <v>1977</v>
      </c>
      <c r="K438" t="s">
        <v>73</v>
      </c>
      <c r="L438" s="3">
        <v>1</v>
      </c>
      <c r="M438" s="3">
        <v>1</v>
      </c>
      <c r="N438" t="s">
        <v>2987</v>
      </c>
      <c r="O438" s="4">
        <v>1</v>
      </c>
      <c r="P438">
        <v>0</v>
      </c>
      <c r="Q438">
        <v>0</v>
      </c>
    </row>
    <row r="439" spans="1:17" x14ac:dyDescent="0.3">
      <c r="A439">
        <v>32091</v>
      </c>
      <c r="B439" t="s">
        <v>2988</v>
      </c>
      <c r="C439" t="s">
        <v>2989</v>
      </c>
      <c r="D439" s="3">
        <v>29257</v>
      </c>
      <c r="E439" t="s">
        <v>1400</v>
      </c>
      <c r="F439">
        <v>69</v>
      </c>
      <c r="G439" s="3">
        <v>43003</v>
      </c>
      <c r="H439" t="s">
        <v>2990</v>
      </c>
      <c r="I439">
        <v>474517590</v>
      </c>
      <c r="J439" t="s">
        <v>1441</v>
      </c>
      <c r="K439" t="s">
        <v>64</v>
      </c>
      <c r="L439" s="3">
        <v>46610</v>
      </c>
      <c r="M439" s="3">
        <v>46565</v>
      </c>
      <c r="N439" t="s">
        <v>2991</v>
      </c>
      <c r="O439" s="4">
        <v>1</v>
      </c>
      <c r="P439">
        <v>0</v>
      </c>
      <c r="Q439">
        <v>1</v>
      </c>
    </row>
    <row r="440" spans="1:17" x14ac:dyDescent="0.3">
      <c r="A440">
        <v>20542</v>
      </c>
      <c r="B440" t="s">
        <v>2992</v>
      </c>
      <c r="C440" t="s">
        <v>2993</v>
      </c>
      <c r="D440" s="3">
        <v>31215</v>
      </c>
      <c r="E440" t="s">
        <v>1400</v>
      </c>
      <c r="F440">
        <v>267</v>
      </c>
      <c r="G440" s="3">
        <v>39174</v>
      </c>
      <c r="H440" t="s">
        <v>2994</v>
      </c>
      <c r="J440" t="s">
        <v>1403</v>
      </c>
      <c r="K440" t="s">
        <v>70</v>
      </c>
      <c r="L440" s="3">
        <v>46187</v>
      </c>
      <c r="M440" s="3">
        <v>46274</v>
      </c>
      <c r="N440" t="s">
        <v>2995</v>
      </c>
      <c r="O440" s="4">
        <v>0.8</v>
      </c>
      <c r="P440">
        <v>0</v>
      </c>
      <c r="Q440">
        <v>0</v>
      </c>
    </row>
    <row r="441" spans="1:17" x14ac:dyDescent="0.3">
      <c r="A441">
        <v>28717</v>
      </c>
      <c r="B441" t="s">
        <v>2719</v>
      </c>
      <c r="C441" t="s">
        <v>1351</v>
      </c>
      <c r="D441" s="3">
        <v>27229</v>
      </c>
      <c r="E441" t="s">
        <v>1400</v>
      </c>
      <c r="F441">
        <v>25</v>
      </c>
      <c r="G441" s="3">
        <v>41659</v>
      </c>
      <c r="H441" t="s">
        <v>2996</v>
      </c>
      <c r="J441" t="s">
        <v>1432</v>
      </c>
      <c r="K441" t="s">
        <v>73</v>
      </c>
      <c r="L441" s="3">
        <v>46859</v>
      </c>
      <c r="M441" s="3">
        <v>46853</v>
      </c>
      <c r="N441" t="s">
        <v>2997</v>
      </c>
      <c r="O441" s="4">
        <v>1</v>
      </c>
      <c r="P441">
        <v>0</v>
      </c>
      <c r="Q441">
        <v>0</v>
      </c>
    </row>
    <row r="442" spans="1:17" x14ac:dyDescent="0.3">
      <c r="A442">
        <v>28821</v>
      </c>
      <c r="B442" t="s">
        <v>2998</v>
      </c>
      <c r="C442" t="s">
        <v>1351</v>
      </c>
      <c r="D442" s="3">
        <v>27974</v>
      </c>
      <c r="E442" t="s">
        <v>1400</v>
      </c>
      <c r="F442">
        <v>652</v>
      </c>
      <c r="G442" s="3">
        <v>41708</v>
      </c>
      <c r="H442" t="s">
        <v>2999</v>
      </c>
      <c r="J442" t="s">
        <v>1626</v>
      </c>
      <c r="K442" t="s">
        <v>55</v>
      </c>
      <c r="L442" s="3">
        <v>47643</v>
      </c>
      <c r="M442" s="3">
        <v>46974</v>
      </c>
      <c r="N442" t="s">
        <v>3000</v>
      </c>
      <c r="O442" s="4">
        <v>0.6</v>
      </c>
      <c r="P442">
        <v>0</v>
      </c>
      <c r="Q442">
        <v>0</v>
      </c>
    </row>
    <row r="443" spans="1:17" x14ac:dyDescent="0.3">
      <c r="A443">
        <v>39858</v>
      </c>
      <c r="B443" t="s">
        <v>3001</v>
      </c>
      <c r="C443" t="s">
        <v>3002</v>
      </c>
      <c r="D443" s="3">
        <v>36686</v>
      </c>
      <c r="E443" t="s">
        <v>1400</v>
      </c>
      <c r="G443" s="3">
        <v>45264</v>
      </c>
      <c r="H443" t="s">
        <v>3003</v>
      </c>
      <c r="J443" t="s">
        <v>1408</v>
      </c>
      <c r="K443" t="s">
        <v>70</v>
      </c>
      <c r="L443" s="3">
        <v>47107</v>
      </c>
      <c r="M443" s="3">
        <v>47072</v>
      </c>
      <c r="N443" t="s">
        <v>3004</v>
      </c>
      <c r="O443" s="4">
        <v>1</v>
      </c>
      <c r="P443">
        <v>0</v>
      </c>
      <c r="Q443">
        <v>0</v>
      </c>
    </row>
    <row r="444" spans="1:17" x14ac:dyDescent="0.3">
      <c r="A444">
        <v>36358</v>
      </c>
      <c r="B444" t="s">
        <v>3005</v>
      </c>
      <c r="C444" t="s">
        <v>3006</v>
      </c>
      <c r="D444" s="3">
        <v>36236</v>
      </c>
      <c r="E444" t="s">
        <v>1400</v>
      </c>
      <c r="G444" s="3">
        <v>44270</v>
      </c>
      <c r="H444" t="s">
        <v>3007</v>
      </c>
      <c r="J444" t="s">
        <v>1408</v>
      </c>
      <c r="K444" t="s">
        <v>70</v>
      </c>
      <c r="L444" s="3">
        <v>46112</v>
      </c>
      <c r="M444" s="3">
        <v>46064</v>
      </c>
      <c r="N444" t="s">
        <v>3008</v>
      </c>
      <c r="O444" s="4">
        <v>1</v>
      </c>
      <c r="P444">
        <v>0</v>
      </c>
      <c r="Q444">
        <v>1</v>
      </c>
    </row>
    <row r="445" spans="1:17" x14ac:dyDescent="0.3">
      <c r="A445">
        <v>21809</v>
      </c>
      <c r="B445" t="s">
        <v>2534</v>
      </c>
      <c r="C445" t="s">
        <v>3009</v>
      </c>
      <c r="D445" s="3">
        <v>29830</v>
      </c>
      <c r="E445" t="s">
        <v>1400</v>
      </c>
      <c r="F445">
        <v>438</v>
      </c>
      <c r="G445" s="3">
        <v>39496</v>
      </c>
      <c r="H445" t="s">
        <v>3010</v>
      </c>
      <c r="J445" t="s">
        <v>1454</v>
      </c>
      <c r="K445" t="s">
        <v>70</v>
      </c>
      <c r="L445" s="3">
        <v>47454</v>
      </c>
      <c r="M445" s="3">
        <v>47272</v>
      </c>
      <c r="N445" t="s">
        <v>3011</v>
      </c>
      <c r="O445" s="4">
        <v>0.8</v>
      </c>
      <c r="P445">
        <v>0</v>
      </c>
      <c r="Q445">
        <v>1</v>
      </c>
    </row>
    <row r="446" spans="1:17" x14ac:dyDescent="0.3">
      <c r="A446">
        <v>32620</v>
      </c>
      <c r="B446" t="s">
        <v>3012</v>
      </c>
      <c r="C446" t="s">
        <v>3013</v>
      </c>
      <c r="D446" s="3">
        <v>35347</v>
      </c>
      <c r="E446" t="s">
        <v>1400</v>
      </c>
      <c r="F446">
        <v>296</v>
      </c>
      <c r="G446" s="3">
        <v>43193</v>
      </c>
      <c r="H446" t="s">
        <v>3014</v>
      </c>
      <c r="J446" t="s">
        <v>1480</v>
      </c>
      <c r="K446" t="s">
        <v>58</v>
      </c>
      <c r="L446" s="3">
        <v>46856</v>
      </c>
      <c r="M446" s="3">
        <v>45944</v>
      </c>
      <c r="N446" t="s">
        <v>3015</v>
      </c>
      <c r="O446" s="4">
        <v>1</v>
      </c>
      <c r="P446">
        <v>0</v>
      </c>
      <c r="Q446">
        <v>1</v>
      </c>
    </row>
    <row r="447" spans="1:17" x14ac:dyDescent="0.3">
      <c r="A447">
        <v>4419</v>
      </c>
      <c r="B447" t="s">
        <v>3016</v>
      </c>
      <c r="C447" t="s">
        <v>3017</v>
      </c>
      <c r="D447" s="3">
        <v>23958</v>
      </c>
      <c r="E447" t="s">
        <v>1400</v>
      </c>
      <c r="F447">
        <v>446</v>
      </c>
      <c r="G447" s="3">
        <v>32223</v>
      </c>
      <c r="H447" t="s">
        <v>3018</v>
      </c>
      <c r="I447">
        <v>93365628</v>
      </c>
      <c r="J447" t="s">
        <v>1528</v>
      </c>
      <c r="K447" t="s">
        <v>73</v>
      </c>
      <c r="L447" s="3">
        <v>46863</v>
      </c>
      <c r="M447" s="3">
        <v>46838</v>
      </c>
      <c r="N447" t="s">
        <v>3019</v>
      </c>
      <c r="O447" s="4">
        <v>0.8</v>
      </c>
      <c r="P447">
        <v>0</v>
      </c>
      <c r="Q447">
        <v>0</v>
      </c>
    </row>
    <row r="448" spans="1:17" x14ac:dyDescent="0.3">
      <c r="A448">
        <v>42120</v>
      </c>
      <c r="B448" t="s">
        <v>3020</v>
      </c>
      <c r="C448" t="s">
        <v>3021</v>
      </c>
      <c r="D448" s="3">
        <v>38832</v>
      </c>
      <c r="E448" t="s">
        <v>1400</v>
      </c>
      <c r="G448" s="3">
        <v>45860</v>
      </c>
      <c r="H448" t="s">
        <v>3022</v>
      </c>
      <c r="J448" t="s">
        <v>1408</v>
      </c>
      <c r="K448" t="s">
        <v>64</v>
      </c>
      <c r="L448" s="3">
        <v>1</v>
      </c>
      <c r="M448" s="3">
        <v>1</v>
      </c>
      <c r="N448" t="s">
        <v>3023</v>
      </c>
      <c r="O448" s="4">
        <v>1</v>
      </c>
      <c r="P448">
        <v>0</v>
      </c>
      <c r="Q448">
        <v>0</v>
      </c>
    </row>
    <row r="449" spans="1:17" x14ac:dyDescent="0.3">
      <c r="A449">
        <v>37609</v>
      </c>
      <c r="B449" t="s">
        <v>3024</v>
      </c>
      <c r="C449" t="s">
        <v>3021</v>
      </c>
      <c r="D449" s="3">
        <v>34406</v>
      </c>
      <c r="E449" t="s">
        <v>1400</v>
      </c>
      <c r="G449" s="3">
        <v>44704</v>
      </c>
      <c r="H449" t="s">
        <v>3025</v>
      </c>
      <c r="J449" t="s">
        <v>1408</v>
      </c>
      <c r="K449" t="s">
        <v>64</v>
      </c>
      <c r="L449" s="3">
        <v>46547</v>
      </c>
      <c r="M449" s="3">
        <v>46497</v>
      </c>
      <c r="N449" t="s">
        <v>3026</v>
      </c>
      <c r="O449" s="4">
        <v>1</v>
      </c>
      <c r="P449">
        <v>0</v>
      </c>
      <c r="Q449">
        <v>0</v>
      </c>
    </row>
    <row r="450" spans="1:17" x14ac:dyDescent="0.3">
      <c r="A450">
        <v>31231</v>
      </c>
      <c r="B450" t="s">
        <v>3027</v>
      </c>
      <c r="C450" t="s">
        <v>3021</v>
      </c>
      <c r="D450" s="3">
        <v>34747</v>
      </c>
      <c r="E450" t="s">
        <v>1400</v>
      </c>
      <c r="F450">
        <v>89</v>
      </c>
      <c r="G450" s="3">
        <v>42674</v>
      </c>
      <c r="H450" t="s">
        <v>3028</v>
      </c>
      <c r="J450" t="s">
        <v>1408</v>
      </c>
      <c r="K450" t="s">
        <v>58</v>
      </c>
      <c r="L450" s="3">
        <v>46263</v>
      </c>
      <c r="M450" s="3">
        <v>46210</v>
      </c>
      <c r="N450" t="s">
        <v>3029</v>
      </c>
      <c r="O450" s="4">
        <v>1</v>
      </c>
      <c r="P450">
        <v>0</v>
      </c>
      <c r="Q450">
        <v>0</v>
      </c>
    </row>
    <row r="451" spans="1:17" x14ac:dyDescent="0.3">
      <c r="A451">
        <v>29179</v>
      </c>
      <c r="B451" t="s">
        <v>3030</v>
      </c>
      <c r="C451" t="s">
        <v>3031</v>
      </c>
      <c r="D451" s="3">
        <v>32059</v>
      </c>
      <c r="E451" t="s">
        <v>1400</v>
      </c>
      <c r="F451">
        <v>276</v>
      </c>
      <c r="G451" s="3">
        <v>41827</v>
      </c>
      <c r="H451" t="s">
        <v>3032</v>
      </c>
      <c r="I451" t="s">
        <v>3033</v>
      </c>
      <c r="J451" t="s">
        <v>1587</v>
      </c>
      <c r="K451" t="s">
        <v>70</v>
      </c>
      <c r="L451" s="3">
        <v>47278</v>
      </c>
      <c r="M451" s="3">
        <v>46042</v>
      </c>
      <c r="N451" t="s">
        <v>3034</v>
      </c>
      <c r="O451" s="4">
        <v>1</v>
      </c>
      <c r="P451">
        <v>0</v>
      </c>
      <c r="Q451">
        <v>0</v>
      </c>
    </row>
    <row r="452" spans="1:17" x14ac:dyDescent="0.3">
      <c r="A452">
        <v>41092</v>
      </c>
      <c r="B452" t="s">
        <v>3035</v>
      </c>
      <c r="C452" t="s">
        <v>3036</v>
      </c>
      <c r="D452" s="3">
        <v>29089</v>
      </c>
      <c r="E452" t="s">
        <v>1400</v>
      </c>
      <c r="G452" s="3">
        <v>45574</v>
      </c>
      <c r="H452" t="s">
        <v>3037</v>
      </c>
      <c r="J452" t="s">
        <v>1408</v>
      </c>
      <c r="K452" t="s">
        <v>52</v>
      </c>
      <c r="L452" s="3">
        <v>47418</v>
      </c>
      <c r="M452" s="3">
        <v>47379</v>
      </c>
      <c r="N452" t="s">
        <v>3038</v>
      </c>
      <c r="O452" s="4">
        <v>1</v>
      </c>
      <c r="P452">
        <v>0</v>
      </c>
      <c r="Q452">
        <v>0</v>
      </c>
    </row>
    <row r="453" spans="1:17" x14ac:dyDescent="0.3">
      <c r="A453">
        <v>7422</v>
      </c>
      <c r="B453" t="s">
        <v>2864</v>
      </c>
      <c r="C453" t="s">
        <v>1347</v>
      </c>
      <c r="D453" s="3">
        <v>26956</v>
      </c>
      <c r="E453" t="s">
        <v>1400</v>
      </c>
      <c r="F453">
        <v>557</v>
      </c>
      <c r="G453" s="3">
        <v>34834</v>
      </c>
      <c r="H453" t="s">
        <v>3039</v>
      </c>
      <c r="J453" t="s">
        <v>1523</v>
      </c>
      <c r="K453" t="s">
        <v>55</v>
      </c>
      <c r="L453" s="3">
        <v>45850</v>
      </c>
      <c r="M453" s="3">
        <v>45993</v>
      </c>
      <c r="N453" t="s">
        <v>3040</v>
      </c>
      <c r="O453" s="4">
        <v>1</v>
      </c>
      <c r="P453">
        <v>0</v>
      </c>
      <c r="Q453">
        <v>1</v>
      </c>
    </row>
    <row r="454" spans="1:17" x14ac:dyDescent="0.3">
      <c r="A454">
        <v>37222</v>
      </c>
      <c r="B454" t="s">
        <v>3041</v>
      </c>
      <c r="C454" t="s">
        <v>1347</v>
      </c>
      <c r="D454" s="3">
        <v>32283</v>
      </c>
      <c r="E454" t="s">
        <v>1400</v>
      </c>
      <c r="G454" s="3">
        <v>44599</v>
      </c>
      <c r="H454" t="s">
        <v>3042</v>
      </c>
      <c r="J454" t="s">
        <v>1408</v>
      </c>
      <c r="K454" t="s">
        <v>73</v>
      </c>
      <c r="L454" s="3">
        <v>46439</v>
      </c>
      <c r="M454" s="3">
        <v>46236</v>
      </c>
      <c r="N454" t="s">
        <v>3043</v>
      </c>
      <c r="O454" s="4">
        <v>0.6</v>
      </c>
      <c r="P454">
        <v>0</v>
      </c>
      <c r="Q454">
        <v>0</v>
      </c>
    </row>
    <row r="455" spans="1:17" x14ac:dyDescent="0.3">
      <c r="A455">
        <v>35107</v>
      </c>
      <c r="B455" t="s">
        <v>3044</v>
      </c>
      <c r="C455" t="s">
        <v>1347</v>
      </c>
      <c r="D455" s="3">
        <v>26227</v>
      </c>
      <c r="E455" t="s">
        <v>1400</v>
      </c>
      <c r="F455">
        <v>311</v>
      </c>
      <c r="G455" s="3">
        <v>43864</v>
      </c>
      <c r="H455" t="s">
        <v>3045</v>
      </c>
      <c r="J455" t="s">
        <v>1413</v>
      </c>
      <c r="K455" t="s">
        <v>55</v>
      </c>
      <c r="L455" s="3">
        <v>47485</v>
      </c>
      <c r="M455" s="3">
        <v>47441</v>
      </c>
      <c r="N455" t="s">
        <v>3046</v>
      </c>
      <c r="O455" s="4">
        <v>0.5</v>
      </c>
      <c r="P455">
        <v>0</v>
      </c>
      <c r="Q455">
        <v>0</v>
      </c>
    </row>
    <row r="456" spans="1:17" x14ac:dyDescent="0.3">
      <c r="A456">
        <v>15628</v>
      </c>
      <c r="B456" t="s">
        <v>3047</v>
      </c>
      <c r="C456" t="s">
        <v>1347</v>
      </c>
      <c r="D456" s="3">
        <v>26166</v>
      </c>
      <c r="E456" t="s">
        <v>1400</v>
      </c>
      <c r="G456" s="3">
        <v>37718</v>
      </c>
      <c r="H456" t="s">
        <v>3048</v>
      </c>
      <c r="J456" t="s">
        <v>1587</v>
      </c>
      <c r="K456" t="s">
        <v>64</v>
      </c>
      <c r="L456" s="3">
        <v>46168</v>
      </c>
      <c r="M456" s="3">
        <v>46056</v>
      </c>
      <c r="N456" t="s">
        <v>3049</v>
      </c>
      <c r="O456" s="4">
        <v>1</v>
      </c>
      <c r="P456">
        <v>0</v>
      </c>
      <c r="Q456">
        <v>0</v>
      </c>
    </row>
    <row r="457" spans="1:17" x14ac:dyDescent="0.3">
      <c r="A457">
        <v>9667</v>
      </c>
      <c r="B457" t="s">
        <v>3050</v>
      </c>
      <c r="C457" t="s">
        <v>3051</v>
      </c>
      <c r="D457" s="3">
        <v>26311</v>
      </c>
      <c r="E457" t="s">
        <v>1400</v>
      </c>
      <c r="F457">
        <v>608</v>
      </c>
      <c r="G457" s="3">
        <v>35667</v>
      </c>
      <c r="H457" t="s">
        <v>3052</v>
      </c>
      <c r="J457" t="s">
        <v>1702</v>
      </c>
      <c r="K457" t="s">
        <v>64</v>
      </c>
      <c r="L457" s="3">
        <v>47558</v>
      </c>
      <c r="M457" s="3">
        <v>46369</v>
      </c>
      <c r="N457" t="s">
        <v>3053</v>
      </c>
      <c r="O457" s="4">
        <v>1</v>
      </c>
      <c r="P457">
        <v>0</v>
      </c>
      <c r="Q457">
        <v>0</v>
      </c>
    </row>
    <row r="458" spans="1:17" x14ac:dyDescent="0.3">
      <c r="A458">
        <v>40608</v>
      </c>
      <c r="B458" t="s">
        <v>3054</v>
      </c>
      <c r="C458" t="s">
        <v>3055</v>
      </c>
      <c r="D458" s="3">
        <v>34274</v>
      </c>
      <c r="E458" t="s">
        <v>1400</v>
      </c>
      <c r="G458" s="3">
        <v>45456</v>
      </c>
      <c r="H458" t="s">
        <v>3056</v>
      </c>
      <c r="J458" t="s">
        <v>1408</v>
      </c>
      <c r="K458" t="s">
        <v>73</v>
      </c>
      <c r="L458" s="3">
        <v>47300</v>
      </c>
      <c r="M458" s="3">
        <v>47272</v>
      </c>
      <c r="N458" t="s">
        <v>3057</v>
      </c>
      <c r="O458" s="4">
        <v>1</v>
      </c>
      <c r="P458">
        <v>0</v>
      </c>
      <c r="Q458">
        <v>0</v>
      </c>
    </row>
    <row r="459" spans="1:17" x14ac:dyDescent="0.3">
      <c r="A459">
        <v>18987</v>
      </c>
      <c r="B459" t="s">
        <v>3058</v>
      </c>
      <c r="C459" t="s">
        <v>3059</v>
      </c>
      <c r="D459" s="3">
        <v>29733</v>
      </c>
      <c r="E459" t="s">
        <v>1400</v>
      </c>
      <c r="F459">
        <v>310</v>
      </c>
      <c r="G459" s="3">
        <v>38754</v>
      </c>
      <c r="H459" t="s">
        <v>3060</v>
      </c>
      <c r="J459" t="s">
        <v>1722</v>
      </c>
      <c r="K459" t="s">
        <v>67</v>
      </c>
      <c r="L459" s="3">
        <v>45895</v>
      </c>
      <c r="M459" s="3">
        <v>45973</v>
      </c>
      <c r="N459" t="s">
        <v>3061</v>
      </c>
      <c r="O459" s="4">
        <v>0.8</v>
      </c>
      <c r="P459">
        <v>0</v>
      </c>
      <c r="Q459">
        <v>0</v>
      </c>
    </row>
    <row r="460" spans="1:17" x14ac:dyDescent="0.3">
      <c r="A460">
        <v>22296</v>
      </c>
      <c r="B460" t="s">
        <v>3062</v>
      </c>
      <c r="C460" t="s">
        <v>3063</v>
      </c>
      <c r="D460" s="3">
        <v>29517</v>
      </c>
      <c r="E460" t="s">
        <v>1400</v>
      </c>
      <c r="F460">
        <v>457</v>
      </c>
      <c r="G460" s="3">
        <v>39601</v>
      </c>
      <c r="H460" t="s">
        <v>3064</v>
      </c>
      <c r="J460" t="s">
        <v>1426</v>
      </c>
      <c r="K460" t="s">
        <v>70</v>
      </c>
      <c r="L460" s="3">
        <v>72686</v>
      </c>
      <c r="M460" s="3">
        <v>47615</v>
      </c>
      <c r="N460" t="s">
        <v>3065</v>
      </c>
      <c r="O460" s="4">
        <v>0.8</v>
      </c>
      <c r="P460">
        <v>0</v>
      </c>
      <c r="Q460">
        <v>0</v>
      </c>
    </row>
    <row r="461" spans="1:17" x14ac:dyDescent="0.3">
      <c r="A461">
        <v>6309</v>
      </c>
      <c r="B461" t="s">
        <v>3066</v>
      </c>
      <c r="C461" t="s">
        <v>3067</v>
      </c>
      <c r="D461" s="3">
        <v>26147</v>
      </c>
      <c r="E461" t="s">
        <v>1400</v>
      </c>
      <c r="F461">
        <v>413</v>
      </c>
      <c r="G461" s="3">
        <v>34078</v>
      </c>
      <c r="H461" t="s">
        <v>3068</v>
      </c>
      <c r="J461" t="s">
        <v>1569</v>
      </c>
      <c r="K461" t="s">
        <v>64</v>
      </c>
      <c r="L461" s="3">
        <v>47594</v>
      </c>
      <c r="M461" s="3">
        <v>46497</v>
      </c>
      <c r="N461" t="s">
        <v>3069</v>
      </c>
      <c r="O461" s="4">
        <v>1</v>
      </c>
      <c r="P461">
        <v>0</v>
      </c>
      <c r="Q461">
        <v>0</v>
      </c>
    </row>
    <row r="462" spans="1:17" x14ac:dyDescent="0.3">
      <c r="A462">
        <v>41137</v>
      </c>
      <c r="B462" t="s">
        <v>3070</v>
      </c>
      <c r="C462" t="s">
        <v>3067</v>
      </c>
      <c r="D462" s="3">
        <v>25087</v>
      </c>
      <c r="E462" t="s">
        <v>1400</v>
      </c>
      <c r="G462" s="3">
        <v>45616</v>
      </c>
      <c r="H462" t="s">
        <v>3071</v>
      </c>
      <c r="J462" t="s">
        <v>1408</v>
      </c>
      <c r="K462" t="s">
        <v>52</v>
      </c>
      <c r="L462" s="3">
        <v>46896</v>
      </c>
      <c r="M462" s="3">
        <v>46165</v>
      </c>
      <c r="N462" t="s">
        <v>3072</v>
      </c>
      <c r="O462" s="4">
        <v>1</v>
      </c>
      <c r="P462">
        <v>0</v>
      </c>
      <c r="Q462">
        <v>0</v>
      </c>
    </row>
    <row r="463" spans="1:17" x14ac:dyDescent="0.3">
      <c r="A463">
        <v>35430</v>
      </c>
      <c r="B463" t="s">
        <v>3073</v>
      </c>
      <c r="C463" t="s">
        <v>3067</v>
      </c>
      <c r="D463" s="3">
        <v>22829</v>
      </c>
      <c r="E463" t="s">
        <v>1400</v>
      </c>
      <c r="F463">
        <v>28</v>
      </c>
      <c r="G463" s="3">
        <v>44011</v>
      </c>
      <c r="H463" t="s">
        <v>3074</v>
      </c>
      <c r="J463" t="s">
        <v>1413</v>
      </c>
      <c r="K463" t="s">
        <v>58</v>
      </c>
      <c r="L463" s="3">
        <v>47587</v>
      </c>
      <c r="M463" s="3">
        <v>47568</v>
      </c>
      <c r="N463" t="s">
        <v>3075</v>
      </c>
      <c r="O463" s="4">
        <v>0.5</v>
      </c>
      <c r="P463">
        <v>1</v>
      </c>
      <c r="Q463">
        <v>1</v>
      </c>
    </row>
    <row r="464" spans="1:17" x14ac:dyDescent="0.3">
      <c r="A464">
        <v>33049</v>
      </c>
      <c r="B464" t="s">
        <v>3076</v>
      </c>
      <c r="C464" t="s">
        <v>3067</v>
      </c>
      <c r="D464" s="3">
        <v>24920</v>
      </c>
      <c r="E464" t="s">
        <v>1400</v>
      </c>
      <c r="F464">
        <v>205</v>
      </c>
      <c r="G464" s="3">
        <v>43318</v>
      </c>
      <c r="H464" t="s">
        <v>3077</v>
      </c>
      <c r="J464" t="s">
        <v>1610</v>
      </c>
      <c r="K464" t="s">
        <v>64</v>
      </c>
      <c r="L464" s="3">
        <v>46915</v>
      </c>
      <c r="M464" s="3">
        <v>46166</v>
      </c>
      <c r="N464" t="s">
        <v>3078</v>
      </c>
      <c r="O464" s="4">
        <v>1</v>
      </c>
      <c r="P464">
        <v>0</v>
      </c>
      <c r="Q464">
        <v>1</v>
      </c>
    </row>
    <row r="465" spans="1:17" x14ac:dyDescent="0.3">
      <c r="A465">
        <v>15088</v>
      </c>
      <c r="B465" t="s">
        <v>3079</v>
      </c>
      <c r="C465" t="s">
        <v>3067</v>
      </c>
      <c r="D465" s="3">
        <v>24300</v>
      </c>
      <c r="E465" t="s">
        <v>1400</v>
      </c>
      <c r="F465">
        <v>505</v>
      </c>
      <c r="G465" s="3">
        <v>37501</v>
      </c>
      <c r="H465" t="s">
        <v>3080</v>
      </c>
      <c r="I465">
        <v>92365262</v>
      </c>
      <c r="J465" t="s">
        <v>1523</v>
      </c>
      <c r="K465" t="s">
        <v>58</v>
      </c>
      <c r="L465" s="3">
        <v>47652</v>
      </c>
      <c r="M465" s="3">
        <v>46279</v>
      </c>
      <c r="N465" t="s">
        <v>3081</v>
      </c>
      <c r="O465" s="4">
        <v>0.8</v>
      </c>
      <c r="P465">
        <v>0</v>
      </c>
      <c r="Q465">
        <v>1</v>
      </c>
    </row>
    <row r="466" spans="1:17" x14ac:dyDescent="0.3">
      <c r="A466">
        <v>31891</v>
      </c>
      <c r="B466" t="s">
        <v>2581</v>
      </c>
      <c r="C466" t="s">
        <v>3082</v>
      </c>
      <c r="D466" s="3">
        <v>26685</v>
      </c>
      <c r="E466" t="s">
        <v>1400</v>
      </c>
      <c r="G466" s="3">
        <v>42975</v>
      </c>
      <c r="H466" t="s">
        <v>3083</v>
      </c>
      <c r="J466" t="s">
        <v>1859</v>
      </c>
      <c r="K466" t="s">
        <v>55</v>
      </c>
      <c r="L466" s="3">
        <v>46565</v>
      </c>
      <c r="M466" s="3">
        <v>46494</v>
      </c>
      <c r="N466" t="s">
        <v>3084</v>
      </c>
      <c r="O466" s="4">
        <v>1</v>
      </c>
      <c r="P466">
        <v>0</v>
      </c>
      <c r="Q466">
        <v>0</v>
      </c>
    </row>
    <row r="467" spans="1:17" x14ac:dyDescent="0.3">
      <c r="A467">
        <v>36503</v>
      </c>
      <c r="B467" t="s">
        <v>3085</v>
      </c>
      <c r="C467" t="s">
        <v>3086</v>
      </c>
      <c r="D467" s="3">
        <v>30035</v>
      </c>
      <c r="E467" t="s">
        <v>1400</v>
      </c>
      <c r="G467" s="3">
        <v>44333</v>
      </c>
      <c r="H467" t="s">
        <v>3087</v>
      </c>
      <c r="J467" t="s">
        <v>1408</v>
      </c>
      <c r="K467" t="s">
        <v>61</v>
      </c>
      <c r="L467" s="3">
        <v>46174</v>
      </c>
      <c r="M467" s="3">
        <v>46004</v>
      </c>
      <c r="N467" t="s">
        <v>3088</v>
      </c>
      <c r="O467" s="4">
        <v>1</v>
      </c>
      <c r="P467">
        <v>0</v>
      </c>
      <c r="Q467">
        <v>0</v>
      </c>
    </row>
    <row r="468" spans="1:17" x14ac:dyDescent="0.3">
      <c r="A468">
        <v>34351</v>
      </c>
      <c r="B468" t="s">
        <v>3089</v>
      </c>
      <c r="C468" t="s">
        <v>3090</v>
      </c>
      <c r="D468" s="3">
        <v>30411</v>
      </c>
      <c r="E468" t="s">
        <v>1400</v>
      </c>
      <c r="F468">
        <v>11</v>
      </c>
      <c r="G468" s="3">
        <v>43710</v>
      </c>
      <c r="H468" t="s">
        <v>3091</v>
      </c>
      <c r="I468">
        <v>468493588</v>
      </c>
      <c r="J468" t="s">
        <v>1418</v>
      </c>
      <c r="K468" t="s">
        <v>58</v>
      </c>
      <c r="L468" s="3">
        <v>47337</v>
      </c>
      <c r="M468" s="3">
        <v>47316</v>
      </c>
      <c r="N468" t="s">
        <v>3092</v>
      </c>
      <c r="O468" s="4">
        <v>1</v>
      </c>
      <c r="P468">
        <v>0</v>
      </c>
      <c r="Q468">
        <v>1</v>
      </c>
    </row>
    <row r="469" spans="1:17" x14ac:dyDescent="0.3">
      <c r="A469">
        <v>20705</v>
      </c>
      <c r="B469" t="s">
        <v>3093</v>
      </c>
      <c r="C469" t="s">
        <v>3094</v>
      </c>
      <c r="D469" s="3">
        <v>31394</v>
      </c>
      <c r="E469" t="s">
        <v>1400</v>
      </c>
      <c r="F469">
        <v>319</v>
      </c>
      <c r="G469" s="3">
        <v>39223</v>
      </c>
      <c r="H469" t="s">
        <v>3095</v>
      </c>
      <c r="J469" t="s">
        <v>1569</v>
      </c>
      <c r="K469" t="s">
        <v>58</v>
      </c>
      <c r="L469" s="3">
        <v>45887</v>
      </c>
      <c r="M469" s="3">
        <v>46236</v>
      </c>
      <c r="N469" t="s">
        <v>3096</v>
      </c>
      <c r="O469" s="4">
        <v>1</v>
      </c>
      <c r="P469">
        <v>0</v>
      </c>
      <c r="Q469">
        <v>0</v>
      </c>
    </row>
    <row r="470" spans="1:17" x14ac:dyDescent="0.3">
      <c r="A470">
        <v>7746</v>
      </c>
      <c r="B470" t="s">
        <v>2386</v>
      </c>
      <c r="C470" t="s">
        <v>3097</v>
      </c>
      <c r="D470" s="3">
        <v>23497</v>
      </c>
      <c r="E470" t="s">
        <v>1400</v>
      </c>
      <c r="F470">
        <v>356</v>
      </c>
      <c r="G470" s="3">
        <v>34932</v>
      </c>
      <c r="I470">
        <v>93293469</v>
      </c>
      <c r="J470" t="s">
        <v>1519</v>
      </c>
      <c r="K470" t="s">
        <v>61</v>
      </c>
      <c r="L470" s="3">
        <v>45854</v>
      </c>
      <c r="M470" s="3">
        <v>47369</v>
      </c>
      <c r="N470" t="s">
        <v>3098</v>
      </c>
      <c r="O470" s="4">
        <v>1</v>
      </c>
      <c r="P470">
        <v>0</v>
      </c>
      <c r="Q470">
        <v>0</v>
      </c>
    </row>
    <row r="471" spans="1:17" x14ac:dyDescent="0.3">
      <c r="A471">
        <v>38481</v>
      </c>
      <c r="B471" t="s">
        <v>2810</v>
      </c>
      <c r="C471" t="s">
        <v>3099</v>
      </c>
      <c r="D471" s="3">
        <v>36732</v>
      </c>
      <c r="E471" t="s">
        <v>1400</v>
      </c>
      <c r="G471" s="3">
        <v>44970</v>
      </c>
      <c r="H471" t="s">
        <v>3100</v>
      </c>
      <c r="J471" t="s">
        <v>1408</v>
      </c>
      <c r="K471" t="s">
        <v>64</v>
      </c>
      <c r="L471" s="3">
        <v>46810</v>
      </c>
      <c r="M471" s="3">
        <v>46707</v>
      </c>
      <c r="N471" t="s">
        <v>3101</v>
      </c>
      <c r="O471" s="4">
        <v>1</v>
      </c>
      <c r="P471">
        <v>0</v>
      </c>
      <c r="Q471">
        <v>0</v>
      </c>
    </row>
    <row r="472" spans="1:17" x14ac:dyDescent="0.3">
      <c r="A472">
        <v>30323</v>
      </c>
      <c r="B472" t="s">
        <v>3102</v>
      </c>
      <c r="C472" t="s">
        <v>3103</v>
      </c>
      <c r="D472" s="3">
        <v>27976</v>
      </c>
      <c r="E472" t="s">
        <v>1400</v>
      </c>
      <c r="F472">
        <v>474</v>
      </c>
      <c r="G472" s="3">
        <v>42296</v>
      </c>
      <c r="H472" t="s">
        <v>3104</v>
      </c>
      <c r="I472">
        <v>93845873</v>
      </c>
      <c r="J472" t="s">
        <v>1418</v>
      </c>
      <c r="K472" t="s">
        <v>55</v>
      </c>
      <c r="L472" s="3">
        <v>47602</v>
      </c>
      <c r="M472" s="3">
        <v>47594</v>
      </c>
      <c r="N472" t="s">
        <v>3105</v>
      </c>
      <c r="O472" s="4">
        <v>1</v>
      </c>
      <c r="P472">
        <v>0</v>
      </c>
      <c r="Q472">
        <v>1</v>
      </c>
    </row>
    <row r="473" spans="1:17" x14ac:dyDescent="0.3">
      <c r="A473">
        <v>9062</v>
      </c>
      <c r="B473" t="s">
        <v>3106</v>
      </c>
      <c r="C473" t="s">
        <v>3107</v>
      </c>
      <c r="D473" s="3">
        <v>26633</v>
      </c>
      <c r="E473" t="s">
        <v>1400</v>
      </c>
      <c r="F473">
        <v>382</v>
      </c>
      <c r="G473" s="3">
        <v>35478</v>
      </c>
      <c r="H473" t="s">
        <v>3108</v>
      </c>
      <c r="J473" t="s">
        <v>1574</v>
      </c>
      <c r="K473" t="s">
        <v>64</v>
      </c>
      <c r="L473" s="3">
        <v>45955</v>
      </c>
      <c r="M473" s="3">
        <v>46273</v>
      </c>
      <c r="N473" t="s">
        <v>3109</v>
      </c>
      <c r="O473" s="4">
        <v>0.8</v>
      </c>
      <c r="P473">
        <v>0</v>
      </c>
      <c r="Q473">
        <v>0</v>
      </c>
    </row>
    <row r="474" spans="1:17" x14ac:dyDescent="0.3">
      <c r="A474">
        <v>35419</v>
      </c>
      <c r="B474" t="s">
        <v>3110</v>
      </c>
      <c r="C474" t="s">
        <v>3107</v>
      </c>
      <c r="D474" s="3">
        <v>28965</v>
      </c>
      <c r="E474" t="s">
        <v>1400</v>
      </c>
      <c r="F474">
        <v>95</v>
      </c>
      <c r="G474" s="3">
        <v>44011</v>
      </c>
      <c r="H474" t="s">
        <v>3111</v>
      </c>
      <c r="I474">
        <v>0</v>
      </c>
      <c r="J474" t="s">
        <v>1432</v>
      </c>
      <c r="K474" t="s">
        <v>73</v>
      </c>
      <c r="L474" s="3">
        <v>47498</v>
      </c>
      <c r="M474" s="3">
        <v>47126</v>
      </c>
      <c r="N474" t="s">
        <v>3112</v>
      </c>
      <c r="O474" s="4">
        <v>1</v>
      </c>
      <c r="P474">
        <v>0</v>
      </c>
      <c r="Q474">
        <v>0</v>
      </c>
    </row>
    <row r="475" spans="1:17" x14ac:dyDescent="0.3">
      <c r="A475">
        <v>16970</v>
      </c>
      <c r="B475" t="s">
        <v>3113</v>
      </c>
      <c r="C475" t="s">
        <v>3107</v>
      </c>
      <c r="D475" s="3">
        <v>29646</v>
      </c>
      <c r="E475" t="s">
        <v>1400</v>
      </c>
      <c r="F475">
        <v>358</v>
      </c>
      <c r="G475" s="3">
        <v>38124</v>
      </c>
      <c r="H475" t="s">
        <v>3114</v>
      </c>
      <c r="J475" t="s">
        <v>1476</v>
      </c>
      <c r="K475" t="s">
        <v>55</v>
      </c>
      <c r="L475" s="3">
        <v>72686</v>
      </c>
      <c r="M475" s="3">
        <v>47316</v>
      </c>
      <c r="N475" t="s">
        <v>3115</v>
      </c>
      <c r="O475" s="4">
        <v>0.8</v>
      </c>
      <c r="P475">
        <v>0</v>
      </c>
      <c r="Q475">
        <v>1</v>
      </c>
    </row>
    <row r="476" spans="1:17" x14ac:dyDescent="0.3">
      <c r="A476">
        <v>24472</v>
      </c>
      <c r="B476" t="s">
        <v>2128</v>
      </c>
      <c r="C476" t="s">
        <v>3116</v>
      </c>
      <c r="D476" s="3">
        <v>30762</v>
      </c>
      <c r="E476" t="s">
        <v>1656</v>
      </c>
      <c r="F476">
        <v>614</v>
      </c>
      <c r="G476" s="3">
        <v>40049</v>
      </c>
      <c r="H476" t="s">
        <v>3117</v>
      </c>
      <c r="J476" t="s">
        <v>1569</v>
      </c>
      <c r="K476" t="s">
        <v>52</v>
      </c>
      <c r="L476" s="3">
        <v>47139</v>
      </c>
      <c r="M476" s="3">
        <v>47105</v>
      </c>
      <c r="N476" t="s">
        <v>3118</v>
      </c>
      <c r="O476" s="4">
        <v>1</v>
      </c>
      <c r="P476">
        <v>0</v>
      </c>
      <c r="Q476">
        <v>0</v>
      </c>
    </row>
    <row r="477" spans="1:17" x14ac:dyDescent="0.3">
      <c r="A477">
        <v>12173</v>
      </c>
      <c r="B477" t="s">
        <v>3119</v>
      </c>
      <c r="C477" t="s">
        <v>2441</v>
      </c>
      <c r="D477" s="3">
        <v>25839</v>
      </c>
      <c r="E477" t="s">
        <v>1400</v>
      </c>
      <c r="F477">
        <v>176</v>
      </c>
      <c r="G477" s="3">
        <v>36690</v>
      </c>
      <c r="H477" t="s">
        <v>3120</v>
      </c>
      <c r="J477" t="s">
        <v>1519</v>
      </c>
      <c r="K477" t="s">
        <v>58</v>
      </c>
      <c r="L477" s="3">
        <v>47337</v>
      </c>
      <c r="M477" s="3">
        <v>47328</v>
      </c>
      <c r="N477" t="s">
        <v>3121</v>
      </c>
      <c r="O477" s="4">
        <v>1</v>
      </c>
      <c r="P477">
        <v>0</v>
      </c>
      <c r="Q477">
        <v>0</v>
      </c>
    </row>
    <row r="478" spans="1:17" x14ac:dyDescent="0.3">
      <c r="A478">
        <v>36627</v>
      </c>
      <c r="B478" t="s">
        <v>3122</v>
      </c>
      <c r="C478" t="s">
        <v>2441</v>
      </c>
      <c r="D478" s="3">
        <v>28213</v>
      </c>
      <c r="E478" t="s">
        <v>1400</v>
      </c>
      <c r="G478" s="3">
        <v>44384</v>
      </c>
      <c r="H478" t="s">
        <v>3123</v>
      </c>
      <c r="J478" t="s">
        <v>1418</v>
      </c>
      <c r="K478" t="s">
        <v>70</v>
      </c>
      <c r="L478" s="3">
        <v>46162</v>
      </c>
      <c r="M478" s="3">
        <v>46162</v>
      </c>
      <c r="N478" t="s">
        <v>3124</v>
      </c>
      <c r="O478" s="4">
        <v>1</v>
      </c>
      <c r="P478">
        <v>0</v>
      </c>
      <c r="Q478">
        <v>0</v>
      </c>
    </row>
    <row r="479" spans="1:17" x14ac:dyDescent="0.3">
      <c r="A479">
        <v>27711</v>
      </c>
      <c r="B479" t="s">
        <v>3125</v>
      </c>
      <c r="C479" t="s">
        <v>2441</v>
      </c>
      <c r="D479" s="3">
        <v>27392</v>
      </c>
      <c r="E479" t="s">
        <v>1400</v>
      </c>
      <c r="F479">
        <v>379</v>
      </c>
      <c r="G479" s="3">
        <v>41218</v>
      </c>
      <c r="H479" t="s">
        <v>3126</v>
      </c>
      <c r="I479">
        <v>93286345</v>
      </c>
      <c r="J479" t="s">
        <v>1454</v>
      </c>
      <c r="K479" t="s">
        <v>61</v>
      </c>
      <c r="L479" s="3">
        <v>46475</v>
      </c>
      <c r="M479" s="3">
        <v>46427</v>
      </c>
      <c r="N479" t="s">
        <v>3127</v>
      </c>
      <c r="O479" s="4">
        <v>1</v>
      </c>
      <c r="P479">
        <v>0</v>
      </c>
      <c r="Q479">
        <v>1</v>
      </c>
    </row>
    <row r="480" spans="1:17" x14ac:dyDescent="0.3">
      <c r="A480">
        <v>26847</v>
      </c>
      <c r="B480" t="s">
        <v>2608</v>
      </c>
      <c r="C480" t="s">
        <v>2441</v>
      </c>
      <c r="D480" s="3">
        <v>25315</v>
      </c>
      <c r="E480" t="s">
        <v>1400</v>
      </c>
      <c r="F480">
        <v>245</v>
      </c>
      <c r="G480" s="3">
        <v>40826</v>
      </c>
      <c r="H480" t="s">
        <v>3128</v>
      </c>
      <c r="J480" t="s">
        <v>1480</v>
      </c>
      <c r="K480" t="s">
        <v>55</v>
      </c>
      <c r="L480" s="3">
        <v>72686</v>
      </c>
      <c r="M480" s="3">
        <v>46266</v>
      </c>
      <c r="N480" t="s">
        <v>3129</v>
      </c>
      <c r="O480" s="4">
        <v>0.8</v>
      </c>
      <c r="P480">
        <v>0</v>
      </c>
      <c r="Q480">
        <v>1</v>
      </c>
    </row>
    <row r="481" spans="1:17" x14ac:dyDescent="0.3">
      <c r="A481">
        <v>19088</v>
      </c>
      <c r="B481" t="s">
        <v>3130</v>
      </c>
      <c r="C481" t="s">
        <v>2441</v>
      </c>
      <c r="D481" s="3">
        <v>27422</v>
      </c>
      <c r="E481" t="s">
        <v>1400</v>
      </c>
      <c r="F481">
        <v>275</v>
      </c>
      <c r="G481" s="3">
        <v>38789</v>
      </c>
      <c r="H481" t="s">
        <v>3131</v>
      </c>
      <c r="J481" t="s">
        <v>1523</v>
      </c>
      <c r="K481" t="s">
        <v>64</v>
      </c>
      <c r="L481" s="3">
        <v>47651</v>
      </c>
      <c r="M481" s="3">
        <v>47615</v>
      </c>
      <c r="N481" t="s">
        <v>3132</v>
      </c>
      <c r="O481" s="4">
        <v>0.8</v>
      </c>
      <c r="P481">
        <v>0</v>
      </c>
      <c r="Q481">
        <v>0</v>
      </c>
    </row>
    <row r="482" spans="1:17" x14ac:dyDescent="0.3">
      <c r="A482">
        <v>12819</v>
      </c>
      <c r="B482" t="s">
        <v>3133</v>
      </c>
      <c r="C482" t="s">
        <v>2441</v>
      </c>
      <c r="D482" s="3">
        <v>27540</v>
      </c>
      <c r="E482" t="s">
        <v>1400</v>
      </c>
      <c r="F482">
        <v>536</v>
      </c>
      <c r="G482" s="3">
        <v>36853</v>
      </c>
      <c r="H482" t="s">
        <v>3134</v>
      </c>
      <c r="J482" t="s">
        <v>1569</v>
      </c>
      <c r="K482" t="s">
        <v>55</v>
      </c>
      <c r="L482" s="3">
        <v>47583</v>
      </c>
      <c r="M482" s="3">
        <v>47568</v>
      </c>
      <c r="N482" t="s">
        <v>3135</v>
      </c>
      <c r="O482" s="4">
        <v>1</v>
      </c>
      <c r="P482">
        <v>0</v>
      </c>
      <c r="Q482">
        <v>1</v>
      </c>
    </row>
    <row r="483" spans="1:17" x14ac:dyDescent="0.3">
      <c r="A483">
        <v>21845</v>
      </c>
      <c r="B483" t="s">
        <v>2593</v>
      </c>
      <c r="C483" t="s">
        <v>3136</v>
      </c>
      <c r="D483" s="3">
        <v>28968</v>
      </c>
      <c r="E483" t="s">
        <v>1400</v>
      </c>
      <c r="F483">
        <v>443</v>
      </c>
      <c r="G483" s="3">
        <v>39510</v>
      </c>
      <c r="H483" t="s">
        <v>3137</v>
      </c>
      <c r="J483" t="s">
        <v>1480</v>
      </c>
      <c r="K483" t="s">
        <v>67</v>
      </c>
      <c r="L483" s="3">
        <v>72686</v>
      </c>
      <c r="M483" s="3">
        <v>46776</v>
      </c>
      <c r="N483" t="s">
        <v>3138</v>
      </c>
      <c r="O483" s="4">
        <v>0.8</v>
      </c>
      <c r="P483">
        <v>0</v>
      </c>
      <c r="Q483">
        <v>0</v>
      </c>
    </row>
    <row r="484" spans="1:17" x14ac:dyDescent="0.3">
      <c r="A484">
        <v>8792</v>
      </c>
      <c r="B484" t="s">
        <v>3139</v>
      </c>
      <c r="C484" t="s">
        <v>3140</v>
      </c>
      <c r="D484" s="3">
        <v>27910</v>
      </c>
      <c r="E484" t="s">
        <v>1400</v>
      </c>
      <c r="F484">
        <v>466</v>
      </c>
      <c r="G484" s="3">
        <v>35338</v>
      </c>
      <c r="H484" t="s">
        <v>3141</v>
      </c>
      <c r="I484">
        <v>93244163</v>
      </c>
      <c r="J484" t="s">
        <v>1506</v>
      </c>
      <c r="K484" t="s">
        <v>55</v>
      </c>
      <c r="L484" s="3">
        <v>47614</v>
      </c>
      <c r="M484" s="3">
        <v>46820</v>
      </c>
      <c r="N484" t="s">
        <v>3142</v>
      </c>
      <c r="O484" s="4">
        <v>1</v>
      </c>
      <c r="P484">
        <v>0</v>
      </c>
      <c r="Q484">
        <v>1</v>
      </c>
    </row>
    <row r="485" spans="1:17" x14ac:dyDescent="0.3">
      <c r="A485">
        <v>9065</v>
      </c>
      <c r="B485" t="s">
        <v>3143</v>
      </c>
      <c r="C485" t="s">
        <v>3144</v>
      </c>
      <c r="D485" s="3">
        <v>24694</v>
      </c>
      <c r="E485" t="s">
        <v>1400</v>
      </c>
      <c r="F485">
        <v>398</v>
      </c>
      <c r="G485" s="3">
        <v>35478</v>
      </c>
      <c r="H485" t="s">
        <v>3145</v>
      </c>
      <c r="J485" t="s">
        <v>1702</v>
      </c>
      <c r="K485" t="s">
        <v>58</v>
      </c>
      <c r="L485" s="3">
        <v>72686</v>
      </c>
      <c r="M485" s="3">
        <v>46194</v>
      </c>
      <c r="N485" t="s">
        <v>3146</v>
      </c>
      <c r="O485" s="4">
        <v>0.5</v>
      </c>
      <c r="P485">
        <v>0</v>
      </c>
      <c r="Q485">
        <v>0</v>
      </c>
    </row>
    <row r="486" spans="1:17" x14ac:dyDescent="0.3">
      <c r="A486">
        <v>33698</v>
      </c>
      <c r="B486" t="s">
        <v>3147</v>
      </c>
      <c r="C486" t="s">
        <v>3144</v>
      </c>
      <c r="D486" s="3">
        <v>30937</v>
      </c>
      <c r="E486" t="s">
        <v>1400</v>
      </c>
      <c r="F486">
        <v>270</v>
      </c>
      <c r="G486" s="3">
        <v>43542</v>
      </c>
      <c r="H486" t="s">
        <v>3148</v>
      </c>
      <c r="J486" t="s">
        <v>1441</v>
      </c>
      <c r="K486" t="s">
        <v>67</v>
      </c>
      <c r="L486" s="3">
        <v>47154</v>
      </c>
      <c r="M486" s="3">
        <v>47100</v>
      </c>
      <c r="N486" t="s">
        <v>3149</v>
      </c>
      <c r="O486" s="4">
        <v>1</v>
      </c>
      <c r="P486">
        <v>0</v>
      </c>
      <c r="Q486">
        <v>1</v>
      </c>
    </row>
    <row r="487" spans="1:17" x14ac:dyDescent="0.3">
      <c r="A487">
        <v>26265</v>
      </c>
      <c r="B487" t="s">
        <v>3150</v>
      </c>
      <c r="C487" t="s">
        <v>3144</v>
      </c>
      <c r="D487" s="3">
        <v>24341</v>
      </c>
      <c r="E487" t="s">
        <v>1400</v>
      </c>
      <c r="F487">
        <v>27</v>
      </c>
      <c r="G487" s="3">
        <v>40658</v>
      </c>
      <c r="H487" t="s">
        <v>3151</v>
      </c>
      <c r="J487" t="s">
        <v>1426</v>
      </c>
      <c r="K487" t="s">
        <v>61</v>
      </c>
      <c r="L487" s="3">
        <v>47575</v>
      </c>
      <c r="M487" s="3">
        <v>47197</v>
      </c>
      <c r="N487" t="s">
        <v>3152</v>
      </c>
      <c r="O487" s="4">
        <v>0.8</v>
      </c>
      <c r="P487">
        <v>0</v>
      </c>
      <c r="Q487">
        <v>1</v>
      </c>
    </row>
    <row r="488" spans="1:17" x14ac:dyDescent="0.3">
      <c r="A488">
        <v>21124</v>
      </c>
      <c r="B488" t="s">
        <v>3153</v>
      </c>
      <c r="C488" t="s">
        <v>3144</v>
      </c>
      <c r="D488" s="3">
        <v>28233</v>
      </c>
      <c r="E488" t="s">
        <v>1400</v>
      </c>
      <c r="F488">
        <v>360</v>
      </c>
      <c r="G488" s="3">
        <v>39286</v>
      </c>
      <c r="H488" t="s">
        <v>3154</v>
      </c>
      <c r="J488" t="s">
        <v>1441</v>
      </c>
      <c r="K488" t="s">
        <v>61</v>
      </c>
      <c r="L488" s="3">
        <v>46039</v>
      </c>
      <c r="M488" s="3">
        <v>46985</v>
      </c>
      <c r="N488" t="s">
        <v>3155</v>
      </c>
      <c r="O488" s="4">
        <v>0.5</v>
      </c>
      <c r="P488">
        <v>0</v>
      </c>
      <c r="Q488">
        <v>0</v>
      </c>
    </row>
    <row r="489" spans="1:17" x14ac:dyDescent="0.3">
      <c r="A489">
        <v>36337</v>
      </c>
      <c r="B489" t="s">
        <v>3156</v>
      </c>
      <c r="C489" t="s">
        <v>3157</v>
      </c>
      <c r="D489" s="3">
        <v>24304</v>
      </c>
      <c r="E489" t="s">
        <v>1400</v>
      </c>
      <c r="G489" s="3">
        <v>44284</v>
      </c>
      <c r="H489" t="s">
        <v>3158</v>
      </c>
      <c r="J489" t="s">
        <v>1610</v>
      </c>
      <c r="K489" t="s">
        <v>64</v>
      </c>
      <c r="L489" s="3">
        <v>46125</v>
      </c>
      <c r="M489" s="3">
        <v>45951</v>
      </c>
      <c r="N489" t="s">
        <v>3159</v>
      </c>
      <c r="O489" s="4">
        <v>0.8</v>
      </c>
      <c r="P489">
        <v>0</v>
      </c>
      <c r="Q489">
        <v>0</v>
      </c>
    </row>
    <row r="490" spans="1:17" x14ac:dyDescent="0.3">
      <c r="A490">
        <v>35120</v>
      </c>
      <c r="B490" t="s">
        <v>3160</v>
      </c>
      <c r="C490" t="s">
        <v>3157</v>
      </c>
      <c r="D490" s="3">
        <v>32582</v>
      </c>
      <c r="E490" t="s">
        <v>1400</v>
      </c>
      <c r="F490">
        <v>480</v>
      </c>
      <c r="G490" s="3">
        <v>43878</v>
      </c>
      <c r="H490" t="s">
        <v>3161</v>
      </c>
      <c r="I490">
        <v>494132438</v>
      </c>
      <c r="J490" t="s">
        <v>1459</v>
      </c>
      <c r="K490" t="s">
        <v>70</v>
      </c>
      <c r="L490" s="3">
        <v>47461</v>
      </c>
      <c r="M490" s="3">
        <v>47460</v>
      </c>
      <c r="N490" t="s">
        <v>3162</v>
      </c>
      <c r="O490" s="4">
        <v>1</v>
      </c>
      <c r="P490">
        <v>0</v>
      </c>
      <c r="Q490">
        <v>1</v>
      </c>
    </row>
    <row r="491" spans="1:17" x14ac:dyDescent="0.3">
      <c r="A491">
        <v>27635</v>
      </c>
      <c r="B491" t="s">
        <v>3163</v>
      </c>
      <c r="C491" t="s">
        <v>3164</v>
      </c>
      <c r="D491" s="3">
        <v>31904</v>
      </c>
      <c r="E491" t="s">
        <v>1400</v>
      </c>
      <c r="F491">
        <v>363</v>
      </c>
      <c r="G491" s="3">
        <v>41176</v>
      </c>
      <c r="H491" t="s">
        <v>3165</v>
      </c>
      <c r="J491" t="s">
        <v>1408</v>
      </c>
      <c r="K491" t="s">
        <v>64</v>
      </c>
      <c r="L491" s="3">
        <v>46523</v>
      </c>
      <c r="M491" s="3">
        <v>46466</v>
      </c>
      <c r="N491" t="s">
        <v>3166</v>
      </c>
      <c r="O491" s="4">
        <v>1</v>
      </c>
      <c r="P491">
        <v>0</v>
      </c>
      <c r="Q491">
        <v>0</v>
      </c>
    </row>
    <row r="492" spans="1:17" x14ac:dyDescent="0.3">
      <c r="A492">
        <v>33400</v>
      </c>
      <c r="B492" t="s">
        <v>3167</v>
      </c>
      <c r="C492" t="s">
        <v>3168</v>
      </c>
      <c r="D492" s="3">
        <v>34591</v>
      </c>
      <c r="E492" t="s">
        <v>1400</v>
      </c>
      <c r="F492">
        <v>85</v>
      </c>
      <c r="G492" s="3">
        <v>43444</v>
      </c>
      <c r="H492" t="s">
        <v>3169</v>
      </c>
      <c r="I492">
        <v>476620718</v>
      </c>
      <c r="J492" t="s">
        <v>1610</v>
      </c>
      <c r="K492" t="s">
        <v>61</v>
      </c>
      <c r="L492" s="3">
        <v>47085</v>
      </c>
      <c r="M492" s="3">
        <v>46946</v>
      </c>
      <c r="N492" t="s">
        <v>3170</v>
      </c>
      <c r="O492" s="4">
        <v>0.8</v>
      </c>
      <c r="P492">
        <v>0</v>
      </c>
      <c r="Q492">
        <v>1</v>
      </c>
    </row>
    <row r="493" spans="1:17" x14ac:dyDescent="0.3">
      <c r="A493">
        <v>26524</v>
      </c>
      <c r="B493" t="s">
        <v>2017</v>
      </c>
      <c r="C493" t="s">
        <v>3168</v>
      </c>
      <c r="D493" s="3">
        <v>32548</v>
      </c>
      <c r="E493" t="s">
        <v>1400</v>
      </c>
      <c r="F493">
        <v>322</v>
      </c>
      <c r="G493" s="3">
        <v>40728</v>
      </c>
      <c r="H493" t="s">
        <v>3171</v>
      </c>
      <c r="J493" t="s">
        <v>1537</v>
      </c>
      <c r="K493" t="s">
        <v>58</v>
      </c>
      <c r="L493" s="3">
        <v>72686</v>
      </c>
      <c r="M493" s="3">
        <v>46201</v>
      </c>
      <c r="N493" t="s">
        <v>3172</v>
      </c>
      <c r="O493" s="4">
        <v>0.8</v>
      </c>
      <c r="P493">
        <v>0</v>
      </c>
      <c r="Q493">
        <v>1</v>
      </c>
    </row>
    <row r="494" spans="1:17" x14ac:dyDescent="0.3">
      <c r="A494">
        <v>16279</v>
      </c>
      <c r="B494" t="s">
        <v>3173</v>
      </c>
      <c r="C494" t="s">
        <v>3168</v>
      </c>
      <c r="D494" s="3">
        <v>28331</v>
      </c>
      <c r="E494" t="s">
        <v>1400</v>
      </c>
      <c r="F494">
        <v>4</v>
      </c>
      <c r="G494" s="3">
        <v>37886</v>
      </c>
      <c r="H494" t="s">
        <v>3174</v>
      </c>
      <c r="I494">
        <v>92728505</v>
      </c>
      <c r="J494" t="s">
        <v>1702</v>
      </c>
      <c r="K494" t="s">
        <v>52</v>
      </c>
      <c r="L494" s="3">
        <v>72686</v>
      </c>
      <c r="M494" s="3">
        <v>46469</v>
      </c>
      <c r="N494" t="s">
        <v>3175</v>
      </c>
      <c r="O494" s="4">
        <v>1</v>
      </c>
      <c r="P494">
        <v>0</v>
      </c>
      <c r="Q494">
        <v>1</v>
      </c>
    </row>
    <row r="495" spans="1:17" x14ac:dyDescent="0.3">
      <c r="A495">
        <v>13088</v>
      </c>
      <c r="B495" t="s">
        <v>3058</v>
      </c>
      <c r="C495" t="s">
        <v>3176</v>
      </c>
      <c r="D495" s="3">
        <v>25548</v>
      </c>
      <c r="E495" t="s">
        <v>1400</v>
      </c>
      <c r="F495">
        <v>56</v>
      </c>
      <c r="G495" s="3">
        <v>36948</v>
      </c>
      <c r="H495" t="s">
        <v>3177</v>
      </c>
      <c r="J495" t="s">
        <v>1574</v>
      </c>
      <c r="K495" t="s">
        <v>52</v>
      </c>
      <c r="L495" s="3">
        <v>47622</v>
      </c>
      <c r="M495" s="3">
        <v>47615</v>
      </c>
      <c r="N495" t="s">
        <v>3178</v>
      </c>
      <c r="O495" s="4">
        <v>0.8</v>
      </c>
      <c r="P495">
        <v>0</v>
      </c>
      <c r="Q495">
        <v>0</v>
      </c>
    </row>
    <row r="496" spans="1:17" x14ac:dyDescent="0.3">
      <c r="A496">
        <v>17951</v>
      </c>
      <c r="B496" t="s">
        <v>3179</v>
      </c>
      <c r="C496" t="s">
        <v>3180</v>
      </c>
      <c r="D496" s="3">
        <v>22267</v>
      </c>
      <c r="E496" t="s">
        <v>1400</v>
      </c>
      <c r="F496">
        <v>227</v>
      </c>
      <c r="G496" s="3">
        <v>38404</v>
      </c>
      <c r="H496" t="s">
        <v>3181</v>
      </c>
      <c r="J496" t="s">
        <v>1537</v>
      </c>
      <c r="K496" t="s">
        <v>55</v>
      </c>
      <c r="L496" s="3">
        <v>72686</v>
      </c>
      <c r="M496" s="3">
        <v>72686</v>
      </c>
      <c r="N496" t="s">
        <v>3182</v>
      </c>
      <c r="O496" s="4">
        <v>0.8</v>
      </c>
      <c r="P496">
        <v>0</v>
      </c>
      <c r="Q496">
        <v>0</v>
      </c>
    </row>
    <row r="497" spans="1:17" x14ac:dyDescent="0.3">
      <c r="A497">
        <v>37951</v>
      </c>
      <c r="B497" t="s">
        <v>3183</v>
      </c>
      <c r="C497" t="s">
        <v>3184</v>
      </c>
      <c r="D497" s="3">
        <v>27961</v>
      </c>
      <c r="E497" t="s">
        <v>1400</v>
      </c>
      <c r="G497" s="3">
        <v>44837</v>
      </c>
      <c r="H497" t="s">
        <v>3185</v>
      </c>
      <c r="J497" t="s">
        <v>1484</v>
      </c>
      <c r="K497" t="s">
        <v>73</v>
      </c>
      <c r="L497" s="3">
        <v>46678</v>
      </c>
      <c r="M497" s="3">
        <v>46593</v>
      </c>
      <c r="N497" t="s">
        <v>3186</v>
      </c>
      <c r="O497" s="4">
        <v>0.8</v>
      </c>
      <c r="P497">
        <v>0</v>
      </c>
      <c r="Q497">
        <v>0</v>
      </c>
    </row>
    <row r="498" spans="1:17" x14ac:dyDescent="0.3">
      <c r="A498">
        <v>35623</v>
      </c>
      <c r="B498" t="s">
        <v>3187</v>
      </c>
      <c r="C498" t="s">
        <v>3188</v>
      </c>
      <c r="D498" s="3">
        <v>29006</v>
      </c>
      <c r="E498" t="s">
        <v>1400</v>
      </c>
      <c r="F498">
        <v>278</v>
      </c>
      <c r="G498" s="3">
        <v>44081</v>
      </c>
      <c r="H498" t="s">
        <v>3189</v>
      </c>
      <c r="J498" t="s">
        <v>1459</v>
      </c>
      <c r="K498" t="s">
        <v>55</v>
      </c>
      <c r="L498" s="3">
        <v>45922</v>
      </c>
      <c r="M498" s="3">
        <v>47407</v>
      </c>
      <c r="N498" t="s">
        <v>3190</v>
      </c>
      <c r="O498" s="4">
        <v>1</v>
      </c>
      <c r="P498">
        <v>0</v>
      </c>
      <c r="Q498">
        <v>0</v>
      </c>
    </row>
    <row r="499" spans="1:17" x14ac:dyDescent="0.3">
      <c r="A499">
        <v>23700</v>
      </c>
      <c r="B499" t="s">
        <v>3191</v>
      </c>
      <c r="C499" t="s">
        <v>3188</v>
      </c>
      <c r="D499" s="3">
        <v>28357</v>
      </c>
      <c r="E499" t="s">
        <v>1400</v>
      </c>
      <c r="G499" s="3">
        <v>39909</v>
      </c>
      <c r="H499" t="s">
        <v>3192</v>
      </c>
      <c r="I499">
        <v>93285649</v>
      </c>
      <c r="J499" t="s">
        <v>1446</v>
      </c>
      <c r="K499" t="s">
        <v>52</v>
      </c>
      <c r="L499" s="3">
        <v>47363</v>
      </c>
      <c r="M499" s="3">
        <v>46005</v>
      </c>
      <c r="N499" t="s">
        <v>3193</v>
      </c>
      <c r="O499" s="4">
        <v>1</v>
      </c>
      <c r="P499">
        <v>0</v>
      </c>
      <c r="Q499">
        <v>0</v>
      </c>
    </row>
    <row r="500" spans="1:17" x14ac:dyDescent="0.3">
      <c r="A500">
        <v>23791</v>
      </c>
      <c r="B500" t="s">
        <v>3194</v>
      </c>
      <c r="C500" t="s">
        <v>3195</v>
      </c>
      <c r="D500" s="3">
        <v>24373</v>
      </c>
      <c r="E500" t="s">
        <v>1400</v>
      </c>
      <c r="F500">
        <v>371</v>
      </c>
      <c r="G500" s="3">
        <v>39923</v>
      </c>
      <c r="H500" t="s">
        <v>3196</v>
      </c>
      <c r="J500" t="s">
        <v>1426</v>
      </c>
      <c r="K500" t="s">
        <v>52</v>
      </c>
      <c r="L500" s="3">
        <v>73050</v>
      </c>
      <c r="M500" s="3">
        <v>47369</v>
      </c>
      <c r="N500" t="s">
        <v>3197</v>
      </c>
      <c r="O500" s="4">
        <v>0.8</v>
      </c>
      <c r="P500">
        <v>0</v>
      </c>
      <c r="Q500">
        <v>0</v>
      </c>
    </row>
    <row r="501" spans="1:17" x14ac:dyDescent="0.3">
      <c r="A501">
        <v>15218</v>
      </c>
      <c r="B501" t="s">
        <v>3198</v>
      </c>
      <c r="C501" t="s">
        <v>3199</v>
      </c>
      <c r="D501" s="3">
        <v>25192</v>
      </c>
      <c r="E501" t="s">
        <v>1400</v>
      </c>
      <c r="F501">
        <v>563</v>
      </c>
      <c r="G501" s="3">
        <v>37543</v>
      </c>
      <c r="H501" t="s">
        <v>3200</v>
      </c>
      <c r="J501" t="s">
        <v>1658</v>
      </c>
      <c r="K501" t="s">
        <v>58</v>
      </c>
      <c r="L501" s="3">
        <v>47636</v>
      </c>
      <c r="M501" s="3">
        <v>46294</v>
      </c>
      <c r="N501" t="s">
        <v>3201</v>
      </c>
      <c r="O501" s="4">
        <v>0.8</v>
      </c>
      <c r="P501">
        <v>0</v>
      </c>
      <c r="Q501">
        <v>0</v>
      </c>
    </row>
    <row r="502" spans="1:17" x14ac:dyDescent="0.3">
      <c r="A502">
        <v>33450</v>
      </c>
      <c r="B502" t="s">
        <v>3202</v>
      </c>
      <c r="C502" t="s">
        <v>3203</v>
      </c>
      <c r="D502" s="3">
        <v>26216</v>
      </c>
      <c r="E502" t="s">
        <v>1400</v>
      </c>
      <c r="F502">
        <v>197</v>
      </c>
      <c r="G502" s="3">
        <v>43472</v>
      </c>
      <c r="H502" t="s">
        <v>3204</v>
      </c>
      <c r="J502" t="s">
        <v>1408</v>
      </c>
      <c r="K502" t="s">
        <v>64</v>
      </c>
      <c r="L502" s="3">
        <v>47011</v>
      </c>
      <c r="M502" s="3">
        <v>47009</v>
      </c>
      <c r="N502" t="s">
        <v>3205</v>
      </c>
      <c r="O502" s="4">
        <v>1</v>
      </c>
      <c r="P502">
        <v>0</v>
      </c>
      <c r="Q502">
        <v>1</v>
      </c>
    </row>
    <row r="503" spans="1:17" x14ac:dyDescent="0.3">
      <c r="A503">
        <v>14021</v>
      </c>
      <c r="B503" t="s">
        <v>3206</v>
      </c>
      <c r="C503" t="s">
        <v>3203</v>
      </c>
      <c r="D503" s="3">
        <v>29626</v>
      </c>
      <c r="E503" t="s">
        <v>1400</v>
      </c>
      <c r="F503">
        <v>37</v>
      </c>
      <c r="G503" s="3">
        <v>37193</v>
      </c>
      <c r="H503" t="s">
        <v>3207</v>
      </c>
      <c r="J503" t="s">
        <v>1426</v>
      </c>
      <c r="K503" t="s">
        <v>67</v>
      </c>
      <c r="L503" s="3">
        <v>72686</v>
      </c>
      <c r="M503" s="3">
        <v>46742</v>
      </c>
      <c r="N503" t="s">
        <v>3208</v>
      </c>
      <c r="O503" s="4">
        <v>1</v>
      </c>
      <c r="P503">
        <v>0</v>
      </c>
      <c r="Q503">
        <v>1</v>
      </c>
    </row>
    <row r="504" spans="1:17" x14ac:dyDescent="0.3">
      <c r="A504">
        <v>37683</v>
      </c>
      <c r="B504" t="s">
        <v>2362</v>
      </c>
      <c r="C504" t="s">
        <v>3209</v>
      </c>
      <c r="D504" s="3">
        <v>35863</v>
      </c>
      <c r="E504" t="s">
        <v>1400</v>
      </c>
      <c r="G504" s="3">
        <v>44739</v>
      </c>
      <c r="H504" t="s">
        <v>3210</v>
      </c>
      <c r="J504" t="s">
        <v>1408</v>
      </c>
      <c r="K504" t="s">
        <v>67</v>
      </c>
      <c r="L504" s="3">
        <v>46610</v>
      </c>
      <c r="M504" s="3">
        <v>46511</v>
      </c>
      <c r="N504" t="s">
        <v>3211</v>
      </c>
      <c r="O504" s="4">
        <v>1</v>
      </c>
      <c r="P504">
        <v>0</v>
      </c>
      <c r="Q504">
        <v>0</v>
      </c>
    </row>
    <row r="505" spans="1:17" x14ac:dyDescent="0.3">
      <c r="A505">
        <v>37999</v>
      </c>
      <c r="B505" t="s">
        <v>3212</v>
      </c>
      <c r="C505" t="s">
        <v>3213</v>
      </c>
      <c r="D505" s="3">
        <v>22487</v>
      </c>
      <c r="E505" t="s">
        <v>1400</v>
      </c>
      <c r="G505" s="3">
        <v>44805</v>
      </c>
      <c r="J505" t="s">
        <v>1977</v>
      </c>
      <c r="K505" t="s">
        <v>67</v>
      </c>
      <c r="L505" s="3">
        <v>1</v>
      </c>
      <c r="M505" s="3">
        <v>45949</v>
      </c>
      <c r="N505" t="s">
        <v>3214</v>
      </c>
      <c r="O505" s="4">
        <v>1</v>
      </c>
      <c r="P505">
        <v>0</v>
      </c>
      <c r="Q505">
        <v>0</v>
      </c>
    </row>
    <row r="506" spans="1:17" x14ac:dyDescent="0.3">
      <c r="A506">
        <v>40362</v>
      </c>
      <c r="B506" t="s">
        <v>3215</v>
      </c>
      <c r="C506" t="s">
        <v>1724</v>
      </c>
      <c r="D506" s="3">
        <v>28613</v>
      </c>
      <c r="E506" t="s">
        <v>1400</v>
      </c>
      <c r="G506" s="3">
        <v>45394</v>
      </c>
      <c r="H506" t="s">
        <v>3216</v>
      </c>
      <c r="J506" t="s">
        <v>1944</v>
      </c>
      <c r="K506" t="s">
        <v>64</v>
      </c>
      <c r="L506" s="3">
        <v>47239</v>
      </c>
      <c r="M506" s="3">
        <v>47201</v>
      </c>
      <c r="N506" t="s">
        <v>3217</v>
      </c>
      <c r="O506" s="4">
        <v>1</v>
      </c>
      <c r="P506">
        <v>0</v>
      </c>
      <c r="Q506">
        <v>0</v>
      </c>
    </row>
    <row r="507" spans="1:17" x14ac:dyDescent="0.3">
      <c r="A507">
        <v>21249</v>
      </c>
      <c r="B507" t="s">
        <v>2810</v>
      </c>
      <c r="C507" t="s">
        <v>3218</v>
      </c>
      <c r="D507" s="3">
        <v>30655</v>
      </c>
      <c r="E507" t="s">
        <v>1400</v>
      </c>
      <c r="F507">
        <v>139</v>
      </c>
      <c r="G507" s="3">
        <v>39314</v>
      </c>
      <c r="H507" t="s">
        <v>3219</v>
      </c>
      <c r="I507">
        <v>92255582</v>
      </c>
      <c r="J507" t="s">
        <v>1441</v>
      </c>
      <c r="K507" t="s">
        <v>61</v>
      </c>
      <c r="L507" s="3">
        <v>46447</v>
      </c>
      <c r="M507" s="3">
        <v>46418</v>
      </c>
      <c r="N507" t="s">
        <v>3220</v>
      </c>
      <c r="O507" s="4">
        <v>0.8</v>
      </c>
      <c r="P507">
        <v>0</v>
      </c>
      <c r="Q507">
        <v>1</v>
      </c>
    </row>
    <row r="508" spans="1:17" x14ac:dyDescent="0.3">
      <c r="A508">
        <v>39558</v>
      </c>
      <c r="B508" t="s">
        <v>3024</v>
      </c>
      <c r="C508" t="s">
        <v>3221</v>
      </c>
      <c r="D508" s="3">
        <v>31519</v>
      </c>
      <c r="E508" t="s">
        <v>1400</v>
      </c>
      <c r="G508" s="3">
        <v>45208</v>
      </c>
      <c r="H508" t="s">
        <v>3222</v>
      </c>
      <c r="J508" t="s">
        <v>1408</v>
      </c>
      <c r="K508" t="s">
        <v>67</v>
      </c>
      <c r="L508" s="3">
        <v>47052</v>
      </c>
      <c r="M508" s="3">
        <v>46974</v>
      </c>
      <c r="N508" t="s">
        <v>3223</v>
      </c>
      <c r="O508" s="4">
        <v>1</v>
      </c>
      <c r="P508">
        <v>0</v>
      </c>
      <c r="Q508">
        <v>0</v>
      </c>
    </row>
    <row r="509" spans="1:17" x14ac:dyDescent="0.3">
      <c r="A509">
        <v>38807</v>
      </c>
      <c r="B509" t="s">
        <v>3224</v>
      </c>
      <c r="C509" t="s">
        <v>3225</v>
      </c>
      <c r="D509" s="3">
        <v>24130</v>
      </c>
      <c r="E509" t="s">
        <v>1400</v>
      </c>
      <c r="G509" s="3">
        <v>45027</v>
      </c>
      <c r="H509" t="s">
        <v>3226</v>
      </c>
      <c r="J509" t="s">
        <v>1408</v>
      </c>
      <c r="K509" t="s">
        <v>61</v>
      </c>
      <c r="L509" s="3">
        <v>46874</v>
      </c>
      <c r="M509" s="3">
        <v>46810</v>
      </c>
      <c r="N509" t="s">
        <v>3227</v>
      </c>
      <c r="O509" s="4">
        <v>1</v>
      </c>
      <c r="P509">
        <v>0</v>
      </c>
      <c r="Q509">
        <v>0</v>
      </c>
    </row>
    <row r="510" spans="1:17" x14ac:dyDescent="0.3">
      <c r="A510">
        <v>40058</v>
      </c>
      <c r="B510" t="s">
        <v>3228</v>
      </c>
      <c r="C510" t="s">
        <v>3229</v>
      </c>
      <c r="D510" s="3">
        <v>37636</v>
      </c>
      <c r="E510" t="s">
        <v>1400</v>
      </c>
      <c r="G510" s="3">
        <v>45321</v>
      </c>
      <c r="H510" t="s">
        <v>3230</v>
      </c>
      <c r="J510" t="s">
        <v>1408</v>
      </c>
      <c r="K510" t="s">
        <v>61</v>
      </c>
      <c r="L510" s="3">
        <v>47164</v>
      </c>
      <c r="M510" s="3">
        <v>47134</v>
      </c>
      <c r="N510" t="s">
        <v>3231</v>
      </c>
      <c r="O510" s="4">
        <v>1</v>
      </c>
      <c r="P510">
        <v>0</v>
      </c>
      <c r="Q510">
        <v>0</v>
      </c>
    </row>
    <row r="511" spans="1:17" x14ac:dyDescent="0.3">
      <c r="A511">
        <v>41874</v>
      </c>
      <c r="B511" t="s">
        <v>3232</v>
      </c>
      <c r="C511" t="s">
        <v>3233</v>
      </c>
      <c r="D511" s="3">
        <v>26143</v>
      </c>
      <c r="E511" t="s">
        <v>1400</v>
      </c>
      <c r="G511" s="3">
        <v>45814</v>
      </c>
      <c r="H511" t="s">
        <v>3234</v>
      </c>
      <c r="J511" t="s">
        <v>1408</v>
      </c>
      <c r="K511" t="s">
        <v>52</v>
      </c>
      <c r="L511" s="3">
        <v>47659</v>
      </c>
      <c r="M511" s="3">
        <v>47596</v>
      </c>
      <c r="N511" t="s">
        <v>3235</v>
      </c>
      <c r="O511" s="4">
        <v>1</v>
      </c>
      <c r="P511">
        <v>0</v>
      </c>
      <c r="Q511">
        <v>0</v>
      </c>
    </row>
    <row r="512" spans="1:17" x14ac:dyDescent="0.3">
      <c r="A512">
        <v>37950</v>
      </c>
      <c r="B512" t="s">
        <v>3236</v>
      </c>
      <c r="C512" t="s">
        <v>3233</v>
      </c>
      <c r="D512" s="3">
        <v>26858</v>
      </c>
      <c r="E512" t="s">
        <v>1400</v>
      </c>
      <c r="G512" s="3">
        <v>44809</v>
      </c>
      <c r="H512" t="s">
        <v>3237</v>
      </c>
      <c r="J512" t="s">
        <v>1944</v>
      </c>
      <c r="K512" t="s">
        <v>52</v>
      </c>
      <c r="L512" s="3">
        <v>46651</v>
      </c>
      <c r="M512" s="3">
        <v>46565</v>
      </c>
      <c r="N512" t="s">
        <v>3238</v>
      </c>
      <c r="O512" s="4">
        <v>1</v>
      </c>
      <c r="P512">
        <v>0</v>
      </c>
      <c r="Q512">
        <v>0</v>
      </c>
    </row>
    <row r="513" spans="1:17" x14ac:dyDescent="0.3">
      <c r="A513">
        <v>25993</v>
      </c>
      <c r="B513" t="s">
        <v>3239</v>
      </c>
      <c r="C513" t="s">
        <v>3233</v>
      </c>
      <c r="D513" s="3">
        <v>27364</v>
      </c>
      <c r="E513" t="s">
        <v>1400</v>
      </c>
      <c r="F513">
        <v>137</v>
      </c>
      <c r="G513" s="3">
        <v>40567</v>
      </c>
      <c r="H513" t="s">
        <v>3240</v>
      </c>
      <c r="J513" t="s">
        <v>1441</v>
      </c>
      <c r="K513" t="s">
        <v>61</v>
      </c>
      <c r="L513" s="3">
        <v>45931</v>
      </c>
      <c r="M513" s="3">
        <v>45902</v>
      </c>
      <c r="N513" t="s">
        <v>3241</v>
      </c>
      <c r="O513" s="4">
        <v>1</v>
      </c>
      <c r="P513">
        <v>0</v>
      </c>
      <c r="Q513">
        <v>1</v>
      </c>
    </row>
    <row r="514" spans="1:17" x14ac:dyDescent="0.3">
      <c r="A514">
        <v>35490</v>
      </c>
      <c r="B514" t="s">
        <v>3242</v>
      </c>
      <c r="C514" t="s">
        <v>3243</v>
      </c>
      <c r="D514" s="3">
        <v>35139</v>
      </c>
      <c r="E514" t="s">
        <v>1400</v>
      </c>
      <c r="F514">
        <v>10</v>
      </c>
      <c r="G514" s="3">
        <v>44025</v>
      </c>
      <c r="H514" t="s">
        <v>3244</v>
      </c>
      <c r="J514" t="s">
        <v>1413</v>
      </c>
      <c r="K514" t="s">
        <v>67</v>
      </c>
      <c r="L514" s="3">
        <v>47526</v>
      </c>
      <c r="M514" s="3">
        <v>47524</v>
      </c>
      <c r="N514" t="s">
        <v>3245</v>
      </c>
      <c r="O514" s="4">
        <v>1</v>
      </c>
      <c r="P514">
        <v>0</v>
      </c>
      <c r="Q514">
        <v>0</v>
      </c>
    </row>
    <row r="515" spans="1:17" x14ac:dyDescent="0.3">
      <c r="A515">
        <v>36512</v>
      </c>
      <c r="B515" t="s">
        <v>3246</v>
      </c>
      <c r="C515" t="s">
        <v>3247</v>
      </c>
      <c r="D515" s="3">
        <v>36403</v>
      </c>
      <c r="E515" t="s">
        <v>1400</v>
      </c>
      <c r="G515" s="3">
        <v>44333</v>
      </c>
      <c r="H515" t="s">
        <v>3248</v>
      </c>
      <c r="J515" t="s">
        <v>1515</v>
      </c>
      <c r="K515" t="s">
        <v>67</v>
      </c>
      <c r="L515" s="3">
        <v>46174</v>
      </c>
      <c r="M515" s="3">
        <v>46124</v>
      </c>
      <c r="N515" t="s">
        <v>3249</v>
      </c>
      <c r="O515" s="4">
        <v>0.8</v>
      </c>
      <c r="P515">
        <v>0</v>
      </c>
      <c r="Q515">
        <v>1</v>
      </c>
    </row>
    <row r="516" spans="1:17" x14ac:dyDescent="0.3">
      <c r="A516">
        <v>35414</v>
      </c>
      <c r="B516" t="s">
        <v>3250</v>
      </c>
      <c r="C516" t="s">
        <v>3251</v>
      </c>
      <c r="D516" s="3">
        <v>31067</v>
      </c>
      <c r="E516" t="s">
        <v>1400</v>
      </c>
      <c r="F516">
        <v>324</v>
      </c>
      <c r="G516" s="3">
        <v>44039</v>
      </c>
      <c r="H516" t="s">
        <v>3252</v>
      </c>
      <c r="J516" t="s">
        <v>1408</v>
      </c>
      <c r="K516" t="s">
        <v>67</v>
      </c>
      <c r="L516" s="3">
        <v>47393</v>
      </c>
      <c r="M516" s="3">
        <v>47351</v>
      </c>
      <c r="N516" t="s">
        <v>3253</v>
      </c>
      <c r="O516" s="4">
        <v>1</v>
      </c>
      <c r="P516">
        <v>0</v>
      </c>
      <c r="Q516">
        <v>0</v>
      </c>
    </row>
    <row r="517" spans="1:17" x14ac:dyDescent="0.3">
      <c r="A517">
        <v>29477</v>
      </c>
      <c r="B517" t="s">
        <v>3254</v>
      </c>
      <c r="C517" t="s">
        <v>3255</v>
      </c>
      <c r="D517" s="3">
        <v>30968</v>
      </c>
      <c r="E517" t="s">
        <v>1400</v>
      </c>
      <c r="F517">
        <v>436</v>
      </c>
      <c r="G517" s="3">
        <v>41946</v>
      </c>
      <c r="H517" t="s">
        <v>3256</v>
      </c>
      <c r="J517" t="s">
        <v>1658</v>
      </c>
      <c r="K517" t="s">
        <v>73</v>
      </c>
      <c r="L517" s="3">
        <v>47279</v>
      </c>
      <c r="M517" s="3">
        <v>47267</v>
      </c>
      <c r="N517" t="s">
        <v>3257</v>
      </c>
      <c r="O517" s="4">
        <v>0.8</v>
      </c>
      <c r="P517">
        <v>0</v>
      </c>
      <c r="Q517">
        <v>0</v>
      </c>
    </row>
    <row r="518" spans="1:17" x14ac:dyDescent="0.3">
      <c r="A518">
        <v>41888</v>
      </c>
      <c r="B518" t="s">
        <v>3258</v>
      </c>
      <c r="C518" t="s">
        <v>1355</v>
      </c>
      <c r="D518" s="3">
        <v>28560</v>
      </c>
      <c r="E518" t="s">
        <v>1400</v>
      </c>
      <c r="G518" s="3">
        <v>45831</v>
      </c>
      <c r="H518" t="s">
        <v>3259</v>
      </c>
      <c r="J518" t="s">
        <v>1408</v>
      </c>
      <c r="K518" t="s">
        <v>64</v>
      </c>
      <c r="L518" s="3">
        <v>47678</v>
      </c>
      <c r="M518" s="3">
        <v>47594</v>
      </c>
      <c r="N518" t="s">
        <v>3260</v>
      </c>
      <c r="O518" s="4">
        <v>1</v>
      </c>
      <c r="P518">
        <v>0</v>
      </c>
      <c r="Q518">
        <v>0</v>
      </c>
    </row>
    <row r="519" spans="1:17" x14ac:dyDescent="0.3">
      <c r="A519">
        <v>41550</v>
      </c>
      <c r="B519" t="s">
        <v>3261</v>
      </c>
      <c r="C519" t="s">
        <v>1355</v>
      </c>
      <c r="D519" s="3">
        <v>31677</v>
      </c>
      <c r="E519" t="s">
        <v>1400</v>
      </c>
      <c r="G519" s="3">
        <v>45735</v>
      </c>
      <c r="H519" t="s">
        <v>3262</v>
      </c>
      <c r="J519" t="s">
        <v>1944</v>
      </c>
      <c r="K519" t="s">
        <v>61</v>
      </c>
      <c r="L519" s="3">
        <v>47115</v>
      </c>
      <c r="M519" s="3">
        <v>47015</v>
      </c>
      <c r="N519" t="s">
        <v>3263</v>
      </c>
      <c r="O519" s="4">
        <v>1</v>
      </c>
      <c r="P519">
        <v>0</v>
      </c>
      <c r="Q519">
        <v>0</v>
      </c>
    </row>
    <row r="520" spans="1:17" x14ac:dyDescent="0.3">
      <c r="A520">
        <v>37226</v>
      </c>
      <c r="B520" t="s">
        <v>3264</v>
      </c>
      <c r="C520" t="s">
        <v>1355</v>
      </c>
      <c r="D520" s="3">
        <v>33397</v>
      </c>
      <c r="E520" t="s">
        <v>1400</v>
      </c>
      <c r="G520" s="3">
        <v>44613</v>
      </c>
      <c r="H520" t="s">
        <v>3265</v>
      </c>
      <c r="J520" t="s">
        <v>1441</v>
      </c>
      <c r="K520" t="s">
        <v>70</v>
      </c>
      <c r="L520" s="3">
        <v>46453</v>
      </c>
      <c r="M520" s="3">
        <v>46273</v>
      </c>
      <c r="N520" t="s">
        <v>3266</v>
      </c>
      <c r="O520" s="4">
        <v>0.8</v>
      </c>
      <c r="P520">
        <v>0</v>
      </c>
      <c r="Q520">
        <v>1</v>
      </c>
    </row>
    <row r="521" spans="1:17" x14ac:dyDescent="0.3">
      <c r="A521">
        <v>39907</v>
      </c>
      <c r="B521" t="s">
        <v>3267</v>
      </c>
      <c r="C521" t="s">
        <v>3268</v>
      </c>
      <c r="D521" s="3">
        <v>29982</v>
      </c>
      <c r="E521" t="s">
        <v>1400</v>
      </c>
      <c r="G521" s="3">
        <v>45299</v>
      </c>
      <c r="H521" t="s">
        <v>3269</v>
      </c>
      <c r="J521" t="s">
        <v>1408</v>
      </c>
      <c r="K521" t="s">
        <v>64</v>
      </c>
      <c r="L521" s="3">
        <v>47169</v>
      </c>
      <c r="M521" s="3">
        <v>47077</v>
      </c>
      <c r="N521" t="s">
        <v>3270</v>
      </c>
      <c r="O521" s="4">
        <v>1</v>
      </c>
      <c r="P521">
        <v>0</v>
      </c>
      <c r="Q521">
        <v>0</v>
      </c>
    </row>
    <row r="522" spans="1:17" x14ac:dyDescent="0.3">
      <c r="A522">
        <v>36438</v>
      </c>
      <c r="B522" t="s">
        <v>3271</v>
      </c>
      <c r="C522" t="s">
        <v>3272</v>
      </c>
      <c r="D522" s="3">
        <v>26348</v>
      </c>
      <c r="E522" t="s">
        <v>1400</v>
      </c>
      <c r="G522" s="3">
        <v>44298</v>
      </c>
      <c r="H522" t="s">
        <v>3273</v>
      </c>
      <c r="J522" t="s">
        <v>1403</v>
      </c>
      <c r="K522" t="s">
        <v>55</v>
      </c>
      <c r="L522" s="3">
        <v>46138</v>
      </c>
      <c r="M522" s="3">
        <v>46097</v>
      </c>
      <c r="N522" t="s">
        <v>3274</v>
      </c>
      <c r="O522" s="4">
        <v>1</v>
      </c>
      <c r="P522">
        <v>0</v>
      </c>
      <c r="Q522">
        <v>1</v>
      </c>
    </row>
    <row r="523" spans="1:17" x14ac:dyDescent="0.3">
      <c r="A523">
        <v>40223</v>
      </c>
      <c r="B523" t="s">
        <v>3275</v>
      </c>
      <c r="C523" t="s">
        <v>3276</v>
      </c>
      <c r="D523" s="3">
        <v>35832</v>
      </c>
      <c r="E523" t="s">
        <v>1400</v>
      </c>
      <c r="G523" s="3">
        <v>45349</v>
      </c>
      <c r="H523" t="s">
        <v>3277</v>
      </c>
      <c r="J523" t="s">
        <v>1408</v>
      </c>
      <c r="K523" t="s">
        <v>52</v>
      </c>
      <c r="L523" s="3">
        <v>47194</v>
      </c>
      <c r="M523" s="3">
        <v>47168</v>
      </c>
      <c r="N523" t="s">
        <v>3278</v>
      </c>
      <c r="O523" s="4">
        <v>0.8</v>
      </c>
      <c r="P523">
        <v>0</v>
      </c>
      <c r="Q523">
        <v>0</v>
      </c>
    </row>
    <row r="524" spans="1:17" x14ac:dyDescent="0.3">
      <c r="A524">
        <v>37543</v>
      </c>
      <c r="B524" t="s">
        <v>3279</v>
      </c>
      <c r="C524" t="s">
        <v>3280</v>
      </c>
      <c r="D524" s="3">
        <v>25212</v>
      </c>
      <c r="E524" t="s">
        <v>1400</v>
      </c>
      <c r="G524" s="3">
        <v>44683</v>
      </c>
      <c r="H524" t="s">
        <v>3281</v>
      </c>
      <c r="J524" t="s">
        <v>1408</v>
      </c>
      <c r="K524" t="s">
        <v>64</v>
      </c>
      <c r="L524" s="3">
        <v>46529</v>
      </c>
      <c r="M524" s="3">
        <v>46470</v>
      </c>
      <c r="N524" t="s">
        <v>3282</v>
      </c>
      <c r="O524" s="4">
        <v>1</v>
      </c>
      <c r="P524">
        <v>0</v>
      </c>
      <c r="Q524">
        <v>0</v>
      </c>
    </row>
    <row r="525" spans="1:17" x14ac:dyDescent="0.3">
      <c r="A525">
        <v>28835</v>
      </c>
      <c r="B525" t="s">
        <v>3283</v>
      </c>
      <c r="C525" t="s">
        <v>3284</v>
      </c>
      <c r="D525" s="3">
        <v>33067</v>
      </c>
      <c r="E525" t="s">
        <v>1400</v>
      </c>
      <c r="F525">
        <v>241</v>
      </c>
      <c r="G525" s="3">
        <v>41722</v>
      </c>
      <c r="H525" t="s">
        <v>3285</v>
      </c>
      <c r="J525" t="s">
        <v>1519</v>
      </c>
      <c r="K525" t="s">
        <v>61</v>
      </c>
      <c r="L525" s="3">
        <v>47135</v>
      </c>
      <c r="M525" s="3">
        <v>47051</v>
      </c>
      <c r="N525" t="s">
        <v>3286</v>
      </c>
      <c r="O525" s="4">
        <v>0.8</v>
      </c>
      <c r="P525">
        <v>0</v>
      </c>
      <c r="Q525">
        <v>0</v>
      </c>
    </row>
    <row r="526" spans="1:17" x14ac:dyDescent="0.3">
      <c r="A526">
        <v>32245</v>
      </c>
      <c r="B526" t="s">
        <v>3287</v>
      </c>
      <c r="C526" t="s">
        <v>3288</v>
      </c>
      <c r="D526" s="3">
        <v>28206</v>
      </c>
      <c r="E526" t="s">
        <v>1400</v>
      </c>
      <c r="F526">
        <v>240</v>
      </c>
      <c r="G526" s="3">
        <v>43073</v>
      </c>
      <c r="H526" t="s">
        <v>3289</v>
      </c>
      <c r="I526" t="s">
        <v>3290</v>
      </c>
      <c r="J526" t="s">
        <v>1944</v>
      </c>
      <c r="K526" t="s">
        <v>58</v>
      </c>
      <c r="L526" s="3">
        <v>46676</v>
      </c>
      <c r="M526" s="3">
        <v>46616</v>
      </c>
      <c r="N526" t="s">
        <v>3291</v>
      </c>
      <c r="O526" s="4">
        <v>1</v>
      </c>
      <c r="P526">
        <v>0</v>
      </c>
      <c r="Q526">
        <v>0</v>
      </c>
    </row>
    <row r="527" spans="1:17" x14ac:dyDescent="0.3">
      <c r="A527">
        <v>5076</v>
      </c>
      <c r="B527" t="s">
        <v>3292</v>
      </c>
      <c r="C527" t="s">
        <v>3293</v>
      </c>
      <c r="D527" s="3">
        <v>23694</v>
      </c>
      <c r="E527" t="s">
        <v>1400</v>
      </c>
      <c r="F527">
        <v>630</v>
      </c>
      <c r="G527" s="3">
        <v>33308</v>
      </c>
      <c r="H527" t="s">
        <v>3294</v>
      </c>
      <c r="I527">
        <v>92277204</v>
      </c>
      <c r="J527" t="s">
        <v>1523</v>
      </c>
      <c r="K527" t="s">
        <v>55</v>
      </c>
      <c r="L527" s="3">
        <v>47653</v>
      </c>
      <c r="M527" s="3">
        <v>46834</v>
      </c>
      <c r="N527" t="s">
        <v>3295</v>
      </c>
      <c r="O527" s="4">
        <v>0.8</v>
      </c>
      <c r="P527">
        <v>0</v>
      </c>
      <c r="Q527">
        <v>0</v>
      </c>
    </row>
    <row r="528" spans="1:17" x14ac:dyDescent="0.3">
      <c r="A528">
        <v>23918</v>
      </c>
      <c r="B528" t="s">
        <v>3296</v>
      </c>
      <c r="C528" t="s">
        <v>3293</v>
      </c>
      <c r="D528" s="3">
        <v>26005</v>
      </c>
      <c r="E528" t="s">
        <v>1400</v>
      </c>
      <c r="F528">
        <v>376</v>
      </c>
      <c r="G528" s="3">
        <v>39972</v>
      </c>
      <c r="H528" t="s">
        <v>3297</v>
      </c>
      <c r="J528" t="s">
        <v>1519</v>
      </c>
      <c r="K528" t="s">
        <v>58</v>
      </c>
      <c r="L528" s="3">
        <v>47143</v>
      </c>
      <c r="M528" s="3">
        <v>46005</v>
      </c>
      <c r="N528" t="s">
        <v>3298</v>
      </c>
      <c r="O528" s="4">
        <v>1</v>
      </c>
      <c r="P528">
        <v>0</v>
      </c>
      <c r="Q528">
        <v>1</v>
      </c>
    </row>
    <row r="529" spans="1:17" x14ac:dyDescent="0.3">
      <c r="A529">
        <v>40890</v>
      </c>
      <c r="B529" t="s">
        <v>3299</v>
      </c>
      <c r="C529" t="s">
        <v>3300</v>
      </c>
      <c r="D529" s="3">
        <v>37705</v>
      </c>
      <c r="E529" t="s">
        <v>1400</v>
      </c>
      <c r="G529" s="3">
        <v>45530</v>
      </c>
      <c r="H529" t="s">
        <v>3301</v>
      </c>
      <c r="I529">
        <v>497579525</v>
      </c>
      <c r="J529" t="s">
        <v>1408</v>
      </c>
      <c r="K529" t="s">
        <v>52</v>
      </c>
      <c r="L529" s="3">
        <v>47372</v>
      </c>
      <c r="M529" s="3">
        <v>47303</v>
      </c>
      <c r="N529" t="s">
        <v>3302</v>
      </c>
      <c r="O529" s="4">
        <v>1</v>
      </c>
      <c r="P529">
        <v>0</v>
      </c>
      <c r="Q529">
        <v>0</v>
      </c>
    </row>
    <row r="530" spans="1:17" x14ac:dyDescent="0.3">
      <c r="A530">
        <v>40006</v>
      </c>
      <c r="B530" t="s">
        <v>3153</v>
      </c>
      <c r="C530" t="s">
        <v>3303</v>
      </c>
      <c r="D530" s="3">
        <v>38314</v>
      </c>
      <c r="E530" t="s">
        <v>1400</v>
      </c>
      <c r="G530" s="3">
        <v>45307</v>
      </c>
      <c r="H530" t="s">
        <v>3304</v>
      </c>
      <c r="J530" t="s">
        <v>1408</v>
      </c>
      <c r="K530" t="s">
        <v>61</v>
      </c>
      <c r="L530" s="3">
        <v>47154</v>
      </c>
      <c r="M530" s="3">
        <v>47126</v>
      </c>
      <c r="N530" t="s">
        <v>3305</v>
      </c>
      <c r="O530" s="4">
        <v>1</v>
      </c>
      <c r="P530">
        <v>0</v>
      </c>
      <c r="Q530">
        <v>0</v>
      </c>
    </row>
    <row r="531" spans="1:17" x14ac:dyDescent="0.3">
      <c r="A531">
        <v>36275</v>
      </c>
      <c r="B531" t="s">
        <v>3306</v>
      </c>
      <c r="C531" t="s">
        <v>3307</v>
      </c>
      <c r="D531" s="3">
        <v>27839</v>
      </c>
      <c r="E531" t="s">
        <v>1656</v>
      </c>
      <c r="G531" s="3">
        <v>44270</v>
      </c>
      <c r="H531" t="s">
        <v>3308</v>
      </c>
      <c r="J531" t="s">
        <v>1515</v>
      </c>
      <c r="K531" t="s">
        <v>52</v>
      </c>
      <c r="L531" s="3">
        <v>46368</v>
      </c>
      <c r="M531" s="3">
        <v>46120</v>
      </c>
      <c r="N531" t="s">
        <v>3309</v>
      </c>
      <c r="O531" s="4">
        <v>1</v>
      </c>
      <c r="P531">
        <v>0</v>
      </c>
      <c r="Q531">
        <v>0</v>
      </c>
    </row>
    <row r="532" spans="1:17" x14ac:dyDescent="0.3">
      <c r="A532">
        <v>41882</v>
      </c>
      <c r="B532" t="s">
        <v>3310</v>
      </c>
      <c r="C532" t="s">
        <v>3311</v>
      </c>
      <c r="D532" s="3">
        <v>32479</v>
      </c>
      <c r="E532" t="s">
        <v>1400</v>
      </c>
      <c r="G532" s="3">
        <v>45831</v>
      </c>
      <c r="H532" t="s">
        <v>3312</v>
      </c>
      <c r="J532" t="s">
        <v>1408</v>
      </c>
      <c r="K532" t="s">
        <v>58</v>
      </c>
      <c r="L532" s="3">
        <v>47673</v>
      </c>
      <c r="M532" s="3">
        <v>47568</v>
      </c>
      <c r="N532" t="s">
        <v>3313</v>
      </c>
      <c r="O532" s="4">
        <v>1</v>
      </c>
      <c r="P532">
        <v>0</v>
      </c>
      <c r="Q532">
        <v>0</v>
      </c>
    </row>
    <row r="533" spans="1:17" x14ac:dyDescent="0.3">
      <c r="A533">
        <v>19086</v>
      </c>
      <c r="B533" t="s">
        <v>2501</v>
      </c>
      <c r="C533" t="s">
        <v>3311</v>
      </c>
      <c r="D533" s="3">
        <v>29513</v>
      </c>
      <c r="E533" t="s">
        <v>1400</v>
      </c>
      <c r="F533">
        <v>264</v>
      </c>
      <c r="G533" s="3">
        <v>38789</v>
      </c>
      <c r="H533" t="s">
        <v>3314</v>
      </c>
      <c r="J533" t="s">
        <v>1480</v>
      </c>
      <c r="K533" t="s">
        <v>67</v>
      </c>
      <c r="L533" s="3">
        <v>72686</v>
      </c>
      <c r="M533" s="3">
        <v>46932</v>
      </c>
      <c r="N533" t="s">
        <v>3315</v>
      </c>
      <c r="O533" s="4">
        <v>1</v>
      </c>
      <c r="P533">
        <v>0</v>
      </c>
      <c r="Q533">
        <v>0</v>
      </c>
    </row>
    <row r="534" spans="1:17" x14ac:dyDescent="0.3">
      <c r="A534">
        <v>41521</v>
      </c>
      <c r="B534" t="s">
        <v>3316</v>
      </c>
      <c r="C534" t="s">
        <v>3317</v>
      </c>
      <c r="D534" s="3">
        <v>31115</v>
      </c>
      <c r="E534" t="s">
        <v>1400</v>
      </c>
      <c r="G534" s="3">
        <v>45720</v>
      </c>
      <c r="H534" t="s">
        <v>3318</v>
      </c>
      <c r="J534" t="s">
        <v>1408</v>
      </c>
      <c r="K534" t="s">
        <v>64</v>
      </c>
      <c r="L534" s="3">
        <v>1</v>
      </c>
      <c r="M534" s="3">
        <v>1</v>
      </c>
      <c r="N534" t="s">
        <v>3319</v>
      </c>
      <c r="O534" s="4">
        <v>1</v>
      </c>
      <c r="P534">
        <v>0</v>
      </c>
      <c r="Q534">
        <v>0</v>
      </c>
    </row>
    <row r="535" spans="1:17" x14ac:dyDescent="0.3">
      <c r="A535">
        <v>39856</v>
      </c>
      <c r="B535" t="s">
        <v>3320</v>
      </c>
      <c r="C535" t="s">
        <v>3321</v>
      </c>
      <c r="D535" s="3">
        <v>33698</v>
      </c>
      <c r="E535" t="s">
        <v>1400</v>
      </c>
      <c r="G535" s="3">
        <v>45264</v>
      </c>
      <c r="H535" t="s">
        <v>3322</v>
      </c>
      <c r="J535" t="s">
        <v>1408</v>
      </c>
      <c r="K535" t="s">
        <v>64</v>
      </c>
      <c r="L535" s="3">
        <v>47108</v>
      </c>
      <c r="M535" s="3">
        <v>47072</v>
      </c>
      <c r="N535" t="s">
        <v>3323</v>
      </c>
      <c r="O535" s="4">
        <v>1</v>
      </c>
      <c r="P535">
        <v>0</v>
      </c>
      <c r="Q535">
        <v>0</v>
      </c>
    </row>
    <row r="536" spans="1:17" x14ac:dyDescent="0.3">
      <c r="A536">
        <v>39610</v>
      </c>
      <c r="B536" t="s">
        <v>3324</v>
      </c>
      <c r="C536" t="s">
        <v>3325</v>
      </c>
      <c r="D536" s="3">
        <v>35615</v>
      </c>
      <c r="E536" t="s">
        <v>1400</v>
      </c>
      <c r="G536" s="3">
        <v>45208</v>
      </c>
      <c r="H536" t="s">
        <v>3326</v>
      </c>
      <c r="J536" t="s">
        <v>1408</v>
      </c>
      <c r="K536" t="s">
        <v>55</v>
      </c>
      <c r="L536" s="3">
        <v>47049</v>
      </c>
      <c r="M536" s="3">
        <v>47009</v>
      </c>
      <c r="N536" t="s">
        <v>3327</v>
      </c>
      <c r="O536" s="4">
        <v>1</v>
      </c>
      <c r="P536">
        <v>0</v>
      </c>
      <c r="Q536">
        <v>0</v>
      </c>
    </row>
    <row r="537" spans="1:17" x14ac:dyDescent="0.3">
      <c r="A537">
        <v>5063</v>
      </c>
      <c r="B537" t="s">
        <v>3328</v>
      </c>
      <c r="C537" t="s">
        <v>1372</v>
      </c>
      <c r="D537" s="3">
        <v>25160</v>
      </c>
      <c r="E537" t="s">
        <v>1400</v>
      </c>
      <c r="F537">
        <v>232</v>
      </c>
      <c r="G537" s="3">
        <v>33287</v>
      </c>
      <c r="H537" t="s">
        <v>3329</v>
      </c>
      <c r="J537" t="s">
        <v>1702</v>
      </c>
      <c r="K537" t="s">
        <v>73</v>
      </c>
      <c r="L537" s="3">
        <v>45952</v>
      </c>
      <c r="M537" s="3">
        <v>46665</v>
      </c>
      <c r="N537" t="s">
        <v>3330</v>
      </c>
      <c r="O537" s="4">
        <v>0.8</v>
      </c>
      <c r="P537">
        <v>0</v>
      </c>
      <c r="Q537">
        <v>0</v>
      </c>
    </row>
    <row r="538" spans="1:17" x14ac:dyDescent="0.3">
      <c r="A538">
        <v>41230</v>
      </c>
      <c r="B538" t="s">
        <v>3331</v>
      </c>
      <c r="C538" t="s">
        <v>1372</v>
      </c>
      <c r="D538" s="3">
        <v>27424</v>
      </c>
      <c r="E538" t="s">
        <v>1400</v>
      </c>
      <c r="G538" s="3">
        <v>45603</v>
      </c>
      <c r="H538" t="s">
        <v>3332</v>
      </c>
      <c r="J538" t="s">
        <v>1408</v>
      </c>
      <c r="K538" t="s">
        <v>52</v>
      </c>
      <c r="L538" s="3">
        <v>47448</v>
      </c>
      <c r="M538" s="3">
        <v>47407</v>
      </c>
      <c r="N538" t="s">
        <v>3333</v>
      </c>
      <c r="O538" s="4">
        <v>1</v>
      </c>
      <c r="P538">
        <v>0</v>
      </c>
      <c r="Q538">
        <v>0</v>
      </c>
    </row>
    <row r="539" spans="1:17" x14ac:dyDescent="0.3">
      <c r="A539">
        <v>27713</v>
      </c>
      <c r="B539" t="s">
        <v>3334</v>
      </c>
      <c r="C539" t="s">
        <v>1372</v>
      </c>
      <c r="D539" s="3">
        <v>25474</v>
      </c>
      <c r="E539" t="s">
        <v>1400</v>
      </c>
      <c r="F539">
        <v>77</v>
      </c>
      <c r="G539" s="3">
        <v>41218</v>
      </c>
      <c r="H539" t="s">
        <v>3335</v>
      </c>
      <c r="J539" t="s">
        <v>1480</v>
      </c>
      <c r="K539" t="s">
        <v>70</v>
      </c>
      <c r="L539" s="3">
        <v>46601</v>
      </c>
      <c r="M539" s="3">
        <v>46593</v>
      </c>
      <c r="N539" t="s">
        <v>3336</v>
      </c>
      <c r="O539" s="4">
        <v>0.8</v>
      </c>
      <c r="P539">
        <v>0</v>
      </c>
      <c r="Q539">
        <v>0</v>
      </c>
    </row>
    <row r="540" spans="1:17" x14ac:dyDescent="0.3">
      <c r="A540">
        <v>25486</v>
      </c>
      <c r="B540" t="s">
        <v>2650</v>
      </c>
      <c r="C540" t="s">
        <v>1372</v>
      </c>
      <c r="D540" s="3">
        <v>25942</v>
      </c>
      <c r="E540" t="s">
        <v>1400</v>
      </c>
      <c r="F540">
        <v>471</v>
      </c>
      <c r="G540" s="3">
        <v>40385</v>
      </c>
      <c r="H540" t="s">
        <v>3337</v>
      </c>
      <c r="J540" t="s">
        <v>1484</v>
      </c>
      <c r="K540" t="s">
        <v>61</v>
      </c>
      <c r="L540" s="3">
        <v>47467</v>
      </c>
      <c r="M540" s="3">
        <v>46718</v>
      </c>
      <c r="N540" t="s">
        <v>3338</v>
      </c>
      <c r="O540" s="4">
        <v>1</v>
      </c>
      <c r="P540">
        <v>0</v>
      </c>
      <c r="Q540">
        <v>0</v>
      </c>
    </row>
    <row r="541" spans="1:17" x14ac:dyDescent="0.3">
      <c r="A541">
        <v>22042</v>
      </c>
      <c r="B541" t="s">
        <v>3339</v>
      </c>
      <c r="C541" t="s">
        <v>1372</v>
      </c>
      <c r="D541" s="3">
        <v>31562</v>
      </c>
      <c r="E541" t="s">
        <v>1400</v>
      </c>
      <c r="F541">
        <v>286</v>
      </c>
      <c r="G541" s="3">
        <v>39538</v>
      </c>
      <c r="H541" t="s">
        <v>3340</v>
      </c>
      <c r="J541" t="s">
        <v>1587</v>
      </c>
      <c r="K541" t="s">
        <v>67</v>
      </c>
      <c r="L541" s="3">
        <v>47672</v>
      </c>
      <c r="M541" s="3">
        <v>46686</v>
      </c>
      <c r="N541" t="s">
        <v>3341</v>
      </c>
      <c r="O541" s="4">
        <v>1</v>
      </c>
      <c r="P541">
        <v>0</v>
      </c>
      <c r="Q541">
        <v>1</v>
      </c>
    </row>
    <row r="542" spans="1:17" x14ac:dyDescent="0.3">
      <c r="A542">
        <v>21507</v>
      </c>
      <c r="B542" t="s">
        <v>2429</v>
      </c>
      <c r="C542" t="s">
        <v>1372</v>
      </c>
      <c r="D542" s="3">
        <v>29938</v>
      </c>
      <c r="E542" t="s">
        <v>1400</v>
      </c>
      <c r="F542">
        <v>284</v>
      </c>
      <c r="G542" s="3">
        <v>39405</v>
      </c>
      <c r="H542" t="s">
        <v>3342</v>
      </c>
      <c r="J542" t="s">
        <v>1722</v>
      </c>
      <c r="K542" t="s">
        <v>64</v>
      </c>
      <c r="L542" s="3">
        <v>46662</v>
      </c>
      <c r="M542" s="3">
        <v>46658</v>
      </c>
      <c r="N542" t="s">
        <v>3343</v>
      </c>
      <c r="O542" s="4">
        <v>0.8</v>
      </c>
      <c r="P542">
        <v>0</v>
      </c>
      <c r="Q542">
        <v>0</v>
      </c>
    </row>
    <row r="543" spans="1:17" x14ac:dyDescent="0.3">
      <c r="A543">
        <v>20656</v>
      </c>
      <c r="B543" t="s">
        <v>1767</v>
      </c>
      <c r="C543" t="s">
        <v>1372</v>
      </c>
      <c r="D543" s="3">
        <v>25256</v>
      </c>
      <c r="E543" t="s">
        <v>1400</v>
      </c>
      <c r="F543">
        <v>502</v>
      </c>
      <c r="G543" s="3">
        <v>39204</v>
      </c>
      <c r="H543" t="s">
        <v>3344</v>
      </c>
      <c r="I543">
        <v>3254244570</v>
      </c>
      <c r="J543" t="s">
        <v>1569</v>
      </c>
      <c r="K543" t="s">
        <v>58</v>
      </c>
      <c r="L543" s="3">
        <v>47611</v>
      </c>
      <c r="M543" s="3">
        <v>46776</v>
      </c>
      <c r="N543" t="s">
        <v>3345</v>
      </c>
      <c r="O543" s="4">
        <v>0.8</v>
      </c>
      <c r="P543">
        <v>0</v>
      </c>
      <c r="Q543">
        <v>0</v>
      </c>
    </row>
    <row r="544" spans="1:17" x14ac:dyDescent="0.3">
      <c r="A544">
        <v>39728</v>
      </c>
      <c r="B544" t="s">
        <v>3346</v>
      </c>
      <c r="C544" t="s">
        <v>3347</v>
      </c>
      <c r="D544" s="3">
        <v>36347</v>
      </c>
      <c r="E544" t="s">
        <v>1400</v>
      </c>
      <c r="G544" s="3">
        <v>45250</v>
      </c>
      <c r="H544" t="s">
        <v>3348</v>
      </c>
      <c r="J544" t="s">
        <v>1408</v>
      </c>
      <c r="K544" t="s">
        <v>73</v>
      </c>
      <c r="L544" s="3">
        <v>47092</v>
      </c>
      <c r="M544" s="3">
        <v>47027</v>
      </c>
      <c r="N544" t="s">
        <v>3349</v>
      </c>
      <c r="O544" s="4">
        <v>1</v>
      </c>
      <c r="P544">
        <v>0</v>
      </c>
      <c r="Q544">
        <v>0</v>
      </c>
    </row>
    <row r="545" spans="1:17" x14ac:dyDescent="0.3">
      <c r="A545">
        <v>35434</v>
      </c>
      <c r="B545" t="s">
        <v>3350</v>
      </c>
      <c r="C545" t="s">
        <v>3351</v>
      </c>
      <c r="D545" s="3">
        <v>29155</v>
      </c>
      <c r="E545" t="s">
        <v>1400</v>
      </c>
      <c r="F545">
        <v>426</v>
      </c>
      <c r="G545" s="3">
        <v>44081</v>
      </c>
      <c r="H545" t="s">
        <v>3352</v>
      </c>
      <c r="J545" t="s">
        <v>1441</v>
      </c>
      <c r="K545" t="s">
        <v>52</v>
      </c>
      <c r="L545" s="3">
        <v>47435</v>
      </c>
      <c r="M545" s="3">
        <v>46646</v>
      </c>
      <c r="N545" t="s">
        <v>3353</v>
      </c>
      <c r="O545" s="4">
        <v>1</v>
      </c>
      <c r="P545">
        <v>0</v>
      </c>
      <c r="Q545">
        <v>1</v>
      </c>
    </row>
    <row r="546" spans="1:17" x14ac:dyDescent="0.3">
      <c r="A546">
        <v>24156</v>
      </c>
      <c r="B546" t="s">
        <v>3350</v>
      </c>
      <c r="C546" t="s">
        <v>3354</v>
      </c>
      <c r="D546" s="3">
        <v>32241</v>
      </c>
      <c r="E546" t="s">
        <v>1400</v>
      </c>
      <c r="F546">
        <v>432</v>
      </c>
      <c r="G546" s="3">
        <v>40000</v>
      </c>
      <c r="H546" t="s">
        <v>3355</v>
      </c>
      <c r="J546" t="s">
        <v>1441</v>
      </c>
      <c r="K546" t="s">
        <v>61</v>
      </c>
      <c r="L546" s="3">
        <v>47129</v>
      </c>
      <c r="M546" s="3">
        <v>47105</v>
      </c>
      <c r="N546" t="s">
        <v>3356</v>
      </c>
      <c r="O546" s="4">
        <v>1</v>
      </c>
      <c r="P546">
        <v>0</v>
      </c>
      <c r="Q546">
        <v>1</v>
      </c>
    </row>
    <row r="547" spans="1:17" x14ac:dyDescent="0.3">
      <c r="A547">
        <v>41520</v>
      </c>
      <c r="B547" t="s">
        <v>3357</v>
      </c>
      <c r="C547" t="s">
        <v>3358</v>
      </c>
      <c r="D547" s="3">
        <v>35076</v>
      </c>
      <c r="E547" t="s">
        <v>1400</v>
      </c>
      <c r="G547" s="3">
        <v>45720</v>
      </c>
      <c r="H547" t="s">
        <v>3359</v>
      </c>
      <c r="J547" t="s">
        <v>1408</v>
      </c>
      <c r="K547" t="s">
        <v>61</v>
      </c>
      <c r="L547" s="3">
        <v>47562</v>
      </c>
      <c r="M547" s="3">
        <v>47456</v>
      </c>
      <c r="N547" t="s">
        <v>3360</v>
      </c>
      <c r="O547" s="4">
        <v>1</v>
      </c>
      <c r="P547">
        <v>0</v>
      </c>
      <c r="Q547">
        <v>0</v>
      </c>
    </row>
    <row r="548" spans="1:17" x14ac:dyDescent="0.3">
      <c r="A548">
        <v>23790</v>
      </c>
      <c r="B548" t="s">
        <v>3361</v>
      </c>
      <c r="C548" t="s">
        <v>3362</v>
      </c>
      <c r="D548" s="3">
        <v>26528</v>
      </c>
      <c r="E548" t="s">
        <v>1400</v>
      </c>
      <c r="F548">
        <v>318</v>
      </c>
      <c r="G548" s="3">
        <v>39923</v>
      </c>
      <c r="H548" t="s">
        <v>3363</v>
      </c>
      <c r="J548" t="s">
        <v>1722</v>
      </c>
      <c r="K548" t="s">
        <v>52</v>
      </c>
      <c r="L548" s="3">
        <v>47154</v>
      </c>
      <c r="M548" s="3">
        <v>46981</v>
      </c>
      <c r="N548" t="s">
        <v>3364</v>
      </c>
      <c r="O548" s="4">
        <v>0.8</v>
      </c>
      <c r="P548">
        <v>0</v>
      </c>
      <c r="Q548">
        <v>0</v>
      </c>
    </row>
    <row r="549" spans="1:17" x14ac:dyDescent="0.3">
      <c r="A549">
        <v>41064</v>
      </c>
      <c r="B549" t="s">
        <v>3365</v>
      </c>
      <c r="C549" t="s">
        <v>3366</v>
      </c>
      <c r="D549" s="3">
        <v>37647</v>
      </c>
      <c r="E549" t="s">
        <v>1400</v>
      </c>
      <c r="G549" s="3">
        <v>45588</v>
      </c>
      <c r="H549" t="s">
        <v>3367</v>
      </c>
      <c r="J549" t="s">
        <v>1408</v>
      </c>
      <c r="K549" t="s">
        <v>52</v>
      </c>
      <c r="L549" s="3">
        <v>47435</v>
      </c>
      <c r="M549" s="3">
        <v>47379</v>
      </c>
      <c r="N549" t="s">
        <v>3368</v>
      </c>
      <c r="O549" s="4">
        <v>1</v>
      </c>
      <c r="P549">
        <v>0</v>
      </c>
      <c r="Q549">
        <v>0</v>
      </c>
    </row>
    <row r="550" spans="1:17" x14ac:dyDescent="0.3">
      <c r="A550">
        <v>36228</v>
      </c>
      <c r="B550" t="s">
        <v>3369</v>
      </c>
      <c r="C550" t="s">
        <v>3370</v>
      </c>
      <c r="D550" s="3">
        <v>36109</v>
      </c>
      <c r="E550" t="s">
        <v>1400</v>
      </c>
      <c r="G550" s="3">
        <v>44256</v>
      </c>
      <c r="H550" t="s">
        <v>3371</v>
      </c>
      <c r="J550" t="s">
        <v>1408</v>
      </c>
      <c r="K550" t="s">
        <v>58</v>
      </c>
      <c r="L550" s="3">
        <v>46096</v>
      </c>
      <c r="M550" s="3">
        <v>45903</v>
      </c>
      <c r="N550" t="s">
        <v>3372</v>
      </c>
      <c r="O550" s="4">
        <v>1</v>
      </c>
      <c r="P550">
        <v>0</v>
      </c>
      <c r="Q550">
        <v>0</v>
      </c>
    </row>
    <row r="551" spans="1:17" x14ac:dyDescent="0.3">
      <c r="A551">
        <v>40201</v>
      </c>
      <c r="B551" t="s">
        <v>3139</v>
      </c>
      <c r="C551" t="s">
        <v>3373</v>
      </c>
      <c r="D551" s="3">
        <v>37879</v>
      </c>
      <c r="E551" t="s">
        <v>1400</v>
      </c>
      <c r="G551" s="3">
        <v>45378</v>
      </c>
      <c r="H551" t="s">
        <v>3374</v>
      </c>
      <c r="J551" t="s">
        <v>1408</v>
      </c>
      <c r="K551" t="s">
        <v>52</v>
      </c>
      <c r="L551" s="3">
        <v>47224</v>
      </c>
      <c r="M551" s="3">
        <v>47150</v>
      </c>
      <c r="N551" t="s">
        <v>3375</v>
      </c>
      <c r="O551" s="4">
        <v>1</v>
      </c>
      <c r="P551">
        <v>0</v>
      </c>
      <c r="Q551">
        <v>0</v>
      </c>
    </row>
    <row r="552" spans="1:17" x14ac:dyDescent="0.3">
      <c r="A552">
        <v>40294</v>
      </c>
      <c r="B552" t="s">
        <v>3376</v>
      </c>
      <c r="C552" t="s">
        <v>3377</v>
      </c>
      <c r="D552" s="3">
        <v>33604</v>
      </c>
      <c r="E552" t="s">
        <v>1400</v>
      </c>
      <c r="G552" s="3">
        <v>45404</v>
      </c>
      <c r="H552" t="s">
        <v>3378</v>
      </c>
      <c r="J552" t="s">
        <v>1408</v>
      </c>
      <c r="K552" t="s">
        <v>61</v>
      </c>
      <c r="L552" s="3">
        <v>47504</v>
      </c>
      <c r="M552" s="3">
        <v>47498</v>
      </c>
      <c r="N552" t="s">
        <v>3379</v>
      </c>
      <c r="O552" s="4">
        <v>1</v>
      </c>
      <c r="P552">
        <v>0</v>
      </c>
      <c r="Q552">
        <v>0</v>
      </c>
    </row>
    <row r="553" spans="1:17" x14ac:dyDescent="0.3">
      <c r="A553">
        <v>8394</v>
      </c>
      <c r="B553" t="s">
        <v>3380</v>
      </c>
      <c r="C553" t="s">
        <v>3381</v>
      </c>
      <c r="D553" s="3">
        <v>26996</v>
      </c>
      <c r="E553" t="s">
        <v>1400</v>
      </c>
      <c r="F553">
        <v>71</v>
      </c>
      <c r="G553" s="3">
        <v>35219</v>
      </c>
      <c r="H553" t="s">
        <v>3382</v>
      </c>
      <c r="J553" t="s">
        <v>1528</v>
      </c>
      <c r="K553" t="s">
        <v>73</v>
      </c>
      <c r="L553" s="3">
        <v>45880</v>
      </c>
      <c r="M553" s="3">
        <v>46014</v>
      </c>
      <c r="N553" t="s">
        <v>3383</v>
      </c>
      <c r="O553" s="4">
        <v>1</v>
      </c>
      <c r="P553">
        <v>0</v>
      </c>
      <c r="Q553">
        <v>1</v>
      </c>
    </row>
    <row r="554" spans="1:17" x14ac:dyDescent="0.3">
      <c r="A554">
        <v>6229</v>
      </c>
      <c r="B554" t="s">
        <v>1276</v>
      </c>
      <c r="C554" t="s">
        <v>3381</v>
      </c>
      <c r="D554" s="3">
        <v>20773</v>
      </c>
      <c r="E554" t="s">
        <v>1400</v>
      </c>
      <c r="F554">
        <v>628</v>
      </c>
      <c r="G554" s="3">
        <v>34008</v>
      </c>
      <c r="H554" t="s">
        <v>3384</v>
      </c>
      <c r="J554" t="s">
        <v>1537</v>
      </c>
      <c r="K554" t="s">
        <v>58</v>
      </c>
      <c r="L554" s="3">
        <v>47481</v>
      </c>
      <c r="M554" s="3">
        <v>47456</v>
      </c>
      <c r="N554" t="s">
        <v>3385</v>
      </c>
      <c r="O554" s="4">
        <v>0.5</v>
      </c>
      <c r="P554">
        <v>0</v>
      </c>
      <c r="Q554">
        <v>0</v>
      </c>
    </row>
    <row r="555" spans="1:17" x14ac:dyDescent="0.3">
      <c r="A555">
        <v>38740</v>
      </c>
      <c r="B555" t="s">
        <v>3386</v>
      </c>
      <c r="C555" t="s">
        <v>3387</v>
      </c>
      <c r="D555" s="3">
        <v>33360</v>
      </c>
      <c r="E555" t="s">
        <v>1400</v>
      </c>
      <c r="G555" s="3">
        <v>45027</v>
      </c>
      <c r="H555" t="s">
        <v>3388</v>
      </c>
      <c r="J555" t="s">
        <v>1408</v>
      </c>
      <c r="K555" t="s">
        <v>61</v>
      </c>
      <c r="L555" s="3">
        <v>46869</v>
      </c>
      <c r="M555" s="3">
        <v>46791</v>
      </c>
      <c r="N555" t="s">
        <v>3389</v>
      </c>
      <c r="O555" s="4">
        <v>1</v>
      </c>
      <c r="P555">
        <v>0</v>
      </c>
      <c r="Q555">
        <v>0</v>
      </c>
    </row>
    <row r="556" spans="1:17" x14ac:dyDescent="0.3">
      <c r="A556">
        <v>29746</v>
      </c>
      <c r="B556" t="s">
        <v>3390</v>
      </c>
      <c r="C556" t="s">
        <v>3391</v>
      </c>
      <c r="D556" s="3">
        <v>28476</v>
      </c>
      <c r="E556" t="s">
        <v>1400</v>
      </c>
      <c r="F556">
        <v>70</v>
      </c>
      <c r="G556" s="3">
        <v>42093</v>
      </c>
      <c r="H556" t="s">
        <v>3392</v>
      </c>
      <c r="J556" t="s">
        <v>1418</v>
      </c>
      <c r="K556" t="s">
        <v>55</v>
      </c>
      <c r="L556" s="3">
        <v>47454</v>
      </c>
      <c r="M556" s="3">
        <v>47449</v>
      </c>
      <c r="N556" t="s">
        <v>3393</v>
      </c>
      <c r="O556" s="4">
        <v>1</v>
      </c>
      <c r="P556">
        <v>0</v>
      </c>
      <c r="Q556">
        <v>1</v>
      </c>
    </row>
    <row r="557" spans="1:17" x14ac:dyDescent="0.3">
      <c r="A557">
        <v>29818</v>
      </c>
      <c r="B557" t="s">
        <v>3394</v>
      </c>
      <c r="C557" t="s">
        <v>3395</v>
      </c>
      <c r="D557" s="3">
        <v>32133</v>
      </c>
      <c r="E557" t="s">
        <v>1656</v>
      </c>
      <c r="F557">
        <v>401</v>
      </c>
      <c r="G557" s="3">
        <v>42121</v>
      </c>
      <c r="H557" t="s">
        <v>3396</v>
      </c>
      <c r="J557" t="s">
        <v>1722</v>
      </c>
      <c r="K557" t="s">
        <v>52</v>
      </c>
      <c r="L557" s="3">
        <v>47485</v>
      </c>
      <c r="M557" s="3">
        <v>47470</v>
      </c>
      <c r="N557" t="s">
        <v>3397</v>
      </c>
      <c r="O557" s="4">
        <v>1</v>
      </c>
      <c r="P557">
        <v>0</v>
      </c>
      <c r="Q557">
        <v>0</v>
      </c>
    </row>
    <row r="558" spans="1:17" x14ac:dyDescent="0.3">
      <c r="A558">
        <v>8708</v>
      </c>
      <c r="B558" t="s">
        <v>3398</v>
      </c>
      <c r="C558" t="s">
        <v>3399</v>
      </c>
      <c r="D558" s="3">
        <v>27571</v>
      </c>
      <c r="E558" t="s">
        <v>1400</v>
      </c>
      <c r="F558">
        <v>2</v>
      </c>
      <c r="G558" s="3">
        <v>35303</v>
      </c>
      <c r="I558">
        <v>93568611</v>
      </c>
      <c r="J558" t="s">
        <v>1528</v>
      </c>
      <c r="K558" t="s">
        <v>73</v>
      </c>
      <c r="L558" s="3">
        <v>47576</v>
      </c>
      <c r="M558" s="3">
        <v>47573</v>
      </c>
      <c r="N558" t="s">
        <v>3400</v>
      </c>
      <c r="O558" s="4">
        <v>0.8</v>
      </c>
      <c r="P558">
        <v>0</v>
      </c>
      <c r="Q558">
        <v>0</v>
      </c>
    </row>
    <row r="559" spans="1:17" x14ac:dyDescent="0.3">
      <c r="A559">
        <v>33551</v>
      </c>
      <c r="B559" t="s">
        <v>3401</v>
      </c>
      <c r="C559" t="s">
        <v>3399</v>
      </c>
      <c r="D559" s="3">
        <v>31396</v>
      </c>
      <c r="E559" t="s">
        <v>1400</v>
      </c>
      <c r="G559" s="3">
        <v>43500</v>
      </c>
      <c r="H559" t="s">
        <v>3402</v>
      </c>
      <c r="I559" t="s">
        <v>3402</v>
      </c>
      <c r="J559" t="s">
        <v>1408</v>
      </c>
      <c r="K559" t="s">
        <v>58</v>
      </c>
      <c r="L559" s="3">
        <v>47161</v>
      </c>
      <c r="M559" s="3">
        <v>47136</v>
      </c>
      <c r="N559" t="s">
        <v>3403</v>
      </c>
      <c r="O559" s="4">
        <v>0.8</v>
      </c>
      <c r="P559">
        <v>0</v>
      </c>
      <c r="Q559">
        <v>0</v>
      </c>
    </row>
    <row r="560" spans="1:17" x14ac:dyDescent="0.3">
      <c r="A560">
        <v>20655</v>
      </c>
      <c r="B560" t="s">
        <v>3404</v>
      </c>
      <c r="C560" t="s">
        <v>3399</v>
      </c>
      <c r="D560" s="3">
        <v>30082</v>
      </c>
      <c r="E560" t="s">
        <v>1400</v>
      </c>
      <c r="F560">
        <v>344</v>
      </c>
      <c r="G560" s="3">
        <v>39204</v>
      </c>
      <c r="H560" t="s">
        <v>3405</v>
      </c>
      <c r="J560" t="s">
        <v>1506</v>
      </c>
      <c r="K560" t="s">
        <v>70</v>
      </c>
      <c r="L560" s="3">
        <v>73050</v>
      </c>
      <c r="M560" s="3">
        <v>47201</v>
      </c>
      <c r="N560" t="s">
        <v>3406</v>
      </c>
      <c r="O560" s="4">
        <v>0.8</v>
      </c>
      <c r="P560">
        <v>0</v>
      </c>
      <c r="Q560">
        <v>0</v>
      </c>
    </row>
    <row r="561" spans="1:17" x14ac:dyDescent="0.3">
      <c r="A561">
        <v>16897</v>
      </c>
      <c r="B561" t="s">
        <v>3139</v>
      </c>
      <c r="C561" t="s">
        <v>3399</v>
      </c>
      <c r="D561" s="3">
        <v>30395</v>
      </c>
      <c r="E561" t="s">
        <v>1400</v>
      </c>
      <c r="F561">
        <v>416</v>
      </c>
      <c r="G561" s="3">
        <v>38103</v>
      </c>
      <c r="H561" t="s">
        <v>3407</v>
      </c>
      <c r="J561" t="s">
        <v>1506</v>
      </c>
      <c r="K561" t="s">
        <v>67</v>
      </c>
      <c r="L561" s="3">
        <v>72686</v>
      </c>
      <c r="M561" s="3">
        <v>47323</v>
      </c>
      <c r="N561" t="s">
        <v>3408</v>
      </c>
      <c r="O561" s="4">
        <v>0.8</v>
      </c>
      <c r="P561">
        <v>0</v>
      </c>
      <c r="Q561">
        <v>0</v>
      </c>
    </row>
    <row r="562" spans="1:17" x14ac:dyDescent="0.3">
      <c r="A562">
        <v>30121</v>
      </c>
      <c r="B562" t="s">
        <v>3409</v>
      </c>
      <c r="C562" t="s">
        <v>3410</v>
      </c>
      <c r="D562" s="3">
        <v>22410</v>
      </c>
      <c r="E562" t="s">
        <v>1400</v>
      </c>
      <c r="F562">
        <v>134</v>
      </c>
      <c r="G562" s="3">
        <v>42198</v>
      </c>
      <c r="H562" t="s">
        <v>3411</v>
      </c>
      <c r="I562">
        <v>92280648</v>
      </c>
      <c r="J562" t="s">
        <v>1418</v>
      </c>
      <c r="K562" t="s">
        <v>61</v>
      </c>
      <c r="L562" s="3">
        <v>47533</v>
      </c>
      <c r="M562" s="3">
        <v>47524</v>
      </c>
      <c r="N562" t="s">
        <v>3412</v>
      </c>
      <c r="O562" s="4">
        <v>1</v>
      </c>
      <c r="P562">
        <v>0</v>
      </c>
      <c r="Q562">
        <v>0</v>
      </c>
    </row>
    <row r="563" spans="1:17" x14ac:dyDescent="0.3">
      <c r="A563">
        <v>39183</v>
      </c>
      <c r="B563" t="s">
        <v>3413</v>
      </c>
      <c r="C563" t="s">
        <v>3414</v>
      </c>
      <c r="D563" s="3">
        <v>32148</v>
      </c>
      <c r="E563" t="s">
        <v>1400</v>
      </c>
      <c r="G563" s="3">
        <v>45103</v>
      </c>
      <c r="H563" t="s">
        <v>3415</v>
      </c>
      <c r="J563" t="s">
        <v>1408</v>
      </c>
      <c r="K563" t="s">
        <v>61</v>
      </c>
      <c r="L563" s="3">
        <v>46946</v>
      </c>
      <c r="M563" s="3">
        <v>46887</v>
      </c>
      <c r="N563" t="s">
        <v>3416</v>
      </c>
      <c r="O563" s="4">
        <v>1</v>
      </c>
      <c r="P563">
        <v>0</v>
      </c>
      <c r="Q563">
        <v>0</v>
      </c>
    </row>
    <row r="564" spans="1:17" x14ac:dyDescent="0.3">
      <c r="A564">
        <v>42022</v>
      </c>
      <c r="B564" t="s">
        <v>3417</v>
      </c>
      <c r="C564" t="s">
        <v>3418</v>
      </c>
      <c r="D564" s="3">
        <v>36225</v>
      </c>
      <c r="E564" t="s">
        <v>1400</v>
      </c>
      <c r="G564" s="3">
        <v>45840</v>
      </c>
      <c r="H564" t="s">
        <v>3419</v>
      </c>
      <c r="J564" t="s">
        <v>1408</v>
      </c>
      <c r="K564" t="s">
        <v>58</v>
      </c>
      <c r="L564" s="3">
        <v>47538</v>
      </c>
      <c r="M564" s="3">
        <v>47243</v>
      </c>
      <c r="N564" t="s">
        <v>3420</v>
      </c>
      <c r="O564" s="4">
        <v>1</v>
      </c>
      <c r="P564">
        <v>0</v>
      </c>
      <c r="Q564">
        <v>0</v>
      </c>
    </row>
    <row r="565" spans="1:17" x14ac:dyDescent="0.3">
      <c r="A565">
        <v>40055</v>
      </c>
      <c r="B565" t="s">
        <v>3421</v>
      </c>
      <c r="C565" t="s">
        <v>3422</v>
      </c>
      <c r="D565" s="3">
        <v>34746</v>
      </c>
      <c r="E565" t="s">
        <v>1400</v>
      </c>
      <c r="G565" s="3">
        <v>45321</v>
      </c>
      <c r="H565" t="s">
        <v>3423</v>
      </c>
      <c r="J565" t="s">
        <v>1408</v>
      </c>
      <c r="K565" t="s">
        <v>58</v>
      </c>
      <c r="L565" s="3">
        <v>47168</v>
      </c>
      <c r="M565" s="3">
        <v>47129</v>
      </c>
      <c r="N565" t="s">
        <v>3424</v>
      </c>
      <c r="O565" s="4">
        <v>1</v>
      </c>
      <c r="P565">
        <v>0</v>
      </c>
      <c r="Q565">
        <v>0</v>
      </c>
    </row>
    <row r="566" spans="1:17" x14ac:dyDescent="0.3">
      <c r="A566">
        <v>40478</v>
      </c>
      <c r="B566" t="s">
        <v>3425</v>
      </c>
      <c r="C566" t="s">
        <v>3426</v>
      </c>
      <c r="D566" s="3">
        <v>36547</v>
      </c>
      <c r="E566" t="s">
        <v>1400</v>
      </c>
      <c r="G566" s="3">
        <v>45442</v>
      </c>
      <c r="H566" t="s">
        <v>3427</v>
      </c>
      <c r="J566" t="s">
        <v>1408</v>
      </c>
      <c r="K566" t="s">
        <v>55</v>
      </c>
      <c r="L566" s="3">
        <v>47286</v>
      </c>
      <c r="M566" s="3">
        <v>47222</v>
      </c>
      <c r="N566" t="s">
        <v>3428</v>
      </c>
      <c r="O566" s="4">
        <v>1</v>
      </c>
      <c r="P566">
        <v>0</v>
      </c>
      <c r="Q566">
        <v>0</v>
      </c>
    </row>
    <row r="567" spans="1:17" x14ac:dyDescent="0.3">
      <c r="A567">
        <v>40521</v>
      </c>
      <c r="B567" t="s">
        <v>3429</v>
      </c>
      <c r="C567" t="s">
        <v>3430</v>
      </c>
      <c r="D567" s="3">
        <v>31462</v>
      </c>
      <c r="E567" t="s">
        <v>1400</v>
      </c>
      <c r="G567" s="3">
        <v>45419</v>
      </c>
      <c r="H567" t="s">
        <v>3431</v>
      </c>
      <c r="J567" t="s">
        <v>1408</v>
      </c>
      <c r="K567" t="s">
        <v>73</v>
      </c>
      <c r="L567" s="3">
        <v>46281</v>
      </c>
      <c r="M567" s="3">
        <v>46244</v>
      </c>
      <c r="N567" t="s">
        <v>3432</v>
      </c>
      <c r="O567" s="4">
        <v>1</v>
      </c>
      <c r="P567">
        <v>0</v>
      </c>
      <c r="Q567">
        <v>0</v>
      </c>
    </row>
    <row r="568" spans="1:17" x14ac:dyDescent="0.3">
      <c r="A568">
        <v>39251</v>
      </c>
      <c r="B568" t="s">
        <v>3433</v>
      </c>
      <c r="C568" t="s">
        <v>3430</v>
      </c>
      <c r="D568" s="3">
        <v>36822</v>
      </c>
      <c r="E568" t="s">
        <v>1400</v>
      </c>
      <c r="G568" s="3">
        <v>45103</v>
      </c>
      <c r="H568" t="s">
        <v>3434</v>
      </c>
      <c r="J568" t="s">
        <v>1408</v>
      </c>
      <c r="K568" t="s">
        <v>70</v>
      </c>
      <c r="L568" s="3">
        <v>46945</v>
      </c>
      <c r="M568" s="3">
        <v>46925</v>
      </c>
      <c r="N568" t="s">
        <v>3435</v>
      </c>
      <c r="O568" s="4">
        <v>1</v>
      </c>
      <c r="P568">
        <v>0</v>
      </c>
      <c r="Q568">
        <v>0</v>
      </c>
    </row>
    <row r="569" spans="1:17" x14ac:dyDescent="0.3">
      <c r="A569">
        <v>24367</v>
      </c>
      <c r="B569" t="s">
        <v>3436</v>
      </c>
      <c r="C569" t="s">
        <v>3430</v>
      </c>
      <c r="D569" s="3">
        <v>26948</v>
      </c>
      <c r="E569" t="s">
        <v>1400</v>
      </c>
      <c r="F569">
        <v>605</v>
      </c>
      <c r="G569" s="3">
        <v>40035</v>
      </c>
      <c r="H569" t="s">
        <v>3437</v>
      </c>
      <c r="J569" t="s">
        <v>1476</v>
      </c>
      <c r="K569" t="s">
        <v>55</v>
      </c>
      <c r="L569" s="3">
        <v>47150</v>
      </c>
      <c r="M569" s="3">
        <v>47141</v>
      </c>
      <c r="N569" t="s">
        <v>3438</v>
      </c>
      <c r="O569" s="4">
        <v>1</v>
      </c>
      <c r="P569">
        <v>0</v>
      </c>
      <c r="Q569">
        <v>0</v>
      </c>
    </row>
    <row r="570" spans="1:17" x14ac:dyDescent="0.3">
      <c r="A570">
        <v>42015</v>
      </c>
      <c r="B570" t="s">
        <v>3439</v>
      </c>
      <c r="C570" t="s">
        <v>3440</v>
      </c>
      <c r="D570" s="3">
        <v>31325</v>
      </c>
      <c r="E570" t="s">
        <v>1400</v>
      </c>
      <c r="G570" s="3">
        <v>45831</v>
      </c>
      <c r="H570" t="s">
        <v>3441</v>
      </c>
      <c r="J570" t="s">
        <v>1408</v>
      </c>
      <c r="K570" t="s">
        <v>58</v>
      </c>
      <c r="L570" s="3">
        <v>47679</v>
      </c>
      <c r="M570" s="3">
        <v>47636</v>
      </c>
      <c r="N570" t="s">
        <v>3442</v>
      </c>
      <c r="O570" s="4">
        <v>1</v>
      </c>
      <c r="P570">
        <v>0</v>
      </c>
      <c r="Q570">
        <v>0</v>
      </c>
    </row>
    <row r="571" spans="1:17" x14ac:dyDescent="0.3">
      <c r="A571">
        <v>37936</v>
      </c>
      <c r="B571" t="s">
        <v>3443</v>
      </c>
      <c r="C571" t="s">
        <v>3440</v>
      </c>
      <c r="D571" s="3">
        <v>34889</v>
      </c>
      <c r="E571" t="s">
        <v>1400</v>
      </c>
      <c r="G571" s="3">
        <v>44837</v>
      </c>
      <c r="H571" t="s">
        <v>3444</v>
      </c>
      <c r="J571" t="s">
        <v>1459</v>
      </c>
      <c r="K571" t="s">
        <v>67</v>
      </c>
      <c r="L571" s="3">
        <v>46553</v>
      </c>
      <c r="M571" s="3">
        <v>46680</v>
      </c>
      <c r="N571" t="s">
        <v>3445</v>
      </c>
      <c r="O571" s="4">
        <v>1</v>
      </c>
      <c r="P571">
        <v>0</v>
      </c>
      <c r="Q571">
        <v>0</v>
      </c>
    </row>
    <row r="572" spans="1:17" x14ac:dyDescent="0.3">
      <c r="A572">
        <v>39146</v>
      </c>
      <c r="B572" t="s">
        <v>3446</v>
      </c>
      <c r="C572" t="s">
        <v>3447</v>
      </c>
      <c r="D572" s="3">
        <v>28674</v>
      </c>
      <c r="E572" t="s">
        <v>1400</v>
      </c>
      <c r="G572" s="3">
        <v>45090</v>
      </c>
      <c r="H572" t="s">
        <v>3448</v>
      </c>
      <c r="J572" t="s">
        <v>1408</v>
      </c>
      <c r="K572" t="s">
        <v>70</v>
      </c>
      <c r="L572" s="3">
        <v>46933</v>
      </c>
      <c r="M572" s="3">
        <v>46883</v>
      </c>
      <c r="N572" t="s">
        <v>3449</v>
      </c>
      <c r="O572" s="4">
        <v>1</v>
      </c>
      <c r="P572">
        <v>0</v>
      </c>
      <c r="Q572">
        <v>0</v>
      </c>
    </row>
    <row r="573" spans="1:17" x14ac:dyDescent="0.3">
      <c r="A573">
        <v>21466</v>
      </c>
      <c r="B573" t="s">
        <v>2095</v>
      </c>
      <c r="C573" t="s">
        <v>3447</v>
      </c>
      <c r="D573" s="3">
        <v>25358</v>
      </c>
      <c r="E573" t="s">
        <v>1400</v>
      </c>
      <c r="F573">
        <v>395</v>
      </c>
      <c r="G573" s="3">
        <v>39391</v>
      </c>
      <c r="I573">
        <v>32479662027</v>
      </c>
      <c r="J573" t="s">
        <v>1528</v>
      </c>
      <c r="K573" t="s">
        <v>73</v>
      </c>
      <c r="L573" s="3">
        <v>47664</v>
      </c>
      <c r="M573" s="3">
        <v>46369</v>
      </c>
      <c r="N573" t="s">
        <v>3450</v>
      </c>
      <c r="O573" s="4">
        <v>1</v>
      </c>
      <c r="P573">
        <v>0</v>
      </c>
      <c r="Q573">
        <v>0</v>
      </c>
    </row>
    <row r="574" spans="1:17" x14ac:dyDescent="0.3">
      <c r="A574">
        <v>37907</v>
      </c>
      <c r="B574" t="s">
        <v>3451</v>
      </c>
      <c r="C574" t="s">
        <v>3452</v>
      </c>
      <c r="D574" s="3">
        <v>36493</v>
      </c>
      <c r="E574" t="s">
        <v>1400</v>
      </c>
      <c r="G574" s="3">
        <v>44809</v>
      </c>
      <c r="H574" t="s">
        <v>3453</v>
      </c>
      <c r="J574" t="s">
        <v>1408</v>
      </c>
      <c r="K574" t="s">
        <v>52</v>
      </c>
      <c r="L574" s="3">
        <v>46652</v>
      </c>
      <c r="M574" s="3">
        <v>46574</v>
      </c>
      <c r="N574" t="s">
        <v>3454</v>
      </c>
      <c r="O574" s="4">
        <v>1</v>
      </c>
      <c r="P574">
        <v>0</v>
      </c>
      <c r="Q574">
        <v>0</v>
      </c>
    </row>
    <row r="575" spans="1:17" x14ac:dyDescent="0.3">
      <c r="A575">
        <v>6049</v>
      </c>
      <c r="B575" t="s">
        <v>3455</v>
      </c>
      <c r="C575" t="s">
        <v>3456</v>
      </c>
      <c r="D575" s="3">
        <v>23942</v>
      </c>
      <c r="E575" t="s">
        <v>1400</v>
      </c>
      <c r="F575">
        <v>193</v>
      </c>
      <c r="G575" s="3">
        <v>33819</v>
      </c>
      <c r="H575" t="s">
        <v>3457</v>
      </c>
      <c r="J575" t="s">
        <v>1528</v>
      </c>
      <c r="K575" t="s">
        <v>73</v>
      </c>
      <c r="L575" s="3">
        <v>47636</v>
      </c>
      <c r="M575" s="3">
        <v>46364</v>
      </c>
      <c r="N575" t="s">
        <v>3458</v>
      </c>
      <c r="O575" s="4">
        <v>0.8</v>
      </c>
      <c r="P575">
        <v>0</v>
      </c>
      <c r="Q575">
        <v>1</v>
      </c>
    </row>
    <row r="576" spans="1:17" x14ac:dyDescent="0.3">
      <c r="A576">
        <v>35397</v>
      </c>
      <c r="B576" t="s">
        <v>3459</v>
      </c>
      <c r="C576" t="s">
        <v>3460</v>
      </c>
      <c r="D576" s="3">
        <v>30513</v>
      </c>
      <c r="E576" t="s">
        <v>1400</v>
      </c>
      <c r="F576">
        <v>387</v>
      </c>
      <c r="G576" s="3">
        <v>43984</v>
      </c>
      <c r="H576" t="s">
        <v>3461</v>
      </c>
      <c r="I576">
        <v>92567935</v>
      </c>
      <c r="J576" t="s">
        <v>1441</v>
      </c>
      <c r="K576" t="s">
        <v>73</v>
      </c>
      <c r="L576" s="3">
        <v>47450</v>
      </c>
      <c r="M576" s="3">
        <v>47441</v>
      </c>
      <c r="N576" t="s">
        <v>3462</v>
      </c>
      <c r="O576" s="4">
        <v>1</v>
      </c>
      <c r="P576">
        <v>0</v>
      </c>
      <c r="Q576">
        <v>1</v>
      </c>
    </row>
    <row r="577" spans="1:17" x14ac:dyDescent="0.3">
      <c r="A577">
        <v>38013</v>
      </c>
      <c r="B577" t="s">
        <v>3463</v>
      </c>
      <c r="C577" t="s">
        <v>1884</v>
      </c>
      <c r="D577" s="3">
        <v>32771</v>
      </c>
      <c r="E577" t="s">
        <v>1400</v>
      </c>
      <c r="G577" s="3">
        <v>44837</v>
      </c>
      <c r="H577" t="s">
        <v>3464</v>
      </c>
      <c r="J577" t="s">
        <v>1403</v>
      </c>
      <c r="K577" t="s">
        <v>73</v>
      </c>
      <c r="L577" s="3">
        <v>46683</v>
      </c>
      <c r="M577" s="3">
        <v>46565</v>
      </c>
      <c r="N577" t="s">
        <v>3465</v>
      </c>
      <c r="O577" s="4">
        <v>1</v>
      </c>
      <c r="P577">
        <v>0</v>
      </c>
      <c r="Q577">
        <v>0</v>
      </c>
    </row>
    <row r="578" spans="1:17" x14ac:dyDescent="0.3">
      <c r="A578">
        <v>25829</v>
      </c>
      <c r="B578" t="s">
        <v>3466</v>
      </c>
      <c r="C578" t="s">
        <v>1884</v>
      </c>
      <c r="D578" s="3">
        <v>28120</v>
      </c>
      <c r="E578" t="s">
        <v>1400</v>
      </c>
      <c r="F578">
        <v>74</v>
      </c>
      <c r="G578" s="3">
        <v>40497</v>
      </c>
      <c r="H578" t="s">
        <v>3467</v>
      </c>
      <c r="J578" t="s">
        <v>1537</v>
      </c>
      <c r="K578" t="s">
        <v>67</v>
      </c>
      <c r="L578" s="3">
        <v>45914</v>
      </c>
      <c r="M578" s="3">
        <v>45909</v>
      </c>
      <c r="N578" t="s">
        <v>3468</v>
      </c>
      <c r="O578" s="4">
        <v>1</v>
      </c>
      <c r="P578">
        <v>0</v>
      </c>
      <c r="Q578">
        <v>0</v>
      </c>
    </row>
    <row r="579" spans="1:17" x14ac:dyDescent="0.3">
      <c r="A579">
        <v>35220</v>
      </c>
      <c r="B579" t="s">
        <v>3469</v>
      </c>
      <c r="C579" t="s">
        <v>3470</v>
      </c>
      <c r="D579" s="3">
        <v>32543</v>
      </c>
      <c r="E579" t="s">
        <v>1400</v>
      </c>
      <c r="G579" s="3">
        <v>43906</v>
      </c>
      <c r="H579" t="s">
        <v>3471</v>
      </c>
      <c r="I579" t="s">
        <v>3472</v>
      </c>
      <c r="J579" t="s">
        <v>1413</v>
      </c>
      <c r="K579" t="s">
        <v>73</v>
      </c>
      <c r="L579" s="3">
        <v>47504</v>
      </c>
      <c r="M579" s="3">
        <v>47460</v>
      </c>
      <c r="N579" t="s">
        <v>3473</v>
      </c>
      <c r="O579" s="4">
        <v>1</v>
      </c>
      <c r="P579">
        <v>0</v>
      </c>
      <c r="Q579">
        <v>1</v>
      </c>
    </row>
    <row r="580" spans="1:17" x14ac:dyDescent="0.3">
      <c r="A580">
        <v>39106</v>
      </c>
      <c r="B580" t="s">
        <v>3474</v>
      </c>
      <c r="C580" t="s">
        <v>3475</v>
      </c>
      <c r="D580" s="3">
        <v>36995</v>
      </c>
      <c r="E580" t="s">
        <v>1400</v>
      </c>
      <c r="G580" s="3">
        <v>45076</v>
      </c>
      <c r="H580" t="s">
        <v>3476</v>
      </c>
      <c r="J580" t="s">
        <v>1408</v>
      </c>
      <c r="K580" t="s">
        <v>55</v>
      </c>
      <c r="L580" s="3">
        <v>46919</v>
      </c>
      <c r="M580" s="3">
        <v>46880</v>
      </c>
      <c r="N580" t="s">
        <v>3477</v>
      </c>
      <c r="O580" s="4">
        <v>1</v>
      </c>
      <c r="P580">
        <v>0</v>
      </c>
      <c r="Q580">
        <v>0</v>
      </c>
    </row>
    <row r="581" spans="1:17" x14ac:dyDescent="0.3">
      <c r="A581">
        <v>19691</v>
      </c>
      <c r="B581" t="s">
        <v>3478</v>
      </c>
      <c r="C581" t="s">
        <v>3475</v>
      </c>
      <c r="D581" s="3">
        <v>23974</v>
      </c>
      <c r="E581" t="s">
        <v>1400</v>
      </c>
      <c r="F581">
        <v>506</v>
      </c>
      <c r="G581" s="3">
        <v>38936</v>
      </c>
      <c r="H581" t="s">
        <v>3479</v>
      </c>
      <c r="J581" t="s">
        <v>1523</v>
      </c>
      <c r="K581" t="s">
        <v>58</v>
      </c>
      <c r="L581" s="3">
        <v>45964</v>
      </c>
      <c r="M581" s="3">
        <v>46056</v>
      </c>
      <c r="N581" t="s">
        <v>3480</v>
      </c>
      <c r="O581" s="4">
        <v>0.8</v>
      </c>
      <c r="P581">
        <v>0</v>
      </c>
      <c r="Q581">
        <v>0</v>
      </c>
    </row>
    <row r="582" spans="1:17" x14ac:dyDescent="0.3">
      <c r="A582">
        <v>13020</v>
      </c>
      <c r="B582" t="s">
        <v>3481</v>
      </c>
      <c r="C582" t="s">
        <v>3475</v>
      </c>
      <c r="D582" s="3">
        <v>22182</v>
      </c>
      <c r="E582" t="s">
        <v>1400</v>
      </c>
      <c r="F582">
        <v>236</v>
      </c>
      <c r="G582" s="3">
        <v>36923</v>
      </c>
      <c r="H582" t="s">
        <v>3482</v>
      </c>
      <c r="I582">
        <v>92262940</v>
      </c>
      <c r="J582" t="s">
        <v>1574</v>
      </c>
      <c r="K582" t="s">
        <v>73</v>
      </c>
      <c r="L582" s="3">
        <v>72686</v>
      </c>
      <c r="M582" s="3">
        <v>72686</v>
      </c>
      <c r="N582" t="s">
        <v>3483</v>
      </c>
      <c r="O582" s="4">
        <v>0.8</v>
      </c>
      <c r="P582">
        <v>0</v>
      </c>
      <c r="Q582">
        <v>0</v>
      </c>
    </row>
    <row r="583" spans="1:17" x14ac:dyDescent="0.3">
      <c r="A583">
        <v>38551</v>
      </c>
      <c r="B583" t="s">
        <v>3484</v>
      </c>
      <c r="C583" t="s">
        <v>2041</v>
      </c>
      <c r="D583" s="3">
        <v>29593</v>
      </c>
      <c r="E583" t="s">
        <v>1400</v>
      </c>
      <c r="G583" s="3">
        <v>44970</v>
      </c>
      <c r="H583" t="s">
        <v>3485</v>
      </c>
      <c r="J583" t="s">
        <v>1413</v>
      </c>
      <c r="K583" t="s">
        <v>55</v>
      </c>
      <c r="L583" s="3">
        <v>46817</v>
      </c>
      <c r="M583" s="3">
        <v>46735</v>
      </c>
      <c r="N583" t="s">
        <v>3486</v>
      </c>
      <c r="O583" s="4">
        <v>1</v>
      </c>
      <c r="P583">
        <v>0</v>
      </c>
      <c r="Q583">
        <v>0</v>
      </c>
    </row>
    <row r="584" spans="1:17" x14ac:dyDescent="0.3">
      <c r="A584">
        <v>36663</v>
      </c>
      <c r="B584" t="s">
        <v>3487</v>
      </c>
      <c r="C584" t="s">
        <v>3488</v>
      </c>
      <c r="D584" s="3">
        <v>36031</v>
      </c>
      <c r="E584" t="s">
        <v>1400</v>
      </c>
      <c r="G584" s="3">
        <v>44431</v>
      </c>
      <c r="H584" t="s">
        <v>3489</v>
      </c>
      <c r="J584" t="s">
        <v>1403</v>
      </c>
      <c r="K584" t="s">
        <v>52</v>
      </c>
      <c r="L584" s="3">
        <v>46277</v>
      </c>
      <c r="M584" s="3">
        <v>46175</v>
      </c>
      <c r="N584" t="s">
        <v>3490</v>
      </c>
      <c r="O584" s="4">
        <v>0.8</v>
      </c>
      <c r="P584">
        <v>0</v>
      </c>
      <c r="Q584">
        <v>1</v>
      </c>
    </row>
    <row r="585" spans="1:17" x14ac:dyDescent="0.3">
      <c r="A585">
        <v>25733</v>
      </c>
      <c r="B585" t="s">
        <v>2711</v>
      </c>
      <c r="C585" t="s">
        <v>3491</v>
      </c>
      <c r="D585" s="3">
        <v>30480</v>
      </c>
      <c r="E585" t="s">
        <v>1400</v>
      </c>
      <c r="F585">
        <v>24</v>
      </c>
      <c r="G585" s="3">
        <v>40469</v>
      </c>
      <c r="H585" t="s">
        <v>3492</v>
      </c>
      <c r="J585" t="s">
        <v>1476</v>
      </c>
      <c r="K585" t="s">
        <v>58</v>
      </c>
      <c r="L585" s="3">
        <v>73050</v>
      </c>
      <c r="M585" s="3">
        <v>47551</v>
      </c>
      <c r="N585" t="s">
        <v>3493</v>
      </c>
      <c r="O585" s="4">
        <v>1</v>
      </c>
      <c r="P585">
        <v>0</v>
      </c>
      <c r="Q585">
        <v>0</v>
      </c>
    </row>
    <row r="586" spans="1:17" x14ac:dyDescent="0.3">
      <c r="A586">
        <v>35055</v>
      </c>
      <c r="B586" t="s">
        <v>3494</v>
      </c>
      <c r="C586" t="s">
        <v>3495</v>
      </c>
      <c r="D586" s="3">
        <v>36273</v>
      </c>
      <c r="E586" t="s">
        <v>1400</v>
      </c>
      <c r="F586">
        <v>405</v>
      </c>
      <c r="G586" s="3">
        <v>43864</v>
      </c>
      <c r="H586" t="s">
        <v>3496</v>
      </c>
      <c r="J586" t="s">
        <v>1413</v>
      </c>
      <c r="K586" t="s">
        <v>58</v>
      </c>
      <c r="L586" s="3">
        <v>47470</v>
      </c>
      <c r="M586" s="3">
        <v>47460</v>
      </c>
      <c r="N586" t="s">
        <v>3497</v>
      </c>
      <c r="O586" s="4">
        <v>1</v>
      </c>
      <c r="P586">
        <v>0</v>
      </c>
      <c r="Q586">
        <v>1</v>
      </c>
    </row>
    <row r="587" spans="1:17" x14ac:dyDescent="0.3">
      <c r="A587">
        <v>36426</v>
      </c>
      <c r="B587" t="s">
        <v>3498</v>
      </c>
      <c r="C587" t="s">
        <v>3499</v>
      </c>
      <c r="D587" s="3">
        <v>32703</v>
      </c>
      <c r="E587" t="s">
        <v>1400</v>
      </c>
      <c r="G587" s="3">
        <v>44305</v>
      </c>
      <c r="H587" t="s">
        <v>3500</v>
      </c>
      <c r="J587" t="s">
        <v>1403</v>
      </c>
      <c r="K587" t="s">
        <v>55</v>
      </c>
      <c r="L587" s="3">
        <v>46138</v>
      </c>
      <c r="M587" s="3">
        <v>46090</v>
      </c>
      <c r="N587" t="s">
        <v>3501</v>
      </c>
      <c r="O587" s="4">
        <v>1</v>
      </c>
      <c r="P587">
        <v>0</v>
      </c>
      <c r="Q587">
        <v>1</v>
      </c>
    </row>
    <row r="588" spans="1:17" x14ac:dyDescent="0.3">
      <c r="A588">
        <v>22416</v>
      </c>
      <c r="B588" t="s">
        <v>3502</v>
      </c>
      <c r="C588" t="s">
        <v>3503</v>
      </c>
      <c r="D588" s="3">
        <v>31696</v>
      </c>
      <c r="E588" t="s">
        <v>1400</v>
      </c>
      <c r="F588">
        <v>342</v>
      </c>
      <c r="G588" s="3">
        <v>39615</v>
      </c>
      <c r="H588" t="s">
        <v>3504</v>
      </c>
      <c r="J588" t="s">
        <v>1476</v>
      </c>
      <c r="K588" t="s">
        <v>61</v>
      </c>
      <c r="L588" s="3">
        <v>72686</v>
      </c>
      <c r="M588" s="3">
        <v>46672</v>
      </c>
      <c r="N588" t="s">
        <v>3505</v>
      </c>
      <c r="O588" s="4">
        <v>1</v>
      </c>
      <c r="P588">
        <v>0</v>
      </c>
      <c r="Q588">
        <v>1</v>
      </c>
    </row>
    <row r="589" spans="1:17" x14ac:dyDescent="0.3">
      <c r="A589">
        <v>39899</v>
      </c>
      <c r="B589" t="s">
        <v>3316</v>
      </c>
      <c r="C589" t="s">
        <v>3506</v>
      </c>
      <c r="D589" s="3">
        <v>22796</v>
      </c>
      <c r="E589" t="s">
        <v>1400</v>
      </c>
      <c r="G589" s="3">
        <v>45315</v>
      </c>
      <c r="H589" t="s">
        <v>3507</v>
      </c>
      <c r="J589" t="s">
        <v>1408</v>
      </c>
      <c r="K589" t="s">
        <v>61</v>
      </c>
      <c r="L589" s="3">
        <v>46497</v>
      </c>
      <c r="M589" s="3">
        <v>46431</v>
      </c>
      <c r="N589" t="s">
        <v>3508</v>
      </c>
      <c r="O589" s="4">
        <v>1</v>
      </c>
      <c r="P589">
        <v>0</v>
      </c>
      <c r="Q589">
        <v>0</v>
      </c>
    </row>
    <row r="590" spans="1:17" x14ac:dyDescent="0.3">
      <c r="A590">
        <v>41821</v>
      </c>
      <c r="B590" t="s">
        <v>3509</v>
      </c>
      <c r="C590" t="s">
        <v>3510</v>
      </c>
      <c r="D590" s="3">
        <v>37792</v>
      </c>
      <c r="E590" t="s">
        <v>1400</v>
      </c>
      <c r="G590" s="3">
        <v>45783</v>
      </c>
      <c r="H590" t="s">
        <v>3511</v>
      </c>
      <c r="J590" t="s">
        <v>1408</v>
      </c>
      <c r="K590" t="s">
        <v>61</v>
      </c>
      <c r="L590" s="3">
        <v>47629</v>
      </c>
      <c r="M590" s="3">
        <v>47538</v>
      </c>
      <c r="N590" t="s">
        <v>3512</v>
      </c>
      <c r="O590" s="4">
        <v>1</v>
      </c>
      <c r="P590">
        <v>0</v>
      </c>
      <c r="Q590">
        <v>0</v>
      </c>
    </row>
    <row r="591" spans="1:17" x14ac:dyDescent="0.3">
      <c r="A591">
        <v>23326</v>
      </c>
      <c r="B591" t="s">
        <v>3513</v>
      </c>
      <c r="C591" t="s">
        <v>3514</v>
      </c>
      <c r="D591" s="3">
        <v>28126</v>
      </c>
      <c r="E591" t="s">
        <v>1400</v>
      </c>
      <c r="F591">
        <v>327</v>
      </c>
      <c r="G591" s="3">
        <v>39839</v>
      </c>
      <c r="H591" t="s">
        <v>3515</v>
      </c>
      <c r="J591" t="s">
        <v>1426</v>
      </c>
      <c r="K591" t="s">
        <v>52</v>
      </c>
      <c r="L591" s="3">
        <v>73050</v>
      </c>
      <c r="M591" s="3">
        <v>45891</v>
      </c>
      <c r="N591" t="s">
        <v>3516</v>
      </c>
      <c r="O591" s="4">
        <v>1</v>
      </c>
      <c r="P591">
        <v>0</v>
      </c>
      <c r="Q591">
        <v>1</v>
      </c>
    </row>
    <row r="592" spans="1:17" x14ac:dyDescent="0.3">
      <c r="A592">
        <v>32528</v>
      </c>
      <c r="B592" t="s">
        <v>3517</v>
      </c>
      <c r="C592" t="s">
        <v>3518</v>
      </c>
      <c r="D592" s="3">
        <v>30914</v>
      </c>
      <c r="E592" t="s">
        <v>1400</v>
      </c>
      <c r="F592">
        <v>115</v>
      </c>
      <c r="G592" s="3">
        <v>43164</v>
      </c>
      <c r="H592" t="s">
        <v>3519</v>
      </c>
      <c r="J592" t="s">
        <v>1459</v>
      </c>
      <c r="K592" t="s">
        <v>67</v>
      </c>
      <c r="L592" s="3">
        <v>46624</v>
      </c>
      <c r="M592" s="3">
        <v>46621</v>
      </c>
      <c r="N592" t="s">
        <v>3520</v>
      </c>
      <c r="O592" s="4">
        <v>0.8</v>
      </c>
      <c r="P592">
        <v>0</v>
      </c>
      <c r="Q592">
        <v>1</v>
      </c>
    </row>
    <row r="593" spans="1:17" x14ac:dyDescent="0.3">
      <c r="A593">
        <v>40859</v>
      </c>
      <c r="B593" t="s">
        <v>3521</v>
      </c>
      <c r="C593" t="s">
        <v>3522</v>
      </c>
      <c r="D593" s="3">
        <v>29961</v>
      </c>
      <c r="E593" t="s">
        <v>1400</v>
      </c>
      <c r="G593" s="3">
        <v>45544</v>
      </c>
      <c r="H593" t="s">
        <v>3523</v>
      </c>
      <c r="J593" t="s">
        <v>1408</v>
      </c>
      <c r="K593" t="s">
        <v>58</v>
      </c>
      <c r="L593" s="3">
        <v>47391</v>
      </c>
      <c r="M593" s="3">
        <v>47294</v>
      </c>
      <c r="N593" t="s">
        <v>3524</v>
      </c>
      <c r="O593" s="4">
        <v>1</v>
      </c>
      <c r="P593">
        <v>0</v>
      </c>
      <c r="Q593">
        <v>0</v>
      </c>
    </row>
    <row r="594" spans="1:17" x14ac:dyDescent="0.3">
      <c r="A594">
        <v>38691</v>
      </c>
      <c r="B594" t="s">
        <v>3525</v>
      </c>
      <c r="C594" t="s">
        <v>3526</v>
      </c>
      <c r="D594" s="3">
        <v>37281</v>
      </c>
      <c r="E594" t="s">
        <v>1400</v>
      </c>
      <c r="G594" s="3">
        <v>45012</v>
      </c>
      <c r="H594" t="s">
        <v>3527</v>
      </c>
      <c r="J594" t="s">
        <v>1408</v>
      </c>
      <c r="K594" t="s">
        <v>70</v>
      </c>
      <c r="L594" s="3">
        <v>46855</v>
      </c>
      <c r="M594" s="3">
        <v>46763</v>
      </c>
      <c r="N594" t="s">
        <v>3528</v>
      </c>
      <c r="O594" s="4">
        <v>1</v>
      </c>
      <c r="P594">
        <v>0</v>
      </c>
      <c r="Q594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96299C34-5078-4293-ADCA-B53423DEA35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2025-09-17T17:27:49Z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