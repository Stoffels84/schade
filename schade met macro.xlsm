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70" documentId="13_ncr:1_{10FCACA5-8197-478D-90D3-5F83063FB753}" xr6:coauthVersionLast="47" xr6:coauthVersionMax="47" xr10:uidLastSave="{B30B8732-FA3B-4366-B08D-C43FD8DBBB48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2" i="1" l="1"/>
  <c r="B953" i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<sst xmlns="http://schemas.openxmlformats.org/spreadsheetml/2006/main" count="8920" uniqueCount="3816">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</sst>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930" activePane="bottomLeft" state="frozen"/>
      <selection activeCell="F1" sqref="F1"/>
      <selection pane="bottomLeft" activeCell="A969" sqref="A969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38529</v>
      </c>
      <c r="B961" t="str">
        <f>_xlfn.CONCAT(bron[[#This Row],[personeelsnr]]," ",bron[[#This Row],[achternaam]]," ",bron[[#This Row],[voornaam]])</f>
        <v>38529 Huyghe Jan</v>
      </c>
      <c r="C961" t="str">
        <f>VLOOKUP(bron[[#This Row],[personeelsnr]],'data hastus'!$A:$C,2,0)</f>
        <v>Huyghe</v>
      </c>
      <c r="D961" t="str">
        <f>VLOOKUP(bron[[#This Row],[personeelsnr]],'data hastus'!$A:$C,3,0)</f>
        <v>Jan</v>
      </c>
      <c r="E961" s="2" t="str">
        <f>VLOOKUP(bron[[#This Row],[personeelsnr]],'data hastus'!A:K,11,FALSE)</f>
        <v>Els Dewulf</v>
      </c>
      <c r="F961" s="10"/>
      <c r="G961" s="39"/>
      <c r="H961" s="39"/>
      <c r="I961" s="39"/>
      <c r="S961" s="44">
        <f>SUM(bron[[#This Row],[Januari]:[December]])</f>
        <v>0</v>
      </c>
      <c r="T961" s="41">
        <v>45979</v>
      </c>
      <c r="U961" s="5" t="s">
        <v>3807</v>
      </c>
      <c r="V961" s="37"/>
      <c r="W961" s="37"/>
      <c r="X961" t="s">
        <v>3512</v>
      </c>
      <c r="Y961" t="s">
        <v>28</v>
      </c>
      <c r="Z961" s="2">
        <v>5932</v>
      </c>
      <c r="AA961" s="43" t="s">
        <v>3559</v>
      </c>
    </row>
    <row r="962" spans="1:27" x14ac:dyDescent="0.25">
      <c r="A962">
        <v>33400</v>
      </c>
      <c r="B962" t="str">
        <f>_xlfn.CONCAT(bron[[#This Row],[personeelsnr]]," ",bron[[#This Row],[achternaam]]," ",bron[[#This Row],[voornaam]])</f>
        <v>33400 Petit Cynthia</v>
      </c>
      <c r="C962" t="str">
        <f>VLOOKUP(bron[[#This Row],[personeelsnr]],'data hastus'!$A:$C,2,0)</f>
        <v>Petit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45980</v>
      </c>
      <c r="U962" s="5" t="s">
        <v>3808</v>
      </c>
      <c r="V962" s="37"/>
      <c r="W962" s="37"/>
      <c r="X962" t="s">
        <v>3548</v>
      </c>
      <c r="Y962" t="s">
        <v>857</v>
      </c>
      <c r="Z962" s="2">
        <v>6368</v>
      </c>
      <c r="AA962" s="43" t="s">
        <v>3559</v>
      </c>
    </row>
    <row r="963" spans="1:27" x14ac:dyDescent="0.25">
      <c r="A963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39"/>
      <c r="H963" s="39"/>
      <c r="I963" s="39"/>
      <c r="S963" s="44">
        <f>SUM(bron[[#This Row],[Januari]:[December]])</f>
        <v>0</v>
      </c>
      <c r="T963" s="41">
        <v>45975</v>
      </c>
      <c r="U963" s="5" t="s">
        <v>3809</v>
      </c>
      <c r="V963" s="37"/>
      <c r="W963" s="37"/>
      <c r="X963" t="s">
        <v>3548</v>
      </c>
      <c r="Y963" t="s">
        <v>72</v>
      </c>
      <c r="Z963" s="2">
        <v>6362</v>
      </c>
      <c r="AA963" s="43" t="s">
        <v>3558</v>
      </c>
    </row>
    <row r="964" spans="1:27" x14ac:dyDescent="0.25">
      <c r="A964">
        <v>25733</v>
      </c>
      <c r="B964" t="str">
        <f>_xlfn.CONCAT(bron[[#This Row],[personeelsnr]]," ",bron[[#This Row],[achternaam]]," ",bron[[#This Row],[voornaam]])</f>
        <v>25733 Simsek Abdullah</v>
      </c>
      <c r="C964" t="str">
        <f>VLOOKUP(bron[[#This Row],[personeelsnr]],'data hastus'!$A:$C,2,0)</f>
        <v>Simsek</v>
      </c>
      <c r="D964" t="str">
        <f>VLOOKUP(bron[[#This Row],[personeelsnr]],'data hastus'!$A:$C,3,0)</f>
        <v>Abdullah</v>
      </c>
      <c r="E964" s="2" t="str">
        <f>VLOOKUP(bron[[#This Row],[personeelsnr]],'data hastus'!A:K,11,FALSE)</f>
        <v>Els Vanhoe</v>
      </c>
      <c r="F964" s="10"/>
      <c r="G964" s="39"/>
      <c r="H964" s="39"/>
      <c r="I964" s="39"/>
      <c r="S964" s="44">
        <f>SUM(bron[[#This Row],[Januari]:[December]])</f>
        <v>0</v>
      </c>
      <c r="T964" s="41">
        <v>45979</v>
      </c>
      <c r="U964" s="5" t="s">
        <v>3810</v>
      </c>
      <c r="V964" s="37"/>
      <c r="W964" s="37"/>
      <c r="X964" t="s">
        <v>3548</v>
      </c>
      <c r="Y964" t="s">
        <v>608</v>
      </c>
      <c r="Z964" s="2">
        <v>6365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42336</v>
      </c>
      <c r="B966" t="str">
        <f>_xlfn.CONCAT(bron[[#This Row],[personeelsnr]]," ",bron[[#This Row],[achternaam]]," ",bron[[#This Row],[voornaam]])</f>
        <v>42336 Camgöz Furkan</v>
      </c>
      <c r="C966" t="str">
        <f>VLOOKUP(bron[[#This Row],[personeelsnr]],'data hastus'!$A:$C,2,0)</f>
        <v>Camgöz</v>
      </c>
      <c r="D966" t="str">
        <f>VLOOKUP(bron[[#This Row],[personeelsnr]],'data hastus'!$A:$C,3,0)</f>
        <v>Furkan</v>
      </c>
      <c r="E966" s="2">
        <f>VLOOKUP(bron[[#This Row],[personeelsnr]],'data hastus'!A:K,11,FALSE)</f>
        <v>0</v>
      </c>
      <c r="F966" s="10"/>
      <c r="G966" s="39"/>
      <c r="H966" s="39"/>
      <c r="I966" s="39"/>
      <c r="S966" s="44">
        <f>SUM(bron[[#This Row],[Januari]:[December]])</f>
        <v>0</v>
      </c>
      <c r="T966" s="41">
        <v>45981</v>
      </c>
      <c r="U966" s="5" t="s">
        <v>3813</v>
      </c>
      <c r="V966" s="37"/>
      <c r="W966" s="37"/>
      <c r="X966" t="s">
        <v>3512</v>
      </c>
      <c r="Y966" t="s">
        <v>242</v>
      </c>
      <c r="Z966" s="2">
        <v>5912</v>
      </c>
      <c r="AA966" s="43" t="s">
        <v>3558</v>
      </c>
    </row>
    <row r="967" spans="1:27" x14ac:dyDescent="0.25">
      <c r="A967">
        <v>36021</v>
      </c>
      <c r="B967" t="str">
        <f>_xlfn.CONCAT(bron[[#This Row],[personeelsnr]]," ",bron[[#This Row],[achternaam]]," ",bron[[#This Row],[voornaam]])</f>
        <v>36021 Boelaert Frederik</v>
      </c>
      <c r="C967" t="str">
        <f>VLOOKUP(bron[[#This Row],[personeelsnr]],'data hastus'!$A:$C,2,0)</f>
        <v>Boelaert</v>
      </c>
      <c r="D967" t="str">
        <f>VLOOKUP(bron[[#This Row],[personeelsnr]],'data hastus'!$A:$C,3,0)</f>
        <v>Frederik</v>
      </c>
      <c r="E967" s="2" t="str">
        <f>VLOOKUP(bron[[#This Row],[personeelsnr]],'data hastus'!A:K,11,FALSE)</f>
        <v>Lucie Vande Velde</v>
      </c>
      <c r="F967" s="10"/>
      <c r="G967" s="39"/>
      <c r="H967" s="39"/>
      <c r="I967" s="39"/>
      <c r="S967" s="44">
        <f>SUM(bron[[#This Row],[Januari]:[December]])</f>
        <v>0</v>
      </c>
      <c r="T967" s="41">
        <v>45968</v>
      </c>
      <c r="U967" s="5" t="s">
        <v>3814</v>
      </c>
      <c r="V967" s="37"/>
      <c r="W967" s="37"/>
      <c r="X967" t="s">
        <v>3513</v>
      </c>
      <c r="Y967" t="s">
        <v>663</v>
      </c>
      <c r="Z967" s="2">
        <v>5042</v>
      </c>
      <c r="AA967" s="43" t="s">
        <v>3558</v>
      </c>
    </row>
    <row r="968" spans="1:27" x14ac:dyDescent="0.25">
      <c r="A968">
        <v>39901</v>
      </c>
      <c r="B968" t="str">
        <f>_xlfn.CONCAT(bron[[#This Row],[personeelsnr]]," ",bron[[#This Row],[achternaam]]," ",bron[[#This Row],[voornaam]])</f>
        <v>39901 Basha Izmir</v>
      </c>
      <c r="C968" t="str">
        <f>VLOOKUP(bron[[#This Row],[personeelsnr]],'data hastus'!$A:$C,2,0)</f>
        <v>Basha</v>
      </c>
      <c r="D968" t="str">
        <f>VLOOKUP(bron[[#This Row],[personeelsnr]],'data hastus'!$A:$C,3,0)</f>
        <v>Izmir</v>
      </c>
      <c r="E968" s="2" t="str">
        <f>VLOOKUP(bron[[#This Row],[personeelsnr]],'data hastus'!A:K,11,FALSE)</f>
        <v>Christoff Rotty</v>
      </c>
      <c r="F968" s="10"/>
      <c r="G968" s="39"/>
      <c r="H968" s="39"/>
      <c r="I968" s="39"/>
      <c r="S968" s="44">
        <f>SUM(bron[[#This Row],[Januari]:[December]])</f>
        <v>0</v>
      </c>
      <c r="T968" s="41">
        <v>45975</v>
      </c>
      <c r="U968" s="8" t="s">
        <v>3815</v>
      </c>
      <c r="V968" s="37"/>
      <c r="W968" s="37"/>
      <c r="X968" t="s">
        <v>3513</v>
      </c>
      <c r="Y968" t="s">
        <v>669</v>
      </c>
      <c r="Z968" s="2">
        <v>5043</v>
      </c>
      <c r="AA968" s="43" t="s">
        <v>3559</v>
      </c>
    </row>
    <row r="969" spans="1:27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1:27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2025-11-21T13:43:36Z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