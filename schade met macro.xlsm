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50" documentId="13_ncr:1_{10FCACA5-8197-478D-90D3-5F83063FB753}" xr6:coauthVersionLast="47" xr6:coauthVersionMax="47" xr10:uidLastSave="{E9DF7844-CCB6-4E69-8F7A-ABA8C2E5DE0D}"/>
  <bookViews>
    <workbookView minimized="1" xWindow="16665" yWindow="-14310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4" r:id="rId10"/>
    <pivotCache cacheId="5" r:id="rId11"/>
    <pivotCache cacheId="6" r:id="rId12"/>
    <pivotCache cacheId="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7" i="1" l="1"/>
  <c r="AB994" i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<sst xmlns="http://schemas.openxmlformats.org/spreadsheetml/2006/main" count="13968" uniqueCount="4548">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</sst>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1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625" activePane="bottomLeft" state="frozen"/>
      <selection activeCell="F1" sqref="F1"/>
      <selection pane="bottomLeft" activeCell="AB995" sqref="AB995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5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5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5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5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x14ac:dyDescent="0.25">
      <c r="A995" s="38">
        <v>39183</v>
      </c>
      <c r="B995" t="str">
        <f>_xlfn.CONCAT(bron[[#This Row],[personeelsnr]]," ",bron[[#This Row],[achternaam]]," ",bron[[#This Row],[voornaam]])</f>
        <v>39183 Al Masri Anas</v>
      </c>
      <c r="C995" t="str">
        <f>VLOOKUP(bron[[#This Row],[personeelsnr]],'data hastus'!$A:$C,2,0)</f>
        <v>Al Masri</v>
      </c>
      <c r="D995" t="str">
        <f>VLOOKUP(bron[[#This Row],[personeelsnr]],'data hastus'!$A:$C,3,0)</f>
        <v>Anas</v>
      </c>
      <c r="E995" s="2" t="str">
        <f>VLOOKUP(bron[[#This Row],[personeelsnr]],'data hastus'!A:K,11,FALSE)</f>
        <v>Christoff Rotty</v>
      </c>
      <c r="F995" s="10"/>
      <c r="G995" s="28"/>
      <c r="H995" s="28"/>
      <c r="I995" s="28"/>
      <c r="S995" s="44">
        <f>SUM(bron[[#This Row],[Januari]:[December]])</f>
        <v>0</v>
      </c>
      <c r="T995" s="30">
        <v>45995</v>
      </c>
      <c r="U995" s="5" t="s">
        <v>4546</v>
      </c>
      <c r="V995" s="26"/>
      <c r="W995" s="26"/>
      <c r="X995" t="s">
        <v>3493</v>
      </c>
      <c r="Y995" t="s">
        <v>4547</v>
      </c>
      <c r="Z995" s="2">
        <v>2193</v>
      </c>
      <c r="AA995" s="32" t="s">
        <v>3538</v>
      </c>
      <c r="AB995" s="43">
        <f>COUNTIF(B:B,bron[[#This Row],[volledige naam]])</f>
        <v>5</v>
      </c>
    </row>
    <row r="996" spans="1:28" hidden="1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24</v>
      </c>
    </row>
    <row r="997" spans="1:28" hidden="1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24</v>
      </c>
    </row>
    <row r="998" spans="1:28" hidden="1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24</v>
      </c>
    </row>
    <row r="999" spans="1:28" hidden="1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24</v>
      </c>
    </row>
    <row r="1000" spans="1:28" hidden="1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24</v>
      </c>
    </row>
    <row r="1001" spans="1:28" hidden="1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24</v>
      </c>
    </row>
  </sheetData>
  <sheetProtection sort="0" autoFilter="0"/>
  <phoneticPr fontId="1" type="noConversion"/>
  <conditionalFormatting sqref="F2:F1001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1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5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5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2025-12-05T13:23:26Z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