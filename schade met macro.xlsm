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78" documentId="13_ncr:1_{10FCACA5-8197-478D-90D3-5F83063FB753}" xr6:coauthVersionLast="47" xr6:coauthVersionMax="47" xr10:uidLastSave="{9DB88EE0-5215-4DC0-981A-D08DCAF814DD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4" i="1"/>
  <c r="D974" i="1"/>
  <c r="E974" i="1"/>
  <c r="S974" i="1"/>
  <c r="C975" i="1"/>
  <c r="D975" i="1"/>
  <c r="E975" i="1"/>
  <c r="S975" i="1"/>
  <c r="C973" i="1"/>
  <c r="D973" i="1"/>
  <c r="E973" i="1"/>
  <c r="S973" i="1"/>
  <c r="C969" i="1"/>
  <c r="D969" i="1"/>
  <c r="E969" i="1"/>
  <c r="S969" i="1"/>
  <c r="C964" i="1"/>
  <c r="D964" i="1"/>
  <c r="E964" i="1"/>
  <c r="S964" i="1"/>
  <c r="C972" i="1"/>
  <c r="D972" i="1"/>
  <c r="E972" i="1"/>
  <c r="S972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1" i="1"/>
  <c r="D971" i="1"/>
  <c r="E971" i="1"/>
  <c r="S971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70" i="1"/>
  <c r="D970" i="1"/>
  <c r="E970" i="1"/>
  <c r="S970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4" i="1"/>
  <c r="B969" i="1"/>
  <c r="B975" i="1"/>
  <c r="B963" i="1"/>
  <c r="B967" i="1"/>
  <c r="B957" i="1"/>
  <c r="B960" i="1"/>
  <c r="B971" i="1"/>
  <c r="B962" i="1"/>
  <c r="B964" i="1"/>
  <c r="B966" i="1"/>
  <c r="B961" i="1"/>
  <c r="B965" i="1"/>
  <c r="B950" i="1"/>
  <c r="B972" i="1"/>
  <c r="B968" i="1"/>
  <c r="B970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70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69" i="1"/>
  <c r="AB954" i="1"/>
  <c r="AB975" i="1"/>
  <c r="AB949" i="1"/>
  <c r="AB974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2" i="1"/>
  <c r="AB953" i="1"/>
  <c r="AB971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<sst xmlns="http://schemas.openxmlformats.org/spreadsheetml/2006/main" count="8991" uniqueCount="3843">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</sst>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0" borderId="0" xfId="0" applyNumberFormat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13</xdr:col>
      <xdr:colOff>419099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5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h="1"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5">
    <i>
      <x v="513"/>
    </i>
    <i>
      <x v="474"/>
    </i>
    <i>
      <x v="516"/>
    </i>
    <i>
      <x v="502"/>
    </i>
    <i>
      <x v="509"/>
    </i>
    <i>
      <x v="498"/>
    </i>
    <i>
      <x v="342"/>
    </i>
    <i>
      <x v="156"/>
    </i>
    <i>
      <x v="442"/>
    </i>
    <i>
      <x v="479"/>
    </i>
    <i>
      <x v="358"/>
    </i>
    <i>
      <x v="280"/>
    </i>
    <i>
      <x v="380"/>
    </i>
    <i>
      <x v="505"/>
    </i>
    <i>
      <x v="90"/>
    </i>
    <i>
      <x v="202"/>
    </i>
    <i>
      <x v="440"/>
    </i>
    <i>
      <x v="554"/>
    </i>
    <i>
      <x v="519"/>
    </i>
    <i>
      <x v="497"/>
    </i>
    <i>
      <x v="473"/>
    </i>
    <i>
      <x v="255"/>
    </i>
    <i>
      <x v="317"/>
    </i>
    <i>
      <x v="482"/>
    </i>
    <i>
      <x v="325"/>
    </i>
    <i>
      <x v="503"/>
    </i>
    <i>
      <x v="341"/>
    </i>
    <i>
      <x v="69"/>
    </i>
    <i>
      <x v="81"/>
    </i>
    <i>
      <x v="58"/>
    </i>
    <i>
      <x v="348"/>
    </i>
    <i>
      <x v="491"/>
    </i>
    <i>
      <x v="355"/>
    </i>
    <i>
      <x v="499"/>
    </i>
    <i>
      <x v="11"/>
    </i>
    <i>
      <x v="250"/>
    </i>
    <i>
      <x v="374"/>
    </i>
    <i>
      <x v="512"/>
    </i>
    <i>
      <x v="375"/>
    </i>
    <i>
      <x v="447"/>
    </i>
    <i>
      <x v="112"/>
    </i>
    <i>
      <x v="184"/>
    </i>
    <i>
      <x v="397"/>
    </i>
    <i>
      <x v="481"/>
    </i>
    <i>
      <x v="518"/>
    </i>
    <i>
      <x v="484"/>
    </i>
    <i>
      <x v="523"/>
    </i>
    <i>
      <x v="495"/>
    </i>
    <i>
      <x v="529"/>
    </i>
    <i>
      <x v="219"/>
    </i>
    <i>
      <x v="14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309"/>
    </i>
    <i>
      <x v="157"/>
    </i>
    <i>
      <x v="407"/>
    </i>
    <i>
      <x v="526"/>
    </i>
    <i>
      <x v="411"/>
    </i>
    <i>
      <x v="538"/>
    </i>
    <i>
      <x v="412"/>
    </i>
    <i>
      <x v="428"/>
    </i>
    <i>
      <x v="362"/>
    </i>
    <i>
      <x v="517"/>
    </i>
    <i>
      <x v="468"/>
    </i>
    <i>
      <x v="437"/>
    </i>
    <i>
      <x v="266"/>
    </i>
    <i>
      <x v="218"/>
    </i>
    <i>
      <x v="267"/>
    </i>
    <i>
      <x v="537"/>
    </i>
    <i>
      <x v="268"/>
    </i>
    <i>
      <x v="449"/>
    </i>
    <i>
      <x v="17"/>
    </i>
    <i>
      <x v="192"/>
    </i>
    <i>
      <x v="273"/>
    </i>
    <i>
      <x v="507"/>
    </i>
    <i>
      <x v="277"/>
    </i>
    <i>
      <x v="527"/>
    </i>
    <i>
      <x v="10"/>
    </i>
    <i>
      <x v="557"/>
    </i>
    <i>
      <x v="283"/>
    </i>
    <i>
      <x v="167"/>
    </i>
    <i>
      <x v="285"/>
    </i>
    <i>
      <x v="459"/>
    </i>
    <i>
      <x v="288"/>
    </i>
    <i>
      <x v="180"/>
    </i>
    <i>
      <x v="290"/>
    </i>
    <i>
      <x v="490"/>
    </i>
    <i>
      <x v="292"/>
    </i>
    <i>
      <x v="224"/>
    </i>
    <i>
      <x v="303"/>
    </i>
    <i>
      <x v="239"/>
    </i>
    <i>
      <x v="305"/>
    </i>
    <i>
      <x v="522"/>
    </i>
    <i>
      <x v="307"/>
    </i>
    <i>
      <x v="532"/>
    </i>
    <i>
      <x v="308"/>
    </i>
    <i>
      <x v="549"/>
    </i>
    <i>
      <x v="83"/>
    </i>
    <i>
      <x v="37"/>
    </i>
    <i>
      <x v="314"/>
    </i>
    <i>
      <x v="439"/>
    </i>
    <i>
      <x v="316"/>
    </i>
    <i>
      <x v="444"/>
    </i>
    <i>
      <x v="19"/>
    </i>
    <i>
      <x v="451"/>
    </i>
    <i>
      <x v="320"/>
    </i>
    <i>
      <x v="463"/>
    </i>
    <i>
      <x v="321"/>
    </i>
    <i>
      <x v="472"/>
    </i>
    <i>
      <x v="323"/>
    </i>
    <i>
      <x v="43"/>
    </i>
    <i>
      <x v="101"/>
    </i>
    <i>
      <x v="487"/>
    </i>
    <i>
      <x v="329"/>
    </i>
    <i>
      <x v="207"/>
    </i>
    <i>
      <x v="330"/>
    </i>
    <i>
      <x v="500"/>
    </i>
    <i>
      <x v="333"/>
    </i>
    <i>
      <x v="59"/>
    </i>
    <i>
      <x v="338"/>
    </i>
    <i>
      <x v="237"/>
    </i>
    <i>
      <x v="103"/>
    </i>
    <i>
      <x v="515"/>
    </i>
    <i>
      <x v="26"/>
    </i>
    <i>
      <x v="65"/>
    </i>
    <i>
      <x v="344"/>
    </i>
    <i>
      <x v="524"/>
    </i>
    <i>
      <x v="118"/>
    </i>
    <i>
      <x v="530"/>
    </i>
    <i>
      <x v="350"/>
    </i>
    <i>
      <x v="534"/>
    </i>
    <i>
      <x v="352"/>
    </i>
    <i>
      <x v="542"/>
    </i>
    <i>
      <x v="353"/>
    </i>
    <i>
      <x v="262"/>
    </i>
    <i>
      <x v="119"/>
    </i>
    <i>
      <x v="576"/>
    </i>
    <i>
      <x v="356"/>
    </i>
    <i>
      <x v="41"/>
    </i>
    <i>
      <x v="357"/>
    </i>
    <i>
      <x v="159"/>
    </i>
    <i>
      <x v="128"/>
    </i>
    <i>
      <x v="160"/>
    </i>
    <i>
      <x v="359"/>
    </i>
    <i>
      <x v="443"/>
    </i>
    <i>
      <x v="582"/>
    </i>
    <i>
      <x v="170"/>
    </i>
    <i>
      <x v="588"/>
    </i>
    <i>
      <x v="450"/>
    </i>
    <i>
      <x v="6"/>
    </i>
    <i>
      <x v="452"/>
    </i>
    <i>
      <x v="366"/>
    </i>
    <i>
      <x v="461"/>
    </i>
    <i>
      <x v="368"/>
    </i>
    <i>
      <x v="466"/>
    </i>
    <i>
      <x v="369"/>
    </i>
    <i>
      <x v="470"/>
    </i>
    <i>
      <x v="372"/>
    </i>
    <i>
      <x v="173"/>
    </i>
    <i>
      <x v="373"/>
    </i>
    <i>
      <x v="182"/>
    </i>
    <i>
      <x v="130"/>
    </i>
    <i>
      <x v="185"/>
    </i>
    <i>
      <x v="131"/>
    </i>
    <i>
      <x v="485"/>
    </i>
    <i>
      <x v="376"/>
    </i>
    <i>
      <x v="489"/>
    </i>
    <i>
      <x v="377"/>
    </i>
    <i>
      <x v="55"/>
    </i>
    <i>
      <x v="132"/>
    </i>
    <i>
      <x v="217"/>
    </i>
    <i>
      <x v="382"/>
    </i>
    <i>
      <x v="7"/>
    </i>
    <i>
      <x v="385"/>
    </i>
    <i>
      <x v="223"/>
    </i>
    <i>
      <x v="387"/>
    </i>
    <i>
      <x v="225"/>
    </i>
    <i>
      <x v="388"/>
    </i>
    <i>
      <x v="506"/>
    </i>
    <i>
      <x v="389"/>
    </i>
    <i>
      <x v="236"/>
    </i>
    <i>
      <x v="392"/>
    </i>
    <i>
      <x v="238"/>
    </i>
    <i>
      <x v="134"/>
    </i>
    <i>
      <x v="240"/>
    </i>
    <i>
      <x v="398"/>
    </i>
    <i>
      <x v="243"/>
    </i>
    <i>
      <x v="404"/>
    </i>
    <i>
      <x v="245"/>
    </i>
    <i>
      <x v="405"/>
    </i>
    <i>
      <x v="520"/>
    </i>
    <i>
      <x v="406"/>
    </i>
    <i>
      <x v="254"/>
    </i>
    <i>
      <x v="138"/>
    </i>
    <i>
      <x v="67"/>
    </i>
    <i>
      <x v="410"/>
    </i>
    <i>
      <x v="256"/>
    </i>
    <i>
      <x v="143"/>
    </i>
    <i>
      <x v="531"/>
    </i>
    <i>
      <x v="34"/>
    </i>
    <i>
      <x v="533"/>
    </i>
    <i>
      <x v="413"/>
    </i>
    <i>
      <x v="535"/>
    </i>
    <i>
      <x v="414"/>
    </i>
    <i>
      <x v="260"/>
    </i>
    <i>
      <x v="415"/>
    </i>
    <i>
      <x v="545"/>
    </i>
    <i>
      <x v="417"/>
    </i>
    <i>
      <x v="550"/>
    </i>
    <i>
      <x v="427"/>
    </i>
    <i>
      <x v="556"/>
    </i>
    <i>
      <x v="150"/>
    </i>
    <i>
      <x v="572"/>
    </i>
    <i>
      <x v="430"/>
    </i>
    <i>
      <x v="264"/>
    </i>
    <i>
      <x v="152"/>
    </i>
    <i>
      <x v="590"/>
    </i>
    <i>
      <x v="363"/>
    </i>
    <i>
      <x v="364"/>
    </i>
    <i>
      <x v="98"/>
    </i>
    <i>
      <x v="14"/>
    </i>
    <i>
      <x v="177"/>
    </i>
    <i>
      <x v="40"/>
    </i>
    <i>
      <x v="605"/>
    </i>
    <i>
      <x v="23"/>
    </i>
    <i>
      <x v="546"/>
    </i>
    <i>
      <x v="399"/>
    </i>
    <i>
      <x v="271"/>
    </i>
    <i>
      <x v="453"/>
    </i>
    <i>
      <x v="446"/>
    </i>
    <i>
      <x v="514"/>
    </i>
    <i>
      <x v="540"/>
    </i>
    <i>
      <x v="457"/>
    </i>
    <i>
      <x v="544"/>
    </i>
    <i>
      <x v="402"/>
    </i>
    <i>
      <x v="548"/>
    </i>
    <i>
      <x v="460"/>
    </i>
    <i>
      <x v="552"/>
    </i>
    <i>
      <x v="289"/>
    </i>
    <i>
      <x v="565"/>
    </i>
    <i>
      <x v="188"/>
    </i>
    <i>
      <x v="585"/>
    </i>
    <i>
      <x v="126"/>
    </i>
    <i>
      <x v="603"/>
    </i>
    <i>
      <x v="521"/>
    </i>
    <i>
      <x v="346"/>
    </i>
    <i>
      <x v="294"/>
    </i>
    <i>
      <x v="541"/>
    </i>
    <i>
      <x v="193"/>
    </i>
    <i>
      <x v="543"/>
    </i>
    <i>
      <x v="471"/>
    </i>
    <i>
      <x v="433"/>
    </i>
    <i>
      <x v="247"/>
    </i>
    <i>
      <x v="547"/>
    </i>
    <i>
      <x v="197"/>
    </i>
    <i>
      <x v="9"/>
    </i>
    <i>
      <x v="8"/>
    </i>
    <i>
      <x v="551"/>
    </i>
    <i>
      <x v="51"/>
    </i>
    <i>
      <x v="227"/>
    </i>
    <i>
      <x v="312"/>
    </i>
    <i>
      <x v="230"/>
    </i>
    <i>
      <x v="210"/>
    </i>
    <i>
      <x v="179"/>
    </i>
    <i>
      <x v="315"/>
    </i>
    <i>
      <x v="282"/>
    </i>
    <i>
      <x v="31"/>
    </i>
    <i>
      <x v="586"/>
    </i>
    <i>
      <x v="429"/>
    </i>
    <i>
      <x v="39"/>
    </i>
    <i>
      <x v="536"/>
    </i>
    <i>
      <x v="604"/>
    </i>
    <i>
      <x v="162"/>
    </i>
    <i>
      <x v="606"/>
    </i>
    <i>
      <x v="97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6"/>
    </i>
    <i>
      <x v="4"/>
    </i>
    <i>
      <x v="2"/>
    </i>
    <i>
      <x v="8"/>
    </i>
    <i>
      <x v="10"/>
    </i>
    <i>
      <x v="7"/>
    </i>
    <i>
      <x v="15"/>
    </i>
    <i>
      <x v="13"/>
    </i>
    <i>
      <x v="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6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3"/>
    </i>
    <i>
      <x v="173"/>
    </i>
    <i>
      <x v="160"/>
    </i>
    <i>
      <x v="43"/>
    </i>
    <i>
      <x v="219"/>
    </i>
    <i>
      <x v="52"/>
    </i>
    <i>
      <x v="35"/>
    </i>
    <i>
      <x v="76"/>
    </i>
    <i>
      <x v="166"/>
    </i>
    <i>
      <x v="78"/>
    </i>
    <i>
      <x v="214"/>
    </i>
    <i>
      <x v="16"/>
    </i>
    <i>
      <x v="220"/>
    </i>
    <i>
      <x v="18"/>
    </i>
    <i>
      <x v="29"/>
    </i>
    <i>
      <x v="122"/>
    </i>
    <i>
      <x v="260"/>
    </i>
    <i>
      <x v="159"/>
    </i>
    <i>
      <x v="154"/>
    </i>
    <i>
      <x v="235"/>
    </i>
    <i>
      <x v="96"/>
    </i>
    <i>
      <x v="210"/>
    </i>
    <i>
      <x v="265"/>
    </i>
    <i>
      <x v="5"/>
    </i>
    <i>
      <x v="143"/>
    </i>
    <i>
      <x v="138"/>
    </i>
    <i>
      <x v="148"/>
    </i>
    <i>
      <x v="95"/>
    </i>
    <i>
      <x v="149"/>
    </i>
    <i>
      <x v="65"/>
    </i>
    <i>
      <x v="150"/>
    </i>
    <i>
      <x v="31"/>
    </i>
    <i>
      <x v="153"/>
    </i>
    <i>
      <x v="121"/>
    </i>
    <i>
      <x v="263"/>
    </i>
    <i>
      <x v="192"/>
    </i>
    <i>
      <x v="36"/>
    </i>
    <i>
      <x v="212"/>
    </i>
    <i>
      <x v="158"/>
    </i>
    <i>
      <x v="216"/>
    </i>
    <i>
      <x v="72"/>
    </i>
    <i>
      <x v="102"/>
    </i>
    <i>
      <x v="50"/>
    </i>
    <i>
      <x v="19"/>
    </i>
    <i>
      <x v="6"/>
    </i>
    <i>
      <x v="226"/>
    </i>
    <i>
      <x v="61"/>
    </i>
    <i>
      <x v="231"/>
    </i>
    <i>
      <x v="177"/>
    </i>
    <i>
      <x v="236"/>
    </i>
    <i>
      <x v="180"/>
    </i>
    <i>
      <x v="70"/>
    </i>
    <i>
      <x v="187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>
    <filterColumn colId="1">
      <filters>
        <filter val="#N/B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53" activePane="bottomLeft" state="frozen"/>
      <selection activeCell="F1" sqref="F1"/>
      <selection pane="bottomLeft" activeCell="E535" sqref="E53:E53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24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24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24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24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24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24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24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24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24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24</v>
      </c>
    </row>
    <row r="536" spans="1:28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24</v>
      </c>
    </row>
    <row r="566" spans="1:28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24</v>
      </c>
    </row>
    <row r="595" spans="1:28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24</v>
      </c>
    </row>
    <row r="601" spans="1:28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hidden="1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hidden="1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24</v>
      </c>
    </row>
    <row r="651" spans="1:28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24</v>
      </c>
    </row>
    <row r="674" spans="1:28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24</v>
      </c>
    </row>
    <row r="685" spans="1:28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24</v>
      </c>
    </row>
    <row r="750" spans="1:28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24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45968</v>
      </c>
      <c r="U948" s="5" t="s">
        <v>3747</v>
      </c>
      <c r="V948" s="26"/>
      <c r="W948" s="26"/>
      <c r="X948" t="s">
        <v>3493</v>
      </c>
      <c r="Y948" t="s">
        <v>6</v>
      </c>
      <c r="Z948" s="2">
        <v>5922</v>
      </c>
      <c r="AA948" s="32" t="s">
        <v>3539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3777</v>
      </c>
      <c r="V949" s="26"/>
      <c r="W949" s="26"/>
      <c r="X949" t="s">
        <v>3493</v>
      </c>
      <c r="Y949" t="s">
        <v>2</v>
      </c>
      <c r="Z949" s="2">
        <v>5484</v>
      </c>
      <c r="AA949" s="32" t="s">
        <v>3539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3795</v>
      </c>
      <c r="V950" s="26"/>
      <c r="W950" s="26"/>
      <c r="X950" t="s">
        <v>3494</v>
      </c>
      <c r="Y950" t="s">
        <v>644</v>
      </c>
      <c r="Z950" s="2">
        <v>5042</v>
      </c>
      <c r="AA950" s="32" t="s">
        <v>3539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28"/>
      <c r="H951" s="28"/>
      <c r="I951" s="28"/>
      <c r="S951" s="25">
        <f>SUM(bron[[#This Row],[Januari]:[December]])</f>
        <v>0</v>
      </c>
      <c r="T951" s="30">
        <v>45971</v>
      </c>
      <c r="U951" s="5" t="s">
        <v>3775</v>
      </c>
      <c r="V951" s="26"/>
      <c r="W951" s="26"/>
      <c r="X951" t="s">
        <v>3529</v>
      </c>
      <c r="Y951" t="s">
        <v>26</v>
      </c>
      <c r="Z951" s="2">
        <v>6358</v>
      </c>
      <c r="AA951" s="32" t="s">
        <v>3540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28"/>
      <c r="H952" s="28"/>
      <c r="I952" s="28"/>
      <c r="S952" s="25">
        <f>SUM(bron[[#This Row],[Januari]:[December]])</f>
        <v>0</v>
      </c>
      <c r="T952" s="30">
        <v>45972</v>
      </c>
      <c r="U952" s="5" t="s">
        <v>3774</v>
      </c>
      <c r="V952" s="26"/>
      <c r="W952" s="26"/>
      <c r="X952" t="s">
        <v>3494</v>
      </c>
      <c r="Y952" t="s">
        <v>98</v>
      </c>
      <c r="Z952" s="2">
        <v>5045</v>
      </c>
      <c r="AA952" s="32" t="s">
        <v>3539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28"/>
      <c r="H953" s="28"/>
      <c r="I953" s="28"/>
      <c r="S953" s="25">
        <f>SUM(bron[[#This Row],[Januari]:[December]])</f>
        <v>0</v>
      </c>
      <c r="T953" s="30">
        <v>45973</v>
      </c>
      <c r="U953" s="5" t="s">
        <v>3750</v>
      </c>
      <c r="V953" s="26"/>
      <c r="W953" s="26"/>
      <c r="X953" t="s">
        <v>3494</v>
      </c>
      <c r="Y953" t="s">
        <v>3751</v>
      </c>
      <c r="Z953" s="2">
        <v>5047</v>
      </c>
      <c r="AA953" s="32" t="s">
        <v>3540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3781</v>
      </c>
      <c r="V954" s="26"/>
      <c r="W954" s="26"/>
      <c r="X954" t="s">
        <v>3493</v>
      </c>
      <c r="Y954" t="s">
        <v>32</v>
      </c>
      <c r="Z954" s="2">
        <v>5929</v>
      </c>
      <c r="AA954" s="32" t="s">
        <v>3540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28"/>
      <c r="H955" s="28"/>
      <c r="I955" s="28"/>
      <c r="S955" s="25">
        <f>SUM(bron[[#This Row],[Januari]:[December]])</f>
        <v>0</v>
      </c>
      <c r="T955" s="30">
        <v>45974</v>
      </c>
      <c r="U955" s="5" t="s">
        <v>3776</v>
      </c>
      <c r="V955" s="26"/>
      <c r="W955" s="26"/>
      <c r="X955" t="s">
        <v>3494</v>
      </c>
      <c r="Y955" t="s">
        <v>87</v>
      </c>
      <c r="Z955" s="2">
        <v>5233</v>
      </c>
      <c r="AA955" s="32" t="s">
        <v>3539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3778</v>
      </c>
      <c r="V956" s="26"/>
      <c r="W956" s="26"/>
      <c r="X956" t="s">
        <v>3494</v>
      </c>
      <c r="Y956" t="s">
        <v>3779</v>
      </c>
      <c r="Z956" s="2" t="s">
        <v>3780</v>
      </c>
      <c r="AA956" s="32" t="s">
        <v>3612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28"/>
      <c r="H957" s="28"/>
      <c r="I957" s="28"/>
      <c r="S957" s="25">
        <f>SUM(bron[[#This Row],[Januari]:[December]])</f>
        <v>0</v>
      </c>
      <c r="T957" s="30">
        <v>45975</v>
      </c>
      <c r="U957" s="5" t="s">
        <v>3782</v>
      </c>
      <c r="V957" s="26"/>
      <c r="W957" s="26"/>
      <c r="X957" t="s">
        <v>3493</v>
      </c>
      <c r="Y957" t="s">
        <v>71</v>
      </c>
      <c r="Z957" s="2">
        <v>5969</v>
      </c>
      <c r="AA957" s="32" t="s">
        <v>3539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3784</v>
      </c>
      <c r="V958" s="26"/>
      <c r="W958" s="26"/>
      <c r="X958" t="s">
        <v>3493</v>
      </c>
      <c r="Y958" t="s">
        <v>61</v>
      </c>
      <c r="Z958" s="2">
        <v>550310</v>
      </c>
      <c r="AA958" s="32" t="s">
        <v>3539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3785</v>
      </c>
      <c r="V959" s="26"/>
      <c r="W959" s="26"/>
      <c r="X959" t="s">
        <v>3493</v>
      </c>
      <c r="Y959" t="s">
        <v>3786</v>
      </c>
      <c r="Z959" s="2">
        <v>5794</v>
      </c>
      <c r="AA959" s="32" t="s">
        <v>3539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3787</v>
      </c>
      <c r="V960" s="26"/>
      <c r="W960" s="26"/>
      <c r="X960" t="s">
        <v>3494</v>
      </c>
      <c r="Y960" t="s">
        <v>8</v>
      </c>
      <c r="Z960" s="2">
        <v>5254</v>
      </c>
      <c r="AA960" s="32" t="s">
        <v>3539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3790</v>
      </c>
      <c r="V961" s="26"/>
      <c r="W961" s="26"/>
      <c r="X961" t="s">
        <v>3529</v>
      </c>
      <c r="Y961" t="s">
        <v>55</v>
      </c>
      <c r="Z961" s="2">
        <v>6362</v>
      </c>
      <c r="AA961" s="32" t="s">
        <v>3539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8" t="s">
        <v>3796</v>
      </c>
      <c r="V962" s="26"/>
      <c r="W962" s="26"/>
      <c r="X962" t="s">
        <v>3494</v>
      </c>
      <c r="Y962" t="s">
        <v>650</v>
      </c>
      <c r="Z962" s="2">
        <v>5043</v>
      </c>
      <c r="AA962" s="32" t="s">
        <v>3540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28"/>
      <c r="H963" s="28"/>
      <c r="I963" s="28"/>
      <c r="S963" s="25">
        <f>SUM(bron[[#This Row],[Januari]:[December]])</f>
        <v>0</v>
      </c>
      <c r="T963" s="30">
        <v>45976</v>
      </c>
      <c r="U963" s="5" t="s">
        <v>3783</v>
      </c>
      <c r="V963" s="26"/>
      <c r="W963" s="26"/>
      <c r="X963" t="s">
        <v>3529</v>
      </c>
      <c r="Y963" t="s">
        <v>647</v>
      </c>
      <c r="Z963" s="2">
        <v>6359</v>
      </c>
      <c r="AA963" s="32" t="s">
        <v>3539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3799</v>
      </c>
      <c r="V964" s="26"/>
      <c r="W964" s="26"/>
      <c r="X964" t="s">
        <v>3493</v>
      </c>
      <c r="Y964" t="s">
        <v>67</v>
      </c>
      <c r="Z964" s="2">
        <v>550822</v>
      </c>
      <c r="AA964" s="32" t="s">
        <v>3539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28"/>
      <c r="H965" s="28"/>
      <c r="I965" s="28"/>
      <c r="S965" s="25">
        <f>SUM(bron[[#This Row],[Januari]:[December]])</f>
        <v>0</v>
      </c>
      <c r="T965" s="30">
        <v>45978</v>
      </c>
      <c r="U965" s="5" t="s">
        <v>3792</v>
      </c>
      <c r="V965" s="26"/>
      <c r="W965" s="26"/>
      <c r="X965" t="s">
        <v>3493</v>
      </c>
      <c r="Y965" t="s">
        <v>3793</v>
      </c>
      <c r="Z965" s="2">
        <v>5790</v>
      </c>
      <c r="AA965" s="32" t="s">
        <v>3539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28"/>
      <c r="H966" s="28"/>
      <c r="I966" s="28"/>
      <c r="S966" s="25">
        <f>SUM(bron[[#This Row],[Januari]:[December]])</f>
        <v>0</v>
      </c>
      <c r="T966" s="30">
        <v>45979</v>
      </c>
      <c r="U966" s="5" t="s">
        <v>3788</v>
      </c>
      <c r="V966" s="26"/>
      <c r="W966" s="26"/>
      <c r="X966" t="s">
        <v>3493</v>
      </c>
      <c r="Y966" t="s">
        <v>18</v>
      </c>
      <c r="Z966" s="2">
        <v>5932</v>
      </c>
      <c r="AA966" s="32" t="s">
        <v>3540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3791</v>
      </c>
      <c r="V967" s="26"/>
      <c r="W967" s="26"/>
      <c r="X967" t="s">
        <v>3529</v>
      </c>
      <c r="Y967" t="s">
        <v>589</v>
      </c>
      <c r="Z967" s="2">
        <v>6365</v>
      </c>
      <c r="AA967" s="32" t="s">
        <v>3539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3797</v>
      </c>
      <c r="V968" s="26"/>
      <c r="W968" s="26"/>
      <c r="X968" t="s">
        <v>3493</v>
      </c>
      <c r="Y968" t="s">
        <v>199</v>
      </c>
      <c r="Z968" s="2">
        <v>5936</v>
      </c>
      <c r="AA968" s="32" t="s">
        <v>3539</v>
      </c>
      <c r="AB968">
        <f>COUNTIF(B:B,bron[[#This Row],[volledige naam]])</f>
        <v>1</v>
      </c>
    </row>
    <row r="969" spans="1:28" hidden="1" x14ac:dyDescent="0.25">
      <c r="A969">
        <v>8918</v>
      </c>
      <c r="B969" t="str">
        <f>_xlfn.CONCAT(bron[[#This Row],[personeelsnr]]," ",bron[[#This Row],[achternaam]]," ",bron[[#This Row],[voornaam]])</f>
        <v>8918 De Graeve Marc</v>
      </c>
      <c r="C969" t="str">
        <f>VLOOKUP(bron[[#This Row],[personeelsnr]],'data hastus'!$A:$C,2,0)</f>
        <v>De Graeve</v>
      </c>
      <c r="D969" t="str">
        <f>VLOOKUP(bron[[#This Row],[personeelsnr]],'data hastus'!$A:$C,3,0)</f>
        <v>Marc</v>
      </c>
      <c r="E969" s="2" t="str">
        <f>VLOOKUP(bron[[#This Row],[personeelsnr]],'data hastus'!A:K,11,FALSE)</f>
        <v>Kenneth De Rick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3801</v>
      </c>
      <c r="V969" s="26"/>
      <c r="W969" s="26"/>
      <c r="X969" t="s">
        <v>3494</v>
      </c>
      <c r="Y969" t="s">
        <v>3800</v>
      </c>
      <c r="Z969" s="2">
        <v>5273</v>
      </c>
      <c r="AA969" s="32" t="s">
        <v>3539</v>
      </c>
      <c r="AB969">
        <f>COUNTIF(B:B,bron[[#This Row],[volledige naam]])</f>
        <v>1</v>
      </c>
    </row>
    <row r="970" spans="1:28" hidden="1" x14ac:dyDescent="0.25">
      <c r="A970">
        <v>33400</v>
      </c>
      <c r="B970" t="str">
        <f>_xlfn.CONCAT(bron[[#This Row],[personeelsnr]]," ",bron[[#This Row],[achternaam]]," ",bron[[#This Row],[voornaam]])</f>
        <v>33400 Petit Cynthia</v>
      </c>
      <c r="C970" t="str">
        <f>VLOOKUP(bron[[#This Row],[personeelsnr]],'data hastus'!$A:$C,2,0)</f>
        <v>Petit</v>
      </c>
      <c r="D970" t="str">
        <f>VLOOKUP(bron[[#This Row],[personeelsnr]],'data hastus'!$A:$C,3,0)</f>
        <v>Cynthia</v>
      </c>
      <c r="E970" s="2" t="str">
        <f>VLOOKUP(bron[[#This Row],[personeelsnr]],'data hastus'!A:K,11,FALSE)</f>
        <v>Christoff Rotty</v>
      </c>
      <c r="F970" s="10"/>
      <c r="G970" s="28"/>
      <c r="H970" s="28"/>
      <c r="I970" s="28"/>
      <c r="S970" s="25">
        <f>SUM(bron[[#This Row],[Januari]:[December]])</f>
        <v>0</v>
      </c>
      <c r="T970" s="30">
        <v>45980</v>
      </c>
      <c r="U970" s="5" t="s">
        <v>3789</v>
      </c>
      <c r="V970" s="26"/>
      <c r="W970" s="26"/>
      <c r="X970" t="s">
        <v>3529</v>
      </c>
      <c r="Y970" t="s">
        <v>838</v>
      </c>
      <c r="Z970" s="2">
        <v>6368</v>
      </c>
      <c r="AA970" s="32" t="s">
        <v>3540</v>
      </c>
      <c r="AB970">
        <f>COUNTIF(B:B,bron[[#This Row],[volledige naam]])</f>
        <v>3</v>
      </c>
    </row>
    <row r="971" spans="1:28" hidden="1" x14ac:dyDescent="0.25">
      <c r="A971">
        <v>42336</v>
      </c>
      <c r="B971" t="str">
        <f>_xlfn.CONCAT(bron[[#This Row],[personeelsnr]]," ",bron[[#This Row],[achternaam]]," ",bron[[#This Row],[voornaam]])</f>
        <v>42336 Camgöz Furkan</v>
      </c>
      <c r="C971" t="str">
        <f>VLOOKUP(bron[[#This Row],[personeelsnr]],'data hastus'!$A:$C,2,0)</f>
        <v>Camgöz</v>
      </c>
      <c r="D971" t="str">
        <f>VLOOKUP(bron[[#This Row],[personeelsnr]],'data hastus'!$A:$C,3,0)</f>
        <v>Furkan</v>
      </c>
      <c r="E971" s="2">
        <f>VLOOKUP(bron[[#This Row],[personeelsnr]],'data hastus'!A:K,11,FALSE)</f>
        <v>0</v>
      </c>
      <c r="F971" s="10"/>
      <c r="G971" s="28"/>
      <c r="H971" s="28"/>
      <c r="I971" s="28"/>
      <c r="S971" s="25">
        <f>SUM(bron[[#This Row],[Januari]:[December]])</f>
        <v>0</v>
      </c>
      <c r="T971" s="30">
        <v>45981</v>
      </c>
      <c r="U971" s="5" t="s">
        <v>3794</v>
      </c>
      <c r="V971" s="26"/>
      <c r="W971" s="26"/>
      <c r="X971" t="s">
        <v>3493</v>
      </c>
      <c r="Y971" t="s">
        <v>223</v>
      </c>
      <c r="Z971" s="2">
        <v>5912</v>
      </c>
      <c r="AA971" s="32" t="s">
        <v>3539</v>
      </c>
      <c r="AB971">
        <f>COUNTIF(B:B,bron[[#This Row],[volledige naam]])</f>
        <v>1</v>
      </c>
    </row>
    <row r="972" spans="1:28" hidden="1" x14ac:dyDescent="0.25">
      <c r="A972">
        <v>39558</v>
      </c>
      <c r="B972" t="str">
        <f>_xlfn.CONCAT(bron[[#This Row],[personeelsnr]]," ",bron[[#This Row],[achternaam]]," ",bron[[#This Row],[voornaam]])</f>
        <v>39558 De Groote Cedric</v>
      </c>
      <c r="C972" t="str">
        <f>VLOOKUP(bron[[#This Row],[personeelsnr]],'data hastus'!$A:$C,2,0)</f>
        <v>De Groote</v>
      </c>
      <c r="D972" t="str">
        <f>VLOOKUP(bron[[#This Row],[personeelsnr]],'data hastus'!$A:$C,3,0)</f>
        <v>Cedric</v>
      </c>
      <c r="E972" s="2" t="str">
        <f>VLOOKUP(bron[[#This Row],[personeelsnr]],'data hastus'!A:K,11,FALSE)</f>
        <v>Steven Storm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3798</v>
      </c>
      <c r="V972" s="26"/>
      <c r="W972" s="26"/>
      <c r="X972" t="s">
        <v>3494</v>
      </c>
      <c r="Y972" t="s">
        <v>266</v>
      </c>
      <c r="Z972" s="2">
        <v>5047</v>
      </c>
      <c r="AA972" s="32" t="s">
        <v>3539</v>
      </c>
      <c r="AB972">
        <f>COUNTIF(B:B,bron[[#This Row],[volledige naam]])</f>
        <v>2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28"/>
      <c r="H973" s="28"/>
      <c r="I973" s="28"/>
      <c r="S973" s="25">
        <f>SUM(bron[[#This Row],[Januari]:[December]])</f>
        <v>0</v>
      </c>
      <c r="T973" s="30">
        <v>45982</v>
      </c>
      <c r="U973" s="5" t="s">
        <v>3802</v>
      </c>
      <c r="V973" s="26"/>
      <c r="W973" s="26"/>
      <c r="X973" t="s">
        <v>3529</v>
      </c>
      <c r="Y973" t="s">
        <v>6</v>
      </c>
      <c r="Z973" s="2">
        <v>6353</v>
      </c>
      <c r="AA973" s="32" t="s">
        <v>3539</v>
      </c>
      <c r="AB973">
        <f>COUNTIF(B:B,bron[[#This Row],[volledige naam]])</f>
        <v>1</v>
      </c>
    </row>
    <row r="974" spans="1:28" hidden="1" x14ac:dyDescent="0.25">
      <c r="A974">
        <v>42252</v>
      </c>
      <c r="B974" t="str">
        <f>_xlfn.CONCAT(bron[[#This Row],[personeelsnr]]," ",bron[[#This Row],[achternaam]]," ",bron[[#This Row],[voornaam]])</f>
        <v>42252 Sular Abdullah</v>
      </c>
      <c r="C974" t="str">
        <f>VLOOKUP(bron[[#This Row],[personeelsnr]],'data hastus'!$A:$C,2,0)</f>
        <v>Sular</v>
      </c>
      <c r="D974" t="str">
        <f>VLOOKUP(bron[[#This Row],[personeelsnr]],'data hastus'!$A:$C,3,0)</f>
        <v>Abdullah</v>
      </c>
      <c r="E974" s="2" t="str">
        <f>VLOOKUP(bron[[#This Row],[personeelsnr]],'data hastus'!A:K,11,FALSE)</f>
        <v>Christoff Rotty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3804</v>
      </c>
      <c r="V974" s="26"/>
      <c r="W974" s="26"/>
      <c r="X974" t="s">
        <v>3493</v>
      </c>
      <c r="Y974" t="s">
        <v>3805</v>
      </c>
      <c r="Z974" s="2">
        <v>104023</v>
      </c>
      <c r="AA974" s="32" t="s">
        <v>3612</v>
      </c>
      <c r="AB974">
        <f>COUNTIF(B:B,bron[[#This Row],[volledige naam]])</f>
        <v>5</v>
      </c>
    </row>
    <row r="975" spans="1:28" hidden="1" x14ac:dyDescent="0.25">
      <c r="A975">
        <v>41482</v>
      </c>
      <c r="B975" t="str">
        <f>_xlfn.CONCAT(bron[[#This Row],[personeelsnr]]," ",bron[[#This Row],[achternaam]]," ",bron[[#This Row],[voornaam]])</f>
        <v>41482 Özdemir Osman</v>
      </c>
      <c r="C975" t="str">
        <f>VLOOKUP(bron[[#This Row],[personeelsnr]],'data hastus'!$A:$C,2,0)</f>
        <v>Özdemir</v>
      </c>
      <c r="D975" t="str">
        <f>VLOOKUP(bron[[#This Row],[personeelsnr]],'data hastus'!$A:$C,3,0)</f>
        <v>Osman</v>
      </c>
      <c r="E975" s="2" t="str">
        <f>VLOOKUP(bron[[#This Row],[personeelsnr]],'data hastus'!A:K,11,FALSE)</f>
        <v>Bart Van Der Beken</v>
      </c>
      <c r="F975" s="10"/>
      <c r="G975" s="28"/>
      <c r="H975" s="28"/>
      <c r="I975" s="28"/>
      <c r="S975" s="25">
        <f>SUM(bron[[#This Row],[Januari]:[December]])</f>
        <v>0</v>
      </c>
      <c r="T975" s="30">
        <v>45985</v>
      </c>
      <c r="U975" s="5" t="s">
        <v>3803</v>
      </c>
      <c r="V975" s="26"/>
      <c r="W975" s="26"/>
      <c r="X975" t="s">
        <v>3494</v>
      </c>
      <c r="Y975" t="s">
        <v>32</v>
      </c>
      <c r="Z975" s="2">
        <v>5054</v>
      </c>
      <c r="AA975" s="32" t="s">
        <v>3540</v>
      </c>
      <c r="AB975">
        <f>COUNTIF(B:B,bron[[#This Row],[volledige naam]])</f>
        <v>3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45986</v>
      </c>
      <c r="U976" s="5" t="s">
        <v>3806</v>
      </c>
      <c r="V976" s="26"/>
      <c r="W976" s="26"/>
      <c r="X976" t="s">
        <v>3493</v>
      </c>
      <c r="Y976" t="s">
        <v>3807</v>
      </c>
      <c r="Z976" s="2">
        <v>5934</v>
      </c>
      <c r="AA976" s="32" t="s">
        <v>3539</v>
      </c>
      <c r="AB976">
        <f>COUNTIF(B:B,bron[[#This Row],[volledige naam]])</f>
        <v>3</v>
      </c>
    </row>
    <row r="977" spans="1:28" hidden="1" x14ac:dyDescent="0.25">
      <c r="A977">
        <v>38688</v>
      </c>
      <c r="B977" t="str">
        <f>_xlfn.CONCAT(bron[[#This Row],[personeelsnr]]," ",bron[[#This Row],[achternaam]]," ",bron[[#This Row],[voornaam]])</f>
        <v>38688 Basgurboga Selahattin</v>
      </c>
      <c r="C977" t="str">
        <f>VLOOKUP(bron[[#This Row],[personeelsnr]],'data hastus'!$A:$C,2,0)</f>
        <v>Basgurboga</v>
      </c>
      <c r="D977" t="str">
        <f>VLOOKUP(bron[[#This Row],[personeelsnr]],'data hastus'!$A:$C,3,0)</f>
        <v>Selahattin</v>
      </c>
      <c r="E977" s="2" t="str">
        <f>VLOOKUP(bron[[#This Row],[personeelsnr]],'data hastus'!A:K,11,FALSE)</f>
        <v>Els Dewulf</v>
      </c>
      <c r="F977" s="10"/>
      <c r="G977" s="28"/>
      <c r="H977" s="28"/>
      <c r="I977" s="28"/>
      <c r="S977" s="25">
        <f>SUM(bron[[#This Row],[Januari]:[December]])</f>
        <v>0</v>
      </c>
      <c r="T977" s="30">
        <v>45967</v>
      </c>
      <c r="U977" s="5" t="s">
        <v>3839</v>
      </c>
      <c r="V977" s="26"/>
      <c r="W977" s="26"/>
      <c r="X977" t="s">
        <v>3493</v>
      </c>
      <c r="Y977" t="s">
        <v>3840</v>
      </c>
      <c r="Z977" s="2">
        <v>5768</v>
      </c>
      <c r="AA977" s="32" t="s">
        <v>3539</v>
      </c>
      <c r="AB977">
        <f>COUNTIF(B:B,bron[[#This Row],[volledige naam]])</f>
        <v>3</v>
      </c>
    </row>
    <row r="978" spans="1:28" hidden="1" x14ac:dyDescent="0.25">
      <c r="A97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3841</v>
      </c>
      <c r="V978" s="26"/>
      <c r="W978" s="26"/>
      <c r="X978" t="s">
        <v>3494</v>
      </c>
      <c r="Y978" t="s">
        <v>3735</v>
      </c>
      <c r="Z978" s="2">
        <v>5260</v>
      </c>
      <c r="AA978" s="32" t="s">
        <v>3539</v>
      </c>
      <c r="AB978">
        <f>COUNTIF(B:B,bron[[#This Row],[volledige naam]])</f>
        <v>4</v>
      </c>
    </row>
    <row r="979" spans="1:28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28"/>
      <c r="H979" s="28"/>
      <c r="I979" s="28"/>
      <c r="S979" s="25">
        <f>SUM(bron[[#This Row],[Januari]:[December]])</f>
        <v>0</v>
      </c>
      <c r="V979" s="26"/>
      <c r="W979" s="26"/>
      <c r="AB979">
        <f>COUNTIF(B:B,bron[[#This Row],[volledige naam]])</f>
        <v>24</v>
      </c>
    </row>
    <row r="980" spans="1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24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24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24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24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C10" sqref="C10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3808</v>
      </c>
      <c r="D10" t="s">
        <v>3828</v>
      </c>
      <c r="F10" s="1" t="s">
        <v>3808</v>
      </c>
      <c r="G10" t="s">
        <v>0</v>
      </c>
      <c r="I10" s="1" t="s">
        <v>3808</v>
      </c>
      <c r="J10" t="s">
        <v>0</v>
      </c>
    </row>
    <row r="11" spans="3:10" x14ac:dyDescent="0.25">
      <c r="C11" s="2" t="s">
        <v>1</v>
      </c>
      <c r="D11" s="34">
        <v>7</v>
      </c>
      <c r="F11" s="2" t="s">
        <v>3529</v>
      </c>
      <c r="G11">
        <v>44</v>
      </c>
      <c r="I11" s="2" t="s">
        <v>35</v>
      </c>
      <c r="J11">
        <v>75</v>
      </c>
    </row>
    <row r="12" spans="3:10" x14ac:dyDescent="0.25">
      <c r="C12" s="2" t="s">
        <v>5</v>
      </c>
      <c r="D12" s="34">
        <v>6</v>
      </c>
      <c r="F12" s="2" t="s">
        <v>3492</v>
      </c>
      <c r="G12">
        <v>178</v>
      </c>
      <c r="I12" s="2" t="s">
        <v>44</v>
      </c>
      <c r="J12">
        <v>73</v>
      </c>
    </row>
    <row r="13" spans="3:10" x14ac:dyDescent="0.25">
      <c r="C13" s="2" t="s">
        <v>7</v>
      </c>
      <c r="D13" s="34">
        <v>5</v>
      </c>
      <c r="F13" s="2" t="s">
        <v>3528</v>
      </c>
      <c r="G13">
        <v>73</v>
      </c>
      <c r="I13" s="2" t="s">
        <v>38</v>
      </c>
      <c r="J13">
        <v>70</v>
      </c>
    </row>
    <row r="14" spans="3:10" x14ac:dyDescent="0.25">
      <c r="C14" s="2" t="s">
        <v>9</v>
      </c>
      <c r="D14" s="34">
        <v>4</v>
      </c>
      <c r="F14" s="2" t="s">
        <v>3493</v>
      </c>
      <c r="G14">
        <v>167</v>
      </c>
      <c r="I14" s="2" t="s">
        <v>41</v>
      </c>
      <c r="J14">
        <v>56</v>
      </c>
    </row>
    <row r="15" spans="3:10" x14ac:dyDescent="0.25">
      <c r="C15" s="2" t="s">
        <v>11</v>
      </c>
      <c r="D15" s="34">
        <v>4</v>
      </c>
      <c r="F15" s="2" t="s">
        <v>65</v>
      </c>
      <c r="G15">
        <v>462</v>
      </c>
      <c r="I15" s="2" t="s">
        <v>47</v>
      </c>
      <c r="J15">
        <v>53</v>
      </c>
    </row>
    <row r="16" spans="3:10" x14ac:dyDescent="0.25">
      <c r="C16" s="2" t="s">
        <v>13</v>
      </c>
      <c r="D16" s="34">
        <v>4</v>
      </c>
      <c r="I16" s="2" t="s">
        <v>53</v>
      </c>
      <c r="J16">
        <v>42</v>
      </c>
    </row>
    <row r="17" spans="3:10" x14ac:dyDescent="0.25">
      <c r="C17" s="2" t="s">
        <v>17</v>
      </c>
      <c r="D17" s="34">
        <v>3</v>
      </c>
      <c r="I17" s="2" t="s">
        <v>50</v>
      </c>
      <c r="J17">
        <v>39</v>
      </c>
    </row>
    <row r="18" spans="3:10" x14ac:dyDescent="0.25">
      <c r="C18" s="2" t="s">
        <v>27</v>
      </c>
      <c r="D18" s="34">
        <v>3</v>
      </c>
      <c r="I18" s="2" t="s">
        <v>56</v>
      </c>
      <c r="J18">
        <v>39</v>
      </c>
    </row>
    <row r="19" spans="3:10" x14ac:dyDescent="0.25">
      <c r="C19" s="2" t="s">
        <v>84</v>
      </c>
      <c r="D19" s="34">
        <v>3</v>
      </c>
      <c r="I19" s="2" t="s">
        <v>59</v>
      </c>
      <c r="J19">
        <v>4</v>
      </c>
    </row>
    <row r="20" spans="3:10" x14ac:dyDescent="0.25">
      <c r="C20" s="2" t="s">
        <v>29</v>
      </c>
      <c r="D20" s="34">
        <v>3</v>
      </c>
      <c r="F20" s="1" t="s">
        <v>3808</v>
      </c>
      <c r="G20" t="s">
        <v>0</v>
      </c>
      <c r="I20" s="2" t="s">
        <v>65</v>
      </c>
      <c r="J20">
        <v>451</v>
      </c>
    </row>
    <row r="21" spans="3:10" x14ac:dyDescent="0.25">
      <c r="C21" s="2" t="s">
        <v>31</v>
      </c>
      <c r="D21" s="34">
        <v>3</v>
      </c>
      <c r="F21" s="2" t="s">
        <v>2</v>
      </c>
      <c r="G21">
        <v>26</v>
      </c>
    </row>
    <row r="22" spans="3:10" x14ac:dyDescent="0.25">
      <c r="C22" s="2" t="s">
        <v>15</v>
      </c>
      <c r="D22" s="34">
        <v>3</v>
      </c>
      <c r="F22" s="2" t="s">
        <v>6</v>
      </c>
      <c r="G22">
        <v>20</v>
      </c>
    </row>
    <row r="23" spans="3:10" x14ac:dyDescent="0.25">
      <c r="C23" s="2" t="s">
        <v>99</v>
      </c>
      <c r="D23" s="34">
        <v>3</v>
      </c>
      <c r="F23" s="2" t="s">
        <v>8</v>
      </c>
      <c r="G23">
        <v>13</v>
      </c>
    </row>
    <row r="24" spans="3:10" x14ac:dyDescent="0.25">
      <c r="C24" s="2" t="s">
        <v>19</v>
      </c>
      <c r="D24" s="34">
        <v>3</v>
      </c>
      <c r="F24" s="2" t="s">
        <v>10</v>
      </c>
      <c r="G24">
        <v>12</v>
      </c>
    </row>
    <row r="25" spans="3:10" x14ac:dyDescent="0.25">
      <c r="C25" s="2" t="s">
        <v>23</v>
      </c>
      <c r="D25" s="34">
        <v>3</v>
      </c>
      <c r="F25" s="2" t="s">
        <v>12</v>
      </c>
      <c r="G25">
        <v>12</v>
      </c>
    </row>
    <row r="26" spans="3:10" x14ac:dyDescent="0.25">
      <c r="C26" s="2" t="s">
        <v>66</v>
      </c>
      <c r="D26" s="34">
        <v>3</v>
      </c>
      <c r="F26" s="2" t="s">
        <v>16</v>
      </c>
      <c r="G26">
        <v>10</v>
      </c>
    </row>
    <row r="27" spans="3:10" x14ac:dyDescent="0.25">
      <c r="C27" s="2" t="s">
        <v>57</v>
      </c>
      <c r="D27" s="34">
        <v>3</v>
      </c>
      <c r="F27" s="2" t="s">
        <v>20</v>
      </c>
      <c r="G27">
        <v>10</v>
      </c>
    </row>
    <row r="28" spans="3:10" x14ac:dyDescent="0.25">
      <c r="C28" s="2" t="s">
        <v>76</v>
      </c>
      <c r="D28" s="34">
        <v>3</v>
      </c>
      <c r="F28" s="2" t="s">
        <v>32</v>
      </c>
      <c r="G28">
        <v>9</v>
      </c>
    </row>
    <row r="29" spans="3:10" x14ac:dyDescent="0.25">
      <c r="C29" s="2" t="s">
        <v>25</v>
      </c>
      <c r="D29" s="34">
        <v>3</v>
      </c>
      <c r="F29" s="2" t="s">
        <v>18</v>
      </c>
      <c r="G29">
        <v>8</v>
      </c>
    </row>
    <row r="30" spans="3:10" x14ac:dyDescent="0.25">
      <c r="C30" s="2" t="s">
        <v>216</v>
      </c>
      <c r="D30" s="34">
        <v>2</v>
      </c>
      <c r="F30" s="2" t="s">
        <v>26</v>
      </c>
      <c r="G30">
        <v>8</v>
      </c>
    </row>
    <row r="31" spans="3:10" x14ac:dyDescent="0.25">
      <c r="C31" s="2" t="s">
        <v>288</v>
      </c>
      <c r="D31" s="34">
        <v>2</v>
      </c>
      <c r="F31" s="2" t="s">
        <v>22</v>
      </c>
      <c r="G31">
        <v>8</v>
      </c>
    </row>
    <row r="32" spans="3:10" x14ac:dyDescent="0.25">
      <c r="C32" s="2" t="s">
        <v>328</v>
      </c>
      <c r="D32" s="34">
        <v>2</v>
      </c>
      <c r="F32" s="2" t="s">
        <v>24</v>
      </c>
      <c r="G32">
        <v>7</v>
      </c>
    </row>
    <row r="33" spans="3:7" x14ac:dyDescent="0.25">
      <c r="C33" s="2" t="s">
        <v>210</v>
      </c>
      <c r="D33" s="34">
        <v>2</v>
      </c>
      <c r="F33" s="2" t="s">
        <v>14</v>
      </c>
      <c r="G33">
        <v>7</v>
      </c>
    </row>
    <row r="34" spans="3:7" x14ac:dyDescent="0.25">
      <c r="C34" s="2" t="s">
        <v>63</v>
      </c>
      <c r="D34" s="34">
        <v>2</v>
      </c>
      <c r="F34" s="2" t="s">
        <v>34</v>
      </c>
      <c r="G34">
        <v>7</v>
      </c>
    </row>
    <row r="35" spans="3:7" x14ac:dyDescent="0.25">
      <c r="C35" s="2" t="s">
        <v>86</v>
      </c>
      <c r="D35" s="34">
        <v>2</v>
      </c>
      <c r="F35" s="2" t="s">
        <v>30</v>
      </c>
      <c r="G35">
        <v>7</v>
      </c>
    </row>
    <row r="36" spans="3:7" x14ac:dyDescent="0.25">
      <c r="C36" s="2" t="s">
        <v>101</v>
      </c>
      <c r="D36" s="34">
        <v>2</v>
      </c>
      <c r="F36" s="2" t="s">
        <v>67</v>
      </c>
      <c r="G36">
        <v>6</v>
      </c>
    </row>
    <row r="37" spans="3:7" x14ac:dyDescent="0.25">
      <c r="C37" s="2" t="s">
        <v>233</v>
      </c>
      <c r="D37" s="34">
        <v>2</v>
      </c>
      <c r="F37" s="2" t="s">
        <v>81</v>
      </c>
      <c r="G37">
        <v>6</v>
      </c>
    </row>
    <row r="38" spans="3:7" x14ac:dyDescent="0.25">
      <c r="C38" s="2" t="s">
        <v>173</v>
      </c>
      <c r="D38" s="34">
        <v>2</v>
      </c>
      <c r="F38" s="2" t="s">
        <v>55</v>
      </c>
      <c r="G38">
        <v>6</v>
      </c>
    </row>
    <row r="39" spans="3:7" x14ac:dyDescent="0.25">
      <c r="C39" s="2" t="s">
        <v>295</v>
      </c>
      <c r="D39" s="34">
        <v>2</v>
      </c>
      <c r="F39" s="2" t="s">
        <v>58</v>
      </c>
      <c r="G39">
        <v>5</v>
      </c>
    </row>
    <row r="40" spans="3:7" x14ac:dyDescent="0.25">
      <c r="C40" s="2" t="s">
        <v>220</v>
      </c>
      <c r="D40" s="34">
        <v>2</v>
      </c>
      <c r="F40" s="2" t="s">
        <v>37</v>
      </c>
      <c r="G40">
        <v>5</v>
      </c>
    </row>
    <row r="41" spans="3:7" x14ac:dyDescent="0.25">
      <c r="C41" s="2" t="s">
        <v>91</v>
      </c>
      <c r="D41" s="34">
        <v>2</v>
      </c>
      <c r="F41" s="2" t="s">
        <v>94</v>
      </c>
      <c r="G41">
        <v>5</v>
      </c>
    </row>
    <row r="42" spans="3:7" x14ac:dyDescent="0.25">
      <c r="C42" s="2" t="s">
        <v>45</v>
      </c>
      <c r="D42" s="34">
        <v>2</v>
      </c>
      <c r="F42" s="2" t="s">
        <v>28</v>
      </c>
      <c r="G42">
        <v>5</v>
      </c>
    </row>
    <row r="43" spans="3:7" x14ac:dyDescent="0.25">
      <c r="C43" s="2" t="s">
        <v>95</v>
      </c>
      <c r="D43" s="34">
        <v>2</v>
      </c>
      <c r="F43" s="2" t="s">
        <v>61</v>
      </c>
      <c r="G43">
        <v>4</v>
      </c>
    </row>
    <row r="44" spans="3:7" x14ac:dyDescent="0.25">
      <c r="C44" s="2" t="s">
        <v>68</v>
      </c>
      <c r="D44" s="34">
        <v>2</v>
      </c>
      <c r="F44" s="2" t="s">
        <v>100</v>
      </c>
      <c r="G44">
        <v>4</v>
      </c>
    </row>
    <row r="45" spans="3:7" x14ac:dyDescent="0.25">
      <c r="C45" s="2" t="s">
        <v>42</v>
      </c>
      <c r="D45" s="34">
        <v>2</v>
      </c>
      <c r="F45" s="2" t="s">
        <v>87</v>
      </c>
      <c r="G45">
        <v>4</v>
      </c>
    </row>
    <row r="46" spans="3:7" x14ac:dyDescent="0.25">
      <c r="C46" s="2" t="s">
        <v>74</v>
      </c>
      <c r="D46" s="34">
        <v>2</v>
      </c>
      <c r="F46" s="2" t="s">
        <v>64</v>
      </c>
      <c r="G46">
        <v>4</v>
      </c>
    </row>
    <row r="47" spans="3:7" x14ac:dyDescent="0.25">
      <c r="C47" s="2" t="s">
        <v>119</v>
      </c>
      <c r="D47" s="34">
        <v>2</v>
      </c>
      <c r="F47" s="2" t="s">
        <v>43</v>
      </c>
      <c r="G47">
        <v>3</v>
      </c>
    </row>
    <row r="48" spans="3:7" x14ac:dyDescent="0.25">
      <c r="C48" s="2" t="s">
        <v>72</v>
      </c>
      <c r="D48" s="34">
        <v>2</v>
      </c>
      <c r="F48" s="2" t="s">
        <v>246</v>
      </c>
      <c r="G48">
        <v>3</v>
      </c>
    </row>
    <row r="49" spans="3:7" x14ac:dyDescent="0.25">
      <c r="C49" s="2" t="s">
        <v>297</v>
      </c>
      <c r="D49" s="34">
        <v>2</v>
      </c>
      <c r="F49" s="2" t="s">
        <v>223</v>
      </c>
      <c r="G49">
        <v>3</v>
      </c>
    </row>
    <row r="50" spans="3:7" x14ac:dyDescent="0.25">
      <c r="C50" s="2" t="s">
        <v>125</v>
      </c>
      <c r="D50" s="34">
        <v>2</v>
      </c>
      <c r="F50" s="2" t="s">
        <v>644</v>
      </c>
      <c r="G50">
        <v>3</v>
      </c>
    </row>
    <row r="51" spans="3:7" x14ac:dyDescent="0.25">
      <c r="C51" s="2" t="s">
        <v>48</v>
      </c>
      <c r="D51" s="34">
        <v>2</v>
      </c>
      <c r="F51" s="2" t="s">
        <v>89</v>
      </c>
      <c r="G51">
        <v>3</v>
      </c>
    </row>
    <row r="52" spans="3:7" x14ac:dyDescent="0.25">
      <c r="C52" s="2" t="s">
        <v>263</v>
      </c>
      <c r="D52" s="34">
        <v>2</v>
      </c>
      <c r="F52" s="2" t="s">
        <v>112</v>
      </c>
      <c r="G52">
        <v>3</v>
      </c>
    </row>
    <row r="53" spans="3:7" x14ac:dyDescent="0.25">
      <c r="C53" s="2" t="s">
        <v>103</v>
      </c>
      <c r="D53" s="34">
        <v>2</v>
      </c>
      <c r="F53" s="2" t="s">
        <v>52</v>
      </c>
      <c r="G53">
        <v>3</v>
      </c>
    </row>
    <row r="54" spans="3:7" x14ac:dyDescent="0.25">
      <c r="C54" s="2" t="s">
        <v>88</v>
      </c>
      <c r="D54" s="34">
        <v>2</v>
      </c>
      <c r="F54" s="2" t="s">
        <v>729</v>
      </c>
      <c r="G54">
        <v>3</v>
      </c>
    </row>
    <row r="55" spans="3:7" x14ac:dyDescent="0.25">
      <c r="C55" s="2" t="s">
        <v>109</v>
      </c>
      <c r="D55" s="34">
        <v>2</v>
      </c>
      <c r="F55" s="2" t="s">
        <v>46</v>
      </c>
      <c r="G55">
        <v>3</v>
      </c>
    </row>
    <row r="56" spans="3:7" x14ac:dyDescent="0.25">
      <c r="C56" s="2" t="s">
        <v>93</v>
      </c>
      <c r="D56" s="34">
        <v>2</v>
      </c>
      <c r="F56" s="2" t="s">
        <v>49</v>
      </c>
      <c r="G56">
        <v>3</v>
      </c>
    </row>
    <row r="57" spans="3:7" x14ac:dyDescent="0.25">
      <c r="C57" s="2" t="s">
        <v>318</v>
      </c>
      <c r="D57" s="34">
        <v>2</v>
      </c>
      <c r="F57" s="2" t="s">
        <v>71</v>
      </c>
      <c r="G57">
        <v>3</v>
      </c>
    </row>
    <row r="58" spans="3:7" x14ac:dyDescent="0.25">
      <c r="C58" s="2" t="s">
        <v>97</v>
      </c>
      <c r="D58" s="34">
        <v>2</v>
      </c>
      <c r="F58" s="2" t="s">
        <v>98</v>
      </c>
      <c r="G58">
        <v>3</v>
      </c>
    </row>
    <row r="59" spans="3:7" x14ac:dyDescent="0.25">
      <c r="C59" s="2" t="s">
        <v>113</v>
      </c>
      <c r="D59" s="34">
        <v>2</v>
      </c>
      <c r="F59" s="2" t="s">
        <v>40</v>
      </c>
      <c r="G59">
        <v>3</v>
      </c>
    </row>
    <row r="60" spans="3:7" x14ac:dyDescent="0.25">
      <c r="C60" s="2" t="s">
        <v>292</v>
      </c>
      <c r="D60" s="34">
        <v>2</v>
      </c>
      <c r="F60" s="2" t="s">
        <v>589</v>
      </c>
      <c r="G60">
        <v>3</v>
      </c>
    </row>
    <row r="61" spans="3:7" x14ac:dyDescent="0.25">
      <c r="C61" s="2" t="s">
        <v>54</v>
      </c>
      <c r="D61" s="34">
        <v>2</v>
      </c>
      <c r="F61" s="2" t="s">
        <v>150</v>
      </c>
      <c r="G61">
        <v>3</v>
      </c>
    </row>
    <row r="62" spans="3:7" x14ac:dyDescent="0.25">
      <c r="C62" s="2" t="s">
        <v>70</v>
      </c>
      <c r="D62" s="34">
        <v>2</v>
      </c>
      <c r="F62" s="2" t="s">
        <v>144</v>
      </c>
      <c r="G62">
        <v>3</v>
      </c>
    </row>
    <row r="63" spans="3:7" x14ac:dyDescent="0.25">
      <c r="C63" s="2" t="s">
        <v>3640</v>
      </c>
      <c r="D63" s="34">
        <v>2</v>
      </c>
      <c r="F63" s="2" t="s">
        <v>647</v>
      </c>
      <c r="G63">
        <v>3</v>
      </c>
    </row>
    <row r="64" spans="3:7" x14ac:dyDescent="0.25">
      <c r="C64" s="2" t="s">
        <v>169</v>
      </c>
      <c r="D64" s="34">
        <v>2</v>
      </c>
      <c r="F64" s="2" t="s">
        <v>114</v>
      </c>
      <c r="G64">
        <v>3</v>
      </c>
    </row>
    <row r="65" spans="3:7" x14ac:dyDescent="0.25">
      <c r="C65" s="2" t="s">
        <v>117</v>
      </c>
      <c r="D65" s="34">
        <v>2</v>
      </c>
      <c r="F65" s="2" t="s">
        <v>199</v>
      </c>
      <c r="G65">
        <v>3</v>
      </c>
    </row>
    <row r="66" spans="3:7" x14ac:dyDescent="0.25">
      <c r="C66" s="2" t="s">
        <v>33</v>
      </c>
      <c r="D66" s="34">
        <v>2</v>
      </c>
      <c r="F66" s="2" t="s">
        <v>102</v>
      </c>
      <c r="G66">
        <v>2</v>
      </c>
    </row>
    <row r="67" spans="3:7" x14ac:dyDescent="0.25">
      <c r="C67" s="2" t="s">
        <v>39</v>
      </c>
      <c r="D67" s="34">
        <v>2</v>
      </c>
      <c r="F67" s="2" t="s">
        <v>92</v>
      </c>
      <c r="G67">
        <v>2</v>
      </c>
    </row>
    <row r="68" spans="3:7" x14ac:dyDescent="0.25">
      <c r="C68" s="2" t="s">
        <v>105</v>
      </c>
      <c r="D68" s="34">
        <v>2</v>
      </c>
      <c r="F68" s="2" t="s">
        <v>3531</v>
      </c>
      <c r="G68">
        <v>2</v>
      </c>
    </row>
    <row r="69" spans="3:7" x14ac:dyDescent="0.25">
      <c r="C69" s="2" t="s">
        <v>80</v>
      </c>
      <c r="D69" s="34">
        <v>2</v>
      </c>
      <c r="F69" s="2" t="s">
        <v>77</v>
      </c>
      <c r="G69">
        <v>2</v>
      </c>
    </row>
    <row r="70" spans="3:7" x14ac:dyDescent="0.25">
      <c r="C70" s="2" t="s">
        <v>151</v>
      </c>
      <c r="D70" s="34">
        <v>2</v>
      </c>
      <c r="F70" s="2" t="s">
        <v>207</v>
      </c>
      <c r="G70">
        <v>2</v>
      </c>
    </row>
    <row r="71" spans="3:7" x14ac:dyDescent="0.25">
      <c r="C71" s="2" t="s">
        <v>78</v>
      </c>
      <c r="D71" s="34">
        <v>2</v>
      </c>
      <c r="F71" s="2" t="s">
        <v>116</v>
      </c>
      <c r="G71">
        <v>2</v>
      </c>
    </row>
    <row r="72" spans="3:7" x14ac:dyDescent="0.25">
      <c r="C72" s="2" t="s">
        <v>82</v>
      </c>
      <c r="D72" s="34">
        <v>2</v>
      </c>
      <c r="F72" s="2" t="s">
        <v>718</v>
      </c>
      <c r="G72">
        <v>2</v>
      </c>
    </row>
    <row r="73" spans="3:7" x14ac:dyDescent="0.25">
      <c r="C73" s="2" t="s">
        <v>60</v>
      </c>
      <c r="D73" s="34">
        <v>2</v>
      </c>
      <c r="F73" s="2" t="s">
        <v>73</v>
      </c>
      <c r="G73">
        <v>2</v>
      </c>
    </row>
    <row r="74" spans="3:7" x14ac:dyDescent="0.25">
      <c r="C74" s="2" t="s">
        <v>107</v>
      </c>
      <c r="D74" s="34">
        <v>2</v>
      </c>
      <c r="F74" s="2" t="s">
        <v>217</v>
      </c>
      <c r="G74">
        <v>2</v>
      </c>
    </row>
    <row r="75" spans="3:7" x14ac:dyDescent="0.25">
      <c r="C75" s="2" t="s">
        <v>51</v>
      </c>
      <c r="D75" s="34">
        <v>2</v>
      </c>
      <c r="F75" s="2" t="s">
        <v>188</v>
      </c>
      <c r="G75">
        <v>2</v>
      </c>
    </row>
    <row r="76" spans="3:7" x14ac:dyDescent="0.25">
      <c r="C76" s="2" t="s">
        <v>329</v>
      </c>
      <c r="D76" s="34">
        <v>2</v>
      </c>
      <c r="F76" s="2" t="s">
        <v>3617</v>
      </c>
      <c r="G76">
        <v>2</v>
      </c>
    </row>
    <row r="77" spans="3:7" x14ac:dyDescent="0.25">
      <c r="C77" s="2" t="s">
        <v>337</v>
      </c>
      <c r="D77" s="34">
        <v>2</v>
      </c>
      <c r="F77" s="2" t="s">
        <v>75</v>
      </c>
      <c r="G77">
        <v>2</v>
      </c>
    </row>
    <row r="78" spans="3:7" x14ac:dyDescent="0.25">
      <c r="C78" s="2" t="s">
        <v>111</v>
      </c>
      <c r="D78" s="34">
        <v>2</v>
      </c>
      <c r="F78" s="2" t="s">
        <v>96</v>
      </c>
      <c r="G78">
        <v>2</v>
      </c>
    </row>
    <row r="79" spans="3:7" x14ac:dyDescent="0.25">
      <c r="C79" s="2" t="s">
        <v>115</v>
      </c>
      <c r="D79" s="34">
        <v>2</v>
      </c>
      <c r="F79" s="2" t="s">
        <v>3607</v>
      </c>
      <c r="G79">
        <v>2</v>
      </c>
    </row>
    <row r="80" spans="3:7" x14ac:dyDescent="0.25">
      <c r="C80" s="2" t="s">
        <v>336</v>
      </c>
      <c r="D80" s="34">
        <v>2</v>
      </c>
      <c r="F80" s="2" t="s">
        <v>468</v>
      </c>
      <c r="G80">
        <v>2</v>
      </c>
    </row>
    <row r="81" spans="3:7" x14ac:dyDescent="0.25">
      <c r="C81" s="2" t="s">
        <v>289</v>
      </c>
      <c r="D81" s="34">
        <v>1</v>
      </c>
      <c r="F81" s="2" t="s">
        <v>108</v>
      </c>
      <c r="G81">
        <v>2</v>
      </c>
    </row>
    <row r="82" spans="3:7" x14ac:dyDescent="0.25">
      <c r="C82" s="2" t="s">
        <v>137</v>
      </c>
      <c r="D82" s="34">
        <v>1</v>
      </c>
      <c r="F82" s="2" t="s">
        <v>3735</v>
      </c>
      <c r="G82">
        <v>2</v>
      </c>
    </row>
    <row r="83" spans="3:7" x14ac:dyDescent="0.25">
      <c r="C83" s="2" t="s">
        <v>3680</v>
      </c>
      <c r="D83" s="34">
        <v>1</v>
      </c>
      <c r="F83" s="2" t="s">
        <v>1304</v>
      </c>
      <c r="G83">
        <v>2</v>
      </c>
    </row>
    <row r="84" spans="3:7" x14ac:dyDescent="0.25">
      <c r="C84" s="2" t="s">
        <v>139</v>
      </c>
      <c r="D84" s="34">
        <v>1</v>
      </c>
      <c r="F84" s="2" t="s">
        <v>85</v>
      </c>
      <c r="G84">
        <v>2</v>
      </c>
    </row>
    <row r="85" spans="3:7" x14ac:dyDescent="0.25">
      <c r="C85" s="2" t="s">
        <v>208</v>
      </c>
      <c r="D85" s="34">
        <v>1</v>
      </c>
      <c r="F85" s="2" t="s">
        <v>215</v>
      </c>
      <c r="G85">
        <v>2</v>
      </c>
    </row>
    <row r="86" spans="3:7" x14ac:dyDescent="0.25">
      <c r="C86" s="2" t="s">
        <v>143</v>
      </c>
      <c r="D86" s="34">
        <v>1</v>
      </c>
      <c r="F86" s="2" t="s">
        <v>946</v>
      </c>
      <c r="G86">
        <v>2</v>
      </c>
    </row>
    <row r="87" spans="3:7" x14ac:dyDescent="0.25">
      <c r="C87" s="2" t="s">
        <v>339</v>
      </c>
      <c r="D87" s="34">
        <v>1</v>
      </c>
      <c r="F87" s="2" t="s">
        <v>838</v>
      </c>
      <c r="G87">
        <v>2</v>
      </c>
    </row>
    <row r="88" spans="3:7" x14ac:dyDescent="0.25">
      <c r="C88" s="2" t="s">
        <v>147</v>
      </c>
      <c r="D88" s="34">
        <v>1</v>
      </c>
      <c r="F88" s="2" t="s">
        <v>3544</v>
      </c>
      <c r="G88">
        <v>2</v>
      </c>
    </row>
    <row r="89" spans="3:7" x14ac:dyDescent="0.25">
      <c r="C89" s="2" t="s">
        <v>275</v>
      </c>
      <c r="D89" s="34">
        <v>1</v>
      </c>
      <c r="F89" s="2" t="s">
        <v>110</v>
      </c>
      <c r="G89">
        <v>2</v>
      </c>
    </row>
    <row r="90" spans="3:7" x14ac:dyDescent="0.25">
      <c r="C90" s="2" t="s">
        <v>265</v>
      </c>
      <c r="D90" s="34">
        <v>1</v>
      </c>
      <c r="F90" s="2" t="s">
        <v>83</v>
      </c>
      <c r="G90">
        <v>2</v>
      </c>
    </row>
    <row r="91" spans="3:7" x14ac:dyDescent="0.25">
      <c r="C91" s="2" t="s">
        <v>267</v>
      </c>
      <c r="D91" s="34">
        <v>1</v>
      </c>
      <c r="F91" s="2" t="s">
        <v>69</v>
      </c>
      <c r="G91">
        <v>2</v>
      </c>
    </row>
    <row r="92" spans="3:7" x14ac:dyDescent="0.25">
      <c r="C92" s="2" t="s">
        <v>3679</v>
      </c>
      <c r="D92" s="34">
        <v>1</v>
      </c>
      <c r="F92" s="2" t="s">
        <v>221</v>
      </c>
      <c r="G92">
        <v>2</v>
      </c>
    </row>
    <row r="93" spans="3:7" x14ac:dyDescent="0.25">
      <c r="C93" s="2" t="s">
        <v>285</v>
      </c>
      <c r="D93" s="34">
        <v>1</v>
      </c>
      <c r="F93" s="2" t="s">
        <v>106</v>
      </c>
      <c r="G93">
        <v>2</v>
      </c>
    </row>
    <row r="94" spans="3:7" x14ac:dyDescent="0.25">
      <c r="C94" s="2" t="s">
        <v>155</v>
      </c>
      <c r="D94" s="34">
        <v>1</v>
      </c>
      <c r="F94" s="2" t="s">
        <v>559</v>
      </c>
      <c r="G94">
        <v>2</v>
      </c>
    </row>
    <row r="95" spans="3:7" x14ac:dyDescent="0.25">
      <c r="C95" s="2" t="s">
        <v>177</v>
      </c>
      <c r="D95" s="34">
        <v>1</v>
      </c>
      <c r="F95" s="2" t="s">
        <v>3489</v>
      </c>
      <c r="G95">
        <v>2</v>
      </c>
    </row>
    <row r="96" spans="3:7" x14ac:dyDescent="0.25">
      <c r="C96" s="2" t="s">
        <v>291</v>
      </c>
      <c r="D96" s="34">
        <v>1</v>
      </c>
      <c r="F96" s="2" t="s">
        <v>180</v>
      </c>
      <c r="G96">
        <v>2</v>
      </c>
    </row>
    <row r="97" spans="3:7" x14ac:dyDescent="0.25">
      <c r="C97" s="2" t="s">
        <v>330</v>
      </c>
      <c r="D97" s="34">
        <v>1</v>
      </c>
      <c r="F97" s="2" t="s">
        <v>104</v>
      </c>
      <c r="G97">
        <v>2</v>
      </c>
    </row>
    <row r="98" spans="3:7" x14ac:dyDescent="0.25">
      <c r="C98" s="2" t="s">
        <v>167</v>
      </c>
      <c r="D98" s="34">
        <v>1</v>
      </c>
      <c r="F98" s="2" t="s">
        <v>3483</v>
      </c>
      <c r="G98">
        <v>2</v>
      </c>
    </row>
    <row r="99" spans="3:7" x14ac:dyDescent="0.25">
      <c r="C99" s="2" t="s">
        <v>325</v>
      </c>
      <c r="D99" s="34">
        <v>1</v>
      </c>
      <c r="F99" s="2" t="s">
        <v>3639</v>
      </c>
      <c r="G99">
        <v>2</v>
      </c>
    </row>
    <row r="100" spans="3:7" x14ac:dyDescent="0.25">
      <c r="C100" s="2" t="s">
        <v>171</v>
      </c>
      <c r="D100" s="34">
        <v>1</v>
      </c>
      <c r="F100" s="2" t="s">
        <v>266</v>
      </c>
      <c r="G100">
        <v>2</v>
      </c>
    </row>
    <row r="101" spans="3:7" x14ac:dyDescent="0.25">
      <c r="C101" s="2" t="s">
        <v>157</v>
      </c>
      <c r="D101" s="34">
        <v>1</v>
      </c>
      <c r="F101" s="2" t="s">
        <v>231</v>
      </c>
      <c r="G101">
        <v>2</v>
      </c>
    </row>
    <row r="102" spans="3:7" x14ac:dyDescent="0.25">
      <c r="C102" s="2" t="s">
        <v>175</v>
      </c>
      <c r="D102" s="34">
        <v>1</v>
      </c>
      <c r="F102" s="2" t="s">
        <v>79</v>
      </c>
      <c r="G102">
        <v>2</v>
      </c>
    </row>
    <row r="103" spans="3:7" x14ac:dyDescent="0.25">
      <c r="C103" s="2" t="s">
        <v>259</v>
      </c>
      <c r="D103" s="34">
        <v>1</v>
      </c>
      <c r="F103" s="2" t="s">
        <v>158</v>
      </c>
      <c r="G103">
        <v>1</v>
      </c>
    </row>
    <row r="104" spans="3:7" x14ac:dyDescent="0.25">
      <c r="C104" s="2" t="s">
        <v>179</v>
      </c>
      <c r="D104" s="34">
        <v>1</v>
      </c>
      <c r="F104" s="2" t="s">
        <v>244</v>
      </c>
      <c r="G104">
        <v>1</v>
      </c>
    </row>
    <row r="105" spans="3:7" x14ac:dyDescent="0.25">
      <c r="C105" s="2" t="s">
        <v>296</v>
      </c>
      <c r="D105" s="34">
        <v>1</v>
      </c>
      <c r="F105" s="2" t="s">
        <v>260</v>
      </c>
      <c r="G105">
        <v>1</v>
      </c>
    </row>
    <row r="106" spans="3:7" x14ac:dyDescent="0.25">
      <c r="C106" s="2" t="s">
        <v>183</v>
      </c>
      <c r="D106" s="34">
        <v>1</v>
      </c>
      <c r="F106" s="2" t="s">
        <v>140</v>
      </c>
      <c r="G106">
        <v>1</v>
      </c>
    </row>
    <row r="107" spans="3:7" x14ac:dyDescent="0.25">
      <c r="C107" s="2" t="s">
        <v>123</v>
      </c>
      <c r="D107" s="34">
        <v>1</v>
      </c>
      <c r="F107" s="2" t="s">
        <v>132</v>
      </c>
      <c r="G107">
        <v>1</v>
      </c>
    </row>
    <row r="108" spans="3:7" x14ac:dyDescent="0.25">
      <c r="C108" s="2" t="s">
        <v>187</v>
      </c>
      <c r="D108" s="34">
        <v>1</v>
      </c>
      <c r="F108" s="2" t="s">
        <v>3491</v>
      </c>
      <c r="G108">
        <v>1</v>
      </c>
    </row>
    <row r="109" spans="3:7" x14ac:dyDescent="0.25">
      <c r="C109" s="2" t="s">
        <v>310</v>
      </c>
      <c r="D109" s="34">
        <v>1</v>
      </c>
      <c r="F109" s="2" t="s">
        <v>539</v>
      </c>
      <c r="G109">
        <v>1</v>
      </c>
    </row>
    <row r="110" spans="3:7" x14ac:dyDescent="0.25">
      <c r="C110" s="2" t="s">
        <v>191</v>
      </c>
      <c r="D110" s="34">
        <v>1</v>
      </c>
      <c r="F110" s="2" t="s">
        <v>1313</v>
      </c>
      <c r="G110">
        <v>1</v>
      </c>
    </row>
    <row r="111" spans="3:7" x14ac:dyDescent="0.25">
      <c r="C111" s="2" t="s">
        <v>145</v>
      </c>
      <c r="D111" s="34">
        <v>1</v>
      </c>
      <c r="F111" s="2" t="s">
        <v>174</v>
      </c>
      <c r="G111">
        <v>1</v>
      </c>
    </row>
    <row r="112" spans="3:7" x14ac:dyDescent="0.25">
      <c r="C112" s="2" t="s">
        <v>194</v>
      </c>
      <c r="D112" s="34">
        <v>1</v>
      </c>
      <c r="F112" s="2" t="s">
        <v>190</v>
      </c>
      <c r="G112">
        <v>1</v>
      </c>
    </row>
    <row r="113" spans="3:7" x14ac:dyDescent="0.25">
      <c r="C113" s="2" t="s">
        <v>121</v>
      </c>
      <c r="D113" s="34">
        <v>1</v>
      </c>
      <c r="F113" s="2" t="s">
        <v>130</v>
      </c>
      <c r="G113">
        <v>1</v>
      </c>
    </row>
    <row r="114" spans="3:7" x14ac:dyDescent="0.25">
      <c r="C114" s="2" t="s">
        <v>198</v>
      </c>
      <c r="D114" s="34">
        <v>1</v>
      </c>
      <c r="F114" s="2" t="s">
        <v>1299</v>
      </c>
      <c r="G114">
        <v>1</v>
      </c>
    </row>
    <row r="115" spans="3:7" x14ac:dyDescent="0.25">
      <c r="C115" s="2" t="s">
        <v>341</v>
      </c>
      <c r="D115" s="34">
        <v>1</v>
      </c>
      <c r="F115" s="2" t="s">
        <v>154</v>
      </c>
      <c r="G115">
        <v>1</v>
      </c>
    </row>
    <row r="116" spans="3:7" x14ac:dyDescent="0.25">
      <c r="C116" s="2" t="s">
        <v>218</v>
      </c>
      <c r="D116" s="34">
        <v>1</v>
      </c>
      <c r="F116" s="2" t="s">
        <v>148</v>
      </c>
      <c r="G116">
        <v>1</v>
      </c>
    </row>
    <row r="117" spans="3:7" x14ac:dyDescent="0.25">
      <c r="C117" s="2" t="s">
        <v>3674</v>
      </c>
      <c r="D117" s="34">
        <v>1</v>
      </c>
      <c r="F117" s="2" t="s">
        <v>184</v>
      </c>
      <c r="G117">
        <v>1</v>
      </c>
    </row>
    <row r="118" spans="3:7" x14ac:dyDescent="0.25">
      <c r="C118" s="2" t="s">
        <v>206</v>
      </c>
      <c r="D118" s="34">
        <v>1</v>
      </c>
      <c r="F118" s="2" t="s">
        <v>152</v>
      </c>
      <c r="G118">
        <v>1</v>
      </c>
    </row>
    <row r="119" spans="3:7" x14ac:dyDescent="0.25">
      <c r="C119" s="2" t="s">
        <v>153</v>
      </c>
      <c r="D119" s="34">
        <v>1</v>
      </c>
      <c r="F119" s="2" t="s">
        <v>1270</v>
      </c>
      <c r="G119">
        <v>1</v>
      </c>
    </row>
    <row r="120" spans="3:7" x14ac:dyDescent="0.25">
      <c r="C120" s="2" t="s">
        <v>3646</v>
      </c>
      <c r="D120" s="34">
        <v>1</v>
      </c>
      <c r="F120" s="2" t="s">
        <v>3786</v>
      </c>
      <c r="G120">
        <v>1</v>
      </c>
    </row>
    <row r="121" spans="3:7" x14ac:dyDescent="0.25">
      <c r="C121" s="2" t="s">
        <v>271</v>
      </c>
      <c r="D121" s="34">
        <v>1</v>
      </c>
      <c r="F121" s="2" t="s">
        <v>203</v>
      </c>
      <c r="G121">
        <v>1</v>
      </c>
    </row>
    <row r="122" spans="3:7" x14ac:dyDescent="0.25">
      <c r="C122" s="2" t="s">
        <v>237</v>
      </c>
      <c r="D122" s="34">
        <v>1</v>
      </c>
      <c r="F122" s="2" t="s">
        <v>156</v>
      </c>
      <c r="G122">
        <v>1</v>
      </c>
    </row>
    <row r="123" spans="3:7" x14ac:dyDescent="0.25">
      <c r="C123" s="2" t="s">
        <v>196</v>
      </c>
      <c r="D123" s="34">
        <v>1</v>
      </c>
      <c r="F123" s="2" t="s">
        <v>240</v>
      </c>
      <c r="G123">
        <v>1</v>
      </c>
    </row>
    <row r="124" spans="3:7" x14ac:dyDescent="0.25">
      <c r="C124" s="2" t="s">
        <v>3648</v>
      </c>
      <c r="D124" s="34">
        <v>1</v>
      </c>
      <c r="F124" s="2" t="s">
        <v>160</v>
      </c>
      <c r="G124">
        <v>1</v>
      </c>
    </row>
    <row r="125" spans="3:7" x14ac:dyDescent="0.25">
      <c r="C125" s="2" t="s">
        <v>200</v>
      </c>
      <c r="D125" s="34">
        <v>1</v>
      </c>
      <c r="F125" s="2" t="s">
        <v>3710</v>
      </c>
      <c r="G125">
        <v>1</v>
      </c>
    </row>
    <row r="126" spans="3:7" x14ac:dyDescent="0.25">
      <c r="C126" s="2" t="s">
        <v>3649</v>
      </c>
      <c r="D126" s="34">
        <v>1</v>
      </c>
      <c r="F126" s="2" t="s">
        <v>164</v>
      </c>
      <c r="G126">
        <v>1</v>
      </c>
    </row>
    <row r="127" spans="3:7" x14ac:dyDescent="0.25">
      <c r="C127" s="2" t="s">
        <v>204</v>
      </c>
      <c r="D127" s="34">
        <v>1</v>
      </c>
      <c r="F127" s="2" t="s">
        <v>3745</v>
      </c>
      <c r="G127">
        <v>1</v>
      </c>
    </row>
    <row r="128" spans="3:7" x14ac:dyDescent="0.25">
      <c r="C128" s="2" t="s">
        <v>214</v>
      </c>
      <c r="D128" s="34">
        <v>1</v>
      </c>
      <c r="F128" s="2" t="s">
        <v>709</v>
      </c>
      <c r="G128">
        <v>1</v>
      </c>
    </row>
    <row r="129" spans="3:7" x14ac:dyDescent="0.25">
      <c r="C129" s="2" t="s">
        <v>36</v>
      </c>
      <c r="D129" s="34">
        <v>1</v>
      </c>
      <c r="F129" s="2" t="s">
        <v>3751</v>
      </c>
      <c r="G129">
        <v>1</v>
      </c>
    </row>
    <row r="130" spans="3:7" x14ac:dyDescent="0.25">
      <c r="C130" s="2" t="s">
        <v>3645</v>
      </c>
      <c r="D130" s="34">
        <v>1</v>
      </c>
      <c r="F130" s="2" t="s">
        <v>1302</v>
      </c>
      <c r="G130">
        <v>1</v>
      </c>
    </row>
    <row r="131" spans="3:7" x14ac:dyDescent="0.25">
      <c r="C131" s="2" t="s">
        <v>3653</v>
      </c>
      <c r="D131" s="34">
        <v>1</v>
      </c>
      <c r="F131" s="2" t="s">
        <v>134</v>
      </c>
      <c r="G131">
        <v>1</v>
      </c>
    </row>
    <row r="132" spans="3:7" x14ac:dyDescent="0.25">
      <c r="C132" s="2" t="s">
        <v>3650</v>
      </c>
      <c r="D132" s="34">
        <v>1</v>
      </c>
      <c r="F132" s="2" t="s">
        <v>3635</v>
      </c>
      <c r="G132">
        <v>1</v>
      </c>
    </row>
    <row r="133" spans="3:7" x14ac:dyDescent="0.25">
      <c r="C133" s="2" t="s">
        <v>290</v>
      </c>
      <c r="D133" s="34">
        <v>1</v>
      </c>
      <c r="F133" s="2" t="s">
        <v>3800</v>
      </c>
      <c r="G133">
        <v>1</v>
      </c>
    </row>
    <row r="134" spans="3:7" x14ac:dyDescent="0.25">
      <c r="C134" s="2" t="s">
        <v>222</v>
      </c>
      <c r="D134" s="34">
        <v>1</v>
      </c>
      <c r="F134" s="2" t="s">
        <v>278</v>
      </c>
      <c r="G134">
        <v>1</v>
      </c>
    </row>
    <row r="135" spans="3:7" x14ac:dyDescent="0.25">
      <c r="C135" s="2" t="s">
        <v>302</v>
      </c>
      <c r="D135" s="34">
        <v>1</v>
      </c>
      <c r="F135" s="2" t="s">
        <v>3749</v>
      </c>
      <c r="G135">
        <v>1</v>
      </c>
    </row>
    <row r="136" spans="3:7" x14ac:dyDescent="0.25">
      <c r="C136" s="2" t="s">
        <v>226</v>
      </c>
      <c r="D136" s="34">
        <v>1</v>
      </c>
      <c r="F136" s="2" t="s">
        <v>1311</v>
      </c>
      <c r="G136">
        <v>1</v>
      </c>
    </row>
    <row r="137" spans="3:7" x14ac:dyDescent="0.25">
      <c r="C137" s="2" t="s">
        <v>306</v>
      </c>
      <c r="D137" s="34">
        <v>1</v>
      </c>
      <c r="F137" s="2" t="s">
        <v>236</v>
      </c>
      <c r="G137">
        <v>1</v>
      </c>
    </row>
    <row r="138" spans="3:7" x14ac:dyDescent="0.25">
      <c r="C138" s="2" t="s">
        <v>230</v>
      </c>
      <c r="D138" s="34">
        <v>1</v>
      </c>
      <c r="F138" s="2" t="s">
        <v>514</v>
      </c>
      <c r="G138">
        <v>1</v>
      </c>
    </row>
    <row r="139" spans="3:7" x14ac:dyDescent="0.25">
      <c r="C139" s="2" t="s">
        <v>304</v>
      </c>
      <c r="D139" s="34">
        <v>1</v>
      </c>
      <c r="F139" s="2" t="s">
        <v>3739</v>
      </c>
      <c r="G139">
        <v>1</v>
      </c>
    </row>
    <row r="140" spans="3:7" x14ac:dyDescent="0.25">
      <c r="C140" s="2" t="s">
        <v>3647</v>
      </c>
      <c r="D140" s="34">
        <v>1</v>
      </c>
      <c r="F140" s="2" t="s">
        <v>796</v>
      </c>
      <c r="G140">
        <v>1</v>
      </c>
    </row>
    <row r="141" spans="3:7" x14ac:dyDescent="0.25">
      <c r="C141" s="2" t="s">
        <v>287</v>
      </c>
      <c r="D141" s="34">
        <v>1</v>
      </c>
      <c r="F141" s="2" t="s">
        <v>225</v>
      </c>
      <c r="G141">
        <v>1</v>
      </c>
    </row>
    <row r="142" spans="3:7" x14ac:dyDescent="0.25">
      <c r="C142" s="2" t="s">
        <v>253</v>
      </c>
      <c r="D142" s="34">
        <v>1</v>
      </c>
      <c r="F142" s="2" t="s">
        <v>3478</v>
      </c>
      <c r="G142">
        <v>1</v>
      </c>
    </row>
    <row r="143" spans="3:7" x14ac:dyDescent="0.25">
      <c r="C143" s="2" t="s">
        <v>129</v>
      </c>
      <c r="D143" s="34">
        <v>1</v>
      </c>
      <c r="F143" s="2" t="s">
        <v>142</v>
      </c>
      <c r="G143">
        <v>1</v>
      </c>
    </row>
    <row r="144" spans="3:7" x14ac:dyDescent="0.25">
      <c r="C144" s="2" t="s">
        <v>241</v>
      </c>
      <c r="D144" s="34">
        <v>1</v>
      </c>
      <c r="F144" s="2" t="s">
        <v>280</v>
      </c>
      <c r="G144">
        <v>1</v>
      </c>
    </row>
    <row r="145" spans="3:7" x14ac:dyDescent="0.25">
      <c r="C145" s="2" t="s">
        <v>235</v>
      </c>
      <c r="D145" s="34">
        <v>1</v>
      </c>
      <c r="F145" s="2" t="s">
        <v>1319</v>
      </c>
      <c r="G145">
        <v>1</v>
      </c>
    </row>
    <row r="146" spans="3:7" x14ac:dyDescent="0.25">
      <c r="C146" s="2" t="s">
        <v>301</v>
      </c>
      <c r="D146" s="34">
        <v>1</v>
      </c>
      <c r="F146" s="2" t="s">
        <v>186</v>
      </c>
      <c r="G146">
        <v>1</v>
      </c>
    </row>
    <row r="147" spans="3:7" x14ac:dyDescent="0.25">
      <c r="C147" s="2" t="s">
        <v>239</v>
      </c>
      <c r="D147" s="34">
        <v>1</v>
      </c>
      <c r="F147" s="2" t="s">
        <v>178</v>
      </c>
      <c r="G147">
        <v>1</v>
      </c>
    </row>
    <row r="148" spans="3:7" x14ac:dyDescent="0.25">
      <c r="C148" s="2" t="s">
        <v>249</v>
      </c>
      <c r="D148" s="34">
        <v>1</v>
      </c>
      <c r="F148" s="2" t="s">
        <v>219</v>
      </c>
      <c r="G148">
        <v>1</v>
      </c>
    </row>
    <row r="149" spans="3:7" x14ac:dyDescent="0.25">
      <c r="C149" s="2" t="s">
        <v>3814</v>
      </c>
      <c r="D149" s="34">
        <v>1</v>
      </c>
      <c r="F149" s="2" t="s">
        <v>3708</v>
      </c>
      <c r="G149">
        <v>1</v>
      </c>
    </row>
    <row r="150" spans="3:7" x14ac:dyDescent="0.25">
      <c r="C150" s="2" t="s">
        <v>257</v>
      </c>
      <c r="D150" s="34">
        <v>1</v>
      </c>
      <c r="F150" s="2" t="s">
        <v>250</v>
      </c>
      <c r="G150">
        <v>1</v>
      </c>
    </row>
    <row r="151" spans="3:7" x14ac:dyDescent="0.25">
      <c r="C151" s="2" t="s">
        <v>3641</v>
      </c>
      <c r="D151" s="34">
        <v>1</v>
      </c>
      <c r="F151" s="2" t="s">
        <v>182</v>
      </c>
      <c r="G151">
        <v>1</v>
      </c>
    </row>
    <row r="152" spans="3:7" x14ac:dyDescent="0.25">
      <c r="C152" s="2" t="s">
        <v>261</v>
      </c>
      <c r="D152" s="34">
        <v>1</v>
      </c>
      <c r="F152" s="2" t="s">
        <v>195</v>
      </c>
      <c r="G152">
        <v>1</v>
      </c>
    </row>
    <row r="153" spans="3:7" x14ac:dyDescent="0.25">
      <c r="C153" s="2" t="s">
        <v>131</v>
      </c>
      <c r="D153" s="34">
        <v>1</v>
      </c>
      <c r="F153" s="2" t="s">
        <v>498</v>
      </c>
      <c r="G153">
        <v>1</v>
      </c>
    </row>
    <row r="154" spans="3:7" x14ac:dyDescent="0.25">
      <c r="C154" s="2" t="s">
        <v>3654</v>
      </c>
      <c r="D154" s="34">
        <v>1</v>
      </c>
      <c r="F154" s="2" t="s">
        <v>264</v>
      </c>
      <c r="G154">
        <v>1</v>
      </c>
    </row>
    <row r="155" spans="3:7" x14ac:dyDescent="0.25">
      <c r="C155" s="2" t="s">
        <v>281</v>
      </c>
      <c r="D155" s="34">
        <v>1</v>
      </c>
      <c r="F155" s="2" t="s">
        <v>3779</v>
      </c>
      <c r="G155">
        <v>1</v>
      </c>
    </row>
    <row r="156" spans="3:7" x14ac:dyDescent="0.25">
      <c r="C156" s="2" t="s">
        <v>269</v>
      </c>
      <c r="D156" s="34">
        <v>1</v>
      </c>
      <c r="F156" s="2" t="s">
        <v>3728</v>
      </c>
      <c r="G156">
        <v>1</v>
      </c>
    </row>
    <row r="157" spans="3:7" x14ac:dyDescent="0.25">
      <c r="C157" s="2" t="s">
        <v>161</v>
      </c>
      <c r="D157" s="34">
        <v>1</v>
      </c>
      <c r="F157" s="2" t="s">
        <v>3732</v>
      </c>
      <c r="G157">
        <v>1</v>
      </c>
    </row>
    <row r="158" spans="3:7" x14ac:dyDescent="0.25">
      <c r="C158" s="2" t="s">
        <v>273</v>
      </c>
      <c r="D158" s="34">
        <v>1</v>
      </c>
      <c r="F158" s="2" t="s">
        <v>168</v>
      </c>
      <c r="G158">
        <v>1</v>
      </c>
    </row>
    <row r="159" spans="3:7" x14ac:dyDescent="0.25">
      <c r="C159" s="2" t="s">
        <v>315</v>
      </c>
      <c r="D159" s="34">
        <v>1</v>
      </c>
      <c r="F159" s="2" t="s">
        <v>276</v>
      </c>
      <c r="G159">
        <v>1</v>
      </c>
    </row>
    <row r="160" spans="3:7" x14ac:dyDescent="0.25">
      <c r="C160" s="2" t="s">
        <v>3657</v>
      </c>
      <c r="D160" s="34">
        <v>1</v>
      </c>
      <c r="F160" s="2" t="s">
        <v>162</v>
      </c>
      <c r="G160">
        <v>1</v>
      </c>
    </row>
    <row r="161" spans="3:7" x14ac:dyDescent="0.25">
      <c r="C161" s="2" t="s">
        <v>3678</v>
      </c>
      <c r="D161" s="34">
        <v>1</v>
      </c>
      <c r="F161" s="2" t="s">
        <v>197</v>
      </c>
      <c r="G161">
        <v>1</v>
      </c>
    </row>
    <row r="162" spans="3:7" x14ac:dyDescent="0.25">
      <c r="C162" s="2" t="s">
        <v>334</v>
      </c>
      <c r="D162" s="34">
        <v>1</v>
      </c>
      <c r="F162" s="2" t="s">
        <v>211</v>
      </c>
      <c r="G162">
        <v>1</v>
      </c>
    </row>
    <row r="163" spans="3:7" x14ac:dyDescent="0.25">
      <c r="C163" s="2" t="s">
        <v>3660</v>
      </c>
      <c r="D163" s="34">
        <v>1</v>
      </c>
      <c r="F163" s="2" t="s">
        <v>201</v>
      </c>
      <c r="G163">
        <v>1</v>
      </c>
    </row>
    <row r="164" spans="3:7" x14ac:dyDescent="0.25">
      <c r="C164" s="2" t="s">
        <v>333</v>
      </c>
      <c r="D164" s="34">
        <v>1</v>
      </c>
      <c r="F164" s="2" t="s">
        <v>193</v>
      </c>
      <c r="G164">
        <v>1</v>
      </c>
    </row>
    <row r="165" spans="3:7" x14ac:dyDescent="0.25">
      <c r="C165" s="2" t="s">
        <v>331</v>
      </c>
      <c r="D165" s="34">
        <v>1</v>
      </c>
      <c r="F165" s="2" t="s">
        <v>268</v>
      </c>
      <c r="G165">
        <v>1</v>
      </c>
    </row>
    <row r="166" spans="3:7" x14ac:dyDescent="0.25">
      <c r="C166" s="2" t="s">
        <v>283</v>
      </c>
      <c r="D166" s="34">
        <v>1</v>
      </c>
      <c r="F166" s="2" t="s">
        <v>238</v>
      </c>
      <c r="G166">
        <v>1</v>
      </c>
    </row>
    <row r="167" spans="3:7" x14ac:dyDescent="0.25">
      <c r="C167" s="2" t="s">
        <v>3643</v>
      </c>
      <c r="D167" s="34">
        <v>1</v>
      </c>
      <c r="F167" s="2" t="s">
        <v>205</v>
      </c>
      <c r="G167">
        <v>1</v>
      </c>
    </row>
    <row r="168" spans="3:7" x14ac:dyDescent="0.25">
      <c r="C168" s="2" t="s">
        <v>3659</v>
      </c>
      <c r="D168" s="34">
        <v>1</v>
      </c>
      <c r="F168" s="2" t="s">
        <v>234</v>
      </c>
      <c r="G168">
        <v>1</v>
      </c>
    </row>
    <row r="169" spans="3:7" x14ac:dyDescent="0.25">
      <c r="C169" s="2" t="s">
        <v>279</v>
      </c>
      <c r="D169" s="34">
        <v>1</v>
      </c>
      <c r="F169" s="2" t="s">
        <v>3611</v>
      </c>
      <c r="G169">
        <v>1</v>
      </c>
    </row>
    <row r="170" spans="3:7" x14ac:dyDescent="0.25">
      <c r="C170" s="2" t="s">
        <v>3662</v>
      </c>
      <c r="D170" s="34">
        <v>1</v>
      </c>
      <c r="F170" s="2" t="s">
        <v>650</v>
      </c>
      <c r="G170">
        <v>1</v>
      </c>
    </row>
    <row r="171" spans="3:7" x14ac:dyDescent="0.25">
      <c r="C171" s="2" t="s">
        <v>282</v>
      </c>
      <c r="D171" s="34">
        <v>1</v>
      </c>
      <c r="F171" s="2" t="s">
        <v>229</v>
      </c>
      <c r="G171">
        <v>1</v>
      </c>
    </row>
    <row r="172" spans="3:7" x14ac:dyDescent="0.25">
      <c r="C172" s="2" t="s">
        <v>342</v>
      </c>
      <c r="D172" s="34">
        <v>1</v>
      </c>
      <c r="F172" s="2" t="s">
        <v>1272</v>
      </c>
      <c r="G172">
        <v>1</v>
      </c>
    </row>
    <row r="173" spans="3:7" x14ac:dyDescent="0.25">
      <c r="C173" s="2" t="s">
        <v>284</v>
      </c>
      <c r="D173" s="34">
        <v>1</v>
      </c>
      <c r="F173" s="2" t="s">
        <v>3805</v>
      </c>
      <c r="G173">
        <v>1</v>
      </c>
    </row>
    <row r="174" spans="3:7" x14ac:dyDescent="0.25">
      <c r="C174" s="2" t="s">
        <v>3663</v>
      </c>
      <c r="D174" s="34">
        <v>1</v>
      </c>
      <c r="F174" s="2" t="s">
        <v>227</v>
      </c>
      <c r="G174">
        <v>1</v>
      </c>
    </row>
    <row r="175" spans="3:7" x14ac:dyDescent="0.25">
      <c r="C175" s="2" t="s">
        <v>286</v>
      </c>
      <c r="D175" s="34">
        <v>1</v>
      </c>
      <c r="F175" s="2" t="s">
        <v>146</v>
      </c>
      <c r="G175">
        <v>1</v>
      </c>
    </row>
    <row r="176" spans="3:7" x14ac:dyDescent="0.25">
      <c r="C176" s="2" t="s">
        <v>343</v>
      </c>
      <c r="D176" s="34">
        <v>1</v>
      </c>
      <c r="F176" s="2" t="s">
        <v>274</v>
      </c>
      <c r="G176">
        <v>1</v>
      </c>
    </row>
    <row r="177" spans="3:7" x14ac:dyDescent="0.25">
      <c r="C177" s="2" t="s">
        <v>133</v>
      </c>
      <c r="D177" s="34">
        <v>1</v>
      </c>
      <c r="F177" s="2" t="s">
        <v>176</v>
      </c>
      <c r="G177">
        <v>1</v>
      </c>
    </row>
    <row r="178" spans="3:7" x14ac:dyDescent="0.25">
      <c r="C178" s="2" t="s">
        <v>293</v>
      </c>
      <c r="D178" s="34">
        <v>1</v>
      </c>
      <c r="F178" s="2" t="s">
        <v>1286</v>
      </c>
      <c r="G178">
        <v>1</v>
      </c>
    </row>
    <row r="179" spans="3:7" x14ac:dyDescent="0.25">
      <c r="C179" s="2" t="s">
        <v>189</v>
      </c>
      <c r="D179" s="34">
        <v>1</v>
      </c>
      <c r="F179" s="2" t="s">
        <v>3538</v>
      </c>
      <c r="G179">
        <v>1</v>
      </c>
    </row>
    <row r="180" spans="3:7" x14ac:dyDescent="0.25">
      <c r="C180" s="2" t="s">
        <v>298</v>
      </c>
      <c r="D180" s="34">
        <v>1</v>
      </c>
      <c r="F180" s="2" t="s">
        <v>3793</v>
      </c>
      <c r="G180">
        <v>1</v>
      </c>
    </row>
    <row r="181" spans="3:7" x14ac:dyDescent="0.25">
      <c r="C181" s="2" t="s">
        <v>3642</v>
      </c>
      <c r="D181" s="34">
        <v>1</v>
      </c>
      <c r="F181" s="2" t="s">
        <v>126</v>
      </c>
      <c r="G181">
        <v>1</v>
      </c>
    </row>
    <row r="182" spans="3:7" x14ac:dyDescent="0.25">
      <c r="C182" s="2" t="s">
        <v>320</v>
      </c>
      <c r="D182" s="34">
        <v>1</v>
      </c>
      <c r="F182" s="2" t="s">
        <v>378</v>
      </c>
      <c r="G182">
        <v>1</v>
      </c>
    </row>
    <row r="183" spans="3:7" x14ac:dyDescent="0.25">
      <c r="C183" s="2" t="s">
        <v>294</v>
      </c>
      <c r="D183" s="34">
        <v>1</v>
      </c>
      <c r="F183" s="2" t="s">
        <v>170</v>
      </c>
      <c r="G183">
        <v>1</v>
      </c>
    </row>
    <row r="184" spans="3:7" x14ac:dyDescent="0.25">
      <c r="C184" s="2" t="s">
        <v>299</v>
      </c>
      <c r="D184" s="34">
        <v>1</v>
      </c>
      <c r="F184" s="2" t="s">
        <v>242</v>
      </c>
      <c r="G184">
        <v>1</v>
      </c>
    </row>
    <row r="185" spans="3:7" x14ac:dyDescent="0.25">
      <c r="C185" s="2" t="s">
        <v>212</v>
      </c>
      <c r="D185" s="34">
        <v>1</v>
      </c>
      <c r="F185" s="2" t="s">
        <v>166</v>
      </c>
      <c r="G185">
        <v>1</v>
      </c>
    </row>
    <row r="186" spans="3:7" x14ac:dyDescent="0.25">
      <c r="C186" s="2" t="s">
        <v>3668</v>
      </c>
      <c r="D186" s="34">
        <v>1</v>
      </c>
      <c r="F186" s="2" t="s">
        <v>406</v>
      </c>
      <c r="G186">
        <v>1</v>
      </c>
    </row>
    <row r="187" spans="3:7" x14ac:dyDescent="0.25">
      <c r="C187" s="2" t="s">
        <v>300</v>
      </c>
      <c r="D187" s="34">
        <v>1</v>
      </c>
      <c r="F187" s="2" t="s">
        <v>232</v>
      </c>
      <c r="G187">
        <v>1</v>
      </c>
    </row>
    <row r="188" spans="3:7" x14ac:dyDescent="0.25">
      <c r="C188" s="2" t="s">
        <v>3664</v>
      </c>
      <c r="D188" s="34">
        <v>1</v>
      </c>
      <c r="F188" s="2" t="s">
        <v>120</v>
      </c>
      <c r="G188">
        <v>1</v>
      </c>
    </row>
    <row r="189" spans="3:7" x14ac:dyDescent="0.25">
      <c r="C189" s="2" t="s">
        <v>3651</v>
      </c>
      <c r="D189" s="34">
        <v>1</v>
      </c>
      <c r="F189" s="2" t="s">
        <v>272</v>
      </c>
      <c r="G189">
        <v>1</v>
      </c>
    </row>
    <row r="190" spans="3:7" x14ac:dyDescent="0.25">
      <c r="C190" s="2" t="s">
        <v>303</v>
      </c>
      <c r="D190" s="34">
        <v>1</v>
      </c>
      <c r="F190" s="2" t="s">
        <v>209</v>
      </c>
      <c r="G190">
        <v>1</v>
      </c>
    </row>
    <row r="191" spans="3:7" x14ac:dyDescent="0.25">
      <c r="C191" s="2" t="s">
        <v>3666</v>
      </c>
      <c r="D191" s="34">
        <v>1</v>
      </c>
      <c r="F191" s="2" t="s">
        <v>118</v>
      </c>
      <c r="G191">
        <v>1</v>
      </c>
    </row>
    <row r="192" spans="3:7" x14ac:dyDescent="0.25">
      <c r="C192" s="2" t="s">
        <v>305</v>
      </c>
      <c r="D192" s="34">
        <v>1</v>
      </c>
      <c r="F192" s="2" t="s">
        <v>3688</v>
      </c>
      <c r="G192">
        <v>1</v>
      </c>
    </row>
    <row r="193" spans="3:7" x14ac:dyDescent="0.25">
      <c r="C193" s="2" t="s">
        <v>3669</v>
      </c>
      <c r="D193" s="34">
        <v>1</v>
      </c>
      <c r="F193" s="2" t="s">
        <v>3485</v>
      </c>
      <c r="G193">
        <v>1</v>
      </c>
    </row>
    <row r="194" spans="3:7" x14ac:dyDescent="0.25">
      <c r="C194" s="2" t="s">
        <v>307</v>
      </c>
      <c r="D194" s="34">
        <v>1</v>
      </c>
      <c r="F194" s="2" t="s">
        <v>3807</v>
      </c>
      <c r="G194">
        <v>1</v>
      </c>
    </row>
    <row r="195" spans="3:7" x14ac:dyDescent="0.25">
      <c r="C195" s="2" t="s">
        <v>165</v>
      </c>
      <c r="D195" s="34">
        <v>1</v>
      </c>
      <c r="F195" s="2" t="s">
        <v>941</v>
      </c>
      <c r="G195">
        <v>1</v>
      </c>
    </row>
    <row r="196" spans="3:7" x14ac:dyDescent="0.25">
      <c r="C196" s="2" t="s">
        <v>309</v>
      </c>
      <c r="D196" s="34">
        <v>1</v>
      </c>
      <c r="F196" s="2" t="s">
        <v>122</v>
      </c>
      <c r="G196">
        <v>1</v>
      </c>
    </row>
    <row r="197" spans="3:7" x14ac:dyDescent="0.25">
      <c r="C197" s="2" t="s">
        <v>224</v>
      </c>
      <c r="D197" s="34">
        <v>1</v>
      </c>
      <c r="F197" s="2" t="s">
        <v>192</v>
      </c>
      <c r="G197">
        <v>1</v>
      </c>
    </row>
    <row r="198" spans="3:7" x14ac:dyDescent="0.25">
      <c r="C198" s="2" t="s">
        <v>311</v>
      </c>
      <c r="D198" s="34">
        <v>1</v>
      </c>
      <c r="F198" s="2" t="s">
        <v>254</v>
      </c>
      <c r="G198">
        <v>1</v>
      </c>
    </row>
    <row r="199" spans="3:7" x14ac:dyDescent="0.25">
      <c r="C199" s="2" t="s">
        <v>141</v>
      </c>
      <c r="D199" s="34">
        <v>1</v>
      </c>
      <c r="F199" s="2" t="s">
        <v>248</v>
      </c>
      <c r="G199">
        <v>1</v>
      </c>
    </row>
    <row r="200" spans="3:7" x14ac:dyDescent="0.25">
      <c r="C200" s="2" t="s">
        <v>313</v>
      </c>
      <c r="D200" s="34">
        <v>1</v>
      </c>
      <c r="F200" s="2" t="s">
        <v>1267</v>
      </c>
      <c r="G200">
        <v>1</v>
      </c>
    </row>
    <row r="201" spans="3:7" x14ac:dyDescent="0.25">
      <c r="C201" s="2" t="s">
        <v>308</v>
      </c>
      <c r="D201" s="34">
        <v>1</v>
      </c>
      <c r="F201" s="2" t="s">
        <v>3722</v>
      </c>
      <c r="G201">
        <v>1</v>
      </c>
    </row>
    <row r="202" spans="3:7" x14ac:dyDescent="0.25">
      <c r="C202" s="2" t="s">
        <v>159</v>
      </c>
      <c r="D202" s="34">
        <v>1</v>
      </c>
      <c r="F202" s="2" t="s">
        <v>258</v>
      </c>
      <c r="G202">
        <v>1</v>
      </c>
    </row>
    <row r="203" spans="3:7" x14ac:dyDescent="0.25">
      <c r="C203" s="2" t="s">
        <v>228</v>
      </c>
      <c r="D203" s="34">
        <v>1</v>
      </c>
      <c r="F203" s="2" t="s">
        <v>252</v>
      </c>
      <c r="G203">
        <v>1</v>
      </c>
    </row>
    <row r="204" spans="3:7" x14ac:dyDescent="0.25">
      <c r="C204" s="2" t="s">
        <v>317</v>
      </c>
      <c r="D204" s="34">
        <v>1</v>
      </c>
      <c r="F204" s="2" t="s">
        <v>262</v>
      </c>
      <c r="G204">
        <v>1</v>
      </c>
    </row>
    <row r="205" spans="3:7" x14ac:dyDescent="0.25">
      <c r="C205" s="2" t="s">
        <v>314</v>
      </c>
      <c r="D205" s="34">
        <v>1</v>
      </c>
      <c r="F205" s="2" t="s">
        <v>256</v>
      </c>
      <c r="G205">
        <v>1</v>
      </c>
    </row>
    <row r="206" spans="3:7" x14ac:dyDescent="0.25">
      <c r="C206" s="2" t="s">
        <v>319</v>
      </c>
      <c r="D206" s="34">
        <v>1</v>
      </c>
      <c r="F206" s="2" t="s">
        <v>3629</v>
      </c>
      <c r="G206">
        <v>1</v>
      </c>
    </row>
    <row r="207" spans="3:7" x14ac:dyDescent="0.25">
      <c r="C207" s="2" t="s">
        <v>3671</v>
      </c>
      <c r="D207" s="34">
        <v>1</v>
      </c>
      <c r="F207" s="2" t="s">
        <v>3704</v>
      </c>
      <c r="G207">
        <v>1</v>
      </c>
    </row>
    <row r="208" spans="3:7" x14ac:dyDescent="0.25">
      <c r="C208" s="2" t="s">
        <v>321</v>
      </c>
      <c r="D208" s="34">
        <v>1</v>
      </c>
      <c r="F208" s="2" t="s">
        <v>213</v>
      </c>
      <c r="G208">
        <v>1</v>
      </c>
    </row>
    <row r="209" spans="3:7" x14ac:dyDescent="0.25">
      <c r="C209" s="2" t="s">
        <v>316</v>
      </c>
      <c r="D209" s="34">
        <v>1</v>
      </c>
      <c r="F209" s="2" t="s">
        <v>124</v>
      </c>
      <c r="G209">
        <v>1</v>
      </c>
    </row>
    <row r="210" spans="3:7" x14ac:dyDescent="0.25">
      <c r="C210" s="2" t="s">
        <v>323</v>
      </c>
      <c r="D210" s="34">
        <v>1</v>
      </c>
      <c r="F210" s="2" t="s">
        <v>270</v>
      </c>
      <c r="G210">
        <v>1</v>
      </c>
    </row>
    <row r="211" spans="3:7" x14ac:dyDescent="0.25">
      <c r="C211" s="2" t="s">
        <v>322</v>
      </c>
      <c r="D211" s="34">
        <v>1</v>
      </c>
      <c r="F211" s="2" t="s">
        <v>128</v>
      </c>
      <c r="G211">
        <v>1</v>
      </c>
    </row>
    <row r="212" spans="3:7" x14ac:dyDescent="0.25">
      <c r="C212" s="2" t="s">
        <v>202</v>
      </c>
      <c r="D212" s="34">
        <v>1</v>
      </c>
      <c r="F212" s="2" t="s">
        <v>138</v>
      </c>
      <c r="G212">
        <v>1</v>
      </c>
    </row>
    <row r="213" spans="3:7" x14ac:dyDescent="0.25">
      <c r="C213" s="2" t="s">
        <v>312</v>
      </c>
      <c r="D213" s="34">
        <v>1</v>
      </c>
      <c r="F213" s="2" t="s">
        <v>136</v>
      </c>
      <c r="G213">
        <v>1</v>
      </c>
    </row>
    <row r="214" spans="3:7" x14ac:dyDescent="0.25">
      <c r="C214" s="2" t="s">
        <v>327</v>
      </c>
      <c r="D214" s="34">
        <v>1</v>
      </c>
      <c r="F214" s="2" t="s">
        <v>604</v>
      </c>
      <c r="G214">
        <v>1</v>
      </c>
    </row>
    <row r="215" spans="3:7" x14ac:dyDescent="0.25">
      <c r="C215" s="2" t="s">
        <v>247</v>
      </c>
      <c r="D215" s="34">
        <v>1</v>
      </c>
      <c r="F215" s="2" t="s">
        <v>172</v>
      </c>
      <c r="G215">
        <v>1</v>
      </c>
    </row>
    <row r="216" spans="3:7" x14ac:dyDescent="0.25">
      <c r="C216" s="2" t="s">
        <v>3670</v>
      </c>
      <c r="D216" s="34">
        <v>1</v>
      </c>
      <c r="F216" s="2" t="s">
        <v>65</v>
      </c>
      <c r="G216">
        <v>462</v>
      </c>
    </row>
    <row r="217" spans="3:7" x14ac:dyDescent="0.25">
      <c r="C217" s="2" t="s">
        <v>324</v>
      </c>
      <c r="D217" s="34">
        <v>1</v>
      </c>
    </row>
    <row r="218" spans="3:7" x14ac:dyDescent="0.25">
      <c r="C218" s="2" t="s">
        <v>3652</v>
      </c>
      <c r="D218" s="34">
        <v>1</v>
      </c>
    </row>
    <row r="219" spans="3:7" x14ac:dyDescent="0.25">
      <c r="C219" s="2" t="s">
        <v>326</v>
      </c>
      <c r="D219" s="34">
        <v>1</v>
      </c>
    </row>
    <row r="220" spans="3:7" x14ac:dyDescent="0.25">
      <c r="C220" s="2" t="s">
        <v>332</v>
      </c>
      <c r="D220" s="34">
        <v>1</v>
      </c>
    </row>
    <row r="221" spans="3:7" x14ac:dyDescent="0.25">
      <c r="C221" s="2" t="s">
        <v>243</v>
      </c>
      <c r="D221" s="34">
        <v>1</v>
      </c>
    </row>
    <row r="222" spans="3:7" x14ac:dyDescent="0.25">
      <c r="C222" s="2" t="s">
        <v>149</v>
      </c>
      <c r="D222" s="34">
        <v>1</v>
      </c>
    </row>
    <row r="223" spans="3:7" x14ac:dyDescent="0.25">
      <c r="C223" s="2" t="s">
        <v>127</v>
      </c>
      <c r="D223" s="34">
        <v>1</v>
      </c>
    </row>
    <row r="224" spans="3:7" x14ac:dyDescent="0.25">
      <c r="C224" s="2" t="s">
        <v>251</v>
      </c>
      <c r="D224" s="34">
        <v>1</v>
      </c>
    </row>
    <row r="225" spans="3:4" x14ac:dyDescent="0.25">
      <c r="C225" s="2" t="s">
        <v>3821</v>
      </c>
      <c r="D225" s="34">
        <v>1</v>
      </c>
    </row>
    <row r="226" spans="3:4" x14ac:dyDescent="0.25">
      <c r="C226" s="2" t="s">
        <v>185</v>
      </c>
      <c r="D226" s="34">
        <v>1</v>
      </c>
    </row>
    <row r="227" spans="3:4" x14ac:dyDescent="0.25">
      <c r="C227" s="2" t="s">
        <v>3825</v>
      </c>
      <c r="D227" s="34">
        <v>1</v>
      </c>
    </row>
    <row r="228" spans="3:4" x14ac:dyDescent="0.25">
      <c r="C228" s="2" t="s">
        <v>255</v>
      </c>
      <c r="D228" s="34">
        <v>1</v>
      </c>
    </row>
    <row r="229" spans="3:4" x14ac:dyDescent="0.25">
      <c r="C229" s="2" t="s">
        <v>181</v>
      </c>
      <c r="D229" s="34">
        <v>1</v>
      </c>
    </row>
    <row r="230" spans="3:4" x14ac:dyDescent="0.25">
      <c r="C230" s="2" t="s">
        <v>245</v>
      </c>
      <c r="D230" s="34">
        <v>1</v>
      </c>
    </row>
    <row r="231" spans="3:4" x14ac:dyDescent="0.25">
      <c r="C231" s="2" t="s">
        <v>277</v>
      </c>
      <c r="D231" s="34">
        <v>1</v>
      </c>
    </row>
    <row r="232" spans="3:4" x14ac:dyDescent="0.25">
      <c r="C232" s="2" t="s">
        <v>3677</v>
      </c>
      <c r="D232" s="34">
        <v>1</v>
      </c>
    </row>
    <row r="233" spans="3:4" x14ac:dyDescent="0.25">
      <c r="C233" s="2" t="s">
        <v>135</v>
      </c>
      <c r="D233" s="34">
        <v>1</v>
      </c>
    </row>
    <row r="234" spans="3:4" x14ac:dyDescent="0.25">
      <c r="C234" s="2" t="s">
        <v>3675</v>
      </c>
      <c r="D234" s="34">
        <v>1</v>
      </c>
    </row>
    <row r="235" spans="3:4" x14ac:dyDescent="0.25">
      <c r="C235" s="2" t="s">
        <v>335</v>
      </c>
      <c r="D235" s="34">
        <v>1</v>
      </c>
    </row>
    <row r="236" spans="3:4" x14ac:dyDescent="0.25">
      <c r="C236" s="2" t="s">
        <v>338</v>
      </c>
      <c r="D236" s="34">
        <v>1</v>
      </c>
    </row>
    <row r="237" spans="3:4" x14ac:dyDescent="0.25">
      <c r="C237" s="2" t="s">
        <v>340</v>
      </c>
      <c r="D237" s="34">
        <v>1</v>
      </c>
    </row>
    <row r="238" spans="3:4" x14ac:dyDescent="0.25">
      <c r="C238" s="2" t="s">
        <v>3763</v>
      </c>
      <c r="D238" s="34">
        <v>0</v>
      </c>
    </row>
    <row r="239" spans="3:4" x14ac:dyDescent="0.25">
      <c r="C239" s="2" t="s">
        <v>3760</v>
      </c>
      <c r="D239" s="34">
        <v>0</v>
      </c>
    </row>
    <row r="240" spans="3:4" x14ac:dyDescent="0.25">
      <c r="C240" s="2" t="s">
        <v>3834</v>
      </c>
      <c r="D240" s="34">
        <v>0</v>
      </c>
    </row>
    <row r="241" spans="3:4" x14ac:dyDescent="0.25">
      <c r="C241" s="2" t="s">
        <v>3754</v>
      </c>
      <c r="D241" s="34">
        <v>0</v>
      </c>
    </row>
    <row r="242" spans="3:4" x14ac:dyDescent="0.25">
      <c r="C242" s="2" t="s">
        <v>3837</v>
      </c>
      <c r="D242" s="34">
        <v>0</v>
      </c>
    </row>
    <row r="243" spans="3:4" x14ac:dyDescent="0.25">
      <c r="C243" s="2" t="s">
        <v>3829</v>
      </c>
      <c r="D243" s="34">
        <v>0</v>
      </c>
    </row>
    <row r="244" spans="3:4" x14ac:dyDescent="0.25">
      <c r="C244" s="2" t="s">
        <v>3822</v>
      </c>
      <c r="D244" s="34">
        <v>0</v>
      </c>
    </row>
    <row r="245" spans="3:4" x14ac:dyDescent="0.25">
      <c r="C245" s="2" t="s">
        <v>3810</v>
      </c>
      <c r="D245" s="34">
        <v>0</v>
      </c>
    </row>
    <row r="246" spans="3:4" x14ac:dyDescent="0.25">
      <c r="C246" s="2" t="s">
        <v>3809</v>
      </c>
      <c r="D246" s="34">
        <v>0</v>
      </c>
    </row>
    <row r="247" spans="3:4" x14ac:dyDescent="0.25">
      <c r="C247" s="2" t="s">
        <v>3762</v>
      </c>
      <c r="D247" s="34">
        <v>0</v>
      </c>
    </row>
    <row r="248" spans="3:4" x14ac:dyDescent="0.25">
      <c r="C248" s="2" t="s">
        <v>3661</v>
      </c>
      <c r="D248" s="34">
        <v>0</v>
      </c>
    </row>
    <row r="249" spans="3:4" x14ac:dyDescent="0.25">
      <c r="C249" s="2" t="s">
        <v>3813</v>
      </c>
      <c r="D249" s="34">
        <v>0</v>
      </c>
    </row>
    <row r="250" spans="3:4" x14ac:dyDescent="0.25">
      <c r="C250" s="2" t="s">
        <v>3817</v>
      </c>
      <c r="D250" s="34">
        <v>0</v>
      </c>
    </row>
    <row r="251" spans="3:4" x14ac:dyDescent="0.25">
      <c r="C251" s="2" t="s">
        <v>3831</v>
      </c>
      <c r="D251" s="34">
        <v>0</v>
      </c>
    </row>
    <row r="252" spans="3:4" x14ac:dyDescent="0.25">
      <c r="C252" s="2" t="s">
        <v>3820</v>
      </c>
      <c r="D252" s="34">
        <v>0</v>
      </c>
    </row>
    <row r="253" spans="3:4" x14ac:dyDescent="0.25">
      <c r="C253" s="2" t="s">
        <v>3672</v>
      </c>
      <c r="D253" s="34">
        <v>0</v>
      </c>
    </row>
    <row r="254" spans="3:4" x14ac:dyDescent="0.25">
      <c r="C254" s="2" t="s">
        <v>3824</v>
      </c>
      <c r="D254" s="34">
        <v>0</v>
      </c>
    </row>
    <row r="255" spans="3:4" x14ac:dyDescent="0.25">
      <c r="C255" s="2" t="s">
        <v>3812</v>
      </c>
      <c r="D255" s="34">
        <v>0</v>
      </c>
    </row>
    <row r="256" spans="3:4" x14ac:dyDescent="0.25">
      <c r="C256" s="2" t="s">
        <v>3827</v>
      </c>
      <c r="D256" s="34">
        <v>0</v>
      </c>
    </row>
    <row r="257" spans="3:4" x14ac:dyDescent="0.25">
      <c r="C257" s="2" t="s">
        <v>3753</v>
      </c>
      <c r="D257" s="34">
        <v>0</v>
      </c>
    </row>
    <row r="258" spans="3:4" x14ac:dyDescent="0.25">
      <c r="C258" s="2" t="s">
        <v>3758</v>
      </c>
      <c r="D258" s="34">
        <v>0</v>
      </c>
    </row>
    <row r="259" spans="3:4" x14ac:dyDescent="0.25">
      <c r="C259" s="2" t="s">
        <v>3752</v>
      </c>
      <c r="D259" s="34">
        <v>0</v>
      </c>
    </row>
    <row r="260" spans="3:4" x14ac:dyDescent="0.25">
      <c r="C260" s="2" t="s">
        <v>3833</v>
      </c>
      <c r="D260" s="34">
        <v>0</v>
      </c>
    </row>
    <row r="261" spans="3:4" x14ac:dyDescent="0.25">
      <c r="C261" s="2" t="s">
        <v>3655</v>
      </c>
      <c r="D261" s="34">
        <v>0</v>
      </c>
    </row>
    <row r="262" spans="3:4" x14ac:dyDescent="0.25">
      <c r="C262" s="2" t="s">
        <v>3835</v>
      </c>
      <c r="D262" s="34">
        <v>0</v>
      </c>
    </row>
    <row r="263" spans="3:4" x14ac:dyDescent="0.25">
      <c r="C263" s="2" t="s">
        <v>3658</v>
      </c>
      <c r="D263" s="34">
        <v>0</v>
      </c>
    </row>
    <row r="264" spans="3:4" x14ac:dyDescent="0.25">
      <c r="C264" s="2" t="s">
        <v>3830</v>
      </c>
      <c r="D264" s="34">
        <v>0</v>
      </c>
    </row>
    <row r="265" spans="3:4" x14ac:dyDescent="0.25">
      <c r="C265" s="2" t="s">
        <v>3644</v>
      </c>
      <c r="D265" s="34">
        <v>0</v>
      </c>
    </row>
    <row r="266" spans="3:4" x14ac:dyDescent="0.25">
      <c r="C266" s="2" t="s">
        <v>3818</v>
      </c>
      <c r="D266" s="34">
        <v>0</v>
      </c>
    </row>
    <row r="267" spans="3:4" x14ac:dyDescent="0.25">
      <c r="C267" s="2" t="s">
        <v>3764</v>
      </c>
      <c r="D267" s="34">
        <v>0</v>
      </c>
    </row>
    <row r="268" spans="3:4" x14ac:dyDescent="0.25">
      <c r="C268" s="2" t="s">
        <v>3819</v>
      </c>
      <c r="D268" s="34">
        <v>0</v>
      </c>
    </row>
    <row r="269" spans="3:4" x14ac:dyDescent="0.25">
      <c r="C269" s="2" t="s">
        <v>3665</v>
      </c>
      <c r="D269" s="34">
        <v>0</v>
      </c>
    </row>
    <row r="270" spans="3:4" x14ac:dyDescent="0.25">
      <c r="C270" s="2" t="s">
        <v>3811</v>
      </c>
      <c r="D270" s="34">
        <v>0</v>
      </c>
    </row>
    <row r="271" spans="3:4" x14ac:dyDescent="0.25">
      <c r="C271" s="2" t="s">
        <v>3656</v>
      </c>
      <c r="D271" s="34">
        <v>0</v>
      </c>
    </row>
    <row r="272" spans="3:4" x14ac:dyDescent="0.25">
      <c r="C272" s="2" t="s">
        <v>3823</v>
      </c>
      <c r="D272" s="34">
        <v>0</v>
      </c>
    </row>
    <row r="273" spans="3:4" x14ac:dyDescent="0.25">
      <c r="C273" s="2" t="s">
        <v>3832</v>
      </c>
      <c r="D273" s="34">
        <v>0</v>
      </c>
    </row>
    <row r="274" spans="3:4" x14ac:dyDescent="0.25">
      <c r="C274" s="2" t="s">
        <v>3673</v>
      </c>
      <c r="D274" s="34">
        <v>0</v>
      </c>
    </row>
    <row r="275" spans="3:4" x14ac:dyDescent="0.25">
      <c r="C275" s="2" t="s">
        <v>3765</v>
      </c>
      <c r="D275" s="34">
        <v>0</v>
      </c>
    </row>
    <row r="276" spans="3:4" x14ac:dyDescent="0.25">
      <c r="C276" s="2" t="s">
        <v>3826</v>
      </c>
      <c r="D276" s="34">
        <v>0</v>
      </c>
    </row>
    <row r="277" spans="3:4" x14ac:dyDescent="0.25">
      <c r="C277" s="2" t="s">
        <v>3755</v>
      </c>
      <c r="D277" s="34">
        <v>0</v>
      </c>
    </row>
    <row r="278" spans="3:4" x14ac:dyDescent="0.25">
      <c r="C278" s="2" t="s">
        <v>3756</v>
      </c>
      <c r="D278" s="34">
        <v>0</v>
      </c>
    </row>
    <row r="279" spans="3:4" x14ac:dyDescent="0.25">
      <c r="C279" s="2" t="s">
        <v>3757</v>
      </c>
      <c r="D279" s="34">
        <v>0</v>
      </c>
    </row>
    <row r="280" spans="3:4" x14ac:dyDescent="0.25">
      <c r="C280" s="2" t="s">
        <v>3768</v>
      </c>
      <c r="D280" s="34">
        <v>0</v>
      </c>
    </row>
    <row r="281" spans="3:4" x14ac:dyDescent="0.25">
      <c r="C281" s="2" t="s">
        <v>3667</v>
      </c>
      <c r="D281" s="34">
        <v>0</v>
      </c>
    </row>
    <row r="282" spans="3:4" x14ac:dyDescent="0.25">
      <c r="C282" s="2" t="s">
        <v>3766</v>
      </c>
      <c r="D282" s="34">
        <v>0</v>
      </c>
    </row>
    <row r="283" spans="3:4" x14ac:dyDescent="0.25">
      <c r="C283" s="2" t="s">
        <v>3759</v>
      </c>
      <c r="D283" s="34">
        <v>0</v>
      </c>
    </row>
    <row r="284" spans="3:4" x14ac:dyDescent="0.25">
      <c r="C284" s="2" t="s">
        <v>163</v>
      </c>
      <c r="D284" s="34">
        <v>0</v>
      </c>
    </row>
    <row r="285" spans="3:4" x14ac:dyDescent="0.25">
      <c r="C285" s="2" t="s">
        <v>3769</v>
      </c>
      <c r="D285" s="34">
        <v>0</v>
      </c>
    </row>
    <row r="286" spans="3:4" x14ac:dyDescent="0.25">
      <c r="C286" s="2" t="s">
        <v>3676</v>
      </c>
      <c r="D286" s="34">
        <v>0</v>
      </c>
    </row>
    <row r="287" spans="3:4" x14ac:dyDescent="0.25">
      <c r="C287" s="2" t="s">
        <v>3770</v>
      </c>
      <c r="D287" s="34">
        <v>0</v>
      </c>
    </row>
    <row r="288" spans="3:4" x14ac:dyDescent="0.25">
      <c r="C288" s="2" t="s">
        <v>3767</v>
      </c>
      <c r="D288" s="34">
        <v>0</v>
      </c>
    </row>
    <row r="289" spans="3:4" x14ac:dyDescent="0.25">
      <c r="C289" s="2" t="s">
        <v>3815</v>
      </c>
      <c r="D289" s="34">
        <v>0</v>
      </c>
    </row>
    <row r="290" spans="3:4" x14ac:dyDescent="0.25">
      <c r="C290" s="2" t="s">
        <v>3836</v>
      </c>
      <c r="D290" s="34">
        <v>0</v>
      </c>
    </row>
    <row r="291" spans="3:4" x14ac:dyDescent="0.25">
      <c r="C291" s="2" t="s">
        <v>3771</v>
      </c>
      <c r="D291" s="34">
        <v>0</v>
      </c>
    </row>
    <row r="292" spans="3:4" x14ac:dyDescent="0.25">
      <c r="C292" s="2" t="s">
        <v>3838</v>
      </c>
      <c r="D292" s="34">
        <v>0</v>
      </c>
    </row>
    <row r="293" spans="3:4" x14ac:dyDescent="0.25">
      <c r="C293" s="2" t="s">
        <v>3761</v>
      </c>
      <c r="D293" s="34">
        <v>0</v>
      </c>
    </row>
    <row r="294" spans="3:4" x14ac:dyDescent="0.25">
      <c r="C294" s="2" t="s">
        <v>3816</v>
      </c>
      <c r="D294" s="34">
        <v>0</v>
      </c>
    </row>
    <row r="295" spans="3:4" x14ac:dyDescent="0.25">
      <c r="C295" s="2" t="s">
        <v>65</v>
      </c>
      <c r="D295" s="34">
        <v>328</v>
      </c>
    </row>
    <row r="296" spans="3:4" x14ac:dyDescent="0.25">
      <c r="C296"/>
      <c r="D296"/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2025-11-28T07:51:16Z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