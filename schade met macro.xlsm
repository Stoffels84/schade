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215" documentId="13_ncr:1_{BC833B0D-2F54-40DF-A6AF-902741D0EBA0}" xr6:coauthVersionLast="47" xr6:coauthVersionMax="47" xr10:uidLastSave="{5701A25F-86DB-42DA-868C-F42A336B776D}"/>
  <bookViews>
    <workbookView xWindow="28680" yWindow="-1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C909" i="1"/>
  <c r="B909" i="1" s="1"/>
  <c r="D909" i="1"/>
  <c r="E909" i="1"/>
  <c r="C908" i="1"/>
  <c r="B908" i="1" s="1"/>
  <c r="D908" i="1"/>
  <c r="E908" i="1"/>
  <c r="C907" i="1"/>
  <c r="B907" i="1" s="1"/>
  <c r="D907" i="1"/>
  <c r="E907" i="1"/>
  <c r="C906" i="1"/>
  <c r="B906" i="1" s="1"/>
  <c r="D906" i="1"/>
  <c r="E906" i="1"/>
  <c r="C905" i="1"/>
  <c r="B905" i="1" s="1"/>
  <c r="D905" i="1"/>
  <c r="E905" i="1"/>
  <c r="C904" i="1"/>
  <c r="B904" i="1" s="1"/>
  <c r="D904" i="1"/>
  <c r="E904" i="1"/>
  <c r="C903" i="1"/>
  <c r="B903" i="1" s="1"/>
  <c r="D903" i="1"/>
  <c r="E903" i="1"/>
  <c r="C902" i="1"/>
  <c r="B902" i="1" s="1"/>
  <c r="D902" i="1"/>
  <c r="E902" i="1"/>
  <c r="C901" i="1"/>
  <c r="B901" i="1" s="1"/>
  <c r="D901" i="1"/>
  <c r="E901" i="1"/>
  <c r="C900" i="1"/>
  <c r="B900" i="1" s="1"/>
  <c r="D900" i="1"/>
  <c r="E900" i="1"/>
  <c r="C899" i="1"/>
  <c r="B899" i="1" s="1"/>
  <c r="D899" i="1"/>
  <c r="E899" i="1"/>
  <c r="C898" i="1"/>
  <c r="B898" i="1" s="1"/>
  <c r="D898" i="1"/>
  <c r="E898" i="1"/>
  <c r="C897" i="1"/>
  <c r="B897" i="1" s="1"/>
  <c r="D897" i="1"/>
  <c r="E897" i="1"/>
  <c r="C896" i="1"/>
  <c r="B896" i="1" s="1"/>
  <c r="D896" i="1"/>
  <c r="E896" i="1"/>
  <c r="C895" i="1"/>
  <c r="B895" i="1" s="1"/>
  <c r="D895" i="1"/>
  <c r="E895" i="1"/>
  <c r="C894" i="1"/>
  <c r="B894" i="1" s="1"/>
  <c r="D894" i="1"/>
  <c r="E894" i="1"/>
  <c r="C893" i="1"/>
  <c r="B893" i="1" s="1"/>
  <c r="D893" i="1"/>
  <c r="E893" i="1"/>
  <c r="C892" i="1"/>
  <c r="B892" i="1" s="1"/>
  <c r="D892" i="1"/>
  <c r="E892" i="1"/>
  <c r="C891" i="1"/>
  <c r="B891" i="1" s="1"/>
  <c r="D891" i="1"/>
  <c r="E891" i="1"/>
  <c r="C890" i="1"/>
  <c r="B890" i="1" s="1"/>
  <c r="D890" i="1"/>
  <c r="E890" i="1"/>
  <c r="C889" i="1"/>
  <c r="B889" i="1" s="1"/>
  <c r="D889" i="1"/>
  <c r="E889" i="1"/>
  <c r="C888" i="1"/>
  <c r="B888" i="1" s="1"/>
  <c r="D888" i="1"/>
  <c r="E888" i="1"/>
  <c r="C887" i="1"/>
  <c r="B887" i="1" s="1"/>
  <c r="D887" i="1"/>
  <c r="E887" i="1"/>
  <c r="C886" i="1"/>
  <c r="B886" i="1" s="1"/>
  <c r="D886" i="1"/>
  <c r="E886" i="1"/>
  <c r="C885" i="1"/>
  <c r="B885" i="1" s="1"/>
  <c r="D885" i="1"/>
  <c r="E885" i="1"/>
  <c r="C884" i="1"/>
  <c r="B884" i="1" s="1"/>
  <c r="D884" i="1"/>
  <c r="E884" i="1"/>
  <c r="C883" i="1"/>
  <c r="B883" i="1" s="1"/>
  <c r="D883" i="1"/>
  <c r="E883" i="1"/>
  <c r="C882" i="1"/>
  <c r="B882" i="1" s="1"/>
  <c r="D882" i="1"/>
  <c r="E882" i="1"/>
  <c r="C881" i="1"/>
  <c r="B881" i="1" s="1"/>
  <c r="D881" i="1"/>
  <c r="E881" i="1"/>
  <c r="C880" i="1"/>
  <c r="B880" i="1" s="1"/>
  <c r="D880" i="1"/>
  <c r="E880" i="1"/>
  <c r="C879" i="1"/>
  <c r="B879" i="1" s="1"/>
  <c r="D879" i="1"/>
  <c r="E879" i="1"/>
  <c r="C872" i="1"/>
  <c r="D872" i="1"/>
  <c r="E872" i="1"/>
  <c r="C870" i="1"/>
  <c r="D870" i="1"/>
  <c r="E870" i="1"/>
  <c r="C871" i="1"/>
  <c r="D871" i="1"/>
  <c r="E871" i="1"/>
  <c r="C869" i="1"/>
  <c r="D869" i="1"/>
  <c r="E869" i="1"/>
  <c r="C868" i="1"/>
  <c r="D868" i="1"/>
  <c r="E868" i="1"/>
  <c r="C865" i="1"/>
  <c r="D865" i="1"/>
  <c r="E865" i="1"/>
  <c r="C867" i="1"/>
  <c r="D867" i="1"/>
  <c r="E867" i="1"/>
  <c r="C878" i="1"/>
  <c r="B878" i="1" s="1"/>
  <c r="D878" i="1"/>
  <c r="E878" i="1"/>
  <c r="C877" i="1"/>
  <c r="B877" i="1" s="1"/>
  <c r="D877" i="1"/>
  <c r="E877" i="1"/>
  <c r="C876" i="1"/>
  <c r="B876" i="1" s="1"/>
  <c r="D876" i="1"/>
  <c r="E876" i="1"/>
  <c r="C875" i="1"/>
  <c r="B875" i="1" s="1"/>
  <c r="D875" i="1"/>
  <c r="E875" i="1"/>
  <c r="C874" i="1"/>
  <c r="B874" i="1" s="1"/>
  <c r="D874" i="1"/>
  <c r="E874" i="1"/>
  <c r="C873" i="1"/>
  <c r="D873" i="1"/>
  <c r="E873" i="1"/>
  <c r="E863" i="1"/>
  <c r="E866" i="1"/>
  <c r="C866" i="1"/>
  <c r="D866" i="1"/>
  <c r="C863" i="1"/>
  <c r="D863" i="1"/>
  <c r="C864" i="1"/>
  <c r="D864" i="1"/>
  <c r="E864" i="1"/>
  <c r="C812" i="1"/>
  <c r="D812" i="1"/>
  <c r="E812" i="1"/>
  <c r="C856" i="1"/>
  <c r="D856" i="1"/>
  <c r="E856" i="1"/>
  <c r="C862" i="1"/>
  <c r="D862" i="1"/>
  <c r="E862" i="1"/>
  <c r="B873" i="1" l="1"/>
  <c r="B870" i="1"/>
  <c r="B872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B855" i="1" l="1"/>
  <c r="C850" i="1"/>
  <c r="D850" i="1"/>
  <c r="E850" i="1"/>
  <c r="C854" i="1"/>
  <c r="D854" i="1"/>
  <c r="E854" i="1"/>
  <c r="C852" i="1"/>
  <c r="D852" i="1"/>
  <c r="E852" i="1"/>
  <c r="C851" i="1"/>
  <c r="D851" i="1"/>
  <c r="E851" i="1"/>
  <c r="C844" i="1"/>
  <c r="D844" i="1"/>
  <c r="E844" i="1"/>
  <c r="C853" i="1"/>
  <c r="D853" i="1"/>
  <c r="E853" i="1"/>
  <c r="C861" i="1"/>
  <c r="D861" i="1"/>
  <c r="E861" i="1"/>
  <c r="C859" i="1"/>
  <c r="D859" i="1"/>
  <c r="E859" i="1"/>
  <c r="C860" i="1"/>
  <c r="D860" i="1"/>
  <c r="E860" i="1"/>
  <c r="C858" i="1"/>
  <c r="D858" i="1"/>
  <c r="E858" i="1"/>
  <c r="C857" i="1"/>
  <c r="D857" i="1"/>
  <c r="E857" i="1"/>
  <c r="C846" i="1"/>
  <c r="D846" i="1"/>
  <c r="E846" i="1"/>
  <c r="C849" i="1"/>
  <c r="D849" i="1"/>
  <c r="E849" i="1"/>
  <c r="C848" i="1"/>
  <c r="D848" i="1"/>
  <c r="E848" i="1"/>
  <c r="C842" i="1"/>
  <c r="D842" i="1"/>
  <c r="E842" i="1"/>
  <c r="C841" i="1"/>
  <c r="D841" i="1"/>
  <c r="E841" i="1"/>
  <c r="C847" i="1"/>
  <c r="D847" i="1"/>
  <c r="E847" i="1"/>
  <c r="C845" i="1"/>
  <c r="D845" i="1"/>
  <c r="E845" i="1"/>
  <c r="C843" i="1"/>
  <c r="D843" i="1"/>
  <c r="E843" i="1"/>
  <c r="C840" i="1"/>
  <c r="D840" i="1"/>
  <c r="E840" i="1"/>
  <c r="C806" i="1"/>
  <c r="D806" i="1"/>
  <c r="E806" i="1"/>
  <c r="C839" i="1"/>
  <c r="D839" i="1"/>
  <c r="E839" i="1"/>
  <c r="C534" i="1"/>
  <c r="B534" i="1" s="1"/>
  <c r="D534" i="1"/>
  <c r="C564" i="1"/>
  <c r="B564" i="1" s="1"/>
  <c r="D564" i="1"/>
  <c r="C599" i="1"/>
  <c r="B599" i="1" s="1"/>
  <c r="D599" i="1"/>
  <c r="C683" i="1"/>
  <c r="B683" i="1" s="1"/>
  <c r="D683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C826" i="1"/>
  <c r="D826" i="1"/>
  <c r="E826" i="1"/>
  <c r="C825" i="1"/>
  <c r="D825" i="1"/>
  <c r="E825" i="1"/>
  <c r="C834" i="1"/>
  <c r="D834" i="1"/>
  <c r="E834" i="1"/>
  <c r="C828" i="1"/>
  <c r="D828" i="1"/>
  <c r="E828" i="1"/>
  <c r="C832" i="1"/>
  <c r="D832" i="1"/>
  <c r="E832" i="1"/>
  <c r="C829" i="1"/>
  <c r="D829" i="1"/>
  <c r="E829" i="1"/>
  <c r="B831" i="1"/>
  <c r="C830" i="1"/>
  <c r="D830" i="1"/>
  <c r="E830" i="1"/>
  <c r="C827" i="1"/>
  <c r="D827" i="1"/>
  <c r="E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515" i="1"/>
  <c r="B596" i="1"/>
  <c r="B777" i="1"/>
  <c r="B809" i="1"/>
  <c r="B2" i="1"/>
  <c r="C823" i="1"/>
  <c r="D823" i="1"/>
  <c r="E823" i="1"/>
  <c r="C822" i="1"/>
  <c r="D822" i="1"/>
  <c r="E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C2" i="12"/>
  <c r="C3" i="12"/>
  <c r="C697" i="1"/>
  <c r="D697" i="1"/>
  <c r="E697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C821" i="1"/>
  <c r="D821" i="1"/>
  <c r="E821" i="1"/>
  <c r="C810" i="1"/>
  <c r="D810" i="1"/>
  <c r="E810" i="1"/>
  <c r="C818" i="1"/>
  <c r="D818" i="1"/>
  <c r="E818" i="1"/>
  <c r="C819" i="1"/>
  <c r="D819" i="1"/>
  <c r="E819" i="1"/>
  <c r="C820" i="1"/>
  <c r="D820" i="1"/>
  <c r="E820" i="1"/>
  <c r="C815" i="1"/>
  <c r="D815" i="1"/>
  <c r="E815" i="1"/>
  <c r="C816" i="1"/>
  <c r="D816" i="1"/>
  <c r="E816" i="1"/>
  <c r="C817" i="1"/>
  <c r="D817" i="1"/>
  <c r="E817" i="1"/>
  <c r="C745" i="1"/>
  <c r="D745" i="1"/>
  <c r="E745" i="1"/>
  <c r="C797" i="1"/>
  <c r="D797" i="1"/>
  <c r="E797" i="1"/>
  <c r="C813" i="1"/>
  <c r="D813" i="1"/>
  <c r="E813" i="1"/>
  <c r="C814" i="1"/>
  <c r="D814" i="1"/>
  <c r="E814" i="1"/>
  <c r="C799" i="1"/>
  <c r="D799" i="1"/>
  <c r="E799" i="1"/>
  <c r="C804" i="1"/>
  <c r="D804" i="1"/>
  <c r="E804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C807" i="1"/>
  <c r="D807" i="1"/>
  <c r="E807" i="1"/>
  <c r="C795" i="1"/>
  <c r="D795" i="1"/>
  <c r="E795" i="1"/>
  <c r="C802" i="1"/>
  <c r="D802" i="1"/>
  <c r="E802" i="1"/>
  <c r="C801" i="1"/>
  <c r="D801" i="1"/>
  <c r="E801" i="1"/>
  <c r="C805" i="1"/>
  <c r="D805" i="1"/>
  <c r="E805" i="1"/>
  <c r="C789" i="1"/>
  <c r="D789" i="1"/>
  <c r="E789" i="1"/>
  <c r="C803" i="1"/>
  <c r="D803" i="1"/>
  <c r="E803" i="1"/>
  <c r="C798" i="1"/>
  <c r="D798" i="1"/>
  <c r="E798" i="1"/>
  <c r="C800" i="1"/>
  <c r="D800" i="1"/>
  <c r="E800" i="1"/>
  <c r="C794" i="1"/>
  <c r="D794" i="1"/>
  <c r="E794" i="1"/>
  <c r="C763" i="1"/>
  <c r="D763" i="1"/>
  <c r="E763" i="1"/>
  <c r="C792" i="1"/>
  <c r="D792" i="1"/>
  <c r="E792" i="1"/>
  <c r="C793" i="1"/>
  <c r="D793" i="1"/>
  <c r="E793" i="1"/>
  <c r="C791" i="1"/>
  <c r="D791" i="1"/>
  <c r="E791" i="1"/>
  <c r="C790" i="1"/>
  <c r="D790" i="1"/>
  <c r="E790" i="1"/>
  <c r="C787" i="1"/>
  <c r="D787" i="1"/>
  <c r="E787" i="1"/>
  <c r="C788" i="1"/>
  <c r="D788" i="1"/>
  <c r="E788" i="1"/>
  <c r="C785" i="1"/>
  <c r="D785" i="1"/>
  <c r="E785" i="1"/>
  <c r="C780" i="1"/>
  <c r="D780" i="1"/>
  <c r="E780" i="1"/>
  <c r="C781" i="1"/>
  <c r="D781" i="1"/>
  <c r="E781" i="1"/>
  <c r="C782" i="1"/>
  <c r="D782" i="1"/>
  <c r="E782" i="1"/>
  <c r="C755" i="1"/>
  <c r="D755" i="1"/>
  <c r="E755" i="1"/>
  <c r="C784" i="1"/>
  <c r="D784" i="1"/>
  <c r="E784" i="1"/>
  <c r="C783" i="1"/>
  <c r="D783" i="1"/>
  <c r="E783" i="1"/>
  <c r="C776" i="1"/>
  <c r="D776" i="1"/>
  <c r="E776" i="1"/>
  <c r="C775" i="1"/>
  <c r="D775" i="1"/>
  <c r="E775" i="1"/>
  <c r="C778" i="1"/>
  <c r="D778" i="1"/>
  <c r="C766" i="1"/>
  <c r="D766" i="1"/>
  <c r="E766" i="1"/>
  <c r="C762" i="1"/>
  <c r="D762" i="1"/>
  <c r="E762" i="1"/>
  <c r="C774" i="1"/>
  <c r="D774" i="1"/>
  <c r="E774" i="1"/>
  <c r="C753" i="1"/>
  <c r="D753" i="1"/>
  <c r="E753" i="1"/>
  <c r="C770" i="1"/>
  <c r="D770" i="1"/>
  <c r="E770" i="1"/>
  <c r="C761" i="1"/>
  <c r="D761" i="1"/>
  <c r="E761" i="1"/>
  <c r="C748" i="1"/>
  <c r="D748" i="1"/>
  <c r="C771" i="1"/>
  <c r="D771" i="1"/>
  <c r="E771" i="1"/>
  <c r="C772" i="1"/>
  <c r="D772" i="1"/>
  <c r="E772" i="1"/>
  <c r="C773" i="1"/>
  <c r="D773" i="1"/>
  <c r="E773" i="1"/>
  <c r="C769" i="1"/>
  <c r="D769" i="1"/>
  <c r="E769" i="1"/>
  <c r="C767" i="1"/>
  <c r="D767" i="1"/>
  <c r="E767" i="1"/>
  <c r="C764" i="1"/>
  <c r="D764" i="1"/>
  <c r="E764" i="1"/>
  <c r="C765" i="1"/>
  <c r="D765" i="1"/>
  <c r="E765" i="1"/>
  <c r="C768" i="1"/>
  <c r="D768" i="1"/>
  <c r="E768" i="1"/>
  <c r="C758" i="1"/>
  <c r="D758" i="1"/>
  <c r="E758" i="1"/>
  <c r="C760" i="1"/>
  <c r="D760" i="1"/>
  <c r="E760" i="1"/>
  <c r="C757" i="1"/>
  <c r="D757" i="1"/>
  <c r="E757" i="1"/>
  <c r="C738" i="1"/>
  <c r="D738" i="1"/>
  <c r="E738" i="1"/>
  <c r="C750" i="1"/>
  <c r="D750" i="1"/>
  <c r="E750" i="1"/>
  <c r="C759" i="1"/>
  <c r="D759" i="1"/>
  <c r="E759" i="1"/>
  <c r="C746" i="1"/>
  <c r="D746" i="1"/>
  <c r="E746" i="1"/>
  <c r="C756" i="1"/>
  <c r="D756" i="1"/>
  <c r="E756" i="1"/>
  <c r="C751" i="1"/>
  <c r="D751" i="1"/>
  <c r="E751" i="1"/>
  <c r="C747" i="1"/>
  <c r="D747" i="1"/>
  <c r="E747" i="1"/>
  <c r="C749" i="1"/>
  <c r="D749" i="1"/>
  <c r="E749" i="1"/>
  <c r="C752" i="1"/>
  <c r="D752" i="1"/>
  <c r="E752" i="1"/>
  <c r="C754" i="1"/>
  <c r="D754" i="1"/>
  <c r="E754" i="1"/>
  <c r="C734" i="1"/>
  <c r="D734" i="1"/>
  <c r="E734" i="1"/>
  <c r="C681" i="1"/>
  <c r="D681" i="1"/>
  <c r="E681" i="1"/>
  <c r="C741" i="1"/>
  <c r="D741" i="1"/>
  <c r="E741" i="1"/>
  <c r="C744" i="1"/>
  <c r="D744" i="1"/>
  <c r="E744" i="1"/>
  <c r="C718" i="1"/>
  <c r="D718" i="1"/>
  <c r="E718" i="1"/>
  <c r="C743" i="1"/>
  <c r="D743" i="1"/>
  <c r="E743" i="1"/>
  <c r="C742" i="1"/>
  <c r="D742" i="1"/>
  <c r="E742" i="1"/>
  <c r="C732" i="1"/>
  <c r="D732" i="1"/>
  <c r="E732" i="1"/>
  <c r="C740" i="1"/>
  <c r="D740" i="1"/>
  <c r="E740" i="1"/>
  <c r="C739" i="1"/>
  <c r="D739" i="1"/>
  <c r="E739" i="1"/>
  <c r="C524" i="1"/>
  <c r="D524" i="1"/>
  <c r="E524" i="1"/>
  <c r="C735" i="1"/>
  <c r="D735" i="1"/>
  <c r="E735" i="1"/>
  <c r="C736" i="1"/>
  <c r="D736" i="1"/>
  <c r="E736" i="1"/>
  <c r="C737" i="1"/>
  <c r="D737" i="1"/>
  <c r="E737" i="1"/>
  <c r="C722" i="1"/>
  <c r="D722" i="1"/>
  <c r="E722" i="1"/>
  <c r="C58" i="1"/>
  <c r="D58" i="1"/>
  <c r="E58" i="1"/>
  <c r="C249" i="1"/>
  <c r="D249" i="1"/>
  <c r="E249" i="1"/>
  <c r="C253" i="1"/>
  <c r="D253" i="1"/>
  <c r="E253" i="1"/>
  <c r="C213" i="1"/>
  <c r="D213" i="1"/>
  <c r="E213" i="1"/>
  <c r="C285" i="1"/>
  <c r="D285" i="1"/>
  <c r="E285" i="1"/>
  <c r="C205" i="1"/>
  <c r="D205" i="1"/>
  <c r="E205" i="1"/>
  <c r="C78" i="1"/>
  <c r="D78" i="1"/>
  <c r="E78" i="1"/>
  <c r="C118" i="1"/>
  <c r="D118" i="1"/>
  <c r="E118" i="1"/>
  <c r="C126" i="1"/>
  <c r="D126" i="1"/>
  <c r="E126" i="1"/>
  <c r="C184" i="1"/>
  <c r="D184" i="1"/>
  <c r="E184" i="1"/>
  <c r="C155" i="1"/>
  <c r="D155" i="1"/>
  <c r="E155" i="1"/>
  <c r="C169" i="1"/>
  <c r="D169" i="1"/>
  <c r="E169" i="1"/>
  <c r="C87" i="1"/>
  <c r="D87" i="1"/>
  <c r="E87" i="1"/>
  <c r="C19" i="1"/>
  <c r="D19" i="1"/>
  <c r="E19" i="1"/>
  <c r="C274" i="1"/>
  <c r="D274" i="1"/>
  <c r="E274" i="1"/>
  <c r="C16" i="1"/>
  <c r="D16" i="1"/>
  <c r="E16" i="1"/>
  <c r="C436" i="1"/>
  <c r="D436" i="1"/>
  <c r="E436" i="1"/>
  <c r="C112" i="1"/>
  <c r="D112" i="1"/>
  <c r="E112" i="1"/>
  <c r="C12" i="1"/>
  <c r="D12" i="1"/>
  <c r="E12" i="1"/>
  <c r="C182" i="1"/>
  <c r="D182" i="1"/>
  <c r="E182" i="1"/>
  <c r="C128" i="1"/>
  <c r="D128" i="1"/>
  <c r="E128" i="1"/>
  <c r="C288" i="1"/>
  <c r="D288" i="1"/>
  <c r="E288" i="1"/>
  <c r="C354" i="1"/>
  <c r="D354" i="1"/>
  <c r="E354" i="1"/>
  <c r="C4" i="1"/>
  <c r="D4" i="1"/>
  <c r="E4" i="1"/>
  <c r="C5" i="1"/>
  <c r="D5" i="1"/>
  <c r="E5" i="1"/>
  <c r="C56" i="1"/>
  <c r="D56" i="1"/>
  <c r="E56" i="1"/>
  <c r="C69" i="1"/>
  <c r="D69" i="1"/>
  <c r="E69" i="1"/>
  <c r="C18" i="1"/>
  <c r="D18" i="1"/>
  <c r="E18" i="1"/>
  <c r="C95" i="1"/>
  <c r="D95" i="1"/>
  <c r="E95" i="1"/>
  <c r="C137" i="1"/>
  <c r="D137" i="1"/>
  <c r="E137" i="1"/>
  <c r="C132" i="1"/>
  <c r="D132" i="1"/>
  <c r="E132" i="1"/>
  <c r="C422" i="1"/>
  <c r="D422" i="1"/>
  <c r="E422" i="1"/>
  <c r="C263" i="1"/>
  <c r="D263" i="1"/>
  <c r="E263" i="1"/>
  <c r="C420" i="1"/>
  <c r="D420" i="1"/>
  <c r="E420" i="1"/>
  <c r="C168" i="1"/>
  <c r="D168" i="1"/>
  <c r="E168" i="1"/>
  <c r="C67" i="1"/>
  <c r="D67" i="1"/>
  <c r="E67" i="1"/>
  <c r="C159" i="1"/>
  <c r="D159" i="1"/>
  <c r="E159" i="1"/>
  <c r="C492" i="1"/>
  <c r="D492" i="1"/>
  <c r="E492" i="1"/>
  <c r="C108" i="1"/>
  <c r="D108" i="1"/>
  <c r="E108" i="1"/>
  <c r="C246" i="1"/>
  <c r="D246" i="1"/>
  <c r="E246" i="1"/>
  <c r="C198" i="1"/>
  <c r="D198" i="1"/>
  <c r="E198" i="1"/>
  <c r="C438" i="1"/>
  <c r="D438" i="1"/>
  <c r="E438" i="1"/>
  <c r="C391" i="1"/>
  <c r="D391" i="1"/>
  <c r="E391" i="1"/>
  <c r="C481" i="1"/>
  <c r="D481" i="1"/>
  <c r="E481" i="1"/>
  <c r="C52" i="1"/>
  <c r="D52" i="1"/>
  <c r="E52" i="1"/>
  <c r="C390" i="1"/>
  <c r="D390" i="1"/>
  <c r="E390" i="1"/>
  <c r="C318" i="1"/>
  <c r="D318" i="1"/>
  <c r="E318" i="1"/>
  <c r="C140" i="1"/>
  <c r="D140" i="1"/>
  <c r="E140" i="1"/>
  <c r="C479" i="1"/>
  <c r="D479" i="1"/>
  <c r="E479" i="1"/>
  <c r="C389" i="1"/>
  <c r="D389" i="1"/>
  <c r="E389" i="1"/>
  <c r="C229" i="1"/>
  <c r="D229" i="1"/>
  <c r="E229" i="1"/>
  <c r="C477" i="1"/>
  <c r="D477" i="1"/>
  <c r="E477" i="1"/>
  <c r="C388" i="1"/>
  <c r="D388" i="1"/>
  <c r="E388" i="1"/>
  <c r="C511" i="1"/>
  <c r="D511" i="1"/>
  <c r="E511" i="1"/>
  <c r="C396" i="1"/>
  <c r="D396" i="1"/>
  <c r="E396" i="1"/>
  <c r="C211" i="1"/>
  <c r="D211" i="1"/>
  <c r="E211" i="1"/>
  <c r="C248" i="1"/>
  <c r="D248" i="1"/>
  <c r="E248" i="1"/>
  <c r="C405" i="1"/>
  <c r="D405" i="1"/>
  <c r="E405" i="1"/>
  <c r="C240" i="1"/>
  <c r="D240" i="1"/>
  <c r="E240" i="1"/>
  <c r="C86" i="1"/>
  <c r="D86" i="1"/>
  <c r="E86" i="1"/>
  <c r="C85" i="1"/>
  <c r="D85" i="1"/>
  <c r="E85" i="1"/>
  <c r="C457" i="1"/>
  <c r="D457" i="1"/>
  <c r="E457" i="1"/>
  <c r="C23" i="1"/>
  <c r="D23" i="1"/>
  <c r="E23" i="1"/>
  <c r="C494" i="1"/>
  <c r="D494" i="1"/>
  <c r="E494" i="1"/>
  <c r="C124" i="1"/>
  <c r="D124" i="1"/>
  <c r="E124" i="1"/>
  <c r="C712" i="1"/>
  <c r="D712" i="1"/>
  <c r="E712" i="1"/>
  <c r="C131" i="1"/>
  <c r="D131" i="1"/>
  <c r="E131" i="1"/>
  <c r="C232" i="1"/>
  <c r="D232" i="1"/>
  <c r="E232" i="1"/>
  <c r="C123" i="1"/>
  <c r="D123" i="1"/>
  <c r="E123" i="1"/>
  <c r="C122" i="1"/>
  <c r="D122" i="1"/>
  <c r="E122" i="1"/>
  <c r="C166" i="1"/>
  <c r="D166" i="1"/>
  <c r="E166" i="1"/>
  <c r="C114" i="1"/>
  <c r="D114" i="1"/>
  <c r="E114" i="1"/>
  <c r="C189" i="1"/>
  <c r="D189" i="1"/>
  <c r="E189" i="1"/>
  <c r="C210" i="1"/>
  <c r="D210" i="1"/>
  <c r="E210" i="1"/>
  <c r="C311" i="1"/>
  <c r="D311" i="1"/>
  <c r="E311" i="1"/>
  <c r="C165" i="1"/>
  <c r="D165" i="1"/>
  <c r="E165" i="1"/>
  <c r="C395" i="1"/>
  <c r="D395" i="1"/>
  <c r="E395" i="1"/>
  <c r="C181" i="1"/>
  <c r="D181" i="1"/>
  <c r="E181" i="1"/>
  <c r="C473" i="1"/>
  <c r="D473" i="1"/>
  <c r="E473" i="1"/>
  <c r="C191" i="1"/>
  <c r="D191" i="1"/>
  <c r="E191" i="1"/>
  <c r="C129" i="1"/>
  <c r="D129" i="1"/>
  <c r="E129" i="1"/>
  <c r="C371" i="1"/>
  <c r="D371" i="1"/>
  <c r="E371" i="1"/>
  <c r="C82" i="1"/>
  <c r="D82" i="1"/>
  <c r="E82" i="1"/>
  <c r="C309" i="1"/>
  <c r="D309" i="1"/>
  <c r="E309" i="1"/>
  <c r="C107" i="1"/>
  <c r="D107" i="1"/>
  <c r="E107" i="1"/>
  <c r="C375" i="1"/>
  <c r="D375" i="1"/>
  <c r="E375" i="1"/>
  <c r="C284" i="1"/>
  <c r="D284" i="1"/>
  <c r="E284" i="1"/>
  <c r="C327" i="1"/>
  <c r="D327" i="1"/>
  <c r="E327" i="1"/>
  <c r="C11" i="1"/>
  <c r="D11" i="1"/>
  <c r="E11" i="1"/>
  <c r="C117" i="1"/>
  <c r="D117" i="1"/>
  <c r="E117" i="1"/>
  <c r="C256" i="1"/>
  <c r="D256" i="1"/>
  <c r="E256" i="1"/>
  <c r="C308" i="1"/>
  <c r="D308" i="1"/>
  <c r="E308" i="1"/>
  <c r="C116" i="1"/>
  <c r="D116" i="1"/>
  <c r="E116" i="1"/>
  <c r="C725" i="1"/>
  <c r="D725" i="1"/>
  <c r="E725" i="1"/>
  <c r="C733" i="1"/>
  <c r="D733" i="1"/>
  <c r="E733" i="1"/>
  <c r="C730" i="1"/>
  <c r="D730" i="1"/>
  <c r="E730" i="1"/>
  <c r="C501" i="1"/>
  <c r="D501" i="1"/>
  <c r="E501" i="1"/>
  <c r="C228" i="1"/>
  <c r="D228" i="1"/>
  <c r="E228" i="1"/>
  <c r="C414" i="1"/>
  <c r="D414" i="1"/>
  <c r="E414" i="1"/>
  <c r="C339" i="1"/>
  <c r="D339" i="1"/>
  <c r="E339" i="1"/>
  <c r="C500" i="1"/>
  <c r="D500" i="1"/>
  <c r="E500" i="1"/>
  <c r="C505" i="1"/>
  <c r="D505" i="1"/>
  <c r="E505" i="1"/>
  <c r="C485" i="1"/>
  <c r="D485" i="1"/>
  <c r="E485" i="1"/>
  <c r="C416" i="1"/>
  <c r="D416" i="1"/>
  <c r="E416" i="1"/>
  <c r="C180" i="1"/>
  <c r="D180" i="1"/>
  <c r="E180" i="1"/>
  <c r="C307" i="1"/>
  <c r="D307" i="1"/>
  <c r="E307" i="1"/>
  <c r="C379" i="1"/>
  <c r="D379" i="1"/>
  <c r="E379" i="1"/>
  <c r="C472" i="1"/>
  <c r="D472" i="1"/>
  <c r="E472" i="1"/>
  <c r="C50" i="1"/>
  <c r="D50" i="1"/>
  <c r="E50" i="1"/>
  <c r="C73" i="1"/>
  <c r="D73" i="1"/>
  <c r="E73" i="1"/>
  <c r="C490" i="1"/>
  <c r="D490" i="1"/>
  <c r="E490" i="1"/>
  <c r="C440" i="1"/>
  <c r="D440" i="1"/>
  <c r="E440" i="1"/>
  <c r="C459" i="1"/>
  <c r="D459" i="1"/>
  <c r="E459" i="1"/>
  <c r="C424" i="1"/>
  <c r="D424" i="1"/>
  <c r="E424" i="1"/>
  <c r="C96" i="1"/>
  <c r="D96" i="1"/>
  <c r="E96" i="1"/>
  <c r="C217" i="1"/>
  <c r="D217" i="1"/>
  <c r="E217" i="1"/>
  <c r="C254" i="1"/>
  <c r="D254" i="1"/>
  <c r="E254" i="1"/>
  <c r="C220" i="1"/>
  <c r="D220" i="1"/>
  <c r="E220" i="1"/>
  <c r="C443" i="1"/>
  <c r="D443" i="1"/>
  <c r="E443" i="1"/>
  <c r="C296" i="1"/>
  <c r="D296" i="1"/>
  <c r="E296" i="1"/>
  <c r="C164" i="1"/>
  <c r="D164" i="1"/>
  <c r="E164" i="1"/>
  <c r="C277" i="1"/>
  <c r="D277" i="1"/>
  <c r="E277" i="1"/>
  <c r="C480" i="1"/>
  <c r="D480" i="1"/>
  <c r="E480" i="1"/>
  <c r="C295" i="1"/>
  <c r="D295" i="1"/>
  <c r="E295" i="1"/>
  <c r="C255" i="1"/>
  <c r="D255" i="1"/>
  <c r="E255" i="1"/>
  <c r="C27" i="1"/>
  <c r="D27" i="1"/>
  <c r="E27" i="1"/>
  <c r="C178" i="1"/>
  <c r="D178" i="1"/>
  <c r="E178" i="1"/>
  <c r="C384" i="1"/>
  <c r="D384" i="1"/>
  <c r="E384" i="1"/>
  <c r="C397" i="1"/>
  <c r="D397" i="1"/>
  <c r="E397" i="1"/>
  <c r="C475" i="1"/>
  <c r="D475" i="1"/>
  <c r="E475" i="1"/>
  <c r="C471" i="1"/>
  <c r="D471" i="1"/>
  <c r="E471" i="1"/>
  <c r="C331" i="1"/>
  <c r="D331" i="1"/>
  <c r="E331" i="1"/>
  <c r="C412" i="1"/>
  <c r="D412" i="1"/>
  <c r="E412" i="1"/>
  <c r="C361" i="1"/>
  <c r="D361" i="1"/>
  <c r="E361" i="1"/>
  <c r="C324" i="1"/>
  <c r="D324" i="1"/>
  <c r="E324" i="1"/>
  <c r="C437" i="1"/>
  <c r="D437" i="1"/>
  <c r="E437" i="1"/>
  <c r="C304" i="1"/>
  <c r="D304" i="1"/>
  <c r="E304" i="1"/>
  <c r="C200" i="1"/>
  <c r="D200" i="1"/>
  <c r="E200" i="1"/>
  <c r="C283" i="1"/>
  <c r="D283" i="1"/>
  <c r="E283" i="1"/>
  <c r="C294" i="1"/>
  <c r="D294" i="1"/>
  <c r="E294" i="1"/>
  <c r="C227" i="1"/>
  <c r="D227" i="1"/>
  <c r="E227" i="1"/>
  <c r="C353" i="1"/>
  <c r="D353" i="1"/>
  <c r="E353" i="1"/>
  <c r="C287" i="1"/>
  <c r="D287" i="1"/>
  <c r="E287" i="1"/>
  <c r="C66" i="1"/>
  <c r="D66" i="1"/>
  <c r="E66" i="1"/>
  <c r="C513" i="1"/>
  <c r="D513" i="1"/>
  <c r="E513" i="1"/>
  <c r="C426" i="1"/>
  <c r="D426" i="1"/>
  <c r="E426" i="1"/>
  <c r="C450" i="1"/>
  <c r="D450" i="1"/>
  <c r="E450" i="1"/>
  <c r="C54" i="1"/>
  <c r="D54" i="1"/>
  <c r="E54" i="1"/>
  <c r="C320" i="1"/>
  <c r="D320" i="1"/>
  <c r="E320" i="1"/>
  <c r="C3" i="1"/>
  <c r="D3" i="1"/>
  <c r="E3" i="1"/>
  <c r="C504" i="1"/>
  <c r="D504" i="1"/>
  <c r="E504" i="1"/>
  <c r="C484" i="1"/>
  <c r="D484" i="1"/>
  <c r="E484" i="1"/>
  <c r="C377" i="1"/>
  <c r="D377" i="1"/>
  <c r="E377" i="1"/>
  <c r="C453" i="1"/>
  <c r="D453" i="1"/>
  <c r="E453" i="1"/>
  <c r="C439" i="1"/>
  <c r="D439" i="1"/>
  <c r="E439" i="1"/>
  <c r="C133" i="1"/>
  <c r="D133" i="1"/>
  <c r="E133" i="1"/>
  <c r="C404" i="1"/>
  <c r="D404" i="1"/>
  <c r="E404" i="1"/>
  <c r="C456" i="1"/>
  <c r="D456" i="1"/>
  <c r="E456" i="1"/>
  <c r="C106" i="1"/>
  <c r="D106" i="1"/>
  <c r="E106" i="1"/>
  <c r="C455" i="1"/>
  <c r="D455" i="1"/>
  <c r="E455" i="1"/>
  <c r="C186" i="1"/>
  <c r="D186" i="1"/>
  <c r="E186" i="1"/>
  <c r="C503" i="1"/>
  <c r="D503" i="1"/>
  <c r="E503" i="1"/>
  <c r="C403" i="1"/>
  <c r="D403" i="1"/>
  <c r="E403" i="1"/>
  <c r="C461" i="1"/>
  <c r="D461" i="1"/>
  <c r="E461" i="1"/>
  <c r="C267" i="1"/>
  <c r="D267" i="1"/>
  <c r="E267" i="1"/>
  <c r="C411" i="1"/>
  <c r="D411" i="1"/>
  <c r="E411" i="1"/>
  <c r="C7" i="1"/>
  <c r="D7" i="1"/>
  <c r="E7" i="1"/>
  <c r="C360" i="1"/>
  <c r="D360" i="1"/>
  <c r="E360" i="1"/>
  <c r="C319" i="1"/>
  <c r="D319" i="1"/>
  <c r="E319" i="1"/>
  <c r="C290" i="1"/>
  <c r="D290" i="1"/>
  <c r="E290" i="1"/>
  <c r="C185" i="1"/>
  <c r="D185" i="1"/>
  <c r="E185" i="1"/>
  <c r="C127" i="1"/>
  <c r="D127" i="1"/>
  <c r="E127" i="1"/>
  <c r="C447" i="1"/>
  <c r="D447" i="1"/>
  <c r="E447" i="1"/>
  <c r="C293" i="1"/>
  <c r="D293" i="1"/>
  <c r="E293" i="1"/>
  <c r="C204" i="1"/>
  <c r="D204" i="1"/>
  <c r="E204" i="1"/>
  <c r="C30" i="1"/>
  <c r="D30" i="1"/>
  <c r="E30" i="1"/>
  <c r="C381" i="1"/>
  <c r="D381" i="1"/>
  <c r="E381" i="1"/>
  <c r="C57" i="1"/>
  <c r="D57" i="1"/>
  <c r="E57" i="1"/>
  <c r="C258" i="1"/>
  <c r="D258" i="1"/>
  <c r="E258" i="1"/>
  <c r="C193" i="1"/>
  <c r="D193" i="1"/>
  <c r="E193" i="1"/>
  <c r="C366" i="1"/>
  <c r="D366" i="1"/>
  <c r="E366" i="1"/>
  <c r="C260" i="1"/>
  <c r="D260" i="1"/>
  <c r="E260" i="1"/>
  <c r="C386" i="1"/>
  <c r="D386" i="1"/>
  <c r="E386" i="1"/>
  <c r="C408" i="1"/>
  <c r="D408" i="1"/>
  <c r="E408" i="1"/>
  <c r="C334" i="1"/>
  <c r="D334" i="1"/>
  <c r="E334" i="1"/>
  <c r="C158" i="1"/>
  <c r="D158" i="1"/>
  <c r="E158" i="1"/>
  <c r="C446" i="1"/>
  <c r="D446" i="1"/>
  <c r="E446" i="1"/>
  <c r="C310" i="1"/>
  <c r="D310" i="1"/>
  <c r="E310" i="1"/>
  <c r="C316" i="1"/>
  <c r="D316" i="1"/>
  <c r="E316" i="1"/>
  <c r="C49" i="1"/>
  <c r="D49" i="1"/>
  <c r="E49" i="1"/>
  <c r="C154" i="1"/>
  <c r="D154" i="1"/>
  <c r="E154" i="1"/>
  <c r="C172" i="1"/>
  <c r="D172" i="1"/>
  <c r="E172" i="1"/>
  <c r="C153" i="1"/>
  <c r="D153" i="1"/>
  <c r="E153" i="1"/>
  <c r="C70" i="1"/>
  <c r="D70" i="1"/>
  <c r="E70" i="1"/>
  <c r="C152" i="1"/>
  <c r="D152" i="1"/>
  <c r="E152" i="1"/>
  <c r="C286" i="1"/>
  <c r="D286" i="1"/>
  <c r="E286" i="1"/>
  <c r="C31" i="1"/>
  <c r="D31" i="1"/>
  <c r="E31" i="1"/>
  <c r="C24" i="1"/>
  <c r="D24" i="1"/>
  <c r="E24" i="1"/>
  <c r="C460" i="1"/>
  <c r="D460" i="1"/>
  <c r="E460" i="1"/>
  <c r="C337" i="1"/>
  <c r="D337" i="1"/>
  <c r="E337" i="1"/>
  <c r="C224" i="1"/>
  <c r="D224" i="1"/>
  <c r="E224" i="1"/>
  <c r="C183" i="1"/>
  <c r="D183" i="1"/>
  <c r="E183" i="1"/>
  <c r="C728" i="1"/>
  <c r="D728" i="1"/>
  <c r="E728" i="1"/>
  <c r="C190" i="1"/>
  <c r="D190" i="1"/>
  <c r="E190" i="1"/>
  <c r="C161" i="1"/>
  <c r="D161" i="1"/>
  <c r="E161" i="1"/>
  <c r="C352" i="1"/>
  <c r="D352" i="1"/>
  <c r="E352" i="1"/>
  <c r="C22" i="1"/>
  <c r="D22" i="1"/>
  <c r="E22" i="1"/>
  <c r="C394" i="1"/>
  <c r="D394" i="1"/>
  <c r="E394" i="1"/>
  <c r="C192" i="1"/>
  <c r="D192" i="1"/>
  <c r="E192" i="1"/>
  <c r="C402" i="1"/>
  <c r="D402" i="1"/>
  <c r="E402" i="1"/>
  <c r="C48" i="1"/>
  <c r="D48" i="1"/>
  <c r="E48" i="1"/>
  <c r="C105" i="1"/>
  <c r="D105" i="1"/>
  <c r="E105" i="1"/>
  <c r="C328" i="1"/>
  <c r="D328" i="1"/>
  <c r="E328" i="1"/>
  <c r="C252" i="1"/>
  <c r="D252" i="1"/>
  <c r="E252" i="1"/>
  <c r="C209" i="1"/>
  <c r="D209" i="1"/>
  <c r="E209" i="1"/>
  <c r="C202" i="1"/>
  <c r="D202" i="1"/>
  <c r="E202" i="1"/>
  <c r="C393" i="1"/>
  <c r="D393" i="1"/>
  <c r="E393" i="1"/>
  <c r="C468" i="1"/>
  <c r="D468" i="1"/>
  <c r="E468" i="1"/>
  <c r="C423" i="1"/>
  <c r="D423" i="1"/>
  <c r="E423" i="1"/>
  <c r="C425" i="1"/>
  <c r="D425" i="1"/>
  <c r="E425" i="1"/>
  <c r="C454" i="1"/>
  <c r="D454" i="1"/>
  <c r="E454" i="1"/>
  <c r="C387" i="1"/>
  <c r="D387" i="1"/>
  <c r="E387" i="1"/>
  <c r="C498" i="1"/>
  <c r="D498" i="1"/>
  <c r="E498" i="1"/>
  <c r="C245" i="1"/>
  <c r="D245" i="1"/>
  <c r="E245" i="1"/>
  <c r="C362" i="1"/>
  <c r="D362" i="1"/>
  <c r="E362" i="1"/>
  <c r="C406" i="1"/>
  <c r="D406" i="1"/>
  <c r="E406" i="1"/>
  <c r="C380" i="1"/>
  <c r="D380" i="1"/>
  <c r="E380" i="1"/>
  <c r="C250" i="1"/>
  <c r="D250" i="1"/>
  <c r="E250" i="1"/>
  <c r="C89" i="1"/>
  <c r="D89" i="1"/>
  <c r="E89" i="1"/>
  <c r="C303" i="1"/>
  <c r="D303" i="1"/>
  <c r="E303" i="1"/>
  <c r="C350" i="1"/>
  <c r="D350" i="1"/>
  <c r="E350" i="1"/>
  <c r="C278" i="1"/>
  <c r="D278" i="1"/>
  <c r="E278" i="1"/>
  <c r="C445" i="1"/>
  <c r="D445" i="1"/>
  <c r="E445" i="1"/>
  <c r="C276" i="1"/>
  <c r="D276" i="1"/>
  <c r="E276" i="1"/>
  <c r="C428" i="1"/>
  <c r="D428" i="1"/>
  <c r="E428" i="1"/>
  <c r="C419" i="1"/>
  <c r="D419" i="1"/>
  <c r="E419" i="1"/>
  <c r="C374" i="1"/>
  <c r="D374" i="1"/>
  <c r="E374" i="1"/>
  <c r="C17" i="1"/>
  <c r="D17" i="1"/>
  <c r="E17" i="1"/>
  <c r="C497" i="1"/>
  <c r="D497" i="1"/>
  <c r="E497" i="1"/>
  <c r="C171" i="1"/>
  <c r="D171" i="1"/>
  <c r="E171" i="1"/>
  <c r="C466" i="1"/>
  <c r="D466" i="1"/>
  <c r="E466" i="1"/>
  <c r="C345" i="1"/>
  <c r="D345" i="1"/>
  <c r="E345" i="1"/>
  <c r="C157" i="1"/>
  <c r="D157" i="1"/>
  <c r="E157" i="1"/>
  <c r="C94" i="1"/>
  <c r="D94" i="1"/>
  <c r="E94" i="1"/>
  <c r="C136" i="1"/>
  <c r="D136" i="1"/>
  <c r="E136" i="1"/>
  <c r="C177" i="1"/>
  <c r="D177" i="1"/>
  <c r="E177" i="1"/>
  <c r="C496" i="1"/>
  <c r="D496" i="1"/>
  <c r="E496" i="1"/>
  <c r="C372" i="1"/>
  <c r="D372" i="1"/>
  <c r="E372" i="1"/>
  <c r="C489" i="1"/>
  <c r="D489" i="1"/>
  <c r="E489" i="1"/>
  <c r="C270" i="1"/>
  <c r="D270" i="1"/>
  <c r="E270" i="1"/>
  <c r="C247" i="1"/>
  <c r="D247" i="1"/>
  <c r="E247" i="1"/>
  <c r="C266" i="1"/>
  <c r="D266" i="1"/>
  <c r="E266" i="1"/>
  <c r="C329" i="1"/>
  <c r="D329" i="1"/>
  <c r="E329" i="1"/>
  <c r="C46" i="1"/>
  <c r="D46" i="1"/>
  <c r="E46" i="1"/>
  <c r="C135" i="1"/>
  <c r="D135" i="1"/>
  <c r="E135" i="1"/>
  <c r="C72" i="1"/>
  <c r="D72" i="1"/>
  <c r="E72" i="1"/>
  <c r="C163" i="1"/>
  <c r="D163" i="1"/>
  <c r="E163" i="1"/>
  <c r="C109" i="1"/>
  <c r="D109" i="1"/>
  <c r="E109" i="1"/>
  <c r="C268" i="1"/>
  <c r="D268" i="1"/>
  <c r="E268" i="1"/>
  <c r="C358" i="1"/>
  <c r="D358" i="1"/>
  <c r="E358" i="1"/>
  <c r="C44" i="1"/>
  <c r="D44" i="1"/>
  <c r="E44" i="1"/>
  <c r="C138" i="1"/>
  <c r="D138" i="1"/>
  <c r="E138" i="1"/>
  <c r="C363" i="1"/>
  <c r="D363" i="1"/>
  <c r="E363" i="1"/>
  <c r="C188" i="1"/>
  <c r="D188" i="1"/>
  <c r="E188" i="1"/>
  <c r="C301" i="1"/>
  <c r="D301" i="1"/>
  <c r="E301" i="1"/>
  <c r="C413" i="1"/>
  <c r="D413" i="1"/>
  <c r="E413" i="1"/>
  <c r="C233" i="1"/>
  <c r="D233" i="1"/>
  <c r="E233" i="1"/>
  <c r="C176" i="1"/>
  <c r="D176" i="1"/>
  <c r="E176" i="1"/>
  <c r="C34" i="1"/>
  <c r="D34" i="1"/>
  <c r="E34" i="1"/>
  <c r="C272" i="1"/>
  <c r="D272" i="1"/>
  <c r="E272" i="1"/>
  <c r="C212" i="1"/>
  <c r="D212" i="1"/>
  <c r="E212" i="1"/>
  <c r="C61" i="1"/>
  <c r="D61" i="1"/>
  <c r="E61" i="1"/>
  <c r="C427" i="1"/>
  <c r="D427" i="1"/>
  <c r="E427" i="1"/>
  <c r="C21" i="1"/>
  <c r="D21" i="1"/>
  <c r="E21" i="1"/>
  <c r="C433" i="1"/>
  <c r="D433" i="1"/>
  <c r="E433" i="1"/>
  <c r="C298" i="1"/>
  <c r="D298" i="1"/>
  <c r="E298" i="1"/>
  <c r="C196" i="1"/>
  <c r="D196" i="1"/>
  <c r="E196" i="1"/>
  <c r="D506" i="1"/>
  <c r="E506" i="1"/>
  <c r="C265" i="1"/>
  <c r="D265" i="1"/>
  <c r="E265" i="1"/>
  <c r="C41" i="1"/>
  <c r="D41" i="1"/>
  <c r="E41" i="1"/>
  <c r="C244" i="1"/>
  <c r="D244" i="1"/>
  <c r="E244" i="1"/>
  <c r="C731" i="1"/>
  <c r="D731" i="1"/>
  <c r="E731" i="1"/>
  <c r="C344" i="1"/>
  <c r="D344" i="1"/>
  <c r="E344" i="1"/>
  <c r="C442" i="1"/>
  <c r="D442" i="1"/>
  <c r="E442" i="1"/>
  <c r="C347" i="1"/>
  <c r="D347" i="1"/>
  <c r="E347" i="1"/>
  <c r="C235" i="1"/>
  <c r="D235" i="1"/>
  <c r="E235" i="1"/>
  <c r="C197" i="1"/>
  <c r="D197" i="1"/>
  <c r="E197" i="1"/>
  <c r="C231" i="1"/>
  <c r="D231" i="1"/>
  <c r="E231" i="1"/>
  <c r="C223" i="1"/>
  <c r="D223" i="1"/>
  <c r="E223" i="1"/>
  <c r="C45" i="1"/>
  <c r="D45" i="1"/>
  <c r="E45" i="1"/>
  <c r="C449" i="1"/>
  <c r="D449" i="1"/>
  <c r="E449" i="1"/>
  <c r="C40" i="1"/>
  <c r="D40" i="1"/>
  <c r="E40" i="1"/>
  <c r="C62" i="1"/>
  <c r="D62" i="1"/>
  <c r="E62" i="1"/>
  <c r="C502" i="1"/>
  <c r="D502" i="1"/>
  <c r="E502" i="1"/>
  <c r="C365" i="1"/>
  <c r="D365" i="1"/>
  <c r="E365" i="1"/>
  <c r="C359" i="1"/>
  <c r="D359" i="1"/>
  <c r="E359" i="1"/>
  <c r="C488" i="1"/>
  <c r="D488" i="1"/>
  <c r="E488" i="1"/>
  <c r="C239" i="1"/>
  <c r="D239" i="1"/>
  <c r="E239" i="1"/>
  <c r="C486" i="1"/>
  <c r="D486" i="1"/>
  <c r="E486" i="1"/>
  <c r="C357" i="1"/>
  <c r="D357" i="1"/>
  <c r="E357" i="1"/>
  <c r="C29" i="1"/>
  <c r="D29" i="1"/>
  <c r="E29" i="1"/>
  <c r="C201" i="1"/>
  <c r="D201" i="1"/>
  <c r="E201" i="1"/>
  <c r="C81" i="1"/>
  <c r="D81" i="1"/>
  <c r="E81" i="1"/>
  <c r="C383" i="1"/>
  <c r="D383" i="1"/>
  <c r="E383" i="1"/>
  <c r="C292" i="1"/>
  <c r="D292" i="1"/>
  <c r="E292" i="1"/>
  <c r="C113" i="1"/>
  <c r="D113" i="1"/>
  <c r="E113" i="1"/>
  <c r="C9" i="1"/>
  <c r="D9" i="1"/>
  <c r="E9" i="1"/>
  <c r="C215" i="1"/>
  <c r="D215" i="1"/>
  <c r="E215" i="1"/>
  <c r="C93" i="1"/>
  <c r="D93" i="1"/>
  <c r="E93" i="1"/>
  <c r="C238" i="1"/>
  <c r="D238" i="1"/>
  <c r="E238" i="1"/>
  <c r="C444" i="1"/>
  <c r="D444" i="1"/>
  <c r="E444" i="1"/>
  <c r="C291" i="1"/>
  <c r="D291" i="1"/>
  <c r="E291" i="1"/>
  <c r="C349" i="1"/>
  <c r="D349" i="1"/>
  <c r="E349" i="1"/>
  <c r="C36" i="1"/>
  <c r="D36" i="1"/>
  <c r="E36" i="1"/>
  <c r="C65" i="1"/>
  <c r="D65" i="1"/>
  <c r="E65" i="1"/>
  <c r="C312" i="1"/>
  <c r="D312" i="1"/>
  <c r="E312" i="1"/>
  <c r="C92" i="1"/>
  <c r="D92" i="1"/>
  <c r="E92" i="1"/>
  <c r="C348" i="1"/>
  <c r="D348" i="1"/>
  <c r="E348" i="1"/>
  <c r="C43" i="1"/>
  <c r="D43" i="1"/>
  <c r="E43" i="1"/>
  <c r="C170" i="1"/>
  <c r="D170" i="1"/>
  <c r="E170" i="1"/>
  <c r="C483" i="1"/>
  <c r="D483" i="1"/>
  <c r="E483" i="1"/>
  <c r="C452" i="1"/>
  <c r="D452" i="1"/>
  <c r="E452" i="1"/>
  <c r="C208" i="1"/>
  <c r="D208" i="1"/>
  <c r="E208" i="1"/>
  <c r="C35" i="1"/>
  <c r="D35" i="1"/>
  <c r="E35" i="1"/>
  <c r="C369" i="1"/>
  <c r="D369" i="1"/>
  <c r="E369" i="1"/>
  <c r="C410" i="1"/>
  <c r="D410" i="1"/>
  <c r="E410" i="1"/>
  <c r="C478" i="1"/>
  <c r="D478" i="1"/>
  <c r="E478" i="1"/>
  <c r="C173" i="1"/>
  <c r="D173" i="1"/>
  <c r="E173" i="1"/>
  <c r="C64" i="1"/>
  <c r="D64" i="1"/>
  <c r="E64" i="1"/>
  <c r="C300" i="1"/>
  <c r="D300" i="1"/>
  <c r="E300" i="1"/>
  <c r="C299" i="1"/>
  <c r="D299" i="1"/>
  <c r="E299" i="1"/>
  <c r="C367" i="1"/>
  <c r="D367" i="1"/>
  <c r="E367" i="1"/>
  <c r="C160" i="1"/>
  <c r="D160" i="1"/>
  <c r="E160" i="1"/>
  <c r="C409" i="1"/>
  <c r="D409" i="1"/>
  <c r="E409" i="1"/>
  <c r="C111" i="1"/>
  <c r="D111" i="1"/>
  <c r="E111" i="1"/>
  <c r="C343" i="1"/>
  <c r="D343" i="1"/>
  <c r="E343" i="1"/>
  <c r="C487" i="1"/>
  <c r="D487" i="1"/>
  <c r="E487" i="1"/>
  <c r="C151" i="1"/>
  <c r="D151" i="1"/>
  <c r="E151" i="1"/>
  <c r="C364" i="1"/>
  <c r="D364" i="1"/>
  <c r="E364" i="1"/>
  <c r="C385" i="1"/>
  <c r="D385" i="1"/>
  <c r="E385" i="1"/>
  <c r="C317" i="1"/>
  <c r="D317" i="1"/>
  <c r="E317" i="1"/>
  <c r="C441" i="1"/>
  <c r="D441" i="1"/>
  <c r="E441" i="1"/>
  <c r="C145" i="1"/>
  <c r="D145" i="1"/>
  <c r="E145" i="1"/>
  <c r="C491" i="1"/>
  <c r="D491" i="1"/>
  <c r="E491" i="1"/>
  <c r="C147" i="1"/>
  <c r="D147" i="1"/>
  <c r="E147" i="1"/>
  <c r="C53" i="1"/>
  <c r="D53" i="1"/>
  <c r="E53" i="1"/>
  <c r="C80" i="1"/>
  <c r="D80" i="1"/>
  <c r="E80" i="1"/>
  <c r="C110" i="1"/>
  <c r="D110" i="1"/>
  <c r="E110" i="1"/>
  <c r="C75" i="1"/>
  <c r="D75" i="1"/>
  <c r="E75" i="1"/>
  <c r="C84" i="1"/>
  <c r="D84" i="1"/>
  <c r="E84" i="1"/>
  <c r="C400" i="1"/>
  <c r="D400" i="1"/>
  <c r="E400" i="1"/>
  <c r="C351" i="1"/>
  <c r="D351" i="1"/>
  <c r="E351" i="1"/>
  <c r="C37" i="1"/>
  <c r="D37" i="1"/>
  <c r="E37" i="1"/>
  <c r="C493" i="1"/>
  <c r="D493" i="1"/>
  <c r="E493" i="1"/>
  <c r="C77" i="1"/>
  <c r="D77" i="1"/>
  <c r="E77" i="1"/>
  <c r="C195" i="1"/>
  <c r="D195" i="1"/>
  <c r="E195" i="1"/>
  <c r="C415" i="1"/>
  <c r="D415" i="1"/>
  <c r="E415" i="1"/>
  <c r="C162" i="1"/>
  <c r="D162" i="1"/>
  <c r="E162" i="1"/>
  <c r="C143" i="1"/>
  <c r="D143" i="1"/>
  <c r="E143" i="1"/>
  <c r="C237" i="1"/>
  <c r="D237" i="1"/>
  <c r="E237" i="1"/>
  <c r="C257" i="1"/>
  <c r="D257" i="1"/>
  <c r="E257" i="1"/>
  <c r="C451" i="1"/>
  <c r="D451" i="1"/>
  <c r="E451" i="1"/>
  <c r="C342" i="1"/>
  <c r="D342" i="1"/>
  <c r="E342" i="1"/>
  <c r="C432" i="1"/>
  <c r="D432" i="1"/>
  <c r="E432" i="1"/>
  <c r="C507" i="1"/>
  <c r="D507" i="1"/>
  <c r="E507" i="1"/>
  <c r="C305" i="1"/>
  <c r="D305" i="1"/>
  <c r="E305" i="1"/>
  <c r="C142" i="1"/>
  <c r="D142" i="1"/>
  <c r="E142" i="1"/>
  <c r="C321" i="1"/>
  <c r="D321" i="1"/>
  <c r="E321" i="1"/>
  <c r="C378" i="1"/>
  <c r="D378" i="1"/>
  <c r="E378" i="1"/>
  <c r="C341" i="1"/>
  <c r="D341" i="1"/>
  <c r="E341" i="1"/>
  <c r="C458" i="1"/>
  <c r="D458" i="1"/>
  <c r="E458" i="1"/>
  <c r="C242" i="1"/>
  <c r="D242" i="1"/>
  <c r="E242" i="1"/>
  <c r="C101" i="1"/>
  <c r="D101" i="1"/>
  <c r="E101" i="1"/>
  <c r="C470" i="1"/>
  <c r="D470" i="1"/>
  <c r="E470" i="1"/>
  <c r="C10" i="1"/>
  <c r="D10" i="1"/>
  <c r="E10" i="1"/>
  <c r="C289" i="1"/>
  <c r="D289" i="1"/>
  <c r="E289" i="1"/>
  <c r="C33" i="1"/>
  <c r="D33" i="1"/>
  <c r="E33" i="1"/>
  <c r="C462" i="1"/>
  <c r="D462" i="1"/>
  <c r="E462" i="1"/>
  <c r="C8" i="1"/>
  <c r="D8" i="1"/>
  <c r="E8" i="1"/>
  <c r="C203" i="1"/>
  <c r="D203" i="1"/>
  <c r="E203" i="1"/>
  <c r="C273" i="1"/>
  <c r="D273" i="1"/>
  <c r="E273" i="1"/>
  <c r="C356" i="1"/>
  <c r="D356" i="1"/>
  <c r="E356" i="1"/>
  <c r="C32" i="1"/>
  <c r="D32" i="1"/>
  <c r="E32" i="1"/>
  <c r="C495" i="1"/>
  <c r="D495" i="1"/>
  <c r="E495" i="1"/>
  <c r="C13" i="1"/>
  <c r="D13" i="1"/>
  <c r="E13" i="1"/>
  <c r="C282" i="1"/>
  <c r="D282" i="1"/>
  <c r="E282" i="1"/>
  <c r="C336" i="1"/>
  <c r="D336" i="1"/>
  <c r="E336" i="1"/>
  <c r="C42" i="1"/>
  <c r="D42" i="1"/>
  <c r="E42" i="1"/>
  <c r="C51" i="1"/>
  <c r="D51" i="1"/>
  <c r="E51" i="1"/>
  <c r="C100" i="1"/>
  <c r="D100" i="1"/>
  <c r="E100" i="1"/>
  <c r="C476" i="1"/>
  <c r="D476" i="1"/>
  <c r="E476" i="1"/>
  <c r="C330" i="1"/>
  <c r="D330" i="1"/>
  <c r="E330" i="1"/>
  <c r="C421" i="1"/>
  <c r="D421" i="1"/>
  <c r="E421" i="1"/>
  <c r="C368" i="1"/>
  <c r="D368" i="1"/>
  <c r="E368" i="1"/>
  <c r="C230" i="1"/>
  <c r="D230" i="1"/>
  <c r="E230" i="1"/>
  <c r="C469" i="1"/>
  <c r="D469" i="1"/>
  <c r="E469" i="1"/>
  <c r="C251" i="1"/>
  <c r="D251" i="1"/>
  <c r="E251" i="1"/>
  <c r="C149" i="1"/>
  <c r="D149" i="1"/>
  <c r="E149" i="1"/>
  <c r="C60" i="1"/>
  <c r="D60" i="1"/>
  <c r="E60" i="1"/>
  <c r="C104" i="1"/>
  <c r="D104" i="1"/>
  <c r="E104" i="1"/>
  <c r="C499" i="1"/>
  <c r="D499" i="1"/>
  <c r="E499" i="1"/>
  <c r="C464" i="1"/>
  <c r="D464" i="1"/>
  <c r="E464" i="1"/>
  <c r="C156" i="1"/>
  <c r="D156" i="1"/>
  <c r="E156" i="1"/>
  <c r="C340" i="1"/>
  <c r="D340" i="1"/>
  <c r="E340" i="1"/>
  <c r="C91" i="1"/>
  <c r="D91" i="1"/>
  <c r="E91" i="1"/>
  <c r="C55" i="1"/>
  <c r="D55" i="1"/>
  <c r="E55" i="1"/>
  <c r="C99" i="1"/>
  <c r="D99" i="1"/>
  <c r="E99" i="1"/>
  <c r="C221" i="1"/>
  <c r="D221" i="1"/>
  <c r="E221" i="1"/>
  <c r="C510" i="1"/>
  <c r="D510" i="1"/>
  <c r="E510" i="1"/>
  <c r="C332" i="1"/>
  <c r="D332" i="1"/>
  <c r="E332" i="1"/>
  <c r="C435" i="1"/>
  <c r="D435" i="1"/>
  <c r="E435" i="1"/>
  <c r="C306" i="1"/>
  <c r="D306" i="1"/>
  <c r="E306" i="1"/>
  <c r="C207" i="1"/>
  <c r="D207" i="1"/>
  <c r="E207" i="1"/>
  <c r="C434" i="1"/>
  <c r="D434" i="1"/>
  <c r="E434" i="1"/>
  <c r="C39" i="1"/>
  <c r="D39" i="1"/>
  <c r="E39" i="1"/>
  <c r="C727" i="1"/>
  <c r="D727" i="1"/>
  <c r="E727" i="1"/>
  <c r="C418" i="1"/>
  <c r="D418" i="1"/>
  <c r="E418" i="1"/>
  <c r="C206" i="1"/>
  <c r="D206" i="1"/>
  <c r="E206" i="1"/>
  <c r="C465" i="1"/>
  <c r="D465" i="1"/>
  <c r="E465" i="1"/>
  <c r="C214" i="1"/>
  <c r="D214" i="1"/>
  <c r="E214" i="1"/>
  <c r="C71" i="1"/>
  <c r="D71" i="1"/>
  <c r="E71" i="1"/>
  <c r="C302" i="1"/>
  <c r="D302" i="1"/>
  <c r="E302" i="1"/>
  <c r="C20" i="1"/>
  <c r="D20" i="1"/>
  <c r="E20" i="1"/>
  <c r="C130" i="1"/>
  <c r="D130" i="1"/>
  <c r="E130" i="1"/>
  <c r="C322" i="1"/>
  <c r="D322" i="1"/>
  <c r="E322" i="1"/>
  <c r="C98" i="1"/>
  <c r="D98" i="1"/>
  <c r="E98" i="1"/>
  <c r="C429" i="1"/>
  <c r="D429" i="1"/>
  <c r="E429" i="1"/>
  <c r="C401" i="1"/>
  <c r="D401" i="1"/>
  <c r="E401" i="1"/>
  <c r="C6" i="1"/>
  <c r="D6" i="1"/>
  <c r="E6" i="1"/>
  <c r="C431" i="1"/>
  <c r="D431" i="1"/>
  <c r="E431" i="1"/>
  <c r="C187" i="1"/>
  <c r="D187" i="1"/>
  <c r="E187" i="1"/>
  <c r="C115" i="1"/>
  <c r="D115" i="1"/>
  <c r="E115" i="1"/>
  <c r="C119" i="1"/>
  <c r="D119" i="1"/>
  <c r="E119" i="1"/>
  <c r="C275" i="1"/>
  <c r="D275" i="1"/>
  <c r="E275" i="1"/>
  <c r="C399" i="1"/>
  <c r="D399" i="1"/>
  <c r="E399" i="1"/>
  <c r="C139" i="1"/>
  <c r="D139" i="1"/>
  <c r="E139" i="1"/>
  <c r="C315" i="1"/>
  <c r="D315" i="1"/>
  <c r="E315" i="1"/>
  <c r="C88" i="1"/>
  <c r="D88" i="1"/>
  <c r="E88" i="1"/>
  <c r="C225" i="1"/>
  <c r="D225" i="1"/>
  <c r="E225" i="1"/>
  <c r="C121" i="1"/>
  <c r="D121" i="1"/>
  <c r="E121" i="1"/>
  <c r="C417" i="1"/>
  <c r="D417" i="1"/>
  <c r="E417" i="1"/>
  <c r="C264" i="1"/>
  <c r="D264" i="1"/>
  <c r="E264" i="1"/>
  <c r="C47" i="1"/>
  <c r="D47" i="1"/>
  <c r="E47" i="1"/>
  <c r="C83" i="1"/>
  <c r="D83" i="1"/>
  <c r="E83" i="1"/>
  <c r="C74" i="1"/>
  <c r="D74" i="1"/>
  <c r="E74" i="1"/>
  <c r="C376" i="1"/>
  <c r="D376" i="1"/>
  <c r="E376" i="1"/>
  <c r="C68" i="1"/>
  <c r="D68" i="1"/>
  <c r="E68" i="1"/>
  <c r="C120" i="1"/>
  <c r="D120" i="1"/>
  <c r="E120" i="1"/>
  <c r="C262" i="1"/>
  <c r="D262" i="1"/>
  <c r="E262" i="1"/>
  <c r="C38" i="1"/>
  <c r="D38" i="1"/>
  <c r="E38" i="1"/>
  <c r="C79" i="1"/>
  <c r="D79" i="1"/>
  <c r="E79" i="1"/>
  <c r="C102" i="1"/>
  <c r="D102" i="1"/>
  <c r="E102" i="1"/>
  <c r="C90" i="1"/>
  <c r="D90" i="1"/>
  <c r="E90" i="1"/>
  <c r="C474" i="1"/>
  <c r="D474" i="1"/>
  <c r="E474" i="1"/>
  <c r="C325" i="1"/>
  <c r="D325" i="1"/>
  <c r="E325" i="1"/>
  <c r="C512" i="1"/>
  <c r="D512" i="1"/>
  <c r="E512" i="1"/>
  <c r="C392" i="1"/>
  <c r="D392" i="1"/>
  <c r="E392" i="1"/>
  <c r="C482" i="1"/>
  <c r="D482" i="1"/>
  <c r="E482" i="1"/>
  <c r="C338" i="1"/>
  <c r="D338" i="1"/>
  <c r="E338" i="1"/>
  <c r="C63" i="1"/>
  <c r="D63" i="1"/>
  <c r="E63" i="1"/>
  <c r="C729" i="1"/>
  <c r="D729" i="1"/>
  <c r="E729" i="1"/>
  <c r="C726" i="1"/>
  <c r="D726" i="1"/>
  <c r="E72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4" i="1"/>
  <c r="D724" i="1"/>
  <c r="E724" i="1"/>
  <c r="C719" i="1"/>
  <c r="D719" i="1"/>
  <c r="E719" i="1"/>
  <c r="C714" i="1"/>
  <c r="D714" i="1"/>
  <c r="E714" i="1"/>
  <c r="E710" i="1"/>
  <c r="D710" i="1"/>
  <c r="C710" i="1"/>
  <c r="E721" i="1"/>
  <c r="D721" i="1"/>
  <c r="C721" i="1"/>
  <c r="E717" i="1"/>
  <c r="D717" i="1"/>
  <c r="C717" i="1"/>
  <c r="C720" i="1"/>
  <c r="D720" i="1"/>
  <c r="E720" i="1"/>
  <c r="C715" i="1"/>
  <c r="D715" i="1"/>
  <c r="E715" i="1"/>
  <c r="C716" i="1"/>
  <c r="D716" i="1"/>
  <c r="E716" i="1"/>
  <c r="C713" i="1"/>
  <c r="D713" i="1"/>
  <c r="E713" i="1"/>
  <c r="C703" i="1"/>
  <c r="D703" i="1"/>
  <c r="E703" i="1"/>
  <c r="C711" i="1"/>
  <c r="D711" i="1"/>
  <c r="E711" i="1"/>
  <c r="C699" i="1"/>
  <c r="D699" i="1"/>
  <c r="E699" i="1"/>
  <c r="C695" i="1"/>
  <c r="D695" i="1"/>
  <c r="E695" i="1"/>
  <c r="C708" i="1"/>
  <c r="D708" i="1"/>
  <c r="E708" i="1"/>
  <c r="C696" i="1"/>
  <c r="D696" i="1"/>
  <c r="E696" i="1"/>
  <c r="C704" i="1"/>
  <c r="D704" i="1"/>
  <c r="E704" i="1"/>
  <c r="C702" i="1"/>
  <c r="D702" i="1"/>
  <c r="E702" i="1"/>
  <c r="E698" i="1"/>
  <c r="D698" i="1"/>
  <c r="C698" i="1"/>
  <c r="E694" i="1"/>
  <c r="D694" i="1"/>
  <c r="C694" i="1"/>
  <c r="E692" i="1"/>
  <c r="D692" i="1"/>
  <c r="C692" i="1"/>
  <c r="C688" i="1"/>
  <c r="D688" i="1"/>
  <c r="E688" i="1"/>
  <c r="C690" i="1"/>
  <c r="D690" i="1"/>
  <c r="E690" i="1"/>
  <c r="C675" i="1"/>
  <c r="D675" i="1"/>
  <c r="E675" i="1"/>
  <c r="C684" i="1"/>
  <c r="D684" i="1"/>
  <c r="E684" i="1"/>
  <c r="C678" i="1"/>
  <c r="D678" i="1"/>
  <c r="E678" i="1"/>
  <c r="E666" i="1"/>
  <c r="D666" i="1"/>
  <c r="C666" i="1"/>
  <c r="C662" i="1"/>
  <c r="D662" i="1"/>
  <c r="E662" i="1"/>
  <c r="C779" i="1"/>
  <c r="D779" i="1"/>
  <c r="E779" i="1"/>
  <c r="E660" i="1"/>
  <c r="D660" i="1"/>
  <c r="C660" i="1"/>
  <c r="C656" i="1"/>
  <c r="D656" i="1"/>
  <c r="E656" i="1"/>
  <c r="C658" i="1"/>
  <c r="D658" i="1"/>
  <c r="E658" i="1"/>
  <c r="E654" i="1"/>
  <c r="D654" i="1"/>
  <c r="C654" i="1"/>
  <c r="C634" i="1"/>
  <c r="D634" i="1"/>
  <c r="E634" i="1"/>
  <c r="C637" i="1"/>
  <c r="D637" i="1"/>
  <c r="E637" i="1"/>
  <c r="C636" i="1"/>
  <c r="D636" i="1"/>
  <c r="E636" i="1"/>
  <c r="C622" i="1"/>
  <c r="D622" i="1"/>
  <c r="E622" i="1"/>
  <c r="C556" i="1"/>
  <c r="D556" i="1"/>
  <c r="E556" i="1"/>
  <c r="C606" i="1"/>
  <c r="D606" i="1"/>
  <c r="E606" i="1"/>
  <c r="C631" i="1"/>
  <c r="D631" i="1"/>
  <c r="E631" i="1"/>
  <c r="C627" i="1"/>
  <c r="D627" i="1"/>
  <c r="E627" i="1"/>
  <c r="C613" i="1"/>
  <c r="D613" i="1"/>
  <c r="E613" i="1"/>
  <c r="C621" i="1"/>
  <c r="D621" i="1"/>
  <c r="E621" i="1"/>
  <c r="C626" i="1"/>
  <c r="D626" i="1"/>
  <c r="E626" i="1"/>
  <c r="C588" i="1"/>
  <c r="D588" i="1"/>
  <c r="E588" i="1"/>
  <c r="C597" i="1"/>
  <c r="D597" i="1"/>
  <c r="E597" i="1"/>
  <c r="C577" i="1"/>
  <c r="D577" i="1"/>
  <c r="E577" i="1"/>
  <c r="C570" i="1"/>
  <c r="D570" i="1"/>
  <c r="E570" i="1"/>
  <c r="C569" i="1"/>
  <c r="D569" i="1"/>
  <c r="E569" i="1"/>
  <c r="C562" i="1"/>
  <c r="D562" i="1"/>
  <c r="E562" i="1"/>
  <c r="C560" i="1"/>
  <c r="D560" i="1"/>
  <c r="E560" i="1"/>
  <c r="C557" i="1"/>
  <c r="D557" i="1"/>
  <c r="E557" i="1"/>
  <c r="C555" i="1"/>
  <c r="D555" i="1"/>
  <c r="E555" i="1"/>
  <c r="C547" i="1"/>
  <c r="D547" i="1"/>
  <c r="E547" i="1"/>
  <c r="C553" i="1"/>
  <c r="D553" i="1"/>
  <c r="E553" i="1"/>
  <c r="C548" i="1"/>
  <c r="D548" i="1"/>
  <c r="E548" i="1"/>
  <c r="C533" i="1"/>
  <c r="D533" i="1"/>
  <c r="E533" i="1"/>
  <c r="E537" i="1"/>
  <c r="E607" i="1"/>
  <c r="E594" i="1"/>
  <c r="E586" i="1"/>
  <c r="E525" i="1"/>
  <c r="E522" i="1"/>
  <c r="E705" i="1"/>
  <c r="E538" i="1"/>
  <c r="E624" i="1"/>
  <c r="E561" i="1"/>
  <c r="E589" i="1"/>
  <c r="E590" i="1"/>
  <c r="E677" i="1"/>
  <c r="E655" i="1"/>
  <c r="E572" i="1"/>
  <c r="E674" i="1"/>
  <c r="E519" i="1"/>
  <c r="E582" i="1"/>
  <c r="E559" i="1"/>
  <c r="E602" i="1"/>
  <c r="E543" i="1"/>
  <c r="E576" i="1"/>
  <c r="E520" i="1"/>
  <c r="E611" i="1"/>
  <c r="E567" i="1"/>
  <c r="E592" i="1"/>
  <c r="E603" i="1"/>
  <c r="E639" i="1"/>
  <c r="E532" i="1"/>
  <c r="E644" i="1"/>
  <c r="E528" i="1"/>
  <c r="E632" i="1"/>
  <c r="E657" i="1"/>
  <c r="E536" i="1"/>
  <c r="E723" i="1"/>
  <c r="E645" i="1"/>
  <c r="E541" i="1"/>
  <c r="E568" i="1"/>
  <c r="E529" i="1"/>
  <c r="E701" i="1"/>
  <c r="E608" i="1"/>
  <c r="E618" i="1"/>
  <c r="E514" i="1"/>
  <c r="E680" i="1"/>
  <c r="E545" i="1"/>
  <c r="E535" i="1"/>
  <c r="E651" i="1"/>
  <c r="E581" i="1"/>
  <c r="E689" i="1"/>
  <c r="E540" i="1"/>
  <c r="E685" i="1"/>
  <c r="E527" i="1"/>
  <c r="E625" i="1"/>
  <c r="E665" i="1"/>
  <c r="E630" i="1"/>
  <c r="E580" i="1"/>
  <c r="E652" i="1"/>
  <c r="E516" i="1"/>
  <c r="E552" i="1"/>
  <c r="E523" i="1"/>
  <c r="E617" i="1"/>
  <c r="E526" i="1"/>
  <c r="E585" i="1"/>
  <c r="E612" i="1"/>
  <c r="E578" i="1"/>
  <c r="E565" i="1"/>
  <c r="E517" i="1"/>
  <c r="E598" i="1"/>
  <c r="E609" i="1"/>
  <c r="E518" i="1"/>
  <c r="E539" i="1"/>
  <c r="E667" i="1"/>
  <c r="E653" i="1"/>
  <c r="E546" i="1"/>
  <c r="E670" i="1"/>
  <c r="E549" i="1"/>
  <c r="E642" i="1"/>
  <c r="E648" i="1"/>
  <c r="E600" i="1"/>
  <c r="E635" i="1"/>
  <c r="E679" i="1"/>
  <c r="E595" i="1"/>
  <c r="E620" i="1"/>
  <c r="E700" i="1"/>
  <c r="E706" i="1"/>
  <c r="E646" i="1"/>
  <c r="E664" i="1"/>
  <c r="E673" i="1"/>
  <c r="E616" i="1"/>
  <c r="E531" i="1"/>
  <c r="E661" i="1"/>
  <c r="E604" i="1"/>
  <c r="E693" i="1"/>
  <c r="E641" i="1"/>
  <c r="E579" i="1"/>
  <c r="E566" i="1"/>
  <c r="E610" i="1"/>
  <c r="E640" i="1"/>
  <c r="E558" i="1"/>
  <c r="E550" i="1"/>
  <c r="E587" i="1"/>
  <c r="E601" i="1"/>
  <c r="E671" i="1"/>
  <c r="E643" i="1"/>
  <c r="E571" i="1"/>
  <c r="E573" i="1"/>
  <c r="E691" i="1"/>
  <c r="E574" i="1"/>
  <c r="E551" i="1"/>
  <c r="E629" i="1"/>
  <c r="E614" i="1"/>
  <c r="E686" i="1"/>
  <c r="E659" i="1"/>
  <c r="E591" i="1"/>
  <c r="E687" i="1"/>
  <c r="E709" i="1"/>
  <c r="E615" i="1"/>
  <c r="E623" i="1"/>
  <c r="E669" i="1"/>
  <c r="E563" i="1"/>
  <c r="E544" i="1"/>
  <c r="E583" i="1"/>
  <c r="E650" i="1"/>
  <c r="E575" i="1"/>
  <c r="E707" i="1"/>
  <c r="E638" i="1"/>
  <c r="E605" i="1"/>
  <c r="E542" i="1"/>
  <c r="E584" i="1"/>
  <c r="E676" i="1"/>
  <c r="E633" i="1"/>
  <c r="E628" i="1"/>
  <c r="E554" i="1"/>
  <c r="E619" i="1"/>
  <c r="E521" i="1"/>
  <c r="E682" i="1"/>
  <c r="E530" i="1"/>
  <c r="E668" i="1"/>
  <c r="E647" i="1"/>
  <c r="E663" i="1"/>
  <c r="C527" i="1"/>
  <c r="D527" i="1"/>
  <c r="C516" i="1"/>
  <c r="D516" i="1"/>
  <c r="C522" i="1"/>
  <c r="D522" i="1"/>
  <c r="C624" i="1"/>
  <c r="D624" i="1"/>
  <c r="C538" i="1"/>
  <c r="D538" i="1"/>
  <c r="C610" i="1"/>
  <c r="D610" i="1"/>
  <c r="C609" i="1"/>
  <c r="D609" i="1"/>
  <c r="C586" i="1"/>
  <c r="D586" i="1"/>
  <c r="C590" i="1"/>
  <c r="D590" i="1"/>
  <c r="C589" i="1"/>
  <c r="D589" i="1"/>
  <c r="C594" i="1"/>
  <c r="D594" i="1"/>
  <c r="C583" i="1"/>
  <c r="D583" i="1"/>
  <c r="C591" i="1"/>
  <c r="D591" i="1"/>
  <c r="C568" i="1"/>
  <c r="D568" i="1"/>
  <c r="C572" i="1"/>
  <c r="D572" i="1"/>
  <c r="D537" i="1"/>
  <c r="D525" i="1"/>
  <c r="D663" i="1"/>
  <c r="D635" i="1"/>
  <c r="D705" i="1"/>
  <c r="D561" i="1"/>
  <c r="D677" i="1"/>
  <c r="D655" i="1"/>
  <c r="D674" i="1"/>
  <c r="D519" i="1"/>
  <c r="D582" i="1"/>
  <c r="D559" i="1"/>
  <c r="D602" i="1"/>
  <c r="D543" i="1"/>
  <c r="D576" i="1"/>
  <c r="D520" i="1"/>
  <c r="D611" i="1"/>
  <c r="D567" i="1"/>
  <c r="D592" i="1"/>
  <c r="D603" i="1"/>
  <c r="D639" i="1"/>
  <c r="D672" i="1"/>
  <c r="D532" i="1"/>
  <c r="D644" i="1"/>
  <c r="D528" i="1"/>
  <c r="D632" i="1"/>
  <c r="D657" i="1"/>
  <c r="D536" i="1"/>
  <c r="D723" i="1"/>
  <c r="D645" i="1"/>
  <c r="D541" i="1"/>
  <c r="D529" i="1"/>
  <c r="D701" i="1"/>
  <c r="D608" i="1"/>
  <c r="D618" i="1"/>
  <c r="D514" i="1"/>
  <c r="D680" i="1"/>
  <c r="D545" i="1"/>
  <c r="D535" i="1"/>
  <c r="D651" i="1"/>
  <c r="D581" i="1"/>
  <c r="D689" i="1"/>
  <c r="D540" i="1"/>
  <c r="D685" i="1"/>
  <c r="D625" i="1"/>
  <c r="D665" i="1"/>
  <c r="D630" i="1"/>
  <c r="D580" i="1"/>
  <c r="D652" i="1"/>
  <c r="D552" i="1"/>
  <c r="D523" i="1"/>
  <c r="D617" i="1"/>
  <c r="D526" i="1"/>
  <c r="D585" i="1"/>
  <c r="D612" i="1"/>
  <c r="D578" i="1"/>
  <c r="D565" i="1"/>
  <c r="D517" i="1"/>
  <c r="D598" i="1"/>
  <c r="D518" i="1"/>
  <c r="D539" i="1"/>
  <c r="D667" i="1"/>
  <c r="D653" i="1"/>
  <c r="D546" i="1"/>
  <c r="D593" i="1"/>
  <c r="D670" i="1"/>
  <c r="D549" i="1"/>
  <c r="D642" i="1"/>
  <c r="D648" i="1"/>
  <c r="D600" i="1"/>
  <c r="D679" i="1"/>
  <c r="D595" i="1"/>
  <c r="D620" i="1"/>
  <c r="D700" i="1"/>
  <c r="D706" i="1"/>
  <c r="D646" i="1"/>
  <c r="D664" i="1"/>
  <c r="D673" i="1"/>
  <c r="D616" i="1"/>
  <c r="D531" i="1"/>
  <c r="D661" i="1"/>
  <c r="D604" i="1"/>
  <c r="D693" i="1"/>
  <c r="D641" i="1"/>
  <c r="D579" i="1"/>
  <c r="D566" i="1"/>
  <c r="D640" i="1"/>
  <c r="D558" i="1"/>
  <c r="D550" i="1"/>
  <c r="D587" i="1"/>
  <c r="D601" i="1"/>
  <c r="D671" i="1"/>
  <c r="D643" i="1"/>
  <c r="D571" i="1"/>
  <c r="D573" i="1"/>
  <c r="D691" i="1"/>
  <c r="D574" i="1"/>
  <c r="D551" i="1"/>
  <c r="D629" i="1"/>
  <c r="D614" i="1"/>
  <c r="D686" i="1"/>
  <c r="D659" i="1"/>
  <c r="D687" i="1"/>
  <c r="D709" i="1"/>
  <c r="D615" i="1"/>
  <c r="D649" i="1"/>
  <c r="D623" i="1"/>
  <c r="D669" i="1"/>
  <c r="D563" i="1"/>
  <c r="D544" i="1"/>
  <c r="D650" i="1"/>
  <c r="D575" i="1"/>
  <c r="D707" i="1"/>
  <c r="D638" i="1"/>
  <c r="D605" i="1"/>
  <c r="D542" i="1"/>
  <c r="D584" i="1"/>
  <c r="D676" i="1"/>
  <c r="D633" i="1"/>
  <c r="D628" i="1"/>
  <c r="D554" i="1"/>
  <c r="D619" i="1"/>
  <c r="D521" i="1"/>
  <c r="D682" i="1"/>
  <c r="D530" i="1"/>
  <c r="D668" i="1"/>
  <c r="D647" i="1"/>
  <c r="C537" i="1"/>
  <c r="C525" i="1"/>
  <c r="C663" i="1"/>
  <c r="C635" i="1"/>
  <c r="C705" i="1"/>
  <c r="C561" i="1"/>
  <c r="C677" i="1"/>
  <c r="C655" i="1"/>
  <c r="C674" i="1"/>
  <c r="C519" i="1"/>
  <c r="C582" i="1"/>
  <c r="C559" i="1"/>
  <c r="C602" i="1"/>
  <c r="C543" i="1"/>
  <c r="C576" i="1"/>
  <c r="C520" i="1"/>
  <c r="C611" i="1"/>
  <c r="C567" i="1"/>
  <c r="C592" i="1"/>
  <c r="C603" i="1"/>
  <c r="C639" i="1"/>
  <c r="C672" i="1"/>
  <c r="C532" i="1"/>
  <c r="C644" i="1"/>
  <c r="C528" i="1"/>
  <c r="C632" i="1"/>
  <c r="C657" i="1"/>
  <c r="C536" i="1"/>
  <c r="C723" i="1"/>
  <c r="C645" i="1"/>
  <c r="C541" i="1"/>
  <c r="C529" i="1"/>
  <c r="C701" i="1"/>
  <c r="C608" i="1"/>
  <c r="C618" i="1"/>
  <c r="C514" i="1"/>
  <c r="C680" i="1"/>
  <c r="C545" i="1"/>
  <c r="C535" i="1"/>
  <c r="C651" i="1"/>
  <c r="C581" i="1"/>
  <c r="C689" i="1"/>
  <c r="C540" i="1"/>
  <c r="C685" i="1"/>
  <c r="C625" i="1"/>
  <c r="C665" i="1"/>
  <c r="C630" i="1"/>
  <c r="C580" i="1"/>
  <c r="C652" i="1"/>
  <c r="C552" i="1"/>
  <c r="C523" i="1"/>
  <c r="C617" i="1"/>
  <c r="C526" i="1"/>
  <c r="C585" i="1"/>
  <c r="C612" i="1"/>
  <c r="C578" i="1"/>
  <c r="C565" i="1"/>
  <c r="C517" i="1"/>
  <c r="C598" i="1"/>
  <c r="C518" i="1"/>
  <c r="C539" i="1"/>
  <c r="C667" i="1"/>
  <c r="C653" i="1"/>
  <c r="C546" i="1"/>
  <c r="C593" i="1"/>
  <c r="C670" i="1"/>
  <c r="C549" i="1"/>
  <c r="C642" i="1"/>
  <c r="C648" i="1"/>
  <c r="C600" i="1"/>
  <c r="C679" i="1"/>
  <c r="C595" i="1"/>
  <c r="C620" i="1"/>
  <c r="C700" i="1"/>
  <c r="C706" i="1"/>
  <c r="C646" i="1"/>
  <c r="C664" i="1"/>
  <c r="C673" i="1"/>
  <c r="C616" i="1"/>
  <c r="C531" i="1"/>
  <c r="C661" i="1"/>
  <c r="C604" i="1"/>
  <c r="C693" i="1"/>
  <c r="C641" i="1"/>
  <c r="C579" i="1"/>
  <c r="C566" i="1"/>
  <c r="C640" i="1"/>
  <c r="C558" i="1"/>
  <c r="C550" i="1"/>
  <c r="C587" i="1"/>
  <c r="C601" i="1"/>
  <c r="C671" i="1"/>
  <c r="C643" i="1"/>
  <c r="C571" i="1"/>
  <c r="C573" i="1"/>
  <c r="C691" i="1"/>
  <c r="C574" i="1"/>
  <c r="C551" i="1"/>
  <c r="C629" i="1"/>
  <c r="C614" i="1"/>
  <c r="C686" i="1"/>
  <c r="C659" i="1"/>
  <c r="C687" i="1"/>
  <c r="C709" i="1"/>
  <c r="C615" i="1"/>
  <c r="C649" i="1"/>
  <c r="C623" i="1"/>
  <c r="C669" i="1"/>
  <c r="C563" i="1"/>
  <c r="C544" i="1"/>
  <c r="C650" i="1"/>
  <c r="C575" i="1"/>
  <c r="C707" i="1"/>
  <c r="C638" i="1"/>
  <c r="C605" i="1"/>
  <c r="C542" i="1"/>
  <c r="C584" i="1"/>
  <c r="C676" i="1"/>
  <c r="C633" i="1"/>
  <c r="C628" i="1"/>
  <c r="C554" i="1"/>
  <c r="C619" i="1"/>
  <c r="C521" i="1"/>
  <c r="C682" i="1"/>
  <c r="C530" i="1"/>
  <c r="C668" i="1"/>
  <c r="C647" i="1"/>
  <c r="D607" i="1"/>
  <c r="C607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1" i="1"/>
  <c r="B605" i="1"/>
  <c r="B623" i="1"/>
  <c r="D11" i="12"/>
  <c r="D13" i="12"/>
  <c r="B849" i="1"/>
  <c r="B844" i="1"/>
  <c r="B851" i="1"/>
  <c r="B852" i="1"/>
  <c r="B854" i="1"/>
  <c r="B530" i="1"/>
  <c r="B682" i="1"/>
  <c r="B542" i="1"/>
  <c r="B669" i="1"/>
  <c r="B3" i="1"/>
  <c r="B618" i="1"/>
  <c r="B798" i="1"/>
  <c r="B834" i="1"/>
  <c r="B815" i="1"/>
  <c r="B848" i="1"/>
  <c r="B119" i="10"/>
  <c r="B389" i="10"/>
  <c r="B252" i="1"/>
  <c r="B475" i="1"/>
  <c r="B27" i="1"/>
  <c r="B220" i="1"/>
  <c r="B472" i="1"/>
  <c r="B505" i="1"/>
  <c r="B730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4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0" i="1"/>
  <c r="B68" i="1"/>
  <c r="B74" i="1"/>
  <c r="B417" i="1"/>
  <c r="B225" i="1"/>
  <c r="B727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6" i="1"/>
  <c r="B625" i="1"/>
  <c r="B678" i="1"/>
  <c r="B705" i="1"/>
  <c r="B557" i="1"/>
  <c r="B626" i="1"/>
  <c r="B648" i="1"/>
  <c r="B535" i="1"/>
  <c r="B631" i="1"/>
  <c r="B658" i="1"/>
  <c r="B692" i="1"/>
  <c r="B696" i="1"/>
  <c r="B362" i="10"/>
  <c r="B365" i="10"/>
  <c r="B305" i="10"/>
  <c r="B716" i="1"/>
  <c r="B717" i="1"/>
  <c r="B11" i="10"/>
  <c r="B19" i="10"/>
  <c r="B27" i="10"/>
  <c r="B35" i="10"/>
  <c r="B43" i="10"/>
  <c r="B51" i="10"/>
  <c r="B67" i="10"/>
  <c r="B75" i="10"/>
  <c r="B617" i="1"/>
  <c r="B685" i="1"/>
  <c r="B590" i="1"/>
  <c r="B615" i="1"/>
  <c r="B528" i="1"/>
  <c r="B47" i="10"/>
  <c r="B71" i="10"/>
  <c r="B87" i="10"/>
  <c r="B343" i="10"/>
  <c r="B367" i="10"/>
  <c r="B403" i="10"/>
  <c r="B320" i="1"/>
  <c r="B513" i="1"/>
  <c r="B424" i="1"/>
  <c r="B339" i="1"/>
  <c r="B725" i="1"/>
  <c r="B98" i="1"/>
  <c r="B135" i="1"/>
  <c r="B329" i="1"/>
  <c r="B387" i="1"/>
  <c r="B425" i="1"/>
  <c r="B192" i="1"/>
  <c r="B22" i="1"/>
  <c r="B161" i="1"/>
  <c r="B72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59" i="1"/>
  <c r="B690" i="1"/>
  <c r="B708" i="1"/>
  <c r="B196" i="10"/>
  <c r="B244" i="10"/>
  <c r="B260" i="10"/>
  <c r="B308" i="10"/>
  <c r="B316" i="10"/>
  <c r="B360" i="10"/>
  <c r="B368" i="10"/>
  <c r="B374" i="10"/>
  <c r="B707" i="1"/>
  <c r="B593" i="1"/>
  <c r="B531" i="1"/>
  <c r="B633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33" i="1"/>
  <c r="B614" i="1"/>
  <c r="B540" i="1"/>
  <c r="B604" i="1"/>
  <c r="B581" i="1"/>
  <c r="B404" i="10"/>
  <c r="B7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600" i="1"/>
  <c r="B667" i="1"/>
  <c r="B585" i="1"/>
  <c r="B665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2" i="1"/>
  <c r="B737" i="1"/>
  <c r="B506" i="1"/>
  <c r="B641" i="1"/>
  <c r="B394" i="1"/>
  <c r="B455" i="1"/>
  <c r="B108" i="1"/>
  <c r="B750" i="1"/>
  <c r="B671" i="1"/>
  <c r="B94" i="1"/>
  <c r="B17" i="1"/>
  <c r="B423" i="1"/>
  <c r="B393" i="1"/>
  <c r="B209" i="1"/>
  <c r="B386" i="1"/>
  <c r="B254" i="1"/>
  <c r="B500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2" i="1"/>
  <c r="B706" i="1"/>
  <c r="B525" i="1"/>
  <c r="B769" i="1"/>
  <c r="B766" i="1"/>
  <c r="B826" i="1"/>
  <c r="B552" i="1"/>
  <c r="B177" i="10"/>
  <c r="B533" i="1"/>
  <c r="B711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2" i="1"/>
  <c r="B688" i="1"/>
  <c r="B496" i="1"/>
  <c r="B157" i="1"/>
  <c r="B466" i="1"/>
  <c r="B497" i="1"/>
  <c r="B468" i="1"/>
  <c r="B408" i="1"/>
  <c r="B260" i="1"/>
  <c r="B450" i="1"/>
  <c r="B384" i="1"/>
  <c r="B277" i="1"/>
  <c r="B655" i="1"/>
  <c r="B522" i="1"/>
  <c r="B240" i="1"/>
  <c r="B354" i="1"/>
  <c r="B128" i="1"/>
  <c r="B436" i="1"/>
  <c r="B87" i="1"/>
  <c r="B687" i="1"/>
  <c r="B594" i="1"/>
  <c r="B560" i="1"/>
  <c r="B629" i="1"/>
  <c r="B601" i="1"/>
  <c r="B693" i="1"/>
  <c r="B646" i="1"/>
  <c r="B544" i="1"/>
  <c r="B589" i="1"/>
  <c r="B555" i="1"/>
  <c r="B36" i="10"/>
  <c r="B84" i="10"/>
  <c r="B132" i="10"/>
  <c r="B168" i="10"/>
  <c r="B208" i="10"/>
  <c r="B240" i="10"/>
  <c r="B632" i="1"/>
  <c r="B520" i="1"/>
  <c r="B640" i="1"/>
  <c r="B572" i="1"/>
  <c r="B554" i="1"/>
  <c r="B649" i="1"/>
  <c r="B551" i="1"/>
  <c r="B587" i="1"/>
  <c r="B642" i="1"/>
  <c r="B518" i="1"/>
  <c r="B584" i="1"/>
  <c r="B563" i="1"/>
  <c r="B699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8" i="1"/>
  <c r="B620" i="1"/>
  <c r="B583" i="1"/>
  <c r="B701" i="1"/>
  <c r="B651" i="1"/>
  <c r="B628" i="1"/>
  <c r="B567" i="1"/>
  <c r="B644" i="1"/>
  <c r="B609" i="1"/>
  <c r="B709" i="1"/>
  <c r="B691" i="1"/>
  <c r="B558" i="1"/>
  <c r="B700" i="1"/>
  <c r="B670" i="1"/>
  <c r="B517" i="1"/>
  <c r="B514" i="1"/>
  <c r="B536" i="1"/>
  <c r="B603" i="1"/>
  <c r="B592" i="1"/>
  <c r="B591" i="1"/>
  <c r="B538" i="1"/>
  <c r="B553" i="1"/>
  <c r="B713" i="1"/>
  <c r="B710" i="1"/>
  <c r="B724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731" i="1"/>
  <c r="B58" i="1"/>
  <c r="B783" i="1"/>
  <c r="B755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4" i="1"/>
  <c r="B740" i="1"/>
  <c r="B734" i="1"/>
  <c r="B752" i="1"/>
  <c r="B747" i="1"/>
  <c r="B756" i="1"/>
  <c r="B759" i="1"/>
  <c r="B738" i="1"/>
  <c r="B772" i="1"/>
  <c r="B748" i="1"/>
  <c r="B770" i="1"/>
  <c r="B774" i="1"/>
  <c r="B775" i="1"/>
  <c r="B814" i="1"/>
  <c r="B714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5" i="1"/>
  <c r="B516" i="1"/>
  <c r="B675" i="1"/>
  <c r="B247" i="1"/>
  <c r="B136" i="1"/>
  <c r="B428" i="1"/>
  <c r="B331" i="1"/>
  <c r="B296" i="1"/>
  <c r="B217" i="1"/>
  <c r="B73" i="1"/>
  <c r="B228" i="1"/>
  <c r="B23" i="1"/>
  <c r="B645" i="1"/>
  <c r="B607" i="1"/>
  <c r="B574" i="1"/>
  <c r="B550" i="1"/>
  <c r="B549" i="1"/>
  <c r="B598" i="1"/>
  <c r="B523" i="1"/>
  <c r="B723" i="1"/>
  <c r="B639" i="1"/>
  <c r="B602" i="1"/>
  <c r="B588" i="1"/>
  <c r="B622" i="1"/>
  <c r="B114" i="10"/>
  <c r="B47" i="1"/>
  <c r="B315" i="1"/>
  <c r="B399" i="1"/>
  <c r="B119" i="1"/>
  <c r="B32" i="1"/>
  <c r="B273" i="1"/>
  <c r="B43" i="1"/>
  <c r="B349" i="1"/>
  <c r="B502" i="1"/>
  <c r="B327" i="1"/>
  <c r="B630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2" i="1"/>
  <c r="B661" i="1"/>
  <c r="B668" i="1"/>
  <c r="B676" i="1"/>
  <c r="B657" i="1"/>
  <c r="B142" i="10"/>
  <c r="B352" i="10"/>
  <c r="B672" i="1"/>
  <c r="B664" i="1"/>
  <c r="B276" i="1"/>
  <c r="B258" i="1"/>
  <c r="B471" i="1"/>
  <c r="B397" i="1"/>
  <c r="B255" i="1"/>
  <c r="B490" i="1"/>
  <c r="B180" i="1"/>
  <c r="B501" i="1"/>
  <c r="B733" i="1"/>
  <c r="B11" i="1"/>
  <c r="B129" i="1"/>
  <c r="B182" i="1"/>
  <c r="B541" i="1"/>
  <c r="B686" i="1"/>
  <c r="B643" i="1"/>
  <c r="B579" i="1"/>
  <c r="B679" i="1"/>
  <c r="B653" i="1"/>
  <c r="B611" i="1"/>
  <c r="B674" i="1"/>
  <c r="B537" i="1"/>
  <c r="B627" i="1"/>
  <c r="B666" i="1"/>
  <c r="B704" i="1"/>
  <c r="B435" i="1"/>
  <c r="B470" i="1"/>
  <c r="B242" i="1"/>
  <c r="B317" i="1"/>
  <c r="B487" i="1"/>
  <c r="B291" i="1"/>
  <c r="B745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59" i="1"/>
  <c r="B571" i="1"/>
  <c r="B566" i="1"/>
  <c r="B595" i="1"/>
  <c r="B546" i="1"/>
  <c r="B578" i="1"/>
  <c r="B582" i="1"/>
  <c r="B663" i="1"/>
  <c r="B638" i="1"/>
  <c r="B519" i="1"/>
  <c r="B586" i="1"/>
  <c r="B624" i="1"/>
  <c r="B569" i="1"/>
  <c r="B636" i="1"/>
  <c r="B654" i="1"/>
  <c r="B30" i="10"/>
  <c r="B94" i="10"/>
  <c r="B110" i="10"/>
  <c r="B118" i="10"/>
  <c r="B186" i="10"/>
  <c r="B410" i="1"/>
  <c r="B292" i="1"/>
  <c r="B811" i="1"/>
  <c r="B616" i="1"/>
  <c r="B689" i="1"/>
  <c r="B613" i="1"/>
  <c r="B634" i="1"/>
  <c r="B779" i="1"/>
  <c r="B48" i="10"/>
  <c r="B104" i="10"/>
  <c r="B120" i="10"/>
  <c r="B188" i="10"/>
  <c r="B204" i="10"/>
  <c r="B619" i="1"/>
  <c r="B577" i="1"/>
  <c r="B606" i="1"/>
  <c r="B656" i="1"/>
  <c r="B539" i="1"/>
  <c r="B526" i="1"/>
  <c r="B575" i="1"/>
  <c r="B580" i="1"/>
  <c r="B529" i="1"/>
  <c r="B547" i="1"/>
  <c r="B660" i="1"/>
  <c r="B662" i="1"/>
  <c r="B650" i="1"/>
  <c r="B612" i="1"/>
  <c r="B647" i="1"/>
  <c r="B680" i="1"/>
  <c r="B576" i="1"/>
  <c r="B677" i="1"/>
  <c r="B673" i="1"/>
  <c r="B543" i="1"/>
  <c r="B561" i="1"/>
  <c r="B568" i="1"/>
  <c r="B548" i="1"/>
  <c r="B597" i="1"/>
  <c r="B556" i="1"/>
  <c r="B698" i="1"/>
  <c r="B20" i="1"/>
  <c r="B257" i="1"/>
  <c r="B300" i="1"/>
  <c r="B41" i="1"/>
  <c r="B272" i="1"/>
  <c r="B188" i="1"/>
  <c r="B224" i="1"/>
  <c r="B152" i="1"/>
  <c r="B290" i="1"/>
  <c r="B461" i="1"/>
  <c r="B702" i="1"/>
  <c r="B695" i="1"/>
  <c r="B703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621" i="1"/>
  <c r="B694" i="1"/>
  <c r="B721" i="1"/>
  <c r="B3" i="10"/>
  <c r="B12" i="10"/>
  <c r="B510" i="1"/>
  <c r="B256" i="1"/>
  <c r="B140" i="1"/>
  <c r="B481" i="1"/>
  <c r="B637" i="1"/>
  <c r="B715" i="1"/>
  <c r="B573" i="1"/>
  <c r="B565" i="1"/>
  <c r="B635" i="1"/>
  <c r="B527" i="1"/>
  <c r="B562" i="1"/>
  <c r="B570" i="1"/>
  <c r="B684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2" i="1"/>
  <c r="B718" i="1"/>
  <c r="B741" i="1"/>
  <c r="B760" i="1"/>
  <c r="B768" i="1"/>
  <c r="B764" i="1"/>
  <c r="B697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5" i="1"/>
  <c r="B739" i="1"/>
  <c r="B732" i="1"/>
  <c r="B743" i="1"/>
  <c r="B744" i="1"/>
  <c r="B681" i="1"/>
  <c r="B754" i="1"/>
  <c r="B749" i="1"/>
  <c r="B751" i="1"/>
  <c r="B746" i="1"/>
  <c r="B757" i="1"/>
  <c r="B758" i="1"/>
  <c r="B765" i="1"/>
  <c r="B767" i="1"/>
  <c r="B773" i="1"/>
  <c r="B771" i="1"/>
  <c r="B761" i="1"/>
  <c r="B753" i="1"/>
  <c r="B762" i="1"/>
  <c r="B778" i="1"/>
  <c r="B790" i="1"/>
  <c r="B793" i="1"/>
  <c r="B763" i="1"/>
  <c r="B720" i="1"/>
  <c r="B80" i="10"/>
  <c r="B88" i="10"/>
  <c r="B376" i="1"/>
  <c r="B139" i="1"/>
  <c r="B115" i="1"/>
  <c r="B452" i="1"/>
  <c r="B776" i="1"/>
  <c r="B784" i="1"/>
  <c r="B782" i="1"/>
  <c r="B780" i="1"/>
  <c r="B788" i="1"/>
  <c r="B800" i="1"/>
  <c r="B803" i="1"/>
  <c r="B805" i="1"/>
  <c r="B719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<sst xmlns="http://schemas.openxmlformats.org/spreadsheetml/2006/main" count="7893" uniqueCount="3627">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</sst>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1"/>
    <xf numFmtId="14" fontId="0" fillId="0" borderId="0" xfId="0" applyNumberFormat="1" applyAlignment="1">
      <alignment horizontal="center"/>
    </xf>
    <xf numFmtId="0" fontId="4" fillId="6" borderId="0" xfId="0" applyFont="1" applyFill="1"/>
    <xf numFmtId="0" fontId="4" fillId="7" borderId="0" xfId="0" applyFont="1" applyFill="1"/>
    <xf numFmtId="0" fontId="0" fillId="0" borderId="0" xfId="0" applyProtection="1"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2" fillId="0" borderId="0" xfId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2" fillId="0" borderId="0" xfId="1" applyAlignment="1">
      <alignment horizontal="center"/>
    </xf>
    <xf numFmtId="0" fontId="4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14" fontId="0" fillId="2" borderId="0" xfId="0" applyNumberFormat="1" applyFill="1" applyAlignment="1">
      <alignment horizontal="center"/>
    </xf>
    <xf numFmtId="0" fontId="6" fillId="8" borderId="0" xfId="0" applyFont="1" applyFill="1" applyAlignment="1">
      <alignment vertical="center"/>
    </xf>
    <xf numFmtId="0" fontId="3" fillId="8" borderId="0" xfId="0" applyFont="1" applyFill="1" applyAlignment="1">
      <alignment vertical="center"/>
    </xf>
    <xf numFmtId="0" fontId="7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5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54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702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7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19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19</v>
          </cell>
        </row>
        <row r="6">
          <cell r="A6">
            <v>13</v>
          </cell>
          <cell r="B6" t="str">
            <v>Dominique De Clercq</v>
          </cell>
          <cell r="D6">
            <v>30</v>
          </cell>
        </row>
        <row r="7">
          <cell r="A7">
            <v>7</v>
          </cell>
          <cell r="B7" t="str">
            <v>Steven Storm</v>
          </cell>
          <cell r="D7">
            <v>11</v>
          </cell>
        </row>
        <row r="8">
          <cell r="A8">
            <v>10</v>
          </cell>
          <cell r="B8" t="str">
            <v>Lucie Vande Velde</v>
          </cell>
          <cell r="D8">
            <v>21</v>
          </cell>
        </row>
        <row r="9">
          <cell r="A9">
            <v>11</v>
          </cell>
          <cell r="B9" t="str">
            <v>Kenneth De Rick</v>
          </cell>
          <cell r="D9">
            <v>22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53">
      <pivotArea dataOnly="0" labelOnly="1" fieldPosition="0">
        <references count="1">
          <reference field="1" count="1">
            <x v="511"/>
          </reference>
        </references>
      </pivotArea>
    </format>
    <format dxfId="52">
      <pivotArea dataOnly="0" labelOnly="1" fieldPosition="0">
        <references count="1">
          <reference field="1" count="1">
            <x v="473"/>
          </reference>
        </references>
      </pivotArea>
    </format>
    <format dxfId="51">
      <pivotArea dataOnly="0" labelOnly="1" fieldPosition="0">
        <references count="1">
          <reference field="1" count="1">
            <x v="497"/>
          </reference>
        </references>
      </pivotArea>
    </format>
    <format dxfId="50">
      <pivotArea dataOnly="0" labelOnly="1" fieldPosition="0">
        <references count="1">
          <reference field="1" count="1">
            <x v="512"/>
          </reference>
        </references>
      </pivotArea>
    </format>
    <format dxfId="49">
      <pivotArea dataOnly="0" labelOnly="1" fieldPosition="0">
        <references count="1">
          <reference field="1" count="1">
            <x v="504"/>
          </reference>
        </references>
      </pivotArea>
    </format>
    <format dxfId="48">
      <pivotArea dataOnly="0" labelOnly="1" fieldPosition="0">
        <references count="1">
          <reference field="1" count="1">
            <x v="90"/>
          </reference>
        </references>
      </pivotArea>
    </format>
    <format dxfId="47">
      <pivotArea dataOnly="0" labelOnly="1" fieldPosition="0">
        <references count="1">
          <reference field="1" count="1">
            <x v="280"/>
          </reference>
        </references>
      </pivotArea>
    </format>
    <format dxfId="46">
      <pivotArea dataOnly="0" labelOnly="1" fieldPosition="0">
        <references count="1">
          <reference field="1" count="1">
            <x v="514"/>
          </reference>
        </references>
      </pivotArea>
    </format>
    <format dxfId="45">
      <pivotArea dataOnly="0" labelOnly="1" fieldPosition="0">
        <references count="1">
          <reference field="1" count="1">
            <x v="478"/>
          </reference>
        </references>
      </pivotArea>
    </format>
    <format dxfId="44">
      <pivotArea dataOnly="0" labelOnly="1" fieldPosition="0">
        <references count="1">
          <reference field="1" count="1">
            <x v="510"/>
          </reference>
        </references>
      </pivotArea>
    </format>
    <format dxfId="43">
      <pivotArea dataOnly="0" labelOnly="1" fieldPosition="0">
        <references count="1">
          <reference field="1" count="1">
            <x v="481"/>
          </reference>
        </references>
      </pivotArea>
    </format>
    <format dxfId="42">
      <pivotArea dataOnly="0" labelOnly="1" fieldPosition="0">
        <references count="1">
          <reference field="1" count="1">
            <x v="435"/>
          </reference>
        </references>
      </pivotArea>
    </format>
    <format dxfId="41">
      <pivotArea dataOnly="0" labelOnly="1" fieldPosition="0">
        <references count="1">
          <reference field="1" count="1">
            <x v="112"/>
          </reference>
        </references>
      </pivotArea>
    </format>
    <format dxfId="40">
      <pivotArea dataOnly="0" labelOnly="1" fieldPosition="0">
        <references count="1">
          <reference field="1" count="1">
            <x v="157"/>
          </reference>
        </references>
      </pivotArea>
    </format>
    <format dxfId="39">
      <pivotArea dataOnly="0" labelOnly="1" fieldPosition="0">
        <references count="1">
          <reference field="1" count="1">
            <x v="490"/>
          </reference>
        </references>
      </pivotArea>
    </format>
    <format dxfId="38">
      <pivotArea dataOnly="0" labelOnly="1" fieldPosition="0">
        <references count="1">
          <reference field="1" count="1">
            <x v="506"/>
          </reference>
        </references>
      </pivotArea>
    </format>
    <format dxfId="37">
      <pivotArea dataOnly="0" labelOnly="1" fieldPosition="0">
        <references count="1">
          <reference field="1" count="1">
            <x v="520"/>
          </reference>
        </references>
      </pivotArea>
    </format>
    <format dxfId="36">
      <pivotArea dataOnly="0" labelOnly="1" fieldPosition="0">
        <references count="1">
          <reference field="1" count="1">
            <x v="250"/>
          </reference>
        </references>
      </pivotArea>
    </format>
    <format dxfId="35">
      <pivotArea dataOnly="0" labelOnly="1" fieldPosition="0">
        <references count="1">
          <reference field="1" count="1">
            <x v="432"/>
          </reference>
        </references>
      </pivotArea>
    </format>
    <format dxfId="34">
      <pivotArea dataOnly="0" labelOnly="1" fieldPosition="0">
        <references count="1">
          <reference field="1" count="1">
            <x v="440"/>
          </reference>
        </references>
      </pivotArea>
    </format>
    <format dxfId="33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32">
      <pivotArea dataOnly="0" labelOnly="1" fieldPosition="0">
        <references count="1">
          <reference field="1" count="1">
            <x v="348"/>
          </reference>
        </references>
      </pivotArea>
    </format>
    <format dxfId="31">
      <pivotArea dataOnly="0" labelOnly="1" fieldPosition="0">
        <references count="1">
          <reference field="1" count="1">
            <x v="355"/>
          </reference>
        </references>
      </pivotArea>
    </format>
    <format dxfId="30">
      <pivotArea dataOnly="0" labelOnly="1" fieldPosition="0">
        <references count="1">
          <reference field="1" count="1">
            <x v="498"/>
          </reference>
        </references>
      </pivotArea>
    </format>
    <format dxfId="29">
      <pivotArea dataOnly="0" labelOnly="1" fieldPosition="0">
        <references count="1">
          <reference field="1" count="1">
            <x v="508"/>
          </reference>
        </references>
      </pivotArea>
    </format>
    <format dxfId="28">
      <pivotArea dataOnly="0" labelOnly="1" fieldPosition="0">
        <references count="1">
          <reference field="1" count="1">
            <x v="397"/>
          </reference>
        </references>
      </pivotArea>
    </format>
    <format dxfId="27">
      <pivotArea dataOnly="0" labelOnly="1" fieldPosition="0">
        <references count="1">
          <reference field="1" count="1">
            <x v="513"/>
          </reference>
        </references>
      </pivotArea>
    </format>
    <format dxfId="26">
      <pivotArea dataOnly="0" labelOnly="1" fieldPosition="0">
        <references count="1">
          <reference field="1" count="1">
            <x v="412"/>
          </reference>
        </references>
      </pivotArea>
    </format>
    <format dxfId="25">
      <pivotArea dataOnly="0" labelOnly="1" fieldPosition="0">
        <references count="1">
          <reference field="1" count="1">
            <x v="507"/>
          </reference>
        </references>
      </pivotArea>
    </format>
    <format dxfId="24">
      <pivotArea dataOnly="0" labelOnly="1" fieldPosition="0">
        <references count="1">
          <reference field="1" count="1">
            <x v="507"/>
          </reference>
        </references>
      </pivotArea>
    </format>
    <format dxfId="23">
      <pivotArea dataOnly="0" labelOnly="1" fieldPosition="0">
        <references count="1">
          <reference field="1" count="1">
            <x v="342"/>
          </reference>
        </references>
      </pivotArea>
    </format>
    <format dxfId="22">
      <pivotArea dataOnly="0" labelOnly="1" fieldPosition="0">
        <references count="1">
          <reference field="1" count="1">
            <x v="501"/>
          </reference>
        </references>
      </pivotArea>
    </format>
    <format dxfId="21">
      <pivotArea dataOnly="0" labelOnly="1" fieldPosition="0">
        <references count="1">
          <reference field="1" count="1">
            <x v="351"/>
          </reference>
        </references>
      </pivotArea>
    </format>
    <format dxfId="20">
      <pivotArea dataOnly="0" labelOnly="1" fieldPosition="0">
        <references count="1">
          <reference field="1" count="1">
            <x v="156"/>
          </reference>
        </references>
      </pivotArea>
    </format>
    <format dxfId="19">
      <pivotArea dataOnly="0" labelOnly="1" fieldPosition="0">
        <references count="1">
          <reference field="1" count="1">
            <x v="358"/>
          </reference>
        </references>
      </pivotArea>
    </format>
    <format dxfId="18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17">
      <pivotArea dataOnly="0" labelOnly="1" fieldPosition="0">
        <references count="1">
          <reference field="1" count="1">
            <x v="438"/>
          </reference>
        </references>
      </pivotArea>
    </format>
    <format dxfId="16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15">
      <pivotArea dataOnly="0" labelOnly="1" fieldPosition="0">
        <references count="1">
          <reference field="1" count="1">
            <x v="309"/>
          </reference>
        </references>
      </pivotArea>
    </format>
    <format dxfId="14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13">
      <pivotArea dataOnly="0" labelOnly="1" fieldPosition="0">
        <references count="1">
          <reference field="1" count="1">
            <x v="374"/>
          </reference>
        </references>
      </pivotArea>
    </format>
    <format dxfId="12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1">
      <pivotArea dataOnly="0" labelOnly="1" fieldPosition="0">
        <references count="1">
          <reference field="1" count="1">
            <x v="407"/>
          </reference>
        </references>
      </pivotArea>
    </format>
    <format dxfId="10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8"/>
    <tableColumn id="5" xr3:uid="{DF37AD45-FC5C-478A-989D-9143E744CEEA}" name="voornaam" dataDxfId="7">
      <calculatedColumnFormula>VLOOKUP(Tabel2[[#This Row],[nr]],'data hastus'!A:C,3,FALSE)</calculatedColumnFormula>
    </tableColumn>
    <tableColumn id="6" xr3:uid="{4098FAFB-9B09-4A81-8B22-18CC90B5F979}" name="achternaam" dataDxfId="6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K910" totalsRowShown="0" headerRowDxfId="5">
  <autoFilter ref="A1:K910" xr:uid="{2FDE3AF6-1CE1-4F38-BD72-1F03CD30F4FC}">
    <filterColumn colId="5">
      <filters blank="1">
        <dateGroupItem year="2025" dateTimeGrouping="year"/>
      </filters>
    </filterColumn>
  </autoFilter>
  <sortState xmlns:xlrd2="http://schemas.microsoft.com/office/spreadsheetml/2017/richdata2" ref="A514:K910">
    <sortCondition ref="F1:F910"/>
  </sortState>
  <tableColumns count="11">
    <tableColumn id="1" xr3:uid="{A89FCEBD-EFF0-43A5-BEAC-9201FF09453E}" name="personeelsnr"/>
    <tableColumn id="23" xr3:uid="{3989647C-F1EB-4322-A586-1EC53B4E823E}" name="volledige naam" dataDxfId="4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10" xr3:uid="{8D9646BD-38B6-4F4D-9859-B3933369346B}" name="Datum" dataDxfId="3"/>
    <tableColumn id="22" xr3:uid="{ADDE5B3A-ACF9-4C98-8EF5-502630DB8E93}" name="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0" totalsRowShown="0">
  <autoFilter ref="A1:C40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table" Target="../tables/table3.xm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18" bestFit="1" customWidth="1"/>
    <col min="2" max="2" width="9.5703125" style="18" bestFit="1" customWidth="1"/>
    <col min="3" max="3" width="39.7109375" style="18" bestFit="1" customWidth="1"/>
    <col min="4" max="4" width="16.28515625" style="18" bestFit="1" customWidth="1"/>
    <col min="5" max="5" width="8.85546875" style="18"/>
    <col min="6" max="6" width="30.140625" style="18" bestFit="1" customWidth="1"/>
    <col min="7" max="7" width="16.28515625" style="18" bestFit="1" customWidth="1"/>
    <col min="8" max="8" width="5.42578125" style="18" bestFit="1" customWidth="1"/>
    <col min="9" max="9" width="19.42578125" style="18" bestFit="1" customWidth="1"/>
    <col min="10" max="10" width="16.28515625" style="18" bestFit="1" customWidth="1"/>
    <col min="11" max="11" width="5.5703125" style="18" bestFit="1" customWidth="1"/>
    <col min="12" max="12" width="10.140625" style="18" bestFit="1" customWidth="1"/>
    <col min="13" max="13" width="18.85546875" style="18" bestFit="1" customWidth="1"/>
    <col min="14" max="16384" width="8.85546875" style="18"/>
  </cols>
  <sheetData>
    <row r="2" spans="3:19" ht="15" customHeight="1" x14ac:dyDescent="0.25">
      <c r="J2" s="20"/>
      <c r="K2" s="21"/>
      <c r="L2" s="21"/>
      <c r="M2" s="21"/>
      <c r="N2" s="21"/>
      <c r="O2" s="21"/>
      <c r="P2" s="21"/>
      <c r="Q2" s="21"/>
      <c r="R2" s="21"/>
      <c r="S2" s="21"/>
    </row>
    <row r="3" spans="3:19" ht="15" customHeight="1" x14ac:dyDescent="0.25">
      <c r="J3" s="21"/>
      <c r="K3" s="21"/>
      <c r="L3" s="21"/>
      <c r="M3" s="21"/>
      <c r="N3" s="21"/>
      <c r="O3" s="21"/>
      <c r="P3" s="21"/>
      <c r="Q3" s="21"/>
      <c r="R3" s="21"/>
      <c r="S3" s="21"/>
    </row>
    <row r="4" spans="3:19" ht="15" customHeight="1" x14ac:dyDescent="0.25">
      <c r="J4" s="21"/>
      <c r="K4" s="21"/>
      <c r="L4" s="21"/>
      <c r="M4" s="21"/>
      <c r="N4" s="21"/>
      <c r="O4" s="21"/>
      <c r="P4" s="21"/>
      <c r="Q4" s="21"/>
      <c r="R4" s="21"/>
      <c r="S4" s="21"/>
    </row>
    <row r="5" spans="3:19" ht="15" customHeight="1" x14ac:dyDescent="0.25">
      <c r="J5" s="21"/>
      <c r="K5" s="21"/>
      <c r="L5" s="21"/>
      <c r="M5" s="21"/>
      <c r="N5" s="21"/>
      <c r="O5" s="21"/>
      <c r="P5" s="21"/>
      <c r="Q5" s="21"/>
      <c r="R5" s="21"/>
      <c r="S5" s="21"/>
    </row>
    <row r="6" spans="3:19" ht="15" customHeight="1" x14ac:dyDescent="0.25">
      <c r="J6" s="21"/>
      <c r="K6" s="21"/>
      <c r="L6" s="21"/>
      <c r="M6" s="21"/>
      <c r="N6" s="21"/>
      <c r="O6" s="21"/>
      <c r="P6" s="21"/>
      <c r="Q6" s="21"/>
      <c r="R6" s="21"/>
      <c r="S6" s="21"/>
    </row>
    <row r="7" spans="3:19" ht="15" customHeight="1" x14ac:dyDescent="0.25">
      <c r="J7" s="21"/>
      <c r="K7" s="21"/>
      <c r="L7" s="21"/>
      <c r="M7" s="21"/>
      <c r="N7" s="21"/>
      <c r="O7" s="21"/>
      <c r="P7" s="21"/>
      <c r="Q7" s="21"/>
      <c r="R7" s="21"/>
      <c r="S7" s="21"/>
    </row>
    <row r="8" spans="3:19" ht="15" customHeight="1" x14ac:dyDescent="0.25">
      <c r="J8" s="21"/>
      <c r="K8" s="21"/>
      <c r="L8" s="21"/>
      <c r="M8" s="21"/>
      <c r="N8" s="21"/>
      <c r="O8" s="21"/>
      <c r="P8" s="21"/>
      <c r="Q8" s="21"/>
      <c r="R8" s="21"/>
      <c r="S8" s="21"/>
    </row>
    <row r="9" spans="3:19" ht="15" customHeight="1" x14ac:dyDescent="0.25">
      <c r="J9" s="21"/>
      <c r="K9" s="21"/>
      <c r="L9" s="21"/>
      <c r="M9" s="21"/>
      <c r="N9" s="21"/>
      <c r="O9" s="21"/>
      <c r="P9" s="21"/>
      <c r="Q9" s="21"/>
      <c r="R9" s="21"/>
      <c r="S9" s="21"/>
    </row>
    <row r="10" spans="3:19" ht="15" customHeight="1" x14ac:dyDescent="0.25">
      <c r="J10" s="21"/>
      <c r="K10" s="21"/>
      <c r="L10" s="21"/>
      <c r="M10" s="21"/>
      <c r="N10" s="21"/>
      <c r="O10" s="21"/>
      <c r="P10" s="21"/>
      <c r="Q10" s="21"/>
      <c r="R10" s="21"/>
      <c r="S10" s="21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23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23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23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26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26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23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25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26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23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26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24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23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26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23" t="s">
        <v>45</v>
      </c>
      <c r="D26">
        <v>3</v>
      </c>
      <c r="F26" s="2" t="s">
        <v>46</v>
      </c>
      <c r="G26">
        <v>5</v>
      </c>
    </row>
    <row r="27" spans="2:11" x14ac:dyDescent="0.25">
      <c r="C27" s="26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23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26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23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22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25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23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23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26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23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23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23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26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23" t="s">
        <v>85</v>
      </c>
      <c r="D40">
        <v>2</v>
      </c>
      <c r="F40" s="2" t="s">
        <v>86</v>
      </c>
      <c r="G40">
        <v>2</v>
      </c>
    </row>
    <row r="41" spans="3:15" x14ac:dyDescent="0.25">
      <c r="C41" s="26" t="s">
        <v>87</v>
      </c>
      <c r="D41">
        <v>2</v>
      </c>
      <c r="F41" s="2" t="s">
        <v>88</v>
      </c>
      <c r="G41">
        <v>2</v>
      </c>
      <c r="I41" s="28" t="s">
        <v>89</v>
      </c>
      <c r="J41" s="28"/>
      <c r="K41" s="28"/>
      <c r="L41" s="16"/>
      <c r="M41" s="28" t="s">
        <v>90</v>
      </c>
      <c r="N41" s="28"/>
      <c r="O41" s="28"/>
    </row>
    <row r="42" spans="3:15" x14ac:dyDescent="0.25">
      <c r="C42" s="23" t="s">
        <v>91</v>
      </c>
      <c r="D42">
        <v>2</v>
      </c>
      <c r="F42" s="2" t="s">
        <v>92</v>
      </c>
      <c r="G42">
        <v>2</v>
      </c>
      <c r="I42" s="8">
        <f>'[1]Ingeplande per TC'!$A$2</f>
        <v>7</v>
      </c>
      <c r="J42" s="8" t="str">
        <f>'[1]Ingeplande per TC'!$B$2</f>
        <v>Christoff Rotty</v>
      </c>
      <c r="K42" s="8"/>
      <c r="L42" s="16"/>
      <c r="M42" s="8">
        <f>'[1]Ingeplande per TC'!$D$2</f>
        <v>25</v>
      </c>
      <c r="N42" s="8" t="str">
        <f>'[1]Ingeplande per TC'!$B$2</f>
        <v>Christoff Rotty</v>
      </c>
      <c r="O42" s="8"/>
    </row>
    <row r="43" spans="3:15" x14ac:dyDescent="0.25">
      <c r="C43" s="23" t="s">
        <v>93</v>
      </c>
      <c r="D43">
        <v>2</v>
      </c>
      <c r="F43" s="2" t="s">
        <v>94</v>
      </c>
      <c r="G43">
        <v>2</v>
      </c>
      <c r="I43" s="8">
        <f>'[1]Ingeplande per TC'!$A$3</f>
        <v>13</v>
      </c>
      <c r="J43" s="8" t="str">
        <f>'[1]Ingeplande per TC'!$B$3</f>
        <v>Bart Van der Beken</v>
      </c>
      <c r="K43" s="8"/>
      <c r="L43" s="16"/>
      <c r="M43" s="8">
        <f>'[1]Ingeplande per TC'!$D$3</f>
        <v>19</v>
      </c>
      <c r="N43" s="8" t="str">
        <f>'[1]Ingeplande per TC'!$B$3</f>
        <v>Bart Van der Beken</v>
      </c>
      <c r="O43" s="8"/>
    </row>
    <row r="44" spans="3:15" x14ac:dyDescent="0.25">
      <c r="C44" s="26" t="s">
        <v>95</v>
      </c>
      <c r="D44">
        <v>2</v>
      </c>
      <c r="F44" s="2" t="s">
        <v>96</v>
      </c>
      <c r="G44">
        <v>2</v>
      </c>
      <c r="I44" s="8">
        <f>'[1]Ingeplande per TC'!$A$4</f>
        <v>13</v>
      </c>
      <c r="J44" s="8" t="str">
        <f>'[1]Ingeplande per TC'!$B$4</f>
        <v>Els Dewulf</v>
      </c>
      <c r="K44" s="8"/>
      <c r="L44" s="16"/>
      <c r="M44" s="8">
        <f>'[1]Ingeplande per TC'!$D$4</f>
        <v>21</v>
      </c>
      <c r="N44" s="8" t="str">
        <f>'[1]Ingeplande per TC'!$B$4</f>
        <v>Els Dewulf</v>
      </c>
      <c r="O44" s="8"/>
    </row>
    <row r="45" spans="3:15" x14ac:dyDescent="0.25">
      <c r="C45" s="23" t="s">
        <v>97</v>
      </c>
      <c r="D45">
        <v>2</v>
      </c>
      <c r="F45" s="2" t="s">
        <v>98</v>
      </c>
      <c r="G45">
        <v>2</v>
      </c>
      <c r="I45" s="8">
        <f>'[1]Ingeplande per TC'!$A$5</f>
        <v>12</v>
      </c>
      <c r="J45" s="8" t="str">
        <f>'[1]Ingeplande per TC'!$B$5</f>
        <v>Els Vanhoe</v>
      </c>
      <c r="K45" s="8"/>
      <c r="L45" s="16"/>
      <c r="M45" s="8">
        <f>'[1]Ingeplande per TC'!$D$5</f>
        <v>19</v>
      </c>
      <c r="N45" s="8" t="str">
        <f>'[1]Ingeplande per TC'!$B$5</f>
        <v>Els Vanhoe</v>
      </c>
      <c r="O45" s="8"/>
    </row>
    <row r="46" spans="3:15" x14ac:dyDescent="0.25">
      <c r="C46" s="26" t="s">
        <v>99</v>
      </c>
      <c r="D46">
        <v>2</v>
      </c>
      <c r="F46" s="2" t="s">
        <v>100</v>
      </c>
      <c r="G46">
        <v>2</v>
      </c>
      <c r="I46" s="8">
        <f>'[1]Ingeplande per TC'!$A$6</f>
        <v>13</v>
      </c>
      <c r="J46" s="8" t="str">
        <f>'[1]Ingeplande per TC'!$B$6</f>
        <v>Dominique De Clercq</v>
      </c>
      <c r="K46" s="8"/>
      <c r="L46" s="16"/>
      <c r="M46" s="8">
        <f>'[1]Ingeplande per TC'!$D$6</f>
        <v>30</v>
      </c>
      <c r="N46" s="8" t="str">
        <f>'[1]Ingeplande per TC'!$B$6</f>
        <v>Dominique De Clercq</v>
      </c>
      <c r="O46" s="8"/>
    </row>
    <row r="47" spans="3:15" x14ac:dyDescent="0.25">
      <c r="C47" s="26" t="s">
        <v>101</v>
      </c>
      <c r="D47">
        <v>2</v>
      </c>
      <c r="F47" s="2" t="s">
        <v>102</v>
      </c>
      <c r="G47">
        <v>2</v>
      </c>
      <c r="I47" s="8">
        <f>'[1]Ingeplande per TC'!$A$7</f>
        <v>7</v>
      </c>
      <c r="J47" s="8" t="str">
        <f>'[1]Ingeplande per TC'!$B$7</f>
        <v>Steven Storm</v>
      </c>
      <c r="K47" s="8"/>
      <c r="L47" s="16"/>
      <c r="M47" s="8">
        <f>'[1]Ingeplande per TC'!$D$7</f>
        <v>11</v>
      </c>
      <c r="N47" s="8" t="str">
        <f>'[1]Ingeplande per TC'!$B$7</f>
        <v>Steven Storm</v>
      </c>
      <c r="O47" s="8"/>
    </row>
    <row r="48" spans="3:15" x14ac:dyDescent="0.25">
      <c r="C48" s="26" t="s">
        <v>103</v>
      </c>
      <c r="D48">
        <v>2</v>
      </c>
      <c r="F48" s="2" t="s">
        <v>104</v>
      </c>
      <c r="G48">
        <v>2</v>
      </c>
      <c r="I48" s="8">
        <f>'[1]Ingeplande per TC'!$A$8</f>
        <v>10</v>
      </c>
      <c r="J48" s="8" t="str">
        <f>'[1]Ingeplande per TC'!$B$8</f>
        <v>Lucie Vande Velde</v>
      </c>
      <c r="K48" s="8"/>
      <c r="L48" s="16"/>
      <c r="M48" s="8">
        <f>'[1]Ingeplande per TC'!$D$8</f>
        <v>21</v>
      </c>
      <c r="N48" s="8" t="str">
        <f>'[1]Ingeplande per TC'!$B$8</f>
        <v>Lucie Vande Velde</v>
      </c>
      <c r="O48" s="8"/>
    </row>
    <row r="49" spans="3:15" x14ac:dyDescent="0.25">
      <c r="C49" s="26" t="s">
        <v>105</v>
      </c>
      <c r="D49">
        <v>2</v>
      </c>
      <c r="F49" s="2" t="s">
        <v>106</v>
      </c>
      <c r="G49">
        <v>2</v>
      </c>
      <c r="I49" s="8">
        <f>'[1]Ingeplande per TC'!$A$9</f>
        <v>11</v>
      </c>
      <c r="J49" s="8" t="str">
        <f>'[1]Ingeplande per TC'!$B$9</f>
        <v>Kenneth De Rick</v>
      </c>
      <c r="K49" s="8"/>
      <c r="L49" s="16"/>
      <c r="M49" s="8">
        <f>'[1]Ingeplande per TC'!$D$9</f>
        <v>22</v>
      </c>
      <c r="N49" s="8" t="str">
        <f>'[1]Ingeplande per TC'!$B$9</f>
        <v>Kenneth De Rick</v>
      </c>
      <c r="O49" s="8"/>
    </row>
    <row r="50" spans="3:15" x14ac:dyDescent="0.25">
      <c r="C50" s="23" t="s">
        <v>107</v>
      </c>
      <c r="D50">
        <v>2</v>
      </c>
      <c r="F50" s="2" t="s">
        <v>108</v>
      </c>
      <c r="G50">
        <v>2</v>
      </c>
      <c r="I50" s="9">
        <f>SUM(I42:I49)</f>
        <v>86</v>
      </c>
      <c r="J50" s="9" t="s">
        <v>109</v>
      </c>
      <c r="K50" s="9"/>
      <c r="L50" s="16"/>
      <c r="M50" s="9">
        <f>SUM(M42:M49)</f>
        <v>168</v>
      </c>
      <c r="N50" s="9" t="s">
        <v>109</v>
      </c>
      <c r="O50" s="9"/>
    </row>
    <row r="51" spans="3:15" x14ac:dyDescent="0.25">
      <c r="C51" s="23" t="s">
        <v>110</v>
      </c>
      <c r="D51">
        <v>2</v>
      </c>
      <c r="F51" s="2" t="s">
        <v>111</v>
      </c>
      <c r="G51">
        <v>2</v>
      </c>
    </row>
    <row r="52" spans="3:15" x14ac:dyDescent="0.25">
      <c r="C52" s="26" t="s">
        <v>112</v>
      </c>
      <c r="D52">
        <v>2</v>
      </c>
      <c r="F52" s="2" t="s">
        <v>113</v>
      </c>
      <c r="G52">
        <v>2</v>
      </c>
    </row>
    <row r="53" spans="3:15" x14ac:dyDescent="0.25">
      <c r="C53" s="23" t="s">
        <v>114</v>
      </c>
      <c r="D53">
        <v>2</v>
      </c>
      <c r="F53" s="2" t="s">
        <v>115</v>
      </c>
      <c r="G53">
        <v>2</v>
      </c>
    </row>
    <row r="54" spans="3:15" x14ac:dyDescent="0.25">
      <c r="C54" s="26" t="s">
        <v>116</v>
      </c>
      <c r="D54">
        <v>2</v>
      </c>
      <c r="F54" s="2" t="s">
        <v>117</v>
      </c>
      <c r="G54">
        <v>2</v>
      </c>
    </row>
    <row r="55" spans="3:15" x14ac:dyDescent="0.25">
      <c r="C55" s="26" t="s">
        <v>118</v>
      </c>
      <c r="D55">
        <v>2</v>
      </c>
      <c r="F55" s="2" t="s">
        <v>119</v>
      </c>
      <c r="G55">
        <v>2</v>
      </c>
    </row>
    <row r="56" spans="3:15" x14ac:dyDescent="0.25">
      <c r="C56" s="26" t="s">
        <v>120</v>
      </c>
      <c r="D56">
        <v>2</v>
      </c>
      <c r="F56" s="2" t="s">
        <v>121</v>
      </c>
      <c r="G56">
        <v>2</v>
      </c>
    </row>
    <row r="57" spans="3:15" x14ac:dyDescent="0.25">
      <c r="C57" s="23" t="s">
        <v>122</v>
      </c>
      <c r="D57">
        <v>2</v>
      </c>
      <c r="F57" s="2" t="s">
        <v>123</v>
      </c>
      <c r="G57">
        <v>2</v>
      </c>
    </row>
    <row r="58" spans="3:15" x14ac:dyDescent="0.25">
      <c r="C58" s="23" t="s">
        <v>124</v>
      </c>
      <c r="D58">
        <v>2</v>
      </c>
      <c r="F58" s="2" t="s">
        <v>125</v>
      </c>
      <c r="G58">
        <v>2</v>
      </c>
    </row>
    <row r="59" spans="3:15" x14ac:dyDescent="0.25">
      <c r="C59" s="26" t="s">
        <v>126</v>
      </c>
      <c r="D59">
        <v>2</v>
      </c>
      <c r="F59" s="2" t="s">
        <v>127</v>
      </c>
      <c r="G59">
        <v>2</v>
      </c>
    </row>
    <row r="60" spans="3:15" x14ac:dyDescent="0.25">
      <c r="C60" s="23" t="s">
        <v>128</v>
      </c>
      <c r="D60">
        <v>2</v>
      </c>
      <c r="F60" s="2" t="s">
        <v>129</v>
      </c>
      <c r="G60">
        <v>2</v>
      </c>
    </row>
    <row r="61" spans="3:15" x14ac:dyDescent="0.25">
      <c r="C61" s="23" t="s">
        <v>130</v>
      </c>
      <c r="D61">
        <v>2</v>
      </c>
      <c r="F61" s="2" t="s">
        <v>131</v>
      </c>
      <c r="G61">
        <v>2</v>
      </c>
    </row>
    <row r="62" spans="3:15" x14ac:dyDescent="0.25">
      <c r="C62" s="26" t="s">
        <v>132</v>
      </c>
      <c r="D62">
        <v>2</v>
      </c>
      <c r="F62" s="2" t="s">
        <v>133</v>
      </c>
      <c r="G62">
        <v>2</v>
      </c>
    </row>
    <row r="63" spans="3:15" x14ac:dyDescent="0.25">
      <c r="C63" s="26" t="s">
        <v>134</v>
      </c>
      <c r="D63">
        <v>2</v>
      </c>
      <c r="F63" s="2" t="s">
        <v>135</v>
      </c>
      <c r="G63">
        <v>2</v>
      </c>
    </row>
    <row r="64" spans="3:15" x14ac:dyDescent="0.25">
      <c r="C64" s="23" t="s">
        <v>136</v>
      </c>
      <c r="D64">
        <v>2</v>
      </c>
      <c r="F64" s="2" t="s">
        <v>137</v>
      </c>
      <c r="G64">
        <v>1</v>
      </c>
    </row>
    <row r="65" spans="3:7" x14ac:dyDescent="0.25">
      <c r="C65" s="26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9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L910"/>
  <sheetViews>
    <sheetView tabSelected="1" zoomScale="85" zoomScaleNormal="85" workbookViewId="0">
      <pane ySplit="1" topLeftCell="A840" activePane="bottomLeft" state="frozen"/>
      <selection activeCell="F1" sqref="F1"/>
      <selection pane="bottomLeft" activeCell="K866" sqref="K866"/>
    </sheetView>
  </sheetViews>
  <sheetFormatPr defaultRowHeight="15" x14ac:dyDescent="0.25"/>
  <cols>
    <col min="1" max="1" width="15.42578125" bestFit="1" customWidth="1"/>
    <col min="2" max="2" width="41" bestFit="1" customWidth="1"/>
    <col min="3" max="3" width="21.42578125" customWidth="1"/>
    <col min="4" max="5" width="19.7109375" bestFit="1" customWidth="1"/>
    <col min="6" max="6" width="12.28515625" style="7" bestFit="1" customWidth="1"/>
    <col min="7" max="7" width="42.85546875" style="5" customWidth="1"/>
    <col min="8" max="8" width="12.28515625" bestFit="1" customWidth="1"/>
    <col min="9" max="9" width="31.5703125" bestFit="1" customWidth="1"/>
    <col min="10" max="10" width="10.7109375" bestFit="1" customWidth="1"/>
    <col min="11" max="11" width="8.7109375" style="27" bestFit="1" customWidth="1"/>
  </cols>
  <sheetData>
    <row r="1" spans="1:12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19" t="s">
        <v>373</v>
      </c>
      <c r="G1" s="17" t="s">
        <v>374</v>
      </c>
      <c r="H1" t="s">
        <v>375</v>
      </c>
      <c r="I1" t="s">
        <v>376</v>
      </c>
      <c r="J1" t="s">
        <v>3542</v>
      </c>
      <c r="K1" s="27" t="s">
        <v>3546</v>
      </c>
    </row>
    <row r="2" spans="1:12" s="10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377</v>
      </c>
      <c r="D2" t="s">
        <v>377</v>
      </c>
      <c r="E2" t="s">
        <v>79</v>
      </c>
      <c r="F2" s="7">
        <v>45296</v>
      </c>
      <c r="G2" s="6" t="s">
        <v>378</v>
      </c>
      <c r="H2" t="s">
        <v>7</v>
      </c>
      <c r="I2" t="s">
        <v>13</v>
      </c>
      <c r="J2"/>
      <c r="K2"/>
      <c r="L2"/>
    </row>
    <row r="3" spans="1:12" s="10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7">
        <v>45296</v>
      </c>
      <c r="G3" s="6" t="s">
        <v>379</v>
      </c>
      <c r="H3" t="s">
        <v>8</v>
      </c>
      <c r="I3" t="s">
        <v>72</v>
      </c>
      <c r="J3"/>
      <c r="K3"/>
      <c r="L3"/>
    </row>
    <row r="4" spans="1:12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7">
        <v>45296</v>
      </c>
      <c r="G4" s="6" t="s">
        <v>380</v>
      </c>
      <c r="H4" t="s">
        <v>7</v>
      </c>
      <c r="I4" t="s">
        <v>10</v>
      </c>
      <c r="K4"/>
    </row>
    <row r="5" spans="1:12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7">
        <v>45297</v>
      </c>
      <c r="G5" s="6" t="s">
        <v>381</v>
      </c>
      <c r="H5" t="s">
        <v>7</v>
      </c>
      <c r="I5" t="s">
        <v>10</v>
      </c>
      <c r="K5"/>
    </row>
    <row r="6" spans="1:12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7">
        <v>45299</v>
      </c>
      <c r="G6" s="6" t="s">
        <v>382</v>
      </c>
      <c r="H6" t="s">
        <v>7</v>
      </c>
      <c r="I6" t="s">
        <v>10</v>
      </c>
      <c r="K6"/>
    </row>
    <row r="7" spans="1:12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7">
        <v>45299</v>
      </c>
      <c r="G7" s="6" t="s">
        <v>383</v>
      </c>
      <c r="H7" t="s">
        <v>8</v>
      </c>
      <c r="I7" t="s">
        <v>10</v>
      </c>
      <c r="K7"/>
    </row>
    <row r="8" spans="1:12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7">
        <v>45301</v>
      </c>
      <c r="G8" s="6" t="s">
        <v>384</v>
      </c>
      <c r="H8" t="s">
        <v>7</v>
      </c>
      <c r="I8" t="s">
        <v>385</v>
      </c>
      <c r="K8"/>
    </row>
    <row r="9" spans="1:12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7">
        <v>45301</v>
      </c>
      <c r="G9" s="6" t="s">
        <v>386</v>
      </c>
      <c r="H9" t="s">
        <v>7</v>
      </c>
      <c r="I9" t="s">
        <v>385</v>
      </c>
      <c r="K9"/>
    </row>
    <row r="10" spans="1:12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7">
        <v>45302</v>
      </c>
      <c r="G10" s="6" t="s">
        <v>387</v>
      </c>
      <c r="H10" t="s">
        <v>7</v>
      </c>
      <c r="I10" t="s">
        <v>267</v>
      </c>
      <c r="K10"/>
    </row>
    <row r="11" spans="1:12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7">
        <v>45302</v>
      </c>
      <c r="G11" s="6" t="s">
        <v>388</v>
      </c>
      <c r="H11" t="s">
        <v>8</v>
      </c>
      <c r="I11" t="s">
        <v>171</v>
      </c>
      <c r="K11"/>
    </row>
    <row r="12" spans="1:12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7">
        <v>45302</v>
      </c>
      <c r="G12" s="6" t="s">
        <v>389</v>
      </c>
      <c r="H12" t="s">
        <v>7</v>
      </c>
      <c r="I12" t="s">
        <v>385</v>
      </c>
      <c r="K12"/>
    </row>
    <row r="13" spans="1:12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7">
        <v>45303</v>
      </c>
      <c r="G13" s="6" t="s">
        <v>390</v>
      </c>
      <c r="H13" t="s">
        <v>7</v>
      </c>
      <c r="I13" t="s">
        <v>10</v>
      </c>
      <c r="K13"/>
    </row>
    <row r="14" spans="1:12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377</v>
      </c>
      <c r="D14" t="s">
        <v>377</v>
      </c>
      <c r="E14" t="s">
        <v>79</v>
      </c>
      <c r="F14" s="7">
        <v>45303</v>
      </c>
      <c r="G14" s="6" t="s">
        <v>391</v>
      </c>
      <c r="H14" t="s">
        <v>7</v>
      </c>
      <c r="I14" t="s">
        <v>66</v>
      </c>
      <c r="K14"/>
    </row>
    <row r="15" spans="1:12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377</v>
      </c>
      <c r="D15" t="s">
        <v>377</v>
      </c>
      <c r="E15" t="s">
        <v>79</v>
      </c>
      <c r="F15" s="7">
        <v>45303</v>
      </c>
      <c r="G15" s="6" t="s">
        <v>392</v>
      </c>
      <c r="H15" t="s">
        <v>8</v>
      </c>
      <c r="I15" t="s">
        <v>185</v>
      </c>
      <c r="K15"/>
    </row>
    <row r="16" spans="1:12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7">
        <v>45303</v>
      </c>
      <c r="G16" s="6" t="s">
        <v>393</v>
      </c>
      <c r="H16" t="s">
        <v>7</v>
      </c>
      <c r="I16" t="s">
        <v>19</v>
      </c>
      <c r="K16"/>
    </row>
    <row r="17" spans="1:11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7">
        <v>45306</v>
      </c>
      <c r="G17" s="6" t="s">
        <v>394</v>
      </c>
      <c r="H17" t="s">
        <v>7</v>
      </c>
      <c r="I17" t="s">
        <v>10</v>
      </c>
      <c r="K17"/>
    </row>
    <row r="18" spans="1:11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7">
        <v>45306</v>
      </c>
      <c r="G18" s="6" t="s">
        <v>395</v>
      </c>
      <c r="H18" t="s">
        <v>7</v>
      </c>
      <c r="I18" t="s">
        <v>28</v>
      </c>
      <c r="K18"/>
    </row>
    <row r="19" spans="1:11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7">
        <v>45306</v>
      </c>
      <c r="G19" s="6" t="s">
        <v>396</v>
      </c>
      <c r="H19" t="s">
        <v>7</v>
      </c>
      <c r="I19" t="s">
        <v>43</v>
      </c>
      <c r="K19"/>
    </row>
    <row r="20" spans="1:11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7">
        <v>45308</v>
      </c>
      <c r="G20" s="6" t="s">
        <v>397</v>
      </c>
      <c r="H20" t="s">
        <v>7</v>
      </c>
      <c r="I20" t="s">
        <v>171</v>
      </c>
      <c r="K20"/>
    </row>
    <row r="21" spans="1:11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7">
        <v>45308</v>
      </c>
      <c r="G21" s="6" t="s">
        <v>398</v>
      </c>
      <c r="H21" t="s">
        <v>7</v>
      </c>
      <c r="I21" t="s">
        <v>119</v>
      </c>
      <c r="K21"/>
    </row>
    <row r="22" spans="1:11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7">
        <v>45308</v>
      </c>
      <c r="G22" s="6" t="s">
        <v>399</v>
      </c>
      <c r="H22" t="s">
        <v>7</v>
      </c>
      <c r="I22" t="s">
        <v>31</v>
      </c>
      <c r="K22"/>
    </row>
    <row r="23" spans="1:11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7">
        <v>45309</v>
      </c>
      <c r="G23" s="6" t="s">
        <v>400</v>
      </c>
      <c r="H23" t="s">
        <v>7</v>
      </c>
      <c r="I23" t="s">
        <v>401</v>
      </c>
      <c r="K23"/>
    </row>
    <row r="24" spans="1:11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7">
        <v>45310</v>
      </c>
      <c r="G24" s="6" t="s">
        <v>402</v>
      </c>
      <c r="H24" t="s">
        <v>7</v>
      </c>
      <c r="I24" t="s">
        <v>54</v>
      </c>
      <c r="K24"/>
    </row>
    <row r="25" spans="1:11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377</v>
      </c>
      <c r="D25" t="s">
        <v>377</v>
      </c>
      <c r="E25" t="s">
        <v>79</v>
      </c>
      <c r="F25" s="7">
        <v>45311</v>
      </c>
      <c r="G25" s="6" t="s">
        <v>403</v>
      </c>
      <c r="H25" t="s">
        <v>7</v>
      </c>
      <c r="I25" t="s">
        <v>203</v>
      </c>
      <c r="K25"/>
    </row>
    <row r="26" spans="1:11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377</v>
      </c>
      <c r="D26" t="s">
        <v>377</v>
      </c>
      <c r="E26" t="s">
        <v>79</v>
      </c>
      <c r="F26" s="7">
        <v>45311</v>
      </c>
      <c r="G26" s="6" t="s">
        <v>404</v>
      </c>
      <c r="H26" t="s">
        <v>7</v>
      </c>
      <c r="I26" t="s">
        <v>277</v>
      </c>
      <c r="K26"/>
    </row>
    <row r="27" spans="1:11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7">
        <v>45312</v>
      </c>
      <c r="G27" s="6" t="s">
        <v>405</v>
      </c>
      <c r="H27" t="s">
        <v>8</v>
      </c>
      <c r="I27" t="s">
        <v>239</v>
      </c>
      <c r="K27"/>
    </row>
    <row r="28" spans="1:11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377</v>
      </c>
      <c r="D28" t="s">
        <v>377</v>
      </c>
      <c r="E28" t="s">
        <v>79</v>
      </c>
      <c r="F28" s="7">
        <v>45313</v>
      </c>
      <c r="G28" s="6" t="s">
        <v>406</v>
      </c>
      <c r="H28" t="s">
        <v>7</v>
      </c>
      <c r="I28" t="s">
        <v>407</v>
      </c>
      <c r="K28"/>
    </row>
    <row r="29" spans="1:11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7">
        <v>45314</v>
      </c>
      <c r="G29" s="6" t="s">
        <v>408</v>
      </c>
      <c r="H29" t="s">
        <v>7</v>
      </c>
      <c r="I29" t="s">
        <v>10</v>
      </c>
      <c r="K29"/>
    </row>
    <row r="30" spans="1:11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7">
        <v>45314</v>
      </c>
      <c r="G30" s="6" t="s">
        <v>409</v>
      </c>
      <c r="H30" t="s">
        <v>7</v>
      </c>
      <c r="I30" t="s">
        <v>125</v>
      </c>
      <c r="K30"/>
    </row>
    <row r="31" spans="1:11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7">
        <v>45315</v>
      </c>
      <c r="G31" s="6" t="s">
        <v>410</v>
      </c>
      <c r="H31" t="s">
        <v>7</v>
      </c>
      <c r="I31" t="s">
        <v>411</v>
      </c>
      <c r="K31"/>
    </row>
    <row r="32" spans="1:11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7">
        <v>45316</v>
      </c>
      <c r="G32" s="6" t="s">
        <v>412</v>
      </c>
      <c r="H32" t="s">
        <v>7</v>
      </c>
      <c r="I32" t="s">
        <v>413</v>
      </c>
      <c r="K32"/>
    </row>
    <row r="33" spans="1:11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7">
        <v>45316</v>
      </c>
      <c r="G33" s="6" t="s">
        <v>414</v>
      </c>
      <c r="H33" t="s">
        <v>7</v>
      </c>
      <c r="I33" t="s">
        <v>241</v>
      </c>
      <c r="K33"/>
    </row>
    <row r="34" spans="1:11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7">
        <v>45317</v>
      </c>
      <c r="G34" s="6" t="s">
        <v>415</v>
      </c>
      <c r="H34" t="s">
        <v>7</v>
      </c>
      <c r="I34" t="s">
        <v>37</v>
      </c>
      <c r="K34"/>
    </row>
    <row r="35" spans="1:11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7">
        <v>45319</v>
      </c>
      <c r="G35" s="6" t="s">
        <v>416</v>
      </c>
      <c r="H35" t="s">
        <v>7</v>
      </c>
      <c r="I35" t="s">
        <v>10</v>
      </c>
      <c r="K35"/>
    </row>
    <row r="36" spans="1:11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7">
        <v>45320</v>
      </c>
      <c r="G36" s="6" t="s">
        <v>417</v>
      </c>
      <c r="H36" t="s">
        <v>7</v>
      </c>
      <c r="I36" t="s">
        <v>48</v>
      </c>
      <c r="K36"/>
    </row>
    <row r="37" spans="1:11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7">
        <v>45321</v>
      </c>
      <c r="G37" s="6" t="s">
        <v>418</v>
      </c>
      <c r="H37" t="s">
        <v>7</v>
      </c>
      <c r="I37" t="s">
        <v>385</v>
      </c>
      <c r="K37"/>
    </row>
    <row r="38" spans="1:11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7">
        <v>45322</v>
      </c>
      <c r="G38" s="6" t="s">
        <v>419</v>
      </c>
      <c r="H38" t="s">
        <v>7</v>
      </c>
      <c r="I38" t="s">
        <v>66</v>
      </c>
      <c r="K38"/>
    </row>
    <row r="39" spans="1:11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7">
        <v>45322</v>
      </c>
      <c r="G39" s="6" t="s">
        <v>420</v>
      </c>
      <c r="H39" t="s">
        <v>7</v>
      </c>
      <c r="I39" t="s">
        <v>10</v>
      </c>
      <c r="K39"/>
    </row>
    <row r="40" spans="1:11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7">
        <v>45322</v>
      </c>
      <c r="G40" s="6" t="s">
        <v>421</v>
      </c>
      <c r="H40" t="s">
        <v>7</v>
      </c>
      <c r="I40" t="s">
        <v>10</v>
      </c>
      <c r="K40"/>
    </row>
    <row r="41" spans="1:11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7">
        <v>45322</v>
      </c>
      <c r="G41" s="6" t="s">
        <v>422</v>
      </c>
      <c r="H41" t="s">
        <v>7</v>
      </c>
      <c r="I41" t="s">
        <v>10</v>
      </c>
      <c r="K41"/>
    </row>
    <row r="42" spans="1:11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7">
        <v>45323</v>
      </c>
      <c r="G42" s="6" t="s">
        <v>423</v>
      </c>
      <c r="H42" t="s">
        <v>7</v>
      </c>
      <c r="I42" t="s">
        <v>189</v>
      </c>
      <c r="K42"/>
    </row>
    <row r="43" spans="1:11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7">
        <v>45324</v>
      </c>
      <c r="G43" s="6" t="s">
        <v>424</v>
      </c>
      <c r="H43" t="s">
        <v>7</v>
      </c>
      <c r="I43" t="s">
        <v>385</v>
      </c>
      <c r="K43"/>
    </row>
    <row r="44" spans="1:11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7">
        <v>45324</v>
      </c>
      <c r="G44" s="6" t="s">
        <v>425</v>
      </c>
      <c r="H44" t="s">
        <v>7</v>
      </c>
      <c r="I44" t="s">
        <v>385</v>
      </c>
      <c r="K44"/>
    </row>
    <row r="45" spans="1:11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7">
        <v>45325</v>
      </c>
      <c r="G45" s="6" t="s">
        <v>426</v>
      </c>
      <c r="H45" t="s">
        <v>7</v>
      </c>
      <c r="I45" t="s">
        <v>34</v>
      </c>
      <c r="K45"/>
    </row>
    <row r="46" spans="1:11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7">
        <v>45325</v>
      </c>
      <c r="G46" s="6" t="s">
        <v>427</v>
      </c>
      <c r="H46" t="s">
        <v>7</v>
      </c>
      <c r="I46" t="s">
        <v>428</v>
      </c>
      <c r="K46"/>
    </row>
    <row r="47" spans="1:11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7">
        <v>45326</v>
      </c>
      <c r="G47" s="6" t="s">
        <v>429</v>
      </c>
      <c r="H47" t="s">
        <v>7</v>
      </c>
      <c r="I47" t="s">
        <v>171</v>
      </c>
      <c r="K47"/>
    </row>
    <row r="48" spans="1:11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7">
        <v>45326</v>
      </c>
      <c r="G48" s="6" t="s">
        <v>430</v>
      </c>
      <c r="H48" t="s">
        <v>7</v>
      </c>
      <c r="I48" t="s">
        <v>54</v>
      </c>
      <c r="K48"/>
    </row>
    <row r="49" spans="1:11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7">
        <v>45326</v>
      </c>
      <c r="G49" s="6" t="s">
        <v>431</v>
      </c>
      <c r="H49" t="s">
        <v>7</v>
      </c>
      <c r="I49" t="s">
        <v>432</v>
      </c>
      <c r="K49"/>
    </row>
    <row r="50" spans="1:11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7">
        <v>45326</v>
      </c>
      <c r="G50" s="6" t="s">
        <v>433</v>
      </c>
      <c r="H50" t="s">
        <v>8</v>
      </c>
      <c r="I50" t="s">
        <v>171</v>
      </c>
      <c r="K50"/>
    </row>
    <row r="51" spans="1:11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7">
        <v>45327</v>
      </c>
      <c r="G51" s="6" t="s">
        <v>434</v>
      </c>
      <c r="H51" t="s">
        <v>7</v>
      </c>
      <c r="I51" t="s">
        <v>40</v>
      </c>
      <c r="K51"/>
    </row>
    <row r="52" spans="1:11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7">
        <v>45328</v>
      </c>
      <c r="G52" s="6" t="s">
        <v>435</v>
      </c>
      <c r="H52" t="s">
        <v>7</v>
      </c>
      <c r="I52" t="s">
        <v>10</v>
      </c>
      <c r="K52"/>
    </row>
    <row r="53" spans="1:11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7">
        <v>45329</v>
      </c>
      <c r="G53" s="6" t="s">
        <v>436</v>
      </c>
      <c r="H53" t="s">
        <v>7</v>
      </c>
      <c r="I53" t="s">
        <v>437</v>
      </c>
      <c r="K53"/>
    </row>
    <row r="54" spans="1:11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7">
        <v>45329</v>
      </c>
      <c r="G54" s="6" t="s">
        <v>438</v>
      </c>
      <c r="H54" t="s">
        <v>8</v>
      </c>
      <c r="I54" t="s">
        <v>159</v>
      </c>
      <c r="K54"/>
    </row>
    <row r="55" spans="1:11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7">
        <v>45330</v>
      </c>
      <c r="G55" s="6" t="s">
        <v>439</v>
      </c>
      <c r="H55" t="s">
        <v>7</v>
      </c>
      <c r="I55" t="s">
        <v>10</v>
      </c>
      <c r="K55"/>
    </row>
    <row r="56" spans="1:11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7">
        <v>45330</v>
      </c>
      <c r="G56" s="6" t="s">
        <v>440</v>
      </c>
      <c r="H56" t="s">
        <v>8</v>
      </c>
      <c r="I56" t="s">
        <v>10</v>
      </c>
      <c r="K56"/>
    </row>
    <row r="57" spans="1:11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7">
        <v>45331</v>
      </c>
      <c r="G57" s="6" t="s">
        <v>441</v>
      </c>
      <c r="H57" t="s">
        <v>7</v>
      </c>
      <c r="I57" t="s">
        <v>16</v>
      </c>
      <c r="K57"/>
    </row>
    <row r="58" spans="1:11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7">
        <v>45335</v>
      </c>
      <c r="G58" s="6" t="s">
        <v>442</v>
      </c>
      <c r="H58" t="s">
        <v>7</v>
      </c>
      <c r="I58" t="s">
        <v>10</v>
      </c>
      <c r="K58"/>
    </row>
    <row r="59" spans="1:11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377</v>
      </c>
      <c r="D59" t="s">
        <v>377</v>
      </c>
      <c r="E59" t="s">
        <v>79</v>
      </c>
      <c r="F59" s="7">
        <v>45336</v>
      </c>
      <c r="G59" s="6" t="s">
        <v>443</v>
      </c>
      <c r="H59" t="s">
        <v>7</v>
      </c>
      <c r="I59" t="s">
        <v>444</v>
      </c>
      <c r="K59"/>
    </row>
    <row r="60" spans="1:11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7">
        <v>45337</v>
      </c>
      <c r="G60" s="6" t="s">
        <v>445</v>
      </c>
      <c r="H60" t="s">
        <v>7</v>
      </c>
      <c r="I60" t="s">
        <v>177</v>
      </c>
      <c r="K60"/>
    </row>
    <row r="61" spans="1:11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7">
        <v>45337</v>
      </c>
      <c r="G61" s="6" t="s">
        <v>446</v>
      </c>
      <c r="H61" t="s">
        <v>7</v>
      </c>
      <c r="I61" t="s">
        <v>113</v>
      </c>
      <c r="K61"/>
    </row>
    <row r="62" spans="1:11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7">
        <v>45338</v>
      </c>
      <c r="G62" s="6" t="s">
        <v>447</v>
      </c>
      <c r="H62" t="s">
        <v>7</v>
      </c>
      <c r="I62" t="s">
        <v>10</v>
      </c>
      <c r="K62"/>
    </row>
    <row r="63" spans="1:11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7">
        <v>45339</v>
      </c>
      <c r="G63" s="6" t="s">
        <v>448</v>
      </c>
      <c r="H63" t="s">
        <v>7</v>
      </c>
      <c r="I63" t="s">
        <v>449</v>
      </c>
      <c r="K63"/>
    </row>
    <row r="64" spans="1:11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7">
        <v>45339</v>
      </c>
      <c r="G64" s="6" t="s">
        <v>450</v>
      </c>
      <c r="H64" t="s">
        <v>7</v>
      </c>
      <c r="I64" t="s">
        <v>451</v>
      </c>
      <c r="K64"/>
    </row>
    <row r="65" spans="1:11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7">
        <v>45339</v>
      </c>
      <c r="G65" s="6" t="s">
        <v>452</v>
      </c>
      <c r="H65" t="s">
        <v>7</v>
      </c>
      <c r="I65" t="s">
        <v>197</v>
      </c>
      <c r="K65"/>
    </row>
    <row r="66" spans="1:11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7">
        <v>45341</v>
      </c>
      <c r="G66" s="6" t="s">
        <v>453</v>
      </c>
      <c r="H66" t="s">
        <v>8</v>
      </c>
      <c r="I66" t="s">
        <v>104</v>
      </c>
      <c r="K66"/>
    </row>
    <row r="67" spans="1:11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7">
        <v>45341</v>
      </c>
      <c r="G67" s="6" t="s">
        <v>454</v>
      </c>
      <c r="H67" t="s">
        <v>8</v>
      </c>
      <c r="I67" t="s">
        <v>455</v>
      </c>
      <c r="K67"/>
    </row>
    <row r="68" spans="1:11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7">
        <v>45342</v>
      </c>
      <c r="G68" s="6" t="s">
        <v>456</v>
      </c>
      <c r="H68" t="s">
        <v>7</v>
      </c>
      <c r="I68" t="s">
        <v>119</v>
      </c>
      <c r="K68"/>
    </row>
    <row r="69" spans="1:11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7">
        <v>45342</v>
      </c>
      <c r="G69" s="6" t="s">
        <v>457</v>
      </c>
      <c r="H69" t="s">
        <v>7</v>
      </c>
      <c r="I69" t="s">
        <v>28</v>
      </c>
      <c r="K69"/>
    </row>
    <row r="70" spans="1:11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7">
        <v>45343</v>
      </c>
      <c r="G70" s="6" t="s">
        <v>458</v>
      </c>
      <c r="H70" t="s">
        <v>7</v>
      </c>
      <c r="I70" t="s">
        <v>444</v>
      </c>
      <c r="K70"/>
    </row>
    <row r="71" spans="1:11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7">
        <v>45344</v>
      </c>
      <c r="G71" s="6" t="s">
        <v>459</v>
      </c>
      <c r="H71" t="s">
        <v>7</v>
      </c>
      <c r="I71" t="s">
        <v>171</v>
      </c>
      <c r="K71"/>
    </row>
    <row r="72" spans="1:11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7">
        <v>45344</v>
      </c>
      <c r="G72" s="6" t="s">
        <v>460</v>
      </c>
      <c r="H72" t="s">
        <v>7</v>
      </c>
      <c r="I72" t="s">
        <v>13</v>
      </c>
      <c r="K72"/>
    </row>
    <row r="73" spans="1:11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7">
        <v>45344</v>
      </c>
      <c r="G73" s="6" t="s">
        <v>461</v>
      </c>
      <c r="H73" t="s">
        <v>8</v>
      </c>
      <c r="I73" t="s">
        <v>185</v>
      </c>
      <c r="K73"/>
    </row>
    <row r="74" spans="1:11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7">
        <v>45345</v>
      </c>
      <c r="G74" s="6" t="s">
        <v>462</v>
      </c>
      <c r="H74" t="s">
        <v>7</v>
      </c>
      <c r="I74" t="s">
        <v>385</v>
      </c>
      <c r="K74"/>
    </row>
    <row r="75" spans="1:11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7">
        <v>45349</v>
      </c>
      <c r="G75" s="6" t="s">
        <v>463</v>
      </c>
      <c r="H75" t="s">
        <v>7</v>
      </c>
      <c r="I75" t="s">
        <v>10</v>
      </c>
      <c r="K75"/>
    </row>
    <row r="76" spans="1:11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377</v>
      </c>
      <c r="D76" t="s">
        <v>377</v>
      </c>
      <c r="E76" t="s">
        <v>79</v>
      </c>
      <c r="F76" s="7">
        <v>45350</v>
      </c>
      <c r="G76" s="6" t="s">
        <v>464</v>
      </c>
      <c r="H76" t="s">
        <v>7</v>
      </c>
      <c r="I76" t="s">
        <v>465</v>
      </c>
      <c r="K76"/>
    </row>
    <row r="77" spans="1:11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7">
        <v>45350</v>
      </c>
      <c r="G77" s="6" t="s">
        <v>466</v>
      </c>
      <c r="H77" t="s">
        <v>7</v>
      </c>
      <c r="I77" t="s">
        <v>413</v>
      </c>
      <c r="K77"/>
    </row>
    <row r="78" spans="1:11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7">
        <v>45350</v>
      </c>
      <c r="G78" s="6" t="s">
        <v>467</v>
      </c>
      <c r="H78" t="s">
        <v>7</v>
      </c>
      <c r="I78" t="s">
        <v>25</v>
      </c>
      <c r="K78"/>
    </row>
    <row r="79" spans="1:11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7">
        <v>45351</v>
      </c>
      <c r="G79" s="6" t="s">
        <v>468</v>
      </c>
      <c r="H79" t="s">
        <v>7</v>
      </c>
      <c r="I79" t="s">
        <v>469</v>
      </c>
      <c r="K79"/>
    </row>
    <row r="80" spans="1:11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7">
        <v>45351</v>
      </c>
      <c r="G80" s="6" t="s">
        <v>470</v>
      </c>
      <c r="H80" t="s">
        <v>7</v>
      </c>
      <c r="I80" t="s">
        <v>471</v>
      </c>
      <c r="K80"/>
    </row>
    <row r="81" spans="1:11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7">
        <v>45351</v>
      </c>
      <c r="G81" s="6" t="s">
        <v>472</v>
      </c>
      <c r="H81" t="s">
        <v>7</v>
      </c>
      <c r="I81" t="s">
        <v>473</v>
      </c>
      <c r="K81"/>
    </row>
    <row r="82" spans="1:11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7">
        <v>45351</v>
      </c>
      <c r="G82" s="6" t="s">
        <v>474</v>
      </c>
      <c r="H82" t="s">
        <v>8</v>
      </c>
      <c r="I82" t="s">
        <v>475</v>
      </c>
      <c r="K82"/>
    </row>
    <row r="83" spans="1:11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7">
        <v>45352</v>
      </c>
      <c r="G83" s="6" t="s">
        <v>476</v>
      </c>
      <c r="H83" t="s">
        <v>7</v>
      </c>
      <c r="I83" t="s">
        <v>385</v>
      </c>
      <c r="K83"/>
    </row>
    <row r="84" spans="1:11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7">
        <v>45352</v>
      </c>
      <c r="G84" s="6" t="s">
        <v>477</v>
      </c>
      <c r="H84" t="s">
        <v>7</v>
      </c>
      <c r="I84" t="s">
        <v>106</v>
      </c>
      <c r="K84"/>
    </row>
    <row r="85" spans="1:11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7">
        <v>45352</v>
      </c>
      <c r="G85" s="6" t="s">
        <v>478</v>
      </c>
      <c r="H85" t="s">
        <v>7</v>
      </c>
      <c r="I85" t="s">
        <v>10</v>
      </c>
      <c r="K85"/>
    </row>
    <row r="86" spans="1:11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7">
        <v>45352</v>
      </c>
      <c r="G86" s="6" t="s">
        <v>479</v>
      </c>
      <c r="H86" t="s">
        <v>7</v>
      </c>
      <c r="I86" t="s">
        <v>471</v>
      </c>
      <c r="K86"/>
    </row>
    <row r="87" spans="1:11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7">
        <v>45352</v>
      </c>
      <c r="G87" s="6" t="s">
        <v>480</v>
      </c>
      <c r="H87" t="s">
        <v>7</v>
      </c>
      <c r="I87" t="s">
        <v>481</v>
      </c>
      <c r="K87"/>
    </row>
    <row r="88" spans="1:11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7">
        <v>45353</v>
      </c>
      <c r="G88" s="6" t="s">
        <v>482</v>
      </c>
      <c r="H88" t="s">
        <v>7</v>
      </c>
      <c r="I88" t="s">
        <v>428</v>
      </c>
      <c r="K88"/>
    </row>
    <row r="89" spans="1:11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7">
        <v>45353</v>
      </c>
      <c r="G89" s="6" t="s">
        <v>483</v>
      </c>
      <c r="H89" t="s">
        <v>7</v>
      </c>
      <c r="I89" t="s">
        <v>10</v>
      </c>
      <c r="K89"/>
    </row>
    <row r="90" spans="1:11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7">
        <v>45356</v>
      </c>
      <c r="G90" s="6" t="s">
        <v>484</v>
      </c>
      <c r="H90" t="s">
        <v>7</v>
      </c>
      <c r="I90" t="s">
        <v>428</v>
      </c>
      <c r="K90"/>
    </row>
    <row r="91" spans="1:11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7">
        <v>45356</v>
      </c>
      <c r="G91" s="6" t="s">
        <v>485</v>
      </c>
      <c r="H91" t="s">
        <v>7</v>
      </c>
      <c r="I91" t="s">
        <v>185</v>
      </c>
      <c r="K91"/>
    </row>
    <row r="92" spans="1:11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7">
        <v>45356</v>
      </c>
      <c r="G92" s="6" t="s">
        <v>486</v>
      </c>
      <c r="H92" t="s">
        <v>7</v>
      </c>
      <c r="I92" t="s">
        <v>25</v>
      </c>
      <c r="K92"/>
    </row>
    <row r="93" spans="1:11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7">
        <v>45356</v>
      </c>
      <c r="G93" s="6" t="s">
        <v>487</v>
      </c>
      <c r="H93" t="s">
        <v>7</v>
      </c>
      <c r="I93" t="s">
        <v>81</v>
      </c>
      <c r="K93"/>
    </row>
    <row r="94" spans="1:11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7">
        <v>45356</v>
      </c>
      <c r="G94" s="6" t="s">
        <v>488</v>
      </c>
      <c r="H94" t="s">
        <v>7</v>
      </c>
      <c r="I94" t="s">
        <v>66</v>
      </c>
      <c r="K94"/>
    </row>
    <row r="95" spans="1:11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7">
        <v>45356</v>
      </c>
      <c r="G95" s="6" t="s">
        <v>489</v>
      </c>
      <c r="H95" t="s">
        <v>7</v>
      </c>
      <c r="I95" t="s">
        <v>490</v>
      </c>
      <c r="K95"/>
    </row>
    <row r="96" spans="1:11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7">
        <v>45357</v>
      </c>
      <c r="G96" s="6" t="s">
        <v>491</v>
      </c>
      <c r="H96" t="s">
        <v>8</v>
      </c>
      <c r="I96" t="s">
        <v>72</v>
      </c>
      <c r="K96"/>
    </row>
    <row r="97" spans="1:11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377</v>
      </c>
      <c r="D97" t="s">
        <v>377</v>
      </c>
      <c r="E97" t="s">
        <v>79</v>
      </c>
      <c r="F97" s="7">
        <v>45357</v>
      </c>
      <c r="G97" s="6" t="s">
        <v>492</v>
      </c>
      <c r="H97" t="s">
        <v>8</v>
      </c>
      <c r="I97" t="s">
        <v>72</v>
      </c>
      <c r="K97"/>
    </row>
    <row r="98" spans="1:11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7">
        <v>45359</v>
      </c>
      <c r="G98" s="6" t="s">
        <v>493</v>
      </c>
      <c r="H98" t="s">
        <v>7</v>
      </c>
      <c r="I98" t="s">
        <v>494</v>
      </c>
      <c r="K98"/>
    </row>
    <row r="99" spans="1:11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7">
        <v>45359</v>
      </c>
      <c r="G99" s="6" t="s">
        <v>495</v>
      </c>
      <c r="H99" t="s">
        <v>7</v>
      </c>
      <c r="I99" t="s">
        <v>496</v>
      </c>
      <c r="K99"/>
    </row>
    <row r="100" spans="1:11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7">
        <v>45359</v>
      </c>
      <c r="G100" s="6" t="s">
        <v>497</v>
      </c>
      <c r="H100" t="s">
        <v>7</v>
      </c>
      <c r="I100" t="s">
        <v>19</v>
      </c>
      <c r="K100"/>
    </row>
    <row r="101" spans="1:11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7">
        <v>45360</v>
      </c>
      <c r="G101" s="6" t="s">
        <v>498</v>
      </c>
      <c r="H101" t="s">
        <v>7</v>
      </c>
      <c r="I101" t="s">
        <v>287</v>
      </c>
      <c r="K101"/>
    </row>
    <row r="102" spans="1:11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7">
        <v>45363</v>
      </c>
      <c r="G102" s="6" t="s">
        <v>499</v>
      </c>
      <c r="H102" t="s">
        <v>7</v>
      </c>
      <c r="I102" t="s">
        <v>500</v>
      </c>
      <c r="K102"/>
    </row>
    <row r="103" spans="1:11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377</v>
      </c>
      <c r="D103" t="s">
        <v>377</v>
      </c>
      <c r="E103" t="s">
        <v>79</v>
      </c>
      <c r="F103" s="7">
        <v>45363</v>
      </c>
      <c r="G103" s="6" t="s">
        <v>501</v>
      </c>
      <c r="H103" t="s">
        <v>7</v>
      </c>
      <c r="I103" t="s">
        <v>502</v>
      </c>
      <c r="K103"/>
    </row>
    <row r="104" spans="1:11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7">
        <v>45364</v>
      </c>
      <c r="G104" s="6" t="s">
        <v>503</v>
      </c>
      <c r="H104" t="s">
        <v>7</v>
      </c>
      <c r="I104" t="s">
        <v>34</v>
      </c>
      <c r="K104"/>
    </row>
    <row r="105" spans="1:11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7">
        <v>45364</v>
      </c>
      <c r="G105" s="6" t="s">
        <v>504</v>
      </c>
      <c r="H105" t="s">
        <v>7</v>
      </c>
      <c r="I105" t="s">
        <v>505</v>
      </c>
      <c r="K105"/>
    </row>
    <row r="106" spans="1:11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7">
        <v>45364</v>
      </c>
      <c r="G106" s="6" t="s">
        <v>506</v>
      </c>
      <c r="H106" t="s">
        <v>8</v>
      </c>
      <c r="I106" t="s">
        <v>171</v>
      </c>
      <c r="K106"/>
    </row>
    <row r="107" spans="1:11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7">
        <v>45364</v>
      </c>
      <c r="G107" s="6" t="s">
        <v>507</v>
      </c>
      <c r="H107" t="s">
        <v>8</v>
      </c>
      <c r="I107" t="s">
        <v>5</v>
      </c>
      <c r="K107"/>
    </row>
    <row r="108" spans="1:11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7">
        <v>45364</v>
      </c>
      <c r="G108" s="6" t="s">
        <v>508</v>
      </c>
      <c r="H108" t="s">
        <v>7</v>
      </c>
      <c r="I108" t="s">
        <v>285</v>
      </c>
      <c r="K108"/>
    </row>
    <row r="109" spans="1:11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7">
        <v>45365</v>
      </c>
      <c r="G109" s="6" t="s">
        <v>509</v>
      </c>
      <c r="H109" t="s">
        <v>7</v>
      </c>
      <c r="I109" t="s">
        <v>510</v>
      </c>
      <c r="K109"/>
    </row>
    <row r="110" spans="1:11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7">
        <v>45367</v>
      </c>
      <c r="G110" s="6" t="s">
        <v>511</v>
      </c>
      <c r="H110" t="s">
        <v>7</v>
      </c>
      <c r="I110" t="s">
        <v>13</v>
      </c>
      <c r="K110"/>
    </row>
    <row r="111" spans="1:11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7">
        <v>45369</v>
      </c>
      <c r="G111" s="6" t="s">
        <v>512</v>
      </c>
      <c r="H111" t="s">
        <v>7</v>
      </c>
      <c r="I111" t="s">
        <v>22</v>
      </c>
      <c r="K111"/>
    </row>
    <row r="112" spans="1:11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7">
        <v>45369</v>
      </c>
      <c r="G112" s="6" t="s">
        <v>513</v>
      </c>
      <c r="H112" t="s">
        <v>7</v>
      </c>
      <c r="I112" t="s">
        <v>10</v>
      </c>
      <c r="K112"/>
    </row>
    <row r="113" spans="1:11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7">
        <v>45370</v>
      </c>
      <c r="G113" s="6" t="s">
        <v>514</v>
      </c>
      <c r="H113" t="s">
        <v>7</v>
      </c>
      <c r="I113" t="s">
        <v>113</v>
      </c>
      <c r="K113"/>
    </row>
    <row r="114" spans="1:11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7">
        <v>45370</v>
      </c>
      <c r="G114" s="6" t="s">
        <v>515</v>
      </c>
      <c r="H114" t="s">
        <v>8</v>
      </c>
      <c r="I114" t="s">
        <v>475</v>
      </c>
      <c r="K114"/>
    </row>
    <row r="115" spans="1:11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7">
        <v>45371</v>
      </c>
      <c r="G115" s="6" t="s">
        <v>516</v>
      </c>
      <c r="H115" t="s">
        <v>7</v>
      </c>
      <c r="I115" t="s">
        <v>517</v>
      </c>
      <c r="K115"/>
    </row>
    <row r="116" spans="1:11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7">
        <v>45371</v>
      </c>
      <c r="G116" s="6" t="s">
        <v>518</v>
      </c>
      <c r="H116" t="s">
        <v>8</v>
      </c>
      <c r="I116" t="s">
        <v>519</v>
      </c>
      <c r="K116"/>
    </row>
    <row r="117" spans="1:11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7">
        <v>45371</v>
      </c>
      <c r="G117" s="6" t="s">
        <v>520</v>
      </c>
      <c r="H117" t="s">
        <v>8</v>
      </c>
      <c r="I117" t="s">
        <v>521</v>
      </c>
      <c r="K117"/>
    </row>
    <row r="118" spans="1:11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7">
        <v>45371</v>
      </c>
      <c r="G118" s="6" t="s">
        <v>522</v>
      </c>
      <c r="H118" t="s">
        <v>7</v>
      </c>
      <c r="I118" t="s">
        <v>523</v>
      </c>
      <c r="K118"/>
    </row>
    <row r="119" spans="1:11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7">
        <v>45372</v>
      </c>
      <c r="G119" s="6" t="s">
        <v>524</v>
      </c>
      <c r="H119" t="s">
        <v>7</v>
      </c>
      <c r="I119" t="s">
        <v>171</v>
      </c>
      <c r="K119"/>
    </row>
    <row r="120" spans="1:11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7">
        <v>45373</v>
      </c>
      <c r="G120" s="6" t="s">
        <v>525</v>
      </c>
      <c r="H120" t="s">
        <v>7</v>
      </c>
      <c r="I120" t="s">
        <v>113</v>
      </c>
      <c r="K120"/>
    </row>
    <row r="121" spans="1:11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7">
        <v>45373</v>
      </c>
      <c r="G121" s="6" t="s">
        <v>526</v>
      </c>
      <c r="H121" t="s">
        <v>7</v>
      </c>
      <c r="I121" t="s">
        <v>22</v>
      </c>
      <c r="K121"/>
    </row>
    <row r="122" spans="1:11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7">
        <v>45373</v>
      </c>
      <c r="G122" s="6" t="s">
        <v>527</v>
      </c>
      <c r="H122" t="s">
        <v>8</v>
      </c>
      <c r="I122" t="s">
        <v>528</v>
      </c>
      <c r="K122"/>
    </row>
    <row r="123" spans="1:11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7">
        <v>45373</v>
      </c>
      <c r="G123" s="6" t="s">
        <v>529</v>
      </c>
      <c r="H123" t="s">
        <v>8</v>
      </c>
      <c r="I123" t="s">
        <v>10</v>
      </c>
      <c r="K123"/>
    </row>
    <row r="124" spans="1:11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7">
        <v>45373</v>
      </c>
      <c r="G124" s="6" t="s">
        <v>530</v>
      </c>
      <c r="H124" t="s">
        <v>7</v>
      </c>
      <c r="I124" t="s">
        <v>22</v>
      </c>
      <c r="K124"/>
    </row>
    <row r="125" spans="1:11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377</v>
      </c>
      <c r="D125" t="s">
        <v>377</v>
      </c>
      <c r="E125" t="s">
        <v>79</v>
      </c>
      <c r="F125" s="7">
        <v>45373</v>
      </c>
      <c r="G125" s="6" t="s">
        <v>531</v>
      </c>
      <c r="H125" t="s">
        <v>8</v>
      </c>
      <c r="I125" t="s">
        <v>31</v>
      </c>
      <c r="K125"/>
    </row>
    <row r="126" spans="1:11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7">
        <v>45373</v>
      </c>
      <c r="G126" s="6" t="s">
        <v>532</v>
      </c>
      <c r="H126" t="s">
        <v>7</v>
      </c>
      <c r="I126" t="s">
        <v>43</v>
      </c>
      <c r="K126"/>
    </row>
    <row r="127" spans="1:11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7">
        <v>45374</v>
      </c>
      <c r="G127" s="6" t="s">
        <v>533</v>
      </c>
      <c r="H127" t="s">
        <v>8</v>
      </c>
      <c r="I127" t="s">
        <v>534</v>
      </c>
      <c r="K127"/>
    </row>
    <row r="128" spans="1:11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7">
        <v>45375</v>
      </c>
      <c r="G128" s="6" t="s">
        <v>535</v>
      </c>
      <c r="H128" t="s">
        <v>7</v>
      </c>
      <c r="I128" t="s">
        <v>301</v>
      </c>
      <c r="K128"/>
    </row>
    <row r="129" spans="1:11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7">
        <v>45376</v>
      </c>
      <c r="G129" s="6" t="s">
        <v>536</v>
      </c>
      <c r="H129" t="s">
        <v>8</v>
      </c>
      <c r="I129" t="s">
        <v>10</v>
      </c>
      <c r="K129"/>
    </row>
    <row r="130" spans="1:11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7">
        <v>45377</v>
      </c>
      <c r="G130" s="6" t="s">
        <v>537</v>
      </c>
      <c r="H130" t="s">
        <v>7</v>
      </c>
      <c r="I130" t="s">
        <v>13</v>
      </c>
      <c r="K130"/>
    </row>
    <row r="131" spans="1:11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7">
        <v>45379</v>
      </c>
      <c r="G131" s="6" t="s">
        <v>538</v>
      </c>
      <c r="H131" t="s">
        <v>8</v>
      </c>
      <c r="I131" t="s">
        <v>81</v>
      </c>
      <c r="K131"/>
    </row>
    <row r="132" spans="1:11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7">
        <v>45379</v>
      </c>
      <c r="G132" s="6" t="s">
        <v>539</v>
      </c>
      <c r="H132" t="s">
        <v>8</v>
      </c>
      <c r="I132" t="s">
        <v>5</v>
      </c>
      <c r="K132"/>
    </row>
    <row r="133" spans="1:11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7">
        <v>45380</v>
      </c>
      <c r="G133" s="6" t="s">
        <v>540</v>
      </c>
      <c r="H133" t="s">
        <v>8</v>
      </c>
      <c r="I133" t="s">
        <v>277</v>
      </c>
      <c r="K133"/>
    </row>
    <row r="134" spans="1:11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377</v>
      </c>
      <c r="D134" t="s">
        <v>377</v>
      </c>
      <c r="E134" t="s">
        <v>79</v>
      </c>
      <c r="F134" s="7">
        <v>45380</v>
      </c>
      <c r="G134" s="6" t="s">
        <v>541</v>
      </c>
      <c r="H134" t="s">
        <v>8</v>
      </c>
      <c r="I134" t="s">
        <v>147</v>
      </c>
      <c r="K134"/>
    </row>
    <row r="135" spans="1:11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7">
        <v>45382</v>
      </c>
      <c r="G135" s="6" t="s">
        <v>542</v>
      </c>
      <c r="H135" t="s">
        <v>7</v>
      </c>
      <c r="I135" t="s">
        <v>22</v>
      </c>
      <c r="K135"/>
    </row>
    <row r="136" spans="1:11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7">
        <v>45382</v>
      </c>
      <c r="G136" s="6" t="s">
        <v>543</v>
      </c>
      <c r="H136" t="s">
        <v>7</v>
      </c>
      <c r="I136" t="s">
        <v>219</v>
      </c>
      <c r="K136"/>
    </row>
    <row r="137" spans="1:11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7">
        <v>45382</v>
      </c>
      <c r="G137" s="6" t="s">
        <v>544</v>
      </c>
      <c r="H137" t="s">
        <v>8</v>
      </c>
      <c r="I137" t="s">
        <v>528</v>
      </c>
      <c r="K137"/>
    </row>
    <row r="138" spans="1:11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7">
        <v>45383</v>
      </c>
      <c r="G138" s="6" t="s">
        <v>545</v>
      </c>
      <c r="H138" t="s">
        <v>7</v>
      </c>
      <c r="I138" t="s">
        <v>546</v>
      </c>
      <c r="K138"/>
    </row>
    <row r="139" spans="1:11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7">
        <v>45386</v>
      </c>
      <c r="G139" s="6" t="s">
        <v>547</v>
      </c>
      <c r="H139" t="s">
        <v>7</v>
      </c>
      <c r="I139" t="s">
        <v>548</v>
      </c>
      <c r="K139"/>
    </row>
    <row r="140" spans="1:11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7">
        <v>45387</v>
      </c>
      <c r="G140" s="6" t="s">
        <v>549</v>
      </c>
      <c r="H140" t="s">
        <v>8</v>
      </c>
      <c r="I140" t="s">
        <v>519</v>
      </c>
      <c r="K140"/>
    </row>
    <row r="141" spans="1:11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377</v>
      </c>
      <c r="D141" t="s">
        <v>377</v>
      </c>
      <c r="E141" t="s">
        <v>79</v>
      </c>
      <c r="F141" s="7">
        <v>45389</v>
      </c>
      <c r="G141" s="6" t="s">
        <v>550</v>
      </c>
      <c r="H141" t="s">
        <v>7</v>
      </c>
      <c r="I141" t="s">
        <v>161</v>
      </c>
      <c r="K141"/>
    </row>
    <row r="142" spans="1:11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7">
        <v>45389</v>
      </c>
      <c r="G142" s="6" t="s">
        <v>551</v>
      </c>
      <c r="H142" t="s">
        <v>7</v>
      </c>
      <c r="I142" t="s">
        <v>177</v>
      </c>
      <c r="K142"/>
    </row>
    <row r="143" spans="1:11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7">
        <v>45389</v>
      </c>
      <c r="G143" s="6" t="s">
        <v>552</v>
      </c>
      <c r="H143" t="s">
        <v>7</v>
      </c>
      <c r="I143" t="s">
        <v>54</v>
      </c>
      <c r="K143"/>
    </row>
    <row r="144" spans="1:11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377</v>
      </c>
      <c r="D144" t="s">
        <v>377</v>
      </c>
      <c r="E144" t="s">
        <v>79</v>
      </c>
      <c r="F144" s="7">
        <v>45390</v>
      </c>
      <c r="G144" s="6" t="s">
        <v>553</v>
      </c>
      <c r="H144" t="s">
        <v>7</v>
      </c>
      <c r="I144" t="s">
        <v>5</v>
      </c>
      <c r="K144"/>
    </row>
    <row r="145" spans="1:11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7">
        <v>45390</v>
      </c>
      <c r="G145" s="6" t="s">
        <v>554</v>
      </c>
      <c r="H145" t="s">
        <v>7</v>
      </c>
      <c r="I145" t="s">
        <v>385</v>
      </c>
      <c r="K145"/>
    </row>
    <row r="146" spans="1:11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555</v>
      </c>
      <c r="D146" t="s">
        <v>556</v>
      </c>
      <c r="E146" t="s">
        <v>76</v>
      </c>
      <c r="F146" s="7">
        <v>45390</v>
      </c>
      <c r="G146" s="6" t="s">
        <v>557</v>
      </c>
      <c r="H146" t="s">
        <v>7</v>
      </c>
      <c r="I146" t="s">
        <v>13</v>
      </c>
      <c r="K146"/>
    </row>
    <row r="147" spans="1:11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7">
        <v>45391</v>
      </c>
      <c r="G147" s="6" t="s">
        <v>558</v>
      </c>
      <c r="H147" t="s">
        <v>7</v>
      </c>
      <c r="I147" t="s">
        <v>10</v>
      </c>
      <c r="K147"/>
    </row>
    <row r="148" spans="1:11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377</v>
      </c>
      <c r="D148" t="s">
        <v>377</v>
      </c>
      <c r="E148" t="s">
        <v>79</v>
      </c>
      <c r="F148" s="7">
        <v>45392</v>
      </c>
      <c r="G148" s="6" t="s">
        <v>559</v>
      </c>
      <c r="H148" t="s">
        <v>8</v>
      </c>
      <c r="I148" t="s">
        <v>69</v>
      </c>
      <c r="K148"/>
    </row>
    <row r="149" spans="1:11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7">
        <v>45393</v>
      </c>
      <c r="G149" s="6" t="s">
        <v>560</v>
      </c>
      <c r="H149" t="s">
        <v>7</v>
      </c>
      <c r="I149" t="s">
        <v>257</v>
      </c>
      <c r="K149"/>
    </row>
    <row r="150" spans="1:11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377</v>
      </c>
      <c r="D150" t="s">
        <v>377</v>
      </c>
      <c r="E150" t="s">
        <v>79</v>
      </c>
      <c r="F150" s="7">
        <v>45393</v>
      </c>
      <c r="G150" s="6" t="s">
        <v>561</v>
      </c>
      <c r="H150" t="s">
        <v>8</v>
      </c>
      <c r="I150" t="s">
        <v>69</v>
      </c>
      <c r="K150"/>
    </row>
    <row r="151" spans="1:11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7">
        <v>45394</v>
      </c>
      <c r="G151" s="6" t="s">
        <v>562</v>
      </c>
      <c r="H151" t="s">
        <v>7</v>
      </c>
      <c r="I151" t="s">
        <v>563</v>
      </c>
      <c r="K151"/>
    </row>
    <row r="152" spans="1:11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7">
        <v>45394</v>
      </c>
      <c r="G152" s="6" t="s">
        <v>564</v>
      </c>
      <c r="H152" t="s">
        <v>7</v>
      </c>
      <c r="I152" t="s">
        <v>10</v>
      </c>
      <c r="K152"/>
    </row>
    <row r="153" spans="1:11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7">
        <v>45395</v>
      </c>
      <c r="G153" s="6" t="s">
        <v>565</v>
      </c>
      <c r="H153" t="s">
        <v>7</v>
      </c>
      <c r="I153" t="s">
        <v>566</v>
      </c>
      <c r="K153"/>
    </row>
    <row r="154" spans="1:11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7">
        <v>45396</v>
      </c>
      <c r="G154" s="6" t="s">
        <v>567</v>
      </c>
      <c r="H154" t="s">
        <v>7</v>
      </c>
      <c r="I154" t="s">
        <v>54</v>
      </c>
      <c r="K154"/>
    </row>
    <row r="155" spans="1:11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7">
        <v>45397</v>
      </c>
      <c r="G155" s="6" t="s">
        <v>568</v>
      </c>
      <c r="H155" t="s">
        <v>7</v>
      </c>
      <c r="I155" t="s">
        <v>471</v>
      </c>
      <c r="K155"/>
    </row>
    <row r="156" spans="1:11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7">
        <v>45399</v>
      </c>
      <c r="G156" s="6" t="s">
        <v>569</v>
      </c>
      <c r="H156" t="s">
        <v>7</v>
      </c>
      <c r="I156" t="s">
        <v>10</v>
      </c>
      <c r="K156"/>
    </row>
    <row r="157" spans="1:11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7">
        <v>45399</v>
      </c>
      <c r="G157" s="6" t="s">
        <v>570</v>
      </c>
      <c r="H157" t="s">
        <v>7</v>
      </c>
      <c r="I157" t="s">
        <v>84</v>
      </c>
      <c r="K157"/>
    </row>
    <row r="158" spans="1:11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7">
        <v>45399</v>
      </c>
      <c r="G158" s="6" t="s">
        <v>571</v>
      </c>
      <c r="H158" t="s">
        <v>7</v>
      </c>
      <c r="I158" t="s">
        <v>185</v>
      </c>
      <c r="K158"/>
    </row>
    <row r="159" spans="1:11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7">
        <v>45399</v>
      </c>
      <c r="G159" s="6" t="s">
        <v>572</v>
      </c>
      <c r="H159" t="s">
        <v>8</v>
      </c>
      <c r="I159" t="s">
        <v>5</v>
      </c>
      <c r="K159"/>
    </row>
    <row r="160" spans="1:11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7">
        <v>45400</v>
      </c>
      <c r="G160" s="6" t="s">
        <v>573</v>
      </c>
      <c r="H160" t="s">
        <v>7</v>
      </c>
      <c r="I160" t="s">
        <v>475</v>
      </c>
      <c r="K160"/>
    </row>
    <row r="161" spans="1:11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7">
        <v>45400</v>
      </c>
      <c r="G161" s="6" t="s">
        <v>574</v>
      </c>
      <c r="H161" t="s">
        <v>7</v>
      </c>
      <c r="I161" t="s">
        <v>10</v>
      </c>
      <c r="K161"/>
    </row>
    <row r="162" spans="1:11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7">
        <v>45401</v>
      </c>
      <c r="G162" s="6" t="s">
        <v>575</v>
      </c>
      <c r="H162" t="s">
        <v>7</v>
      </c>
      <c r="I162" t="s">
        <v>576</v>
      </c>
      <c r="K162"/>
    </row>
    <row r="163" spans="1:11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7">
        <v>45401</v>
      </c>
      <c r="G163" s="6" t="s">
        <v>577</v>
      </c>
      <c r="H163" t="s">
        <v>7</v>
      </c>
      <c r="I163" t="s">
        <v>546</v>
      </c>
      <c r="K163"/>
    </row>
    <row r="164" spans="1:11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7">
        <v>45401</v>
      </c>
      <c r="G164" s="6" t="s">
        <v>578</v>
      </c>
      <c r="H164" t="s">
        <v>8</v>
      </c>
      <c r="I164" t="s">
        <v>534</v>
      </c>
      <c r="K164"/>
    </row>
    <row r="165" spans="1:11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7">
        <v>45401</v>
      </c>
      <c r="G165" s="6" t="s">
        <v>579</v>
      </c>
      <c r="H165" t="s">
        <v>8</v>
      </c>
      <c r="I165" t="s">
        <v>31</v>
      </c>
      <c r="K165"/>
    </row>
    <row r="166" spans="1:11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7">
        <v>45402</v>
      </c>
      <c r="G166" s="6" t="s">
        <v>580</v>
      </c>
      <c r="H166" t="s">
        <v>8</v>
      </c>
      <c r="I166" t="s">
        <v>10</v>
      </c>
      <c r="K166"/>
    </row>
    <row r="167" spans="1:11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377</v>
      </c>
      <c r="D167" t="s">
        <v>377</v>
      </c>
      <c r="E167" t="s">
        <v>79</v>
      </c>
      <c r="F167" s="7">
        <v>45403</v>
      </c>
      <c r="G167" s="6" t="s">
        <v>581</v>
      </c>
      <c r="H167" t="s">
        <v>7</v>
      </c>
      <c r="I167" t="s">
        <v>16</v>
      </c>
      <c r="K167"/>
    </row>
    <row r="168" spans="1:11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7">
        <v>45404</v>
      </c>
      <c r="G168" s="6" t="s">
        <v>582</v>
      </c>
      <c r="H168" t="s">
        <v>7</v>
      </c>
      <c r="I168" t="s">
        <v>25</v>
      </c>
      <c r="K168"/>
    </row>
    <row r="169" spans="1:11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7">
        <v>45404</v>
      </c>
      <c r="G169" s="6" t="s">
        <v>583</v>
      </c>
      <c r="H169" t="s">
        <v>7</v>
      </c>
      <c r="I169" t="s">
        <v>10</v>
      </c>
      <c r="K169"/>
    </row>
    <row r="170" spans="1:11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7">
        <v>45405</v>
      </c>
      <c r="G170" s="6" t="s">
        <v>584</v>
      </c>
      <c r="H170" t="s">
        <v>7</v>
      </c>
      <c r="I170" t="s">
        <v>113</v>
      </c>
      <c r="K170"/>
    </row>
    <row r="171" spans="1:11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7">
        <v>45405</v>
      </c>
      <c r="G171" s="6" t="s">
        <v>585</v>
      </c>
      <c r="H171" t="s">
        <v>7</v>
      </c>
      <c r="I171" t="s">
        <v>10</v>
      </c>
      <c r="K171"/>
    </row>
    <row r="172" spans="1:11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7">
        <v>45405</v>
      </c>
      <c r="G172" s="6" t="s">
        <v>586</v>
      </c>
      <c r="H172" t="s">
        <v>7</v>
      </c>
      <c r="I172" t="s">
        <v>496</v>
      </c>
      <c r="K172"/>
    </row>
    <row r="173" spans="1:11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7">
        <v>45406</v>
      </c>
      <c r="G173" s="6" t="s">
        <v>587</v>
      </c>
      <c r="H173" t="s">
        <v>7</v>
      </c>
      <c r="I173" t="s">
        <v>588</v>
      </c>
      <c r="K173"/>
    </row>
    <row r="174" spans="1:11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377</v>
      </c>
      <c r="D174" t="s">
        <v>377</v>
      </c>
      <c r="E174" t="s">
        <v>79</v>
      </c>
      <c r="F174" s="7">
        <v>45409</v>
      </c>
      <c r="G174" s="6" t="s">
        <v>589</v>
      </c>
      <c r="H174" t="s">
        <v>7</v>
      </c>
      <c r="I174" t="s">
        <v>54</v>
      </c>
      <c r="K174"/>
    </row>
    <row r="175" spans="1:11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377</v>
      </c>
      <c r="D175" t="s">
        <v>377</v>
      </c>
      <c r="E175" t="s">
        <v>79</v>
      </c>
      <c r="F175" s="7">
        <v>45410</v>
      </c>
      <c r="G175" s="6" t="s">
        <v>590</v>
      </c>
      <c r="H175" t="s">
        <v>8</v>
      </c>
      <c r="I175" t="s">
        <v>5</v>
      </c>
      <c r="K175"/>
    </row>
    <row r="176" spans="1:11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7">
        <v>45411</v>
      </c>
      <c r="G176" s="6" t="s">
        <v>591</v>
      </c>
      <c r="H176" t="s">
        <v>7</v>
      </c>
      <c r="I176" t="s">
        <v>385</v>
      </c>
      <c r="K176"/>
    </row>
    <row r="177" spans="1:11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7">
        <v>45411</v>
      </c>
      <c r="G177" s="6" t="s">
        <v>592</v>
      </c>
      <c r="H177" t="s">
        <v>7</v>
      </c>
      <c r="I177" t="s">
        <v>588</v>
      </c>
      <c r="K177"/>
    </row>
    <row r="178" spans="1:11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7">
        <v>45411</v>
      </c>
      <c r="G178" s="6" t="s">
        <v>593</v>
      </c>
      <c r="H178" t="s">
        <v>8</v>
      </c>
      <c r="I178" t="s">
        <v>594</v>
      </c>
      <c r="K178"/>
    </row>
    <row r="179" spans="1:11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377</v>
      </c>
      <c r="D179" t="s">
        <v>377</v>
      </c>
      <c r="E179" t="s">
        <v>79</v>
      </c>
      <c r="F179" s="7">
        <v>45411</v>
      </c>
      <c r="G179" s="6" t="s">
        <v>595</v>
      </c>
      <c r="H179" t="s">
        <v>7</v>
      </c>
      <c r="I179" t="s">
        <v>596</v>
      </c>
      <c r="K179"/>
    </row>
    <row r="180" spans="1:11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7">
        <v>45412</v>
      </c>
      <c r="G180" s="6" t="s">
        <v>597</v>
      </c>
      <c r="H180" t="s">
        <v>8</v>
      </c>
      <c r="I180" t="s">
        <v>5</v>
      </c>
      <c r="K180"/>
    </row>
    <row r="181" spans="1:11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7">
        <v>45412</v>
      </c>
      <c r="G181" s="6" t="s">
        <v>598</v>
      </c>
      <c r="H181" t="s">
        <v>8</v>
      </c>
      <c r="I181" t="s">
        <v>599</v>
      </c>
      <c r="K181"/>
    </row>
    <row r="182" spans="1:11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7">
        <v>45412</v>
      </c>
      <c r="G182" s="6" t="s">
        <v>600</v>
      </c>
      <c r="H182" t="s">
        <v>7</v>
      </c>
      <c r="I182" t="s">
        <v>475</v>
      </c>
      <c r="K182"/>
    </row>
    <row r="183" spans="1:11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7">
        <v>45413</v>
      </c>
      <c r="G183" s="6" t="s">
        <v>601</v>
      </c>
      <c r="H183" t="s">
        <v>7</v>
      </c>
      <c r="I183" t="s">
        <v>602</v>
      </c>
      <c r="K183"/>
    </row>
    <row r="184" spans="1:11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7">
        <v>45413</v>
      </c>
      <c r="G184" s="6" t="s">
        <v>603</v>
      </c>
      <c r="H184" t="s">
        <v>7</v>
      </c>
      <c r="I184" t="s">
        <v>10</v>
      </c>
      <c r="K184"/>
    </row>
    <row r="185" spans="1:11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7">
        <v>45414</v>
      </c>
      <c r="G185" s="6" t="s">
        <v>604</v>
      </c>
      <c r="H185" t="s">
        <v>8</v>
      </c>
      <c r="I185" t="s">
        <v>10</v>
      </c>
      <c r="K185"/>
    </row>
    <row r="186" spans="1:11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7">
        <v>45415</v>
      </c>
      <c r="G186" s="6" t="s">
        <v>605</v>
      </c>
      <c r="H186" t="s">
        <v>8</v>
      </c>
      <c r="I186" t="s">
        <v>10</v>
      </c>
      <c r="K186"/>
    </row>
    <row r="187" spans="1:11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7">
        <v>45416</v>
      </c>
      <c r="G187" s="6" t="s">
        <v>606</v>
      </c>
      <c r="H187" t="s">
        <v>7</v>
      </c>
      <c r="I187" t="s">
        <v>385</v>
      </c>
      <c r="K187"/>
    </row>
    <row r="188" spans="1:11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7">
        <v>45416</v>
      </c>
      <c r="G188" s="6" t="s">
        <v>607</v>
      </c>
      <c r="H188" t="s">
        <v>7</v>
      </c>
      <c r="I188" t="s">
        <v>385</v>
      </c>
      <c r="K188"/>
    </row>
    <row r="189" spans="1:11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7">
        <v>45416</v>
      </c>
      <c r="G189" s="6" t="s">
        <v>608</v>
      </c>
      <c r="H189" t="s">
        <v>8</v>
      </c>
      <c r="I189" t="s">
        <v>46</v>
      </c>
      <c r="K189"/>
    </row>
    <row r="190" spans="1:11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7">
        <v>45417</v>
      </c>
      <c r="G190" s="6" t="s">
        <v>609</v>
      </c>
      <c r="H190" t="s">
        <v>7</v>
      </c>
      <c r="I190" t="s">
        <v>523</v>
      </c>
      <c r="K190"/>
    </row>
    <row r="191" spans="1:11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7">
        <v>45417</v>
      </c>
      <c r="G191" s="6" t="s">
        <v>610</v>
      </c>
      <c r="H191" t="s">
        <v>8</v>
      </c>
      <c r="I191" t="s">
        <v>611</v>
      </c>
      <c r="K191"/>
    </row>
    <row r="192" spans="1:11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7">
        <v>45418</v>
      </c>
      <c r="G192" s="6" t="s">
        <v>612</v>
      </c>
      <c r="H192" t="s">
        <v>7</v>
      </c>
      <c r="I192" t="s">
        <v>613</v>
      </c>
      <c r="K192"/>
    </row>
    <row r="193" spans="1:11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7">
        <v>45418</v>
      </c>
      <c r="G193" s="6" t="s">
        <v>614</v>
      </c>
      <c r="H193" t="s">
        <v>7</v>
      </c>
      <c r="I193" t="s">
        <v>28</v>
      </c>
      <c r="K193"/>
    </row>
    <row r="194" spans="1:11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377</v>
      </c>
      <c r="D194" t="s">
        <v>377</v>
      </c>
      <c r="E194" t="s">
        <v>79</v>
      </c>
      <c r="F194" s="7">
        <v>45419</v>
      </c>
      <c r="G194" s="6" t="s">
        <v>615</v>
      </c>
      <c r="H194" t="s">
        <v>7</v>
      </c>
      <c r="I194" t="s">
        <v>113</v>
      </c>
      <c r="K194"/>
    </row>
    <row r="195" spans="1:11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7">
        <v>45419</v>
      </c>
      <c r="G195" s="6" t="s">
        <v>616</v>
      </c>
      <c r="H195" t="s">
        <v>7</v>
      </c>
      <c r="I195" t="s">
        <v>617</v>
      </c>
      <c r="K195"/>
    </row>
    <row r="196" spans="1:11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7">
        <v>45420</v>
      </c>
      <c r="G196" s="6" t="s">
        <v>618</v>
      </c>
      <c r="H196" t="s">
        <v>7</v>
      </c>
      <c r="I196" t="s">
        <v>113</v>
      </c>
      <c r="K196"/>
    </row>
    <row r="197" spans="1:11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7">
        <v>45423</v>
      </c>
      <c r="G197" s="6" t="s">
        <v>619</v>
      </c>
      <c r="H197" t="s">
        <v>7</v>
      </c>
      <c r="I197" t="s">
        <v>34</v>
      </c>
      <c r="K197"/>
    </row>
    <row r="198" spans="1:11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7">
        <v>45423</v>
      </c>
      <c r="G198" s="6" t="s">
        <v>620</v>
      </c>
      <c r="H198" t="s">
        <v>8</v>
      </c>
      <c r="I198" t="s">
        <v>5</v>
      </c>
      <c r="K198"/>
    </row>
    <row r="199" spans="1:11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377</v>
      </c>
      <c r="D199" t="s">
        <v>377</v>
      </c>
      <c r="E199" t="s">
        <v>79</v>
      </c>
      <c r="F199" s="7">
        <v>45424</v>
      </c>
      <c r="G199" s="6" t="s">
        <v>621</v>
      </c>
      <c r="H199" t="s">
        <v>7</v>
      </c>
      <c r="I199" t="s">
        <v>16</v>
      </c>
      <c r="K199"/>
    </row>
    <row r="200" spans="1:11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7">
        <v>45424</v>
      </c>
      <c r="G200" s="6" t="s">
        <v>622</v>
      </c>
      <c r="H200" t="s">
        <v>8</v>
      </c>
      <c r="I200" t="s">
        <v>10</v>
      </c>
      <c r="K200"/>
    </row>
    <row r="201" spans="1:11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7">
        <v>45425</v>
      </c>
      <c r="G201" s="6" t="s">
        <v>623</v>
      </c>
      <c r="H201" t="s">
        <v>7</v>
      </c>
      <c r="I201" t="s">
        <v>10</v>
      </c>
      <c r="K201"/>
    </row>
    <row r="202" spans="1:11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7">
        <v>45425</v>
      </c>
      <c r="G202" s="6" t="s">
        <v>624</v>
      </c>
      <c r="H202" t="s">
        <v>7</v>
      </c>
      <c r="I202" t="s">
        <v>10</v>
      </c>
      <c r="K202"/>
    </row>
    <row r="203" spans="1:11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7">
        <v>45427</v>
      </c>
      <c r="G203" s="6" t="s">
        <v>625</v>
      </c>
      <c r="H203" t="s">
        <v>7</v>
      </c>
      <c r="I203" t="s">
        <v>25</v>
      </c>
      <c r="K203"/>
    </row>
    <row r="204" spans="1:11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7">
        <v>45428</v>
      </c>
      <c r="G204" s="6" t="s">
        <v>626</v>
      </c>
      <c r="H204" t="s">
        <v>7</v>
      </c>
      <c r="I204" t="s">
        <v>243</v>
      </c>
      <c r="K204"/>
    </row>
    <row r="205" spans="1:11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7">
        <v>45428</v>
      </c>
      <c r="G205" s="6" t="s">
        <v>627</v>
      </c>
      <c r="H205" t="s">
        <v>7</v>
      </c>
      <c r="I205" t="s">
        <v>628</v>
      </c>
      <c r="K205"/>
    </row>
    <row r="206" spans="1:11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7">
        <v>45429</v>
      </c>
      <c r="G206" s="6" t="s">
        <v>629</v>
      </c>
      <c r="H206" t="s">
        <v>7</v>
      </c>
      <c r="I206" t="s">
        <v>171</v>
      </c>
      <c r="K206"/>
    </row>
    <row r="207" spans="1:11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7">
        <v>45433</v>
      </c>
      <c r="G207" s="6" t="s">
        <v>630</v>
      </c>
      <c r="H207" t="s">
        <v>7</v>
      </c>
      <c r="I207" t="s">
        <v>113</v>
      </c>
      <c r="K207"/>
    </row>
    <row r="208" spans="1:11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7">
        <v>45433</v>
      </c>
      <c r="G208" s="6" t="s">
        <v>631</v>
      </c>
      <c r="H208" t="s">
        <v>7</v>
      </c>
      <c r="I208" t="s">
        <v>10</v>
      </c>
      <c r="K208"/>
    </row>
    <row r="209" spans="1:11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7">
        <v>45433</v>
      </c>
      <c r="G209" s="6" t="s">
        <v>632</v>
      </c>
      <c r="H209" t="s">
        <v>7</v>
      </c>
      <c r="I209" t="s">
        <v>143</v>
      </c>
      <c r="K209"/>
    </row>
    <row r="210" spans="1:11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7">
        <v>45434</v>
      </c>
      <c r="G210" s="6" t="s">
        <v>633</v>
      </c>
      <c r="H210" t="s">
        <v>8</v>
      </c>
      <c r="I210" t="s">
        <v>5</v>
      </c>
      <c r="K210"/>
    </row>
    <row r="211" spans="1:11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7">
        <v>45434</v>
      </c>
      <c r="G211" s="6" t="s">
        <v>634</v>
      </c>
      <c r="H211" t="s">
        <v>7</v>
      </c>
      <c r="I211" t="s">
        <v>54</v>
      </c>
      <c r="K211"/>
    </row>
    <row r="212" spans="1:11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7">
        <v>45435</v>
      </c>
      <c r="G212" s="6" t="s">
        <v>635</v>
      </c>
      <c r="H212" t="s">
        <v>7</v>
      </c>
      <c r="I212" t="s">
        <v>237</v>
      </c>
      <c r="K212"/>
    </row>
    <row r="213" spans="1:11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7">
        <v>45435</v>
      </c>
      <c r="G213" s="6" t="s">
        <v>636</v>
      </c>
      <c r="H213" t="s">
        <v>7</v>
      </c>
      <c r="I213" t="s">
        <v>54</v>
      </c>
      <c r="K213"/>
    </row>
    <row r="214" spans="1:11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7">
        <v>45436</v>
      </c>
      <c r="G214" s="6" t="s">
        <v>637</v>
      </c>
      <c r="H214" t="s">
        <v>7</v>
      </c>
      <c r="I214" t="s">
        <v>638</v>
      </c>
      <c r="K214"/>
    </row>
    <row r="215" spans="1:11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7">
        <v>45436</v>
      </c>
      <c r="G215" s="6" t="s">
        <v>639</v>
      </c>
      <c r="H215" t="s">
        <v>7</v>
      </c>
      <c r="I215" t="s">
        <v>469</v>
      </c>
      <c r="K215"/>
    </row>
    <row r="216" spans="1:11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377</v>
      </c>
      <c r="D216" t="s">
        <v>377</v>
      </c>
      <c r="E216" t="s">
        <v>79</v>
      </c>
      <c r="F216" s="7">
        <v>45436</v>
      </c>
      <c r="G216" s="6" t="s">
        <v>640</v>
      </c>
      <c r="H216" t="s">
        <v>7</v>
      </c>
      <c r="I216" t="s">
        <v>203</v>
      </c>
      <c r="K216"/>
    </row>
    <row r="217" spans="1:11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7">
        <v>45439</v>
      </c>
      <c r="G217" s="6" t="s">
        <v>641</v>
      </c>
      <c r="H217" t="s">
        <v>8</v>
      </c>
      <c r="I217" t="s">
        <v>72</v>
      </c>
      <c r="K217"/>
    </row>
    <row r="218" spans="1:11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377</v>
      </c>
      <c r="D218" t="s">
        <v>377</v>
      </c>
      <c r="E218" t="s">
        <v>79</v>
      </c>
      <c r="F218" s="7">
        <v>45440</v>
      </c>
      <c r="G218" s="6" t="s">
        <v>642</v>
      </c>
      <c r="H218" t="s">
        <v>7</v>
      </c>
      <c r="I218" t="s">
        <v>177</v>
      </c>
      <c r="K218"/>
    </row>
    <row r="219" spans="1:11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377</v>
      </c>
      <c r="D219" t="s">
        <v>377</v>
      </c>
      <c r="E219" t="s">
        <v>79</v>
      </c>
      <c r="F219" s="7">
        <v>45440</v>
      </c>
      <c r="G219" s="6" t="s">
        <v>643</v>
      </c>
      <c r="H219" t="s">
        <v>8</v>
      </c>
      <c r="I219" t="s">
        <v>519</v>
      </c>
      <c r="K219"/>
    </row>
    <row r="220" spans="1:11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7">
        <v>45440</v>
      </c>
      <c r="G220" s="6" t="s">
        <v>644</v>
      </c>
      <c r="H220" t="s">
        <v>8</v>
      </c>
      <c r="I220" t="s">
        <v>171</v>
      </c>
      <c r="K220"/>
    </row>
    <row r="221" spans="1:11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7">
        <v>45441</v>
      </c>
      <c r="G221" s="6" t="s">
        <v>645</v>
      </c>
      <c r="H221" t="s">
        <v>7</v>
      </c>
      <c r="I221" t="s">
        <v>16</v>
      </c>
      <c r="K221"/>
    </row>
    <row r="222" spans="1:11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377</v>
      </c>
      <c r="D222" t="s">
        <v>377</v>
      </c>
      <c r="E222" t="s">
        <v>79</v>
      </c>
      <c r="F222" s="7">
        <v>45441</v>
      </c>
      <c r="G222" s="6" t="s">
        <v>646</v>
      </c>
      <c r="H222" t="s">
        <v>8</v>
      </c>
      <c r="I222" t="s">
        <v>5</v>
      </c>
      <c r="K222"/>
    </row>
    <row r="223" spans="1:11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7">
        <v>45442</v>
      </c>
      <c r="G223" s="6" t="s">
        <v>647</v>
      </c>
      <c r="H223" t="s">
        <v>7</v>
      </c>
      <c r="I223" t="s">
        <v>25</v>
      </c>
      <c r="K223"/>
    </row>
    <row r="224" spans="1:11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7">
        <v>45442</v>
      </c>
      <c r="G224" s="6" t="s">
        <v>648</v>
      </c>
      <c r="H224" t="s">
        <v>7</v>
      </c>
      <c r="I224" t="s">
        <v>10</v>
      </c>
      <c r="K224"/>
    </row>
    <row r="225" spans="1:11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7">
        <v>45445</v>
      </c>
      <c r="G225" s="6" t="s">
        <v>649</v>
      </c>
      <c r="H225" t="s">
        <v>7</v>
      </c>
      <c r="I225" t="s">
        <v>259</v>
      </c>
      <c r="K225"/>
    </row>
    <row r="226" spans="1:11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377</v>
      </c>
      <c r="D226" t="s">
        <v>377</v>
      </c>
      <c r="E226" t="s">
        <v>79</v>
      </c>
      <c r="F226" s="7">
        <v>45445</v>
      </c>
      <c r="G226" s="6" t="s">
        <v>650</v>
      </c>
      <c r="H226" t="s">
        <v>7</v>
      </c>
      <c r="I226" t="s">
        <v>651</v>
      </c>
      <c r="K226"/>
    </row>
    <row r="227" spans="1:11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7">
        <v>45447</v>
      </c>
      <c r="G227" s="6" t="s">
        <v>652</v>
      </c>
      <c r="H227" t="s">
        <v>8</v>
      </c>
      <c r="I227" t="s">
        <v>159</v>
      </c>
      <c r="K227"/>
    </row>
    <row r="228" spans="1:11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7">
        <v>45447</v>
      </c>
      <c r="G228" s="6" t="s">
        <v>653</v>
      </c>
      <c r="H228" t="s">
        <v>8</v>
      </c>
      <c r="I228" t="s">
        <v>654</v>
      </c>
      <c r="K228"/>
    </row>
    <row r="229" spans="1:11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7">
        <v>45447</v>
      </c>
      <c r="G229" s="6" t="s">
        <v>655</v>
      </c>
      <c r="H229" t="s">
        <v>8</v>
      </c>
      <c r="I229" t="s">
        <v>159</v>
      </c>
      <c r="K229"/>
    </row>
    <row r="230" spans="1:11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7">
        <v>45448</v>
      </c>
      <c r="G230" s="6" t="s">
        <v>656</v>
      </c>
      <c r="H230" t="s">
        <v>7</v>
      </c>
      <c r="I230" t="s">
        <v>657</v>
      </c>
      <c r="K230"/>
    </row>
    <row r="231" spans="1:11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7">
        <v>45448</v>
      </c>
      <c r="G231" s="6" t="s">
        <v>658</v>
      </c>
      <c r="H231" t="s">
        <v>7</v>
      </c>
      <c r="I231" t="s">
        <v>449</v>
      </c>
      <c r="K231"/>
    </row>
    <row r="232" spans="1:11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7">
        <v>45448</v>
      </c>
      <c r="G232" s="6" t="s">
        <v>659</v>
      </c>
      <c r="H232" t="s">
        <v>8</v>
      </c>
      <c r="I232" t="s">
        <v>660</v>
      </c>
      <c r="K232"/>
    </row>
    <row r="233" spans="1:11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7">
        <v>45449</v>
      </c>
      <c r="G233" s="6" t="s">
        <v>661</v>
      </c>
      <c r="H233" t="s">
        <v>7</v>
      </c>
      <c r="I233" t="s">
        <v>25</v>
      </c>
      <c r="K233"/>
    </row>
    <row r="234" spans="1:11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377</v>
      </c>
      <c r="D234" t="s">
        <v>377</v>
      </c>
      <c r="E234" t="s">
        <v>79</v>
      </c>
      <c r="F234" s="7">
        <v>45449</v>
      </c>
      <c r="G234" s="6" t="s">
        <v>662</v>
      </c>
      <c r="H234" t="s">
        <v>7</v>
      </c>
      <c r="I234" t="s">
        <v>31</v>
      </c>
      <c r="K234"/>
    </row>
    <row r="235" spans="1:11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7">
        <v>45450</v>
      </c>
      <c r="G235" s="6" t="s">
        <v>663</v>
      </c>
      <c r="H235" t="s">
        <v>7</v>
      </c>
      <c r="I235" t="s">
        <v>664</v>
      </c>
      <c r="K235"/>
    </row>
    <row r="236" spans="1:11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377</v>
      </c>
      <c r="D236" t="s">
        <v>377</v>
      </c>
      <c r="E236" t="s">
        <v>79</v>
      </c>
      <c r="F236" s="7">
        <v>45453</v>
      </c>
      <c r="G236" s="6" t="s">
        <v>665</v>
      </c>
      <c r="H236" t="s">
        <v>7</v>
      </c>
      <c r="I236" t="s">
        <v>54</v>
      </c>
      <c r="K236"/>
    </row>
    <row r="237" spans="1:11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7">
        <v>45453</v>
      </c>
      <c r="G237" s="6" t="s">
        <v>666</v>
      </c>
      <c r="H237" t="s">
        <v>7</v>
      </c>
      <c r="I237" t="s">
        <v>10</v>
      </c>
      <c r="K237"/>
    </row>
    <row r="238" spans="1:11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7">
        <v>45453</v>
      </c>
      <c r="G238" s="6" t="s">
        <v>667</v>
      </c>
      <c r="H238" t="s">
        <v>7</v>
      </c>
      <c r="I238" t="s">
        <v>34</v>
      </c>
      <c r="K238"/>
    </row>
    <row r="239" spans="1:11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7">
        <v>45453</v>
      </c>
      <c r="G239" s="6" t="s">
        <v>668</v>
      </c>
      <c r="H239" t="s">
        <v>7</v>
      </c>
      <c r="I239" t="s">
        <v>669</v>
      </c>
      <c r="K239"/>
    </row>
    <row r="240" spans="1:11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7">
        <v>45453</v>
      </c>
      <c r="G240" s="6" t="s">
        <v>670</v>
      </c>
      <c r="H240" t="s">
        <v>7</v>
      </c>
      <c r="I240" t="s">
        <v>10</v>
      </c>
      <c r="K240"/>
    </row>
    <row r="241" spans="1:11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377</v>
      </c>
      <c r="D241" t="s">
        <v>377</v>
      </c>
      <c r="E241" t="s">
        <v>79</v>
      </c>
      <c r="F241" s="7">
        <v>45453</v>
      </c>
      <c r="G241" s="6" t="s">
        <v>671</v>
      </c>
      <c r="H241" t="s">
        <v>7</v>
      </c>
      <c r="I241" t="s">
        <v>54</v>
      </c>
      <c r="K241"/>
    </row>
    <row r="242" spans="1:11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7">
        <v>45454</v>
      </c>
      <c r="G242" s="6" t="s">
        <v>672</v>
      </c>
      <c r="H242" t="s">
        <v>7</v>
      </c>
      <c r="I242" t="s">
        <v>673</v>
      </c>
      <c r="K242"/>
    </row>
    <row r="243" spans="1:11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377</v>
      </c>
      <c r="D243" t="s">
        <v>377</v>
      </c>
      <c r="E243" t="s">
        <v>79</v>
      </c>
      <c r="F243" s="7">
        <v>45454</v>
      </c>
      <c r="G243" s="6" t="s">
        <v>674</v>
      </c>
      <c r="H243" t="s">
        <v>7</v>
      </c>
      <c r="I243" t="s">
        <v>675</v>
      </c>
      <c r="K243"/>
    </row>
    <row r="244" spans="1:11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7">
        <v>45455</v>
      </c>
      <c r="G244" s="6" t="s">
        <v>676</v>
      </c>
      <c r="H244" t="s">
        <v>7</v>
      </c>
      <c r="I244" t="s">
        <v>10</v>
      </c>
      <c r="K244"/>
    </row>
    <row r="245" spans="1:11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7">
        <v>45455</v>
      </c>
      <c r="G245" s="6" t="s">
        <v>677</v>
      </c>
      <c r="H245" t="s">
        <v>7</v>
      </c>
      <c r="I245" t="s">
        <v>84</v>
      </c>
      <c r="K245"/>
    </row>
    <row r="246" spans="1:11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7">
        <v>45455</v>
      </c>
      <c r="G246" s="6" t="s">
        <v>678</v>
      </c>
      <c r="H246" t="s">
        <v>7</v>
      </c>
      <c r="I246" t="s">
        <v>523</v>
      </c>
      <c r="K246"/>
    </row>
    <row r="247" spans="1:11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7">
        <v>45456</v>
      </c>
      <c r="G247" s="6" t="s">
        <v>679</v>
      </c>
      <c r="H247" t="s">
        <v>7</v>
      </c>
      <c r="I247" t="s">
        <v>243</v>
      </c>
      <c r="K247"/>
    </row>
    <row r="248" spans="1:11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7">
        <v>45456</v>
      </c>
      <c r="G248" s="6" t="s">
        <v>680</v>
      </c>
      <c r="H248" t="s">
        <v>7</v>
      </c>
      <c r="I248" t="s">
        <v>54</v>
      </c>
      <c r="K248"/>
    </row>
    <row r="249" spans="1:11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7">
        <v>45456</v>
      </c>
      <c r="G249" s="6" t="s">
        <v>681</v>
      </c>
      <c r="H249" t="s">
        <v>7</v>
      </c>
      <c r="I249" t="s">
        <v>54</v>
      </c>
      <c r="K249"/>
    </row>
    <row r="250" spans="1:11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7">
        <v>45457</v>
      </c>
      <c r="G250" s="6" t="s">
        <v>682</v>
      </c>
      <c r="H250" t="s">
        <v>7</v>
      </c>
      <c r="I250" t="s">
        <v>185</v>
      </c>
      <c r="K250"/>
    </row>
    <row r="251" spans="1:11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7">
        <v>45458</v>
      </c>
      <c r="G251" s="6" t="s">
        <v>683</v>
      </c>
      <c r="H251" t="s">
        <v>7</v>
      </c>
      <c r="I251" t="s">
        <v>37</v>
      </c>
      <c r="K251"/>
    </row>
    <row r="252" spans="1:11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7">
        <v>45458</v>
      </c>
      <c r="G252" s="6" t="s">
        <v>684</v>
      </c>
      <c r="H252" t="s">
        <v>7</v>
      </c>
      <c r="I252" t="s">
        <v>54</v>
      </c>
      <c r="K252"/>
    </row>
    <row r="253" spans="1:11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7">
        <v>45458</v>
      </c>
      <c r="G253" s="6" t="s">
        <v>685</v>
      </c>
      <c r="H253" t="s">
        <v>7</v>
      </c>
      <c r="I253" t="s">
        <v>54</v>
      </c>
      <c r="K253"/>
    </row>
    <row r="254" spans="1:11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7">
        <v>45459</v>
      </c>
      <c r="G254" s="6" t="s">
        <v>686</v>
      </c>
      <c r="H254" t="s">
        <v>8</v>
      </c>
      <c r="I254" t="s">
        <v>5</v>
      </c>
      <c r="K254"/>
    </row>
    <row r="255" spans="1:11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7">
        <v>45460</v>
      </c>
      <c r="G255" s="6" t="s">
        <v>687</v>
      </c>
      <c r="H255" t="s">
        <v>8</v>
      </c>
      <c r="I255" t="s">
        <v>688</v>
      </c>
      <c r="K255"/>
    </row>
    <row r="256" spans="1:11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7">
        <v>45460</v>
      </c>
      <c r="G256" s="6" t="s">
        <v>689</v>
      </c>
      <c r="H256" t="s">
        <v>8</v>
      </c>
      <c r="I256" t="s">
        <v>688</v>
      </c>
      <c r="K256"/>
    </row>
    <row r="257" spans="1:11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7">
        <v>45461</v>
      </c>
      <c r="G257" s="6" t="s">
        <v>690</v>
      </c>
      <c r="H257" t="s">
        <v>7</v>
      </c>
      <c r="I257" t="s">
        <v>437</v>
      </c>
      <c r="K257"/>
    </row>
    <row r="258" spans="1:11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7">
        <v>45462</v>
      </c>
      <c r="G258" s="6" t="s">
        <v>691</v>
      </c>
      <c r="H258" t="s">
        <v>7</v>
      </c>
      <c r="I258" t="s">
        <v>207</v>
      </c>
      <c r="K258"/>
    </row>
    <row r="259" spans="1:11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377</v>
      </c>
      <c r="D259" t="s">
        <v>377</v>
      </c>
      <c r="E259" t="s">
        <v>79</v>
      </c>
      <c r="F259" s="7">
        <v>45464</v>
      </c>
      <c r="G259" s="6" t="s">
        <v>692</v>
      </c>
      <c r="H259" t="s">
        <v>7</v>
      </c>
      <c r="I259" t="s">
        <v>19</v>
      </c>
      <c r="K259"/>
    </row>
    <row r="260" spans="1:11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7">
        <v>45465</v>
      </c>
      <c r="G260" s="6" t="s">
        <v>693</v>
      </c>
      <c r="H260" t="s">
        <v>7</v>
      </c>
      <c r="I260" t="s">
        <v>66</v>
      </c>
      <c r="K260"/>
    </row>
    <row r="261" spans="1:11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377</v>
      </c>
      <c r="D261" t="s">
        <v>377</v>
      </c>
      <c r="E261" t="s">
        <v>79</v>
      </c>
      <c r="F261" s="7">
        <v>45467</v>
      </c>
      <c r="G261" s="6" t="s">
        <v>694</v>
      </c>
      <c r="H261" t="s">
        <v>7</v>
      </c>
      <c r="I261" t="s">
        <v>695</v>
      </c>
      <c r="K261"/>
    </row>
    <row r="262" spans="1:11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7">
        <v>45468</v>
      </c>
      <c r="G262" s="6" t="s">
        <v>696</v>
      </c>
      <c r="H262" t="s">
        <v>7</v>
      </c>
      <c r="I262" t="s">
        <v>596</v>
      </c>
      <c r="K262"/>
    </row>
    <row r="263" spans="1:11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7">
        <v>45468</v>
      </c>
      <c r="G263" s="6" t="s">
        <v>697</v>
      </c>
      <c r="H263" t="s">
        <v>8</v>
      </c>
      <c r="I263" t="s">
        <v>104</v>
      </c>
      <c r="K263"/>
    </row>
    <row r="264" spans="1:11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7">
        <v>45469</v>
      </c>
      <c r="G264" s="6" t="s">
        <v>698</v>
      </c>
      <c r="H264" t="s">
        <v>7</v>
      </c>
      <c r="I264" t="s">
        <v>54</v>
      </c>
      <c r="K264"/>
    </row>
    <row r="265" spans="1:11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7">
        <v>45469</v>
      </c>
      <c r="G265" s="6" t="s">
        <v>699</v>
      </c>
      <c r="H265" t="s">
        <v>7</v>
      </c>
      <c r="I265" t="s">
        <v>546</v>
      </c>
      <c r="K265"/>
    </row>
    <row r="266" spans="1:11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7">
        <v>45469</v>
      </c>
      <c r="G266" s="6" t="s">
        <v>700</v>
      </c>
      <c r="H266" t="s">
        <v>7</v>
      </c>
      <c r="I266" t="s">
        <v>16</v>
      </c>
      <c r="K266"/>
    </row>
    <row r="267" spans="1:11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7">
        <v>45470</v>
      </c>
      <c r="G267" s="6" t="s">
        <v>701</v>
      </c>
      <c r="H267" t="s">
        <v>8</v>
      </c>
      <c r="I267" t="s">
        <v>702</v>
      </c>
      <c r="K267"/>
    </row>
    <row r="268" spans="1:11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7">
        <v>45472</v>
      </c>
      <c r="G268" s="6" t="s">
        <v>703</v>
      </c>
      <c r="H268" t="s">
        <v>7</v>
      </c>
      <c r="I268" t="s">
        <v>37</v>
      </c>
      <c r="K268"/>
    </row>
    <row r="269" spans="1:11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377</v>
      </c>
      <c r="D269" t="s">
        <v>377</v>
      </c>
      <c r="E269" t="s">
        <v>79</v>
      </c>
      <c r="F269" s="7">
        <v>45474</v>
      </c>
      <c r="G269" s="6" t="s">
        <v>704</v>
      </c>
      <c r="H269" t="s">
        <v>7</v>
      </c>
      <c r="I269" t="s">
        <v>277</v>
      </c>
      <c r="K269"/>
    </row>
    <row r="270" spans="1:11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7">
        <v>45474</v>
      </c>
      <c r="G270" s="6" t="s">
        <v>705</v>
      </c>
      <c r="H270" t="s">
        <v>7</v>
      </c>
      <c r="I270" t="s">
        <v>34</v>
      </c>
      <c r="K270"/>
    </row>
    <row r="271" spans="1:11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377</v>
      </c>
      <c r="D271" t="s">
        <v>377</v>
      </c>
      <c r="E271" t="s">
        <v>79</v>
      </c>
      <c r="F271" s="7">
        <v>45475</v>
      </c>
      <c r="G271" s="6" t="s">
        <v>706</v>
      </c>
      <c r="H271" t="s">
        <v>7</v>
      </c>
      <c r="I271" t="s">
        <v>707</v>
      </c>
      <c r="K271"/>
    </row>
    <row r="272" spans="1:11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7">
        <v>45475</v>
      </c>
      <c r="G272" s="6" t="s">
        <v>708</v>
      </c>
      <c r="H272" t="s">
        <v>7</v>
      </c>
      <c r="I272" t="s">
        <v>449</v>
      </c>
      <c r="K272"/>
    </row>
    <row r="273" spans="1:11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7">
        <v>45477</v>
      </c>
      <c r="G273" s="6" t="s">
        <v>709</v>
      </c>
      <c r="H273" t="s">
        <v>7</v>
      </c>
      <c r="I273" t="s">
        <v>19</v>
      </c>
      <c r="K273"/>
    </row>
    <row r="274" spans="1:11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7">
        <v>45477</v>
      </c>
      <c r="G274" s="6" t="s">
        <v>710</v>
      </c>
      <c r="H274" t="s">
        <v>7</v>
      </c>
      <c r="I274" t="s">
        <v>259</v>
      </c>
      <c r="K274"/>
    </row>
    <row r="275" spans="1:11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7">
        <v>45478</v>
      </c>
      <c r="G275" s="6" t="s">
        <v>711</v>
      </c>
      <c r="H275" t="s">
        <v>7</v>
      </c>
      <c r="I275" t="s">
        <v>5</v>
      </c>
      <c r="K275"/>
    </row>
    <row r="276" spans="1:11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7">
        <v>45478</v>
      </c>
      <c r="G276" s="6" t="s">
        <v>712</v>
      </c>
      <c r="H276" t="s">
        <v>7</v>
      </c>
      <c r="I276" t="s">
        <v>37</v>
      </c>
      <c r="K276"/>
    </row>
    <row r="277" spans="1:11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7">
        <v>45478</v>
      </c>
      <c r="G277" s="6" t="s">
        <v>713</v>
      </c>
      <c r="H277" t="s">
        <v>8</v>
      </c>
      <c r="I277" t="s">
        <v>714</v>
      </c>
      <c r="K277"/>
    </row>
    <row r="278" spans="1:11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7">
        <v>45479</v>
      </c>
      <c r="G278" s="6" t="s">
        <v>715</v>
      </c>
      <c r="H278" t="s">
        <v>7</v>
      </c>
      <c r="I278" t="s">
        <v>716</v>
      </c>
      <c r="K278"/>
    </row>
    <row r="279" spans="1:11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377</v>
      </c>
      <c r="D279" t="s">
        <v>377</v>
      </c>
      <c r="E279" t="s">
        <v>79</v>
      </c>
      <c r="F279" s="7">
        <v>45479</v>
      </c>
      <c r="G279" s="6" t="s">
        <v>717</v>
      </c>
      <c r="H279" t="s">
        <v>7</v>
      </c>
      <c r="I279" t="s">
        <v>718</v>
      </c>
      <c r="K279"/>
    </row>
    <row r="280" spans="1:11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377</v>
      </c>
      <c r="D280" t="s">
        <v>377</v>
      </c>
      <c r="E280" t="s">
        <v>79</v>
      </c>
      <c r="F280" s="7">
        <v>45480</v>
      </c>
      <c r="G280" s="6" t="s">
        <v>719</v>
      </c>
      <c r="H280" t="s">
        <v>7</v>
      </c>
      <c r="I280" t="s">
        <v>720</v>
      </c>
      <c r="K280"/>
    </row>
    <row r="281" spans="1:11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377</v>
      </c>
      <c r="D281" t="s">
        <v>377</v>
      </c>
      <c r="E281" t="s">
        <v>79</v>
      </c>
      <c r="F281" s="7">
        <v>45481</v>
      </c>
      <c r="G281" s="6" t="s">
        <v>721</v>
      </c>
      <c r="H281" t="s">
        <v>7</v>
      </c>
      <c r="I281" t="s">
        <v>100</v>
      </c>
      <c r="K281"/>
    </row>
    <row r="282" spans="1:11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7">
        <v>45483</v>
      </c>
      <c r="G282" s="6" t="s">
        <v>722</v>
      </c>
      <c r="H282" t="s">
        <v>7</v>
      </c>
      <c r="I282" t="s">
        <v>161</v>
      </c>
      <c r="K282"/>
    </row>
    <row r="283" spans="1:11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7">
        <v>45483</v>
      </c>
      <c r="G283" s="6" t="s">
        <v>723</v>
      </c>
      <c r="H283" t="s">
        <v>8</v>
      </c>
      <c r="I283" t="s">
        <v>5</v>
      </c>
      <c r="K283"/>
    </row>
    <row r="284" spans="1:11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7">
        <v>45483</v>
      </c>
      <c r="G284" s="6" t="s">
        <v>724</v>
      </c>
      <c r="H284" t="s">
        <v>8</v>
      </c>
      <c r="I284" t="s">
        <v>725</v>
      </c>
      <c r="K284"/>
    </row>
    <row r="285" spans="1:11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7">
        <v>45483</v>
      </c>
      <c r="G285" s="6" t="s">
        <v>726</v>
      </c>
      <c r="H285" t="s">
        <v>7</v>
      </c>
      <c r="I285" t="s">
        <v>54</v>
      </c>
      <c r="K285"/>
    </row>
    <row r="286" spans="1:11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7">
        <v>45484</v>
      </c>
      <c r="G286" s="6" t="s">
        <v>727</v>
      </c>
      <c r="H286" t="s">
        <v>7</v>
      </c>
      <c r="I286" t="s">
        <v>185</v>
      </c>
      <c r="K286"/>
    </row>
    <row r="287" spans="1:11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7">
        <v>45484</v>
      </c>
      <c r="G287" s="6" t="s">
        <v>728</v>
      </c>
      <c r="H287" t="s">
        <v>8</v>
      </c>
      <c r="I287" t="s">
        <v>121</v>
      </c>
      <c r="K287"/>
    </row>
    <row r="288" spans="1:11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7">
        <v>45485</v>
      </c>
      <c r="G288" s="6" t="s">
        <v>729</v>
      </c>
      <c r="H288" t="s">
        <v>7</v>
      </c>
      <c r="I288" t="s">
        <v>143</v>
      </c>
      <c r="K288"/>
    </row>
    <row r="289" spans="1:11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7">
        <v>45486</v>
      </c>
      <c r="G289" s="6" t="s">
        <v>730</v>
      </c>
      <c r="H289" t="s">
        <v>7</v>
      </c>
      <c r="I289" t="s">
        <v>10</v>
      </c>
      <c r="K289"/>
    </row>
    <row r="290" spans="1:11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7">
        <v>45489</v>
      </c>
      <c r="G290" s="6" t="s">
        <v>731</v>
      </c>
      <c r="H290" t="s">
        <v>8</v>
      </c>
      <c r="I290" t="s">
        <v>10</v>
      </c>
      <c r="K290"/>
    </row>
    <row r="291" spans="1:11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7">
        <v>45490</v>
      </c>
      <c r="G291" s="6" t="s">
        <v>732</v>
      </c>
      <c r="H291" t="s">
        <v>7</v>
      </c>
      <c r="I291" t="s">
        <v>733</v>
      </c>
      <c r="K291"/>
    </row>
    <row r="292" spans="1:11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7">
        <v>45490</v>
      </c>
      <c r="G292" s="6" t="s">
        <v>734</v>
      </c>
      <c r="H292" t="s">
        <v>7</v>
      </c>
      <c r="I292" t="s">
        <v>475</v>
      </c>
      <c r="K292"/>
    </row>
    <row r="293" spans="1:11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7">
        <v>45491</v>
      </c>
      <c r="G293" s="6" t="s">
        <v>735</v>
      </c>
      <c r="H293" t="s">
        <v>8</v>
      </c>
      <c r="I293" t="s">
        <v>736</v>
      </c>
      <c r="K293"/>
    </row>
    <row r="294" spans="1:11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7">
        <v>45491</v>
      </c>
      <c r="G294" s="6" t="s">
        <v>737</v>
      </c>
      <c r="H294" t="s">
        <v>8</v>
      </c>
      <c r="I294" t="s">
        <v>301</v>
      </c>
      <c r="K294"/>
    </row>
    <row r="295" spans="1:11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7">
        <v>45491</v>
      </c>
      <c r="G295" s="6" t="s">
        <v>738</v>
      </c>
      <c r="H295" t="s">
        <v>8</v>
      </c>
      <c r="I295" t="s">
        <v>72</v>
      </c>
      <c r="K295"/>
    </row>
    <row r="296" spans="1:11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7">
        <v>45492</v>
      </c>
      <c r="G296" s="6" t="s">
        <v>739</v>
      </c>
      <c r="H296" t="s">
        <v>8</v>
      </c>
      <c r="I296" t="s">
        <v>81</v>
      </c>
      <c r="K296"/>
    </row>
    <row r="297" spans="1:11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377</v>
      </c>
      <c r="D297" t="s">
        <v>377</v>
      </c>
      <c r="E297" t="s">
        <v>79</v>
      </c>
      <c r="F297" s="7">
        <v>45493</v>
      </c>
      <c r="G297" s="6" t="s">
        <v>740</v>
      </c>
      <c r="H297" t="s">
        <v>7</v>
      </c>
      <c r="I297" t="s">
        <v>16</v>
      </c>
      <c r="K297"/>
    </row>
    <row r="298" spans="1:11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7">
        <v>45496</v>
      </c>
      <c r="G298" s="6" t="s">
        <v>741</v>
      </c>
      <c r="H298" t="s">
        <v>7</v>
      </c>
      <c r="I298" t="s">
        <v>22</v>
      </c>
      <c r="K298"/>
    </row>
    <row r="299" spans="1:11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7">
        <v>45497</v>
      </c>
      <c r="G299" s="6" t="s">
        <v>742</v>
      </c>
      <c r="H299" t="s">
        <v>7</v>
      </c>
      <c r="I299" t="s">
        <v>10</v>
      </c>
      <c r="K299"/>
    </row>
    <row r="300" spans="1:11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7">
        <v>45497</v>
      </c>
      <c r="G300" s="6" t="s">
        <v>743</v>
      </c>
      <c r="H300" t="s">
        <v>7</v>
      </c>
      <c r="I300" t="s">
        <v>10</v>
      </c>
      <c r="K300"/>
    </row>
    <row r="301" spans="1:11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7">
        <v>45497</v>
      </c>
      <c r="G301" s="6" t="s">
        <v>744</v>
      </c>
      <c r="H301" t="s">
        <v>7</v>
      </c>
      <c r="I301" t="s">
        <v>117</v>
      </c>
      <c r="K301"/>
    </row>
    <row r="302" spans="1:11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7">
        <v>45498</v>
      </c>
      <c r="G302" s="6" t="s">
        <v>745</v>
      </c>
      <c r="H302" t="s">
        <v>7</v>
      </c>
      <c r="I302" t="s">
        <v>10</v>
      </c>
      <c r="K302"/>
    </row>
    <row r="303" spans="1:11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7">
        <v>45498</v>
      </c>
      <c r="G303" s="6" t="s">
        <v>746</v>
      </c>
      <c r="H303" t="s">
        <v>7</v>
      </c>
      <c r="I303" t="s">
        <v>523</v>
      </c>
      <c r="K303"/>
    </row>
    <row r="304" spans="1:11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7">
        <v>45498</v>
      </c>
      <c r="G304" s="6" t="s">
        <v>747</v>
      </c>
      <c r="H304" t="s">
        <v>8</v>
      </c>
      <c r="I304" t="s">
        <v>10</v>
      </c>
      <c r="K304"/>
    </row>
    <row r="305" spans="1:11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7">
        <v>45500</v>
      </c>
      <c r="G305" s="6" t="s">
        <v>748</v>
      </c>
      <c r="H305" t="s">
        <v>7</v>
      </c>
      <c r="I305" t="s">
        <v>253</v>
      </c>
      <c r="K305"/>
    </row>
    <row r="306" spans="1:11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7">
        <v>45502</v>
      </c>
      <c r="G306" s="6" t="s">
        <v>749</v>
      </c>
      <c r="H306" t="s">
        <v>7</v>
      </c>
      <c r="I306" t="s">
        <v>385</v>
      </c>
      <c r="K306"/>
    </row>
    <row r="307" spans="1:11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7">
        <v>45502</v>
      </c>
      <c r="G307" s="6" t="s">
        <v>750</v>
      </c>
      <c r="H307" t="s">
        <v>8</v>
      </c>
      <c r="I307" t="s">
        <v>10</v>
      </c>
      <c r="K307"/>
    </row>
    <row r="308" spans="1:11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7">
        <v>45502</v>
      </c>
      <c r="G308" s="6" t="s">
        <v>751</v>
      </c>
      <c r="H308" t="s">
        <v>8</v>
      </c>
      <c r="I308" t="s">
        <v>736</v>
      </c>
      <c r="K308"/>
    </row>
    <row r="309" spans="1:11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7">
        <v>45502</v>
      </c>
      <c r="G309" s="6" t="s">
        <v>752</v>
      </c>
      <c r="H309" t="s">
        <v>8</v>
      </c>
      <c r="I309" t="s">
        <v>5</v>
      </c>
      <c r="K309"/>
    </row>
    <row r="310" spans="1:11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7">
        <v>45503</v>
      </c>
      <c r="G310" s="6" t="s">
        <v>753</v>
      </c>
      <c r="H310" t="s">
        <v>7</v>
      </c>
      <c r="I310" t="s">
        <v>48</v>
      </c>
      <c r="K310"/>
    </row>
    <row r="311" spans="1:11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7">
        <v>45503</v>
      </c>
      <c r="G311" s="6" t="s">
        <v>754</v>
      </c>
      <c r="H311" t="s">
        <v>8</v>
      </c>
      <c r="I311" t="s">
        <v>5</v>
      </c>
      <c r="K311"/>
    </row>
    <row r="312" spans="1:11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7">
        <v>45505</v>
      </c>
      <c r="G312" s="6" t="s">
        <v>755</v>
      </c>
      <c r="H312" t="s">
        <v>7</v>
      </c>
      <c r="I312" t="s">
        <v>10</v>
      </c>
      <c r="K312"/>
    </row>
    <row r="313" spans="1:11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377</v>
      </c>
      <c r="D313" t="s">
        <v>377</v>
      </c>
      <c r="E313" t="s">
        <v>79</v>
      </c>
      <c r="F313" s="7">
        <v>45506</v>
      </c>
      <c r="G313" s="6" t="s">
        <v>756</v>
      </c>
      <c r="H313" t="s">
        <v>7</v>
      </c>
      <c r="I313" t="s">
        <v>16</v>
      </c>
      <c r="K313"/>
    </row>
    <row r="314" spans="1:11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377</v>
      </c>
      <c r="D314" t="s">
        <v>377</v>
      </c>
      <c r="E314" t="s">
        <v>79</v>
      </c>
      <c r="F314" s="7">
        <v>45506</v>
      </c>
      <c r="G314" s="6" t="s">
        <v>757</v>
      </c>
      <c r="H314" t="s">
        <v>7</v>
      </c>
      <c r="I314" t="s">
        <v>523</v>
      </c>
      <c r="K314"/>
    </row>
    <row r="315" spans="1:11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7">
        <v>45507</v>
      </c>
      <c r="G315" s="6" t="s">
        <v>758</v>
      </c>
      <c r="H315" t="s">
        <v>7</v>
      </c>
      <c r="I315" t="s">
        <v>117</v>
      </c>
      <c r="K315"/>
    </row>
    <row r="316" spans="1:11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7">
        <v>45507</v>
      </c>
      <c r="G316" s="6" t="s">
        <v>759</v>
      </c>
      <c r="H316" t="s">
        <v>7</v>
      </c>
      <c r="I316" t="s">
        <v>243</v>
      </c>
      <c r="K316"/>
    </row>
    <row r="317" spans="1:11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7">
        <v>45508</v>
      </c>
      <c r="G317" s="6" t="s">
        <v>760</v>
      </c>
      <c r="H317" t="s">
        <v>7</v>
      </c>
      <c r="I317" t="s">
        <v>5</v>
      </c>
      <c r="K317"/>
    </row>
    <row r="318" spans="1:11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7">
        <v>45509</v>
      </c>
      <c r="G318" s="6" t="s">
        <v>761</v>
      </c>
      <c r="H318" t="s">
        <v>7</v>
      </c>
      <c r="I318" t="s">
        <v>10</v>
      </c>
      <c r="K318"/>
    </row>
    <row r="319" spans="1:11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7">
        <v>45512</v>
      </c>
      <c r="G319" s="6" t="s">
        <v>762</v>
      </c>
      <c r="H319" t="s">
        <v>8</v>
      </c>
      <c r="I319" t="s">
        <v>5</v>
      </c>
      <c r="K319"/>
    </row>
    <row r="320" spans="1:11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7">
        <v>45513</v>
      </c>
      <c r="G320" s="6" t="s">
        <v>763</v>
      </c>
      <c r="H320" t="s">
        <v>8</v>
      </c>
      <c r="I320" t="s">
        <v>104</v>
      </c>
      <c r="K320"/>
    </row>
    <row r="321" spans="1:11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7">
        <v>45515</v>
      </c>
      <c r="G321" s="6" t="s">
        <v>764</v>
      </c>
      <c r="H321" t="s">
        <v>7</v>
      </c>
      <c r="I321" t="s">
        <v>161</v>
      </c>
      <c r="K321"/>
    </row>
    <row r="322" spans="1:11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7">
        <v>45518</v>
      </c>
      <c r="G322" s="6" t="s">
        <v>765</v>
      </c>
      <c r="H322" t="s">
        <v>7</v>
      </c>
      <c r="I322" t="s">
        <v>34</v>
      </c>
      <c r="K322"/>
    </row>
    <row r="323" spans="1:11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377</v>
      </c>
      <c r="D323" t="s">
        <v>377</v>
      </c>
      <c r="E323" t="s">
        <v>79</v>
      </c>
      <c r="F323" s="7">
        <v>45518</v>
      </c>
      <c r="G323" s="6" t="s">
        <v>766</v>
      </c>
      <c r="H323" t="s">
        <v>7</v>
      </c>
      <c r="I323" t="s">
        <v>133</v>
      </c>
      <c r="K323"/>
    </row>
    <row r="324" spans="1:11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7">
        <v>45518</v>
      </c>
      <c r="G324" s="6" t="s">
        <v>767</v>
      </c>
      <c r="H324" t="s">
        <v>8</v>
      </c>
      <c r="I324" t="s">
        <v>768</v>
      </c>
      <c r="K324"/>
    </row>
    <row r="325" spans="1:11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7">
        <v>45523</v>
      </c>
      <c r="G325" s="6" t="s">
        <v>769</v>
      </c>
      <c r="H325" t="s">
        <v>7</v>
      </c>
      <c r="I325" t="s">
        <v>5</v>
      </c>
      <c r="K325"/>
    </row>
    <row r="326" spans="1:11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377</v>
      </c>
      <c r="D326" t="s">
        <v>377</v>
      </c>
      <c r="E326" t="s">
        <v>79</v>
      </c>
      <c r="F326" s="7">
        <v>45523</v>
      </c>
      <c r="G326" s="6" t="s">
        <v>770</v>
      </c>
      <c r="H326" t="s">
        <v>7</v>
      </c>
      <c r="I326" t="s">
        <v>13</v>
      </c>
      <c r="K326"/>
    </row>
    <row r="327" spans="1:11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7">
        <v>45524</v>
      </c>
      <c r="G327" s="6" t="s">
        <v>771</v>
      </c>
      <c r="H327" t="s">
        <v>8</v>
      </c>
      <c r="I327" t="s">
        <v>239</v>
      </c>
      <c r="K327"/>
    </row>
    <row r="328" spans="1:11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7">
        <v>45525</v>
      </c>
      <c r="G328" s="6" t="s">
        <v>772</v>
      </c>
      <c r="H328" t="s">
        <v>7</v>
      </c>
      <c r="I328" t="s">
        <v>37</v>
      </c>
      <c r="K328"/>
    </row>
    <row r="329" spans="1:11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7">
        <v>45526</v>
      </c>
      <c r="G329" s="6" t="s">
        <v>773</v>
      </c>
      <c r="H329" t="s">
        <v>7</v>
      </c>
      <c r="I329" t="s">
        <v>22</v>
      </c>
      <c r="K329"/>
    </row>
    <row r="330" spans="1:11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7">
        <v>45528</v>
      </c>
      <c r="G330" s="6" t="s">
        <v>774</v>
      </c>
      <c r="H330" t="s">
        <v>7</v>
      </c>
      <c r="I330" t="s">
        <v>151</v>
      </c>
      <c r="K330"/>
    </row>
    <row r="331" spans="1:11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7">
        <v>45528</v>
      </c>
      <c r="G331" s="6" t="s">
        <v>775</v>
      </c>
      <c r="H331" t="s">
        <v>8</v>
      </c>
      <c r="I331" t="s">
        <v>147</v>
      </c>
      <c r="K331"/>
    </row>
    <row r="332" spans="1:11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7">
        <v>45530</v>
      </c>
      <c r="G332" s="6" t="s">
        <v>776</v>
      </c>
      <c r="H332" t="s">
        <v>7</v>
      </c>
      <c r="I332" t="s">
        <v>277</v>
      </c>
      <c r="K332"/>
    </row>
    <row r="333" spans="1:11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377</v>
      </c>
      <c r="D333" t="s">
        <v>377</v>
      </c>
      <c r="E333" t="s">
        <v>79</v>
      </c>
      <c r="F333" s="7">
        <v>45530</v>
      </c>
      <c r="G333" s="6" t="s">
        <v>777</v>
      </c>
      <c r="H333" t="s">
        <v>8</v>
      </c>
      <c r="I333" t="s">
        <v>31</v>
      </c>
      <c r="K333"/>
    </row>
    <row r="334" spans="1:11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7">
        <v>45533</v>
      </c>
      <c r="G334" s="6" t="s">
        <v>778</v>
      </c>
      <c r="H334" t="s">
        <v>7</v>
      </c>
      <c r="I334" t="s">
        <v>243</v>
      </c>
      <c r="K334"/>
    </row>
    <row r="335" spans="1:11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377</v>
      </c>
      <c r="D335" t="s">
        <v>377</v>
      </c>
      <c r="E335" t="s">
        <v>79</v>
      </c>
      <c r="F335" s="7">
        <v>45534</v>
      </c>
      <c r="G335" s="6" t="s">
        <v>779</v>
      </c>
      <c r="H335" t="s">
        <v>7</v>
      </c>
      <c r="I335" t="s">
        <v>98</v>
      </c>
      <c r="K335"/>
    </row>
    <row r="336" spans="1:11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7">
        <v>45535</v>
      </c>
      <c r="G336" s="6" t="s">
        <v>780</v>
      </c>
      <c r="H336" t="s">
        <v>7</v>
      </c>
      <c r="I336" t="s">
        <v>413</v>
      </c>
      <c r="K336"/>
    </row>
    <row r="337" spans="1:11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7">
        <v>45535</v>
      </c>
      <c r="G337" s="6" t="s">
        <v>781</v>
      </c>
      <c r="H337" t="s">
        <v>7</v>
      </c>
      <c r="I337" t="s">
        <v>10</v>
      </c>
      <c r="K337"/>
    </row>
    <row r="338" spans="1:11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7">
        <v>45536</v>
      </c>
      <c r="G338" s="6" t="s">
        <v>782</v>
      </c>
      <c r="H338" t="s">
        <v>7</v>
      </c>
      <c r="I338" t="s">
        <v>599</v>
      </c>
      <c r="K338"/>
    </row>
    <row r="339" spans="1:11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7">
        <v>45536</v>
      </c>
      <c r="G339" s="6" t="s">
        <v>783</v>
      </c>
      <c r="H339" t="s">
        <v>8</v>
      </c>
      <c r="I339" t="s">
        <v>784</v>
      </c>
      <c r="K339"/>
    </row>
    <row r="340" spans="1:11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7">
        <v>45538</v>
      </c>
      <c r="G340" s="6" t="s">
        <v>785</v>
      </c>
      <c r="H340" t="s">
        <v>7</v>
      </c>
      <c r="I340" t="s">
        <v>786</v>
      </c>
      <c r="K340"/>
    </row>
    <row r="341" spans="1:11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7">
        <v>45538</v>
      </c>
      <c r="G341" s="6" t="s">
        <v>787</v>
      </c>
      <c r="H341" t="s">
        <v>7</v>
      </c>
      <c r="I341" t="s">
        <v>10</v>
      </c>
      <c r="K341"/>
    </row>
    <row r="342" spans="1:11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7">
        <v>45538</v>
      </c>
      <c r="G342" s="6" t="s">
        <v>788</v>
      </c>
      <c r="H342" t="s">
        <v>7</v>
      </c>
      <c r="I342" t="s">
        <v>789</v>
      </c>
      <c r="K342"/>
    </row>
    <row r="343" spans="1:11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7">
        <v>45538</v>
      </c>
      <c r="G343" s="6" t="s">
        <v>790</v>
      </c>
      <c r="H343" t="s">
        <v>7</v>
      </c>
      <c r="I343" t="s">
        <v>10</v>
      </c>
      <c r="K343"/>
    </row>
    <row r="344" spans="1:11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7">
        <v>45538</v>
      </c>
      <c r="G344" s="6" t="s">
        <v>791</v>
      </c>
      <c r="H344" t="s">
        <v>7</v>
      </c>
      <c r="I344" t="s">
        <v>792</v>
      </c>
      <c r="K344"/>
    </row>
    <row r="345" spans="1:11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7">
        <v>45538</v>
      </c>
      <c r="G345" s="6" t="s">
        <v>793</v>
      </c>
      <c r="H345" t="s">
        <v>7</v>
      </c>
      <c r="I345" t="s">
        <v>794</v>
      </c>
      <c r="K345"/>
    </row>
    <row r="346" spans="1:11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377</v>
      </c>
      <c r="D346" t="s">
        <v>377</v>
      </c>
      <c r="E346" t="s">
        <v>79</v>
      </c>
      <c r="F346" s="7">
        <v>45538</v>
      </c>
      <c r="G346" s="6" t="s">
        <v>795</v>
      </c>
      <c r="H346" t="s">
        <v>7</v>
      </c>
      <c r="I346" t="s">
        <v>10</v>
      </c>
      <c r="K346"/>
    </row>
    <row r="347" spans="1:11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7">
        <v>45539</v>
      </c>
      <c r="G347" s="6" t="s">
        <v>796</v>
      </c>
      <c r="H347" t="s">
        <v>7</v>
      </c>
      <c r="I347" t="s">
        <v>81</v>
      </c>
      <c r="K347"/>
    </row>
    <row r="348" spans="1:11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7">
        <v>45540</v>
      </c>
      <c r="G348" s="6" t="s">
        <v>797</v>
      </c>
      <c r="H348" t="s">
        <v>7</v>
      </c>
      <c r="I348" t="s">
        <v>100</v>
      </c>
      <c r="K348"/>
    </row>
    <row r="349" spans="1:11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7">
        <v>45540</v>
      </c>
      <c r="G349" s="6" t="s">
        <v>798</v>
      </c>
      <c r="H349" t="s">
        <v>7</v>
      </c>
      <c r="I349" t="s">
        <v>100</v>
      </c>
      <c r="K349"/>
    </row>
    <row r="350" spans="1:11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7">
        <v>45540</v>
      </c>
      <c r="G350" s="6" t="s">
        <v>799</v>
      </c>
      <c r="H350" t="s">
        <v>7</v>
      </c>
      <c r="I350" t="s">
        <v>66</v>
      </c>
      <c r="K350"/>
    </row>
    <row r="351" spans="1:11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7">
        <v>45541</v>
      </c>
      <c r="G351" s="6" t="s">
        <v>800</v>
      </c>
      <c r="H351" t="s">
        <v>7</v>
      </c>
      <c r="I351" t="s">
        <v>203</v>
      </c>
      <c r="K351"/>
    </row>
    <row r="352" spans="1:11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7">
        <v>45541</v>
      </c>
      <c r="G352" s="6" t="s">
        <v>801</v>
      </c>
      <c r="H352" t="s">
        <v>7</v>
      </c>
      <c r="I352" t="s">
        <v>127</v>
      </c>
      <c r="K352"/>
    </row>
    <row r="353" spans="1:11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7">
        <v>45541</v>
      </c>
      <c r="G353" s="6" t="s">
        <v>802</v>
      </c>
      <c r="H353" t="s">
        <v>8</v>
      </c>
      <c r="I353" t="s">
        <v>803</v>
      </c>
      <c r="K353"/>
    </row>
    <row r="354" spans="1:11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7">
        <v>45541</v>
      </c>
      <c r="G354" s="6" t="s">
        <v>804</v>
      </c>
      <c r="H354" t="s">
        <v>7</v>
      </c>
      <c r="I354" t="s">
        <v>10</v>
      </c>
      <c r="K354"/>
    </row>
    <row r="355" spans="1:11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377</v>
      </c>
      <c r="D355" t="s">
        <v>377</v>
      </c>
      <c r="E355" t="s">
        <v>79</v>
      </c>
      <c r="F355" s="7">
        <v>45542</v>
      </c>
      <c r="G355" s="6" t="s">
        <v>805</v>
      </c>
      <c r="H355" t="s">
        <v>7</v>
      </c>
      <c r="I355" t="s">
        <v>505</v>
      </c>
      <c r="K355"/>
    </row>
    <row r="356" spans="1:11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7">
        <v>45543</v>
      </c>
      <c r="G356" s="6" t="s">
        <v>806</v>
      </c>
      <c r="H356" t="s">
        <v>7</v>
      </c>
      <c r="I356" t="s">
        <v>177</v>
      </c>
      <c r="K356"/>
    </row>
    <row r="357" spans="1:11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7">
        <v>45543</v>
      </c>
      <c r="G357" s="6" t="s">
        <v>807</v>
      </c>
      <c r="H357" t="s">
        <v>7</v>
      </c>
      <c r="I357" t="s">
        <v>5</v>
      </c>
      <c r="K357"/>
    </row>
    <row r="358" spans="1:11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7">
        <v>45544</v>
      </c>
      <c r="G358" s="6" t="s">
        <v>808</v>
      </c>
      <c r="H358" t="s">
        <v>7</v>
      </c>
      <c r="I358" t="s">
        <v>10</v>
      </c>
      <c r="K358"/>
    </row>
    <row r="359" spans="1:11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7">
        <v>45545</v>
      </c>
      <c r="G359" s="6" t="s">
        <v>809</v>
      </c>
      <c r="H359" t="s">
        <v>7</v>
      </c>
      <c r="I359" t="s">
        <v>287</v>
      </c>
      <c r="K359"/>
    </row>
    <row r="360" spans="1:11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7">
        <v>45545</v>
      </c>
      <c r="G360" s="6" t="s">
        <v>810</v>
      </c>
      <c r="H360" t="s">
        <v>8</v>
      </c>
      <c r="I360" t="s">
        <v>611</v>
      </c>
      <c r="K360"/>
    </row>
    <row r="361" spans="1:11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7">
        <v>45545</v>
      </c>
      <c r="G361" s="6" t="s">
        <v>811</v>
      </c>
      <c r="H361" t="s">
        <v>8</v>
      </c>
      <c r="I361" t="s">
        <v>10</v>
      </c>
      <c r="K361"/>
    </row>
    <row r="362" spans="1:11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7">
        <v>45546</v>
      </c>
      <c r="G362" s="6" t="s">
        <v>812</v>
      </c>
      <c r="H362" t="s">
        <v>7</v>
      </c>
      <c r="I362" t="s">
        <v>16</v>
      </c>
      <c r="K362"/>
    </row>
    <row r="363" spans="1:11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7">
        <v>45548</v>
      </c>
      <c r="G363" s="6" t="s">
        <v>813</v>
      </c>
      <c r="H363" t="s">
        <v>7</v>
      </c>
      <c r="I363" t="s">
        <v>119</v>
      </c>
      <c r="K363"/>
    </row>
    <row r="364" spans="1:11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7">
        <v>45549</v>
      </c>
      <c r="G364" s="6" t="s">
        <v>814</v>
      </c>
      <c r="H364" t="s">
        <v>7</v>
      </c>
      <c r="I364" t="s">
        <v>563</v>
      </c>
      <c r="K364"/>
    </row>
    <row r="365" spans="1:11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7">
        <v>45549</v>
      </c>
      <c r="G365" s="6" t="s">
        <v>815</v>
      </c>
      <c r="H365" t="s">
        <v>7</v>
      </c>
      <c r="I365" t="s">
        <v>301</v>
      </c>
      <c r="K365"/>
    </row>
    <row r="366" spans="1:11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7">
        <v>45549</v>
      </c>
      <c r="G366" s="6" t="s">
        <v>816</v>
      </c>
      <c r="H366" t="s">
        <v>7</v>
      </c>
      <c r="I366" t="s">
        <v>817</v>
      </c>
      <c r="K366"/>
    </row>
    <row r="367" spans="1:11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7">
        <v>45550</v>
      </c>
      <c r="G367" s="6" t="s">
        <v>818</v>
      </c>
      <c r="H367" t="s">
        <v>7</v>
      </c>
      <c r="I367" t="s">
        <v>22</v>
      </c>
      <c r="K367"/>
    </row>
    <row r="368" spans="1:11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7">
        <v>45551</v>
      </c>
      <c r="G368" s="6" t="s">
        <v>819</v>
      </c>
      <c r="H368" t="s">
        <v>7</v>
      </c>
      <c r="I368" t="s">
        <v>241</v>
      </c>
      <c r="K368"/>
    </row>
    <row r="369" spans="1:11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7">
        <v>45551</v>
      </c>
      <c r="G369" s="6" t="s">
        <v>820</v>
      </c>
      <c r="H369" t="s">
        <v>7</v>
      </c>
      <c r="I369" t="s">
        <v>106</v>
      </c>
      <c r="K369"/>
    </row>
    <row r="370" spans="1:11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377</v>
      </c>
      <c r="D370" t="s">
        <v>377</v>
      </c>
      <c r="E370" t="s">
        <v>79</v>
      </c>
      <c r="F370" s="7">
        <v>45551</v>
      </c>
      <c r="G370" s="6" t="s">
        <v>821</v>
      </c>
      <c r="H370" t="s">
        <v>7</v>
      </c>
      <c r="I370" t="s">
        <v>100</v>
      </c>
      <c r="K370"/>
    </row>
    <row r="371" spans="1:11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7">
        <v>45551</v>
      </c>
      <c r="G371" s="6" t="s">
        <v>822</v>
      </c>
      <c r="H371" t="s">
        <v>8</v>
      </c>
      <c r="I371" t="s">
        <v>5</v>
      </c>
      <c r="K371"/>
    </row>
    <row r="372" spans="1:11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7">
        <v>45552</v>
      </c>
      <c r="G372" s="6" t="s">
        <v>823</v>
      </c>
      <c r="H372" t="s">
        <v>7</v>
      </c>
      <c r="I372" t="s">
        <v>10</v>
      </c>
      <c r="K372"/>
    </row>
    <row r="373" spans="1:11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377</v>
      </c>
      <c r="D373" t="s">
        <v>377</v>
      </c>
      <c r="E373" t="s">
        <v>79</v>
      </c>
      <c r="F373" s="7">
        <v>45554</v>
      </c>
      <c r="G373" s="6" t="s">
        <v>824</v>
      </c>
      <c r="H373" t="s">
        <v>7</v>
      </c>
      <c r="I373" t="s">
        <v>413</v>
      </c>
      <c r="K373"/>
    </row>
    <row r="374" spans="1:11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7">
        <v>45556</v>
      </c>
      <c r="G374" s="6" t="s">
        <v>825</v>
      </c>
      <c r="H374" t="s">
        <v>7</v>
      </c>
      <c r="I374" t="s">
        <v>826</v>
      </c>
      <c r="K374"/>
    </row>
    <row r="375" spans="1:11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7">
        <v>45557</v>
      </c>
      <c r="G375" s="6" t="s">
        <v>827</v>
      </c>
      <c r="H375" t="s">
        <v>8</v>
      </c>
      <c r="I375" t="s">
        <v>31</v>
      </c>
      <c r="K375"/>
    </row>
    <row r="376" spans="1:11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7">
        <v>45558</v>
      </c>
      <c r="G376" s="6" t="s">
        <v>828</v>
      </c>
      <c r="H376" t="s">
        <v>7</v>
      </c>
      <c r="I376" t="s">
        <v>10</v>
      </c>
      <c r="K376"/>
    </row>
    <row r="377" spans="1:11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7">
        <v>45558</v>
      </c>
      <c r="G377" s="6" t="s">
        <v>829</v>
      </c>
      <c r="H377" t="s">
        <v>8</v>
      </c>
      <c r="I377" t="s">
        <v>10</v>
      </c>
      <c r="K377"/>
    </row>
    <row r="378" spans="1:11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7">
        <v>45559</v>
      </c>
      <c r="G378" s="6" t="s">
        <v>830</v>
      </c>
      <c r="H378" t="s">
        <v>7</v>
      </c>
      <c r="I378" t="s">
        <v>40</v>
      </c>
      <c r="K378"/>
    </row>
    <row r="379" spans="1:11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7">
        <v>45559</v>
      </c>
      <c r="G379" s="6" t="s">
        <v>831</v>
      </c>
      <c r="H379" t="s">
        <v>8</v>
      </c>
      <c r="I379" t="s">
        <v>475</v>
      </c>
      <c r="K379"/>
    </row>
    <row r="380" spans="1:11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7">
        <v>45560</v>
      </c>
      <c r="G380" s="6" t="s">
        <v>832</v>
      </c>
      <c r="H380" t="s">
        <v>7</v>
      </c>
      <c r="I380" t="s">
        <v>219</v>
      </c>
      <c r="K380"/>
    </row>
    <row r="381" spans="1:11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7">
        <v>45560</v>
      </c>
      <c r="G381" s="6" t="s">
        <v>833</v>
      </c>
      <c r="H381" t="s">
        <v>7</v>
      </c>
      <c r="I381" t="s">
        <v>834</v>
      </c>
      <c r="K381"/>
    </row>
    <row r="382" spans="1:11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377</v>
      </c>
      <c r="D382" t="s">
        <v>377</v>
      </c>
      <c r="E382" t="s">
        <v>79</v>
      </c>
      <c r="F382" s="7">
        <v>45561</v>
      </c>
      <c r="G382" s="6" t="s">
        <v>835</v>
      </c>
      <c r="H382" t="s">
        <v>7</v>
      </c>
      <c r="I382" t="s">
        <v>10</v>
      </c>
      <c r="K382"/>
    </row>
    <row r="383" spans="1:11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7">
        <v>45562</v>
      </c>
      <c r="G383" s="6" t="s">
        <v>836</v>
      </c>
      <c r="H383" t="s">
        <v>7</v>
      </c>
      <c r="I383" t="s">
        <v>716</v>
      </c>
      <c r="K383"/>
    </row>
    <row r="384" spans="1:11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7">
        <v>45562</v>
      </c>
      <c r="G384" s="6" t="s">
        <v>837</v>
      </c>
      <c r="H384" t="s">
        <v>8</v>
      </c>
      <c r="I384" t="s">
        <v>528</v>
      </c>
      <c r="K384"/>
    </row>
    <row r="385" spans="1:11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7">
        <v>45563</v>
      </c>
      <c r="G385" s="6" t="s">
        <v>838</v>
      </c>
      <c r="H385" t="s">
        <v>7</v>
      </c>
      <c r="I385" t="s">
        <v>34</v>
      </c>
      <c r="K385"/>
    </row>
    <row r="386" spans="1:11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7">
        <v>45563</v>
      </c>
      <c r="G386" s="6" t="s">
        <v>839</v>
      </c>
      <c r="H386" t="s">
        <v>7</v>
      </c>
      <c r="I386" t="s">
        <v>10</v>
      </c>
      <c r="K386"/>
    </row>
    <row r="387" spans="1:11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7">
        <v>45567</v>
      </c>
      <c r="G387" s="6" t="s">
        <v>840</v>
      </c>
      <c r="H387" t="s">
        <v>7</v>
      </c>
      <c r="I387" t="s">
        <v>841</v>
      </c>
      <c r="K387"/>
    </row>
    <row r="388" spans="1:11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7">
        <v>45568</v>
      </c>
      <c r="G388" s="6" t="s">
        <v>842</v>
      </c>
      <c r="H388" t="s">
        <v>7</v>
      </c>
      <c r="I388" t="s">
        <v>81</v>
      </c>
      <c r="K388"/>
    </row>
    <row r="389" spans="1:11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7">
        <v>45569</v>
      </c>
      <c r="G389" s="6" t="s">
        <v>843</v>
      </c>
      <c r="H389" t="s">
        <v>8</v>
      </c>
      <c r="I389" t="s">
        <v>596</v>
      </c>
      <c r="K389"/>
    </row>
    <row r="390" spans="1:11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7">
        <v>45570</v>
      </c>
      <c r="G390" s="6" t="s">
        <v>844</v>
      </c>
      <c r="H390" t="s">
        <v>8</v>
      </c>
      <c r="I390" t="s">
        <v>845</v>
      </c>
      <c r="K390"/>
    </row>
    <row r="391" spans="1:11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7">
        <v>45572</v>
      </c>
      <c r="G391" s="6" t="s">
        <v>846</v>
      </c>
      <c r="H391" t="s">
        <v>7</v>
      </c>
      <c r="I391" t="s">
        <v>10</v>
      </c>
      <c r="K391"/>
    </row>
    <row r="392" spans="1:11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7">
        <v>45573</v>
      </c>
      <c r="G392" s="6" t="s">
        <v>847</v>
      </c>
      <c r="H392" t="s">
        <v>7</v>
      </c>
      <c r="I392" t="s">
        <v>301</v>
      </c>
      <c r="K392"/>
    </row>
    <row r="393" spans="1:11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7">
        <v>45573</v>
      </c>
      <c r="G393" s="6" t="s">
        <v>848</v>
      </c>
      <c r="H393" t="s">
        <v>7</v>
      </c>
      <c r="I393" t="s">
        <v>794</v>
      </c>
      <c r="K393"/>
    </row>
    <row r="394" spans="1:11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7">
        <v>45574</v>
      </c>
      <c r="G394" s="6" t="s">
        <v>849</v>
      </c>
      <c r="H394" t="s">
        <v>7</v>
      </c>
      <c r="I394" t="s">
        <v>850</v>
      </c>
      <c r="K394"/>
    </row>
    <row r="395" spans="1:11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7">
        <v>45574</v>
      </c>
      <c r="G395" s="6" t="s">
        <v>851</v>
      </c>
      <c r="H395" t="s">
        <v>8</v>
      </c>
      <c r="I395" t="s">
        <v>475</v>
      </c>
      <c r="K395"/>
    </row>
    <row r="396" spans="1:11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7">
        <v>45574</v>
      </c>
      <c r="G396" s="6" t="s">
        <v>852</v>
      </c>
      <c r="H396" t="s">
        <v>7</v>
      </c>
      <c r="I396" t="s">
        <v>72</v>
      </c>
      <c r="K396"/>
    </row>
    <row r="397" spans="1:11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7">
        <v>45575</v>
      </c>
      <c r="G397" s="6" t="s">
        <v>853</v>
      </c>
      <c r="H397" t="s">
        <v>8</v>
      </c>
      <c r="I397" t="s">
        <v>46</v>
      </c>
      <c r="K397"/>
    </row>
    <row r="398" spans="1:11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377</v>
      </c>
      <c r="D398" t="s">
        <v>377</v>
      </c>
      <c r="E398" t="s">
        <v>79</v>
      </c>
      <c r="F398" s="7">
        <v>45576</v>
      </c>
      <c r="G398" s="6" t="s">
        <v>854</v>
      </c>
      <c r="H398" t="s">
        <v>7</v>
      </c>
      <c r="I398" t="s">
        <v>16</v>
      </c>
      <c r="K398"/>
    </row>
    <row r="399" spans="1:11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7">
        <v>45577</v>
      </c>
      <c r="G399" s="6" t="s">
        <v>855</v>
      </c>
      <c r="H399" t="s">
        <v>7</v>
      </c>
      <c r="I399" t="s">
        <v>203</v>
      </c>
      <c r="K399"/>
    </row>
    <row r="400" spans="1:11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7">
        <v>45578</v>
      </c>
      <c r="G400" s="6" t="s">
        <v>856</v>
      </c>
      <c r="H400" t="s">
        <v>7</v>
      </c>
      <c r="I400" t="s">
        <v>13</v>
      </c>
      <c r="K400"/>
    </row>
    <row r="401" spans="1:11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7">
        <v>45579</v>
      </c>
      <c r="G401" s="6" t="s">
        <v>857</v>
      </c>
      <c r="H401" t="s">
        <v>7</v>
      </c>
      <c r="I401" t="s">
        <v>10</v>
      </c>
      <c r="K401"/>
    </row>
    <row r="402" spans="1:11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7">
        <v>45579</v>
      </c>
      <c r="G402" s="6" t="s">
        <v>858</v>
      </c>
      <c r="H402" t="s">
        <v>7</v>
      </c>
      <c r="I402" t="s">
        <v>185</v>
      </c>
      <c r="K402"/>
    </row>
    <row r="403" spans="1:11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7">
        <v>45579</v>
      </c>
      <c r="G403" s="6" t="s">
        <v>859</v>
      </c>
      <c r="H403" t="s">
        <v>8</v>
      </c>
      <c r="I403" t="s">
        <v>475</v>
      </c>
      <c r="K403"/>
    </row>
    <row r="404" spans="1:11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7">
        <v>45579</v>
      </c>
      <c r="G404" s="6" t="s">
        <v>860</v>
      </c>
      <c r="H404" t="s">
        <v>8</v>
      </c>
      <c r="I404" t="s">
        <v>5</v>
      </c>
      <c r="K404"/>
    </row>
    <row r="405" spans="1:11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7">
        <v>45579</v>
      </c>
      <c r="G405" s="6" t="s">
        <v>861</v>
      </c>
      <c r="H405" t="s">
        <v>7</v>
      </c>
      <c r="I405" t="s">
        <v>19</v>
      </c>
      <c r="K405"/>
    </row>
    <row r="406" spans="1:11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7">
        <v>45580</v>
      </c>
      <c r="G406" s="6" t="s">
        <v>862</v>
      </c>
      <c r="H406" t="s">
        <v>7</v>
      </c>
      <c r="I406" t="s">
        <v>10</v>
      </c>
      <c r="K406"/>
    </row>
    <row r="407" spans="1:11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377</v>
      </c>
      <c r="D407" t="s">
        <v>377</v>
      </c>
      <c r="E407" t="s">
        <v>79</v>
      </c>
      <c r="F407" s="7">
        <v>45582</v>
      </c>
      <c r="G407" s="6" t="s">
        <v>863</v>
      </c>
      <c r="H407" t="s">
        <v>7</v>
      </c>
      <c r="I407" t="s">
        <v>54</v>
      </c>
      <c r="K407"/>
    </row>
    <row r="408" spans="1:11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7">
        <v>45583</v>
      </c>
      <c r="G408" s="6" t="s">
        <v>864</v>
      </c>
      <c r="H408" t="s">
        <v>7</v>
      </c>
      <c r="I408" t="s">
        <v>119</v>
      </c>
      <c r="K408"/>
    </row>
    <row r="409" spans="1:11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7">
        <v>45584</v>
      </c>
      <c r="G409" s="6" t="s">
        <v>865</v>
      </c>
      <c r="H409" t="s">
        <v>7</v>
      </c>
      <c r="I409" t="s">
        <v>119</v>
      </c>
      <c r="K409"/>
    </row>
    <row r="410" spans="1:11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7">
        <v>45584</v>
      </c>
      <c r="G410" s="6" t="s">
        <v>866</v>
      </c>
      <c r="H410" t="s">
        <v>7</v>
      </c>
      <c r="I410" t="s">
        <v>25</v>
      </c>
      <c r="K410"/>
    </row>
    <row r="411" spans="1:11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7">
        <v>45586</v>
      </c>
      <c r="G411" s="6" t="s">
        <v>867</v>
      </c>
      <c r="H411" t="s">
        <v>8</v>
      </c>
      <c r="I411" t="s">
        <v>10</v>
      </c>
      <c r="K411"/>
    </row>
    <row r="412" spans="1:11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7">
        <v>45586</v>
      </c>
      <c r="G412" s="6" t="s">
        <v>868</v>
      </c>
      <c r="H412" t="s">
        <v>8</v>
      </c>
      <c r="I412" t="s">
        <v>69</v>
      </c>
      <c r="K412"/>
    </row>
    <row r="413" spans="1:11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7">
        <v>45587</v>
      </c>
      <c r="G413" s="6" t="s">
        <v>869</v>
      </c>
      <c r="H413" t="s">
        <v>7</v>
      </c>
      <c r="I413" t="s">
        <v>25</v>
      </c>
      <c r="K413"/>
    </row>
    <row r="414" spans="1:11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7">
        <v>45587</v>
      </c>
      <c r="G414" s="6" t="s">
        <v>870</v>
      </c>
      <c r="H414" t="s">
        <v>8</v>
      </c>
      <c r="I414" t="s">
        <v>871</v>
      </c>
      <c r="K414"/>
    </row>
    <row r="415" spans="1:11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7">
        <v>45588</v>
      </c>
      <c r="G415" s="6" t="s">
        <v>872</v>
      </c>
      <c r="H415" t="s">
        <v>7</v>
      </c>
      <c r="I415" t="s">
        <v>119</v>
      </c>
      <c r="K415"/>
    </row>
    <row r="416" spans="1:11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7">
        <v>45588</v>
      </c>
      <c r="G416" s="6" t="s">
        <v>873</v>
      </c>
      <c r="H416" t="s">
        <v>8</v>
      </c>
      <c r="I416" t="s">
        <v>10</v>
      </c>
      <c r="K416"/>
    </row>
    <row r="417" spans="1:11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7">
        <v>45589</v>
      </c>
      <c r="G417" s="6" t="s">
        <v>874</v>
      </c>
      <c r="H417" t="s">
        <v>7</v>
      </c>
      <c r="I417" t="s">
        <v>413</v>
      </c>
      <c r="K417"/>
    </row>
    <row r="418" spans="1:11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7">
        <v>45589</v>
      </c>
      <c r="G418" s="6" t="s">
        <v>875</v>
      </c>
      <c r="H418" t="s">
        <v>7</v>
      </c>
      <c r="I418" t="s">
        <v>413</v>
      </c>
      <c r="K418"/>
    </row>
    <row r="419" spans="1:11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7">
        <v>45589</v>
      </c>
      <c r="G419" s="6" t="s">
        <v>876</v>
      </c>
      <c r="H419" t="s">
        <v>7</v>
      </c>
      <c r="I419" t="s">
        <v>10</v>
      </c>
      <c r="K419"/>
    </row>
    <row r="420" spans="1:11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7">
        <v>45589</v>
      </c>
      <c r="G420" s="6" t="s">
        <v>877</v>
      </c>
      <c r="H420" t="s">
        <v>7</v>
      </c>
      <c r="I420" t="s">
        <v>177</v>
      </c>
      <c r="K420"/>
    </row>
    <row r="421" spans="1:11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7">
        <v>45590</v>
      </c>
      <c r="G421" s="6" t="s">
        <v>878</v>
      </c>
      <c r="H421" t="s">
        <v>7</v>
      </c>
      <c r="I421" t="s">
        <v>157</v>
      </c>
      <c r="K421"/>
    </row>
    <row r="422" spans="1:11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7">
        <v>45590</v>
      </c>
      <c r="G422" s="6" t="s">
        <v>879</v>
      </c>
      <c r="H422" t="s">
        <v>7</v>
      </c>
      <c r="I422" t="s">
        <v>72</v>
      </c>
      <c r="K422"/>
    </row>
    <row r="423" spans="1:11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7">
        <v>45591</v>
      </c>
      <c r="G423" s="6" t="s">
        <v>880</v>
      </c>
      <c r="H423" t="s">
        <v>7</v>
      </c>
      <c r="I423" t="s">
        <v>505</v>
      </c>
      <c r="K423"/>
    </row>
    <row r="424" spans="1:11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7">
        <v>45591</v>
      </c>
      <c r="G424" s="6" t="s">
        <v>881</v>
      </c>
      <c r="H424" t="s">
        <v>8</v>
      </c>
      <c r="I424" t="s">
        <v>725</v>
      </c>
      <c r="K424"/>
    </row>
    <row r="425" spans="1:11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7">
        <v>45593</v>
      </c>
      <c r="G425" s="6" t="s">
        <v>882</v>
      </c>
      <c r="H425" t="s">
        <v>7</v>
      </c>
      <c r="I425" t="s">
        <v>179</v>
      </c>
      <c r="K425"/>
    </row>
    <row r="426" spans="1:11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7">
        <v>45593</v>
      </c>
      <c r="G426" s="6" t="s">
        <v>883</v>
      </c>
      <c r="H426" t="s">
        <v>8</v>
      </c>
      <c r="I426" t="s">
        <v>104</v>
      </c>
      <c r="K426"/>
    </row>
    <row r="427" spans="1:11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7">
        <v>45595</v>
      </c>
      <c r="G427" s="6" t="s">
        <v>884</v>
      </c>
      <c r="H427" t="s">
        <v>7</v>
      </c>
      <c r="I427" t="s">
        <v>22</v>
      </c>
      <c r="K427"/>
    </row>
    <row r="428" spans="1:11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7">
        <v>45595</v>
      </c>
      <c r="G428" s="6" t="s">
        <v>885</v>
      </c>
      <c r="H428" t="s">
        <v>7</v>
      </c>
      <c r="I428" t="s">
        <v>34</v>
      </c>
      <c r="K428"/>
    </row>
    <row r="429" spans="1:11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7">
        <v>45598</v>
      </c>
      <c r="G429" s="6" t="s">
        <v>886</v>
      </c>
      <c r="H429" t="s">
        <v>7</v>
      </c>
      <c r="I429" t="s">
        <v>203</v>
      </c>
      <c r="K429"/>
    </row>
    <row r="430" spans="1:11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377</v>
      </c>
      <c r="D430" t="s">
        <v>377</v>
      </c>
      <c r="E430" t="s">
        <v>79</v>
      </c>
      <c r="F430" s="7">
        <v>45598</v>
      </c>
      <c r="G430" s="6" t="s">
        <v>887</v>
      </c>
      <c r="H430" t="s">
        <v>7</v>
      </c>
      <c r="I430" t="s">
        <v>100</v>
      </c>
      <c r="K430"/>
    </row>
    <row r="431" spans="1:11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7">
        <v>45600</v>
      </c>
      <c r="G431" s="6" t="s">
        <v>888</v>
      </c>
      <c r="H431" t="s">
        <v>7</v>
      </c>
      <c r="I431" t="s">
        <v>10</v>
      </c>
      <c r="K431"/>
    </row>
    <row r="432" spans="1:11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7">
        <v>45600</v>
      </c>
      <c r="G432" s="6" t="s">
        <v>889</v>
      </c>
      <c r="H432" t="s">
        <v>7</v>
      </c>
      <c r="I432" t="s">
        <v>10</v>
      </c>
      <c r="K432"/>
    </row>
    <row r="433" spans="1:11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7">
        <v>45600</v>
      </c>
      <c r="G433" s="6" t="s">
        <v>890</v>
      </c>
      <c r="H433" t="s">
        <v>7</v>
      </c>
      <c r="I433" t="s">
        <v>10</v>
      </c>
      <c r="K433"/>
    </row>
    <row r="434" spans="1:11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7">
        <v>45601</v>
      </c>
      <c r="G434" s="6" t="s">
        <v>891</v>
      </c>
      <c r="H434" t="s">
        <v>7</v>
      </c>
      <c r="I434" t="s">
        <v>10</v>
      </c>
      <c r="K434"/>
    </row>
    <row r="435" spans="1:11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7">
        <v>45602</v>
      </c>
      <c r="G435" s="6" t="s">
        <v>892</v>
      </c>
      <c r="H435" t="s">
        <v>7</v>
      </c>
      <c r="I435" t="s">
        <v>893</v>
      </c>
      <c r="K435"/>
    </row>
    <row r="436" spans="1:11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7">
        <v>45602</v>
      </c>
      <c r="G436" s="6" t="s">
        <v>894</v>
      </c>
      <c r="H436" t="s">
        <v>7</v>
      </c>
      <c r="I436" t="s">
        <v>19</v>
      </c>
      <c r="K436"/>
    </row>
    <row r="437" spans="1:11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7">
        <v>45603</v>
      </c>
      <c r="G437" s="6" t="s">
        <v>895</v>
      </c>
      <c r="H437" t="s">
        <v>8</v>
      </c>
      <c r="I437" t="s">
        <v>896</v>
      </c>
      <c r="K437"/>
    </row>
    <row r="438" spans="1:11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7">
        <v>45603</v>
      </c>
      <c r="G438" s="6" t="s">
        <v>897</v>
      </c>
      <c r="H438" t="s">
        <v>7</v>
      </c>
      <c r="I438" t="s">
        <v>657</v>
      </c>
      <c r="K438"/>
    </row>
    <row r="439" spans="1:11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7">
        <v>45604</v>
      </c>
      <c r="G439" s="6" t="s">
        <v>898</v>
      </c>
      <c r="H439" t="s">
        <v>8</v>
      </c>
      <c r="I439" t="s">
        <v>10</v>
      </c>
      <c r="K439"/>
    </row>
    <row r="440" spans="1:11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7">
        <v>45604</v>
      </c>
      <c r="G440" s="6" t="s">
        <v>899</v>
      </c>
      <c r="H440" t="s">
        <v>8</v>
      </c>
      <c r="I440" t="s">
        <v>31</v>
      </c>
      <c r="K440"/>
    </row>
    <row r="441" spans="1:11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7">
        <v>45605</v>
      </c>
      <c r="G441" s="6" t="s">
        <v>900</v>
      </c>
      <c r="H441" t="s">
        <v>7</v>
      </c>
      <c r="I441" t="s">
        <v>10</v>
      </c>
      <c r="K441"/>
    </row>
    <row r="442" spans="1:11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7">
        <v>45605</v>
      </c>
      <c r="G442" s="6" t="s">
        <v>901</v>
      </c>
      <c r="H442" t="s">
        <v>7</v>
      </c>
      <c r="I442" t="s">
        <v>48</v>
      </c>
      <c r="K442"/>
    </row>
    <row r="443" spans="1:11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7">
        <v>45607</v>
      </c>
      <c r="G443" s="6" t="s">
        <v>902</v>
      </c>
      <c r="H443" t="s">
        <v>8</v>
      </c>
      <c r="I443" t="s">
        <v>279</v>
      </c>
      <c r="K443"/>
    </row>
    <row r="444" spans="1:11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7">
        <v>45608</v>
      </c>
      <c r="G444" s="6" t="s">
        <v>903</v>
      </c>
      <c r="H444" t="s">
        <v>7</v>
      </c>
      <c r="I444" t="s">
        <v>66</v>
      </c>
      <c r="K444"/>
    </row>
    <row r="445" spans="1:11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7">
        <v>45608</v>
      </c>
      <c r="G445" s="6" t="s">
        <v>904</v>
      </c>
      <c r="H445" t="s">
        <v>7</v>
      </c>
      <c r="I445" t="s">
        <v>10</v>
      </c>
      <c r="K445"/>
    </row>
    <row r="446" spans="1:11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7">
        <v>45609</v>
      </c>
      <c r="G446" s="6" t="s">
        <v>905</v>
      </c>
      <c r="H446" t="s">
        <v>7</v>
      </c>
      <c r="I446" t="s">
        <v>31</v>
      </c>
      <c r="K446"/>
    </row>
    <row r="447" spans="1:11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7">
        <v>45609</v>
      </c>
      <c r="G447" s="6" t="s">
        <v>906</v>
      </c>
      <c r="H447" t="s">
        <v>8</v>
      </c>
      <c r="I447" t="s">
        <v>528</v>
      </c>
      <c r="K447"/>
    </row>
    <row r="448" spans="1:11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377</v>
      </c>
      <c r="D448" t="s">
        <v>377</v>
      </c>
      <c r="E448" t="s">
        <v>79</v>
      </c>
      <c r="F448" s="7">
        <v>45610</v>
      </c>
      <c r="G448" s="6" t="s">
        <v>907</v>
      </c>
      <c r="H448" t="s">
        <v>7</v>
      </c>
      <c r="I448" t="s">
        <v>117</v>
      </c>
      <c r="K448"/>
    </row>
    <row r="449" spans="1:11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7">
        <v>45610</v>
      </c>
      <c r="G449" s="6" t="s">
        <v>908</v>
      </c>
      <c r="H449" t="s">
        <v>7</v>
      </c>
      <c r="I449" t="s">
        <v>25</v>
      </c>
      <c r="K449"/>
    </row>
    <row r="450" spans="1:11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7">
        <v>45610</v>
      </c>
      <c r="G450" s="6" t="s">
        <v>909</v>
      </c>
      <c r="H450" t="s">
        <v>8</v>
      </c>
      <c r="I450" t="s">
        <v>147</v>
      </c>
      <c r="K450"/>
    </row>
    <row r="451" spans="1:11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7">
        <v>45611</v>
      </c>
      <c r="G451" s="6" t="s">
        <v>910</v>
      </c>
      <c r="H451" t="s">
        <v>7</v>
      </c>
      <c r="I451" t="s">
        <v>10</v>
      </c>
      <c r="K451"/>
    </row>
    <row r="452" spans="1:11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7">
        <v>45613</v>
      </c>
      <c r="G452" s="6" t="s">
        <v>911</v>
      </c>
      <c r="H452" t="s">
        <v>7</v>
      </c>
      <c r="I452" t="s">
        <v>119</v>
      </c>
      <c r="K452"/>
    </row>
    <row r="453" spans="1:11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7">
        <v>45614</v>
      </c>
      <c r="G453" s="6" t="s">
        <v>912</v>
      </c>
      <c r="H453" t="s">
        <v>8</v>
      </c>
      <c r="I453" t="s">
        <v>10</v>
      </c>
      <c r="K453"/>
    </row>
    <row r="454" spans="1:11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7">
        <v>45615</v>
      </c>
      <c r="G454" s="6" t="s">
        <v>913</v>
      </c>
      <c r="H454" t="s">
        <v>7</v>
      </c>
      <c r="I454" t="s">
        <v>914</v>
      </c>
      <c r="K454"/>
    </row>
    <row r="455" spans="1:11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7">
        <v>45615</v>
      </c>
      <c r="G455" s="6" t="s">
        <v>915</v>
      </c>
      <c r="H455" t="s">
        <v>8</v>
      </c>
      <c r="I455" t="s">
        <v>916</v>
      </c>
      <c r="K455"/>
    </row>
    <row r="456" spans="1:11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7">
        <v>45615</v>
      </c>
      <c r="G456" s="6" t="s">
        <v>917</v>
      </c>
      <c r="H456" t="s">
        <v>8</v>
      </c>
      <c r="I456" t="s">
        <v>519</v>
      </c>
      <c r="K456"/>
    </row>
    <row r="457" spans="1:11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7">
        <v>45615</v>
      </c>
      <c r="G457" s="6" t="s">
        <v>918</v>
      </c>
      <c r="H457" t="s">
        <v>7</v>
      </c>
      <c r="I457" t="s">
        <v>19</v>
      </c>
      <c r="K457"/>
    </row>
    <row r="458" spans="1:11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7">
        <v>45616</v>
      </c>
      <c r="G458" s="6" t="s">
        <v>919</v>
      </c>
      <c r="H458" t="s">
        <v>7</v>
      </c>
      <c r="I458" t="s">
        <v>157</v>
      </c>
      <c r="K458"/>
    </row>
    <row r="459" spans="1:11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7">
        <v>45617</v>
      </c>
      <c r="G459" s="6" t="s">
        <v>920</v>
      </c>
      <c r="H459" t="s">
        <v>8</v>
      </c>
      <c r="I459" t="s">
        <v>841</v>
      </c>
      <c r="K459"/>
    </row>
    <row r="460" spans="1:11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7">
        <v>45618</v>
      </c>
      <c r="G460" s="6" t="s">
        <v>921</v>
      </c>
      <c r="H460" t="s">
        <v>7</v>
      </c>
      <c r="I460" t="s">
        <v>291</v>
      </c>
      <c r="K460"/>
    </row>
    <row r="461" spans="1:11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7">
        <v>45618</v>
      </c>
      <c r="G461" s="6" t="s">
        <v>922</v>
      </c>
      <c r="H461" t="s">
        <v>8</v>
      </c>
      <c r="I461" t="s">
        <v>481</v>
      </c>
      <c r="K461"/>
    </row>
    <row r="462" spans="1:11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7">
        <v>45619</v>
      </c>
      <c r="G462" s="6" t="s">
        <v>923</v>
      </c>
      <c r="H462" t="s">
        <v>7</v>
      </c>
      <c r="I462" t="s">
        <v>5</v>
      </c>
      <c r="K462"/>
    </row>
    <row r="463" spans="1:11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377</v>
      </c>
      <c r="D463" t="s">
        <v>377</v>
      </c>
      <c r="E463" t="s">
        <v>79</v>
      </c>
      <c r="F463" s="7">
        <v>45619</v>
      </c>
      <c r="G463" s="6" t="s">
        <v>924</v>
      </c>
      <c r="H463" t="s">
        <v>7</v>
      </c>
      <c r="I463" t="s">
        <v>925</v>
      </c>
      <c r="K463"/>
    </row>
    <row r="464" spans="1:11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7">
        <v>45622</v>
      </c>
      <c r="G464" s="6" t="s">
        <v>926</v>
      </c>
      <c r="H464" t="s">
        <v>7</v>
      </c>
      <c r="I464" t="s">
        <v>197</v>
      </c>
      <c r="K464"/>
    </row>
    <row r="465" spans="1:11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7">
        <v>45624</v>
      </c>
      <c r="G465" s="6" t="s">
        <v>927</v>
      </c>
      <c r="H465" t="s">
        <v>7</v>
      </c>
      <c r="I465" t="s">
        <v>19</v>
      </c>
      <c r="K465"/>
    </row>
    <row r="466" spans="1:11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7">
        <v>45624</v>
      </c>
      <c r="G466" s="6" t="s">
        <v>928</v>
      </c>
      <c r="H466" t="s">
        <v>7</v>
      </c>
      <c r="I466" t="s">
        <v>28</v>
      </c>
      <c r="K466"/>
    </row>
    <row r="467" spans="1:11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377</v>
      </c>
      <c r="D467" t="s">
        <v>377</v>
      </c>
      <c r="E467" t="s">
        <v>79</v>
      </c>
      <c r="F467" s="7">
        <v>45625</v>
      </c>
      <c r="G467" s="6" t="s">
        <v>929</v>
      </c>
      <c r="H467" t="s">
        <v>7</v>
      </c>
      <c r="I467" t="s">
        <v>13</v>
      </c>
      <c r="K467"/>
    </row>
    <row r="468" spans="1:11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7">
        <v>45625</v>
      </c>
      <c r="G468" s="6" t="s">
        <v>930</v>
      </c>
      <c r="H468" t="s">
        <v>7</v>
      </c>
      <c r="I468" t="s">
        <v>505</v>
      </c>
      <c r="K468"/>
    </row>
    <row r="469" spans="1:11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7">
        <v>45626</v>
      </c>
      <c r="G469" s="6" t="s">
        <v>931</v>
      </c>
      <c r="H469" t="s">
        <v>7</v>
      </c>
      <c r="I469" t="s">
        <v>34</v>
      </c>
      <c r="K469"/>
    </row>
    <row r="470" spans="1:11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7">
        <v>45626</v>
      </c>
      <c r="G470" s="6" t="s">
        <v>932</v>
      </c>
      <c r="H470" t="s">
        <v>7</v>
      </c>
      <c r="I470" t="s">
        <v>161</v>
      </c>
      <c r="K470"/>
    </row>
    <row r="471" spans="1:11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7">
        <v>45626</v>
      </c>
      <c r="G471" s="6" t="s">
        <v>933</v>
      </c>
      <c r="H471" t="s">
        <v>8</v>
      </c>
      <c r="I471" t="s">
        <v>129</v>
      </c>
      <c r="K471"/>
    </row>
    <row r="472" spans="1:11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7">
        <v>45626</v>
      </c>
      <c r="G472" s="6" t="s">
        <v>934</v>
      </c>
      <c r="H472" t="s">
        <v>8</v>
      </c>
      <c r="I472" t="s">
        <v>147</v>
      </c>
      <c r="K472"/>
    </row>
    <row r="473" spans="1:11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7">
        <v>45627</v>
      </c>
      <c r="G473" s="6" t="s">
        <v>935</v>
      </c>
      <c r="H473" t="s">
        <v>8</v>
      </c>
      <c r="I473" t="s">
        <v>475</v>
      </c>
      <c r="K473"/>
    </row>
    <row r="474" spans="1:11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7">
        <v>45628</v>
      </c>
      <c r="G474" s="6" t="s">
        <v>936</v>
      </c>
      <c r="H474" t="s">
        <v>7</v>
      </c>
      <c r="I474" t="s">
        <v>937</v>
      </c>
      <c r="K474"/>
    </row>
    <row r="475" spans="1:11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7">
        <v>45628</v>
      </c>
      <c r="G475" s="6" t="s">
        <v>938</v>
      </c>
      <c r="H475" t="s">
        <v>8</v>
      </c>
      <c r="I475" t="s">
        <v>267</v>
      </c>
      <c r="K475"/>
    </row>
    <row r="476" spans="1:11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7">
        <v>45629</v>
      </c>
      <c r="G476" s="6" t="s">
        <v>939</v>
      </c>
      <c r="H476" t="s">
        <v>7</v>
      </c>
      <c r="I476" t="s">
        <v>657</v>
      </c>
      <c r="K476"/>
    </row>
    <row r="477" spans="1:11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7">
        <v>45629</v>
      </c>
      <c r="G477" s="6" t="s">
        <v>940</v>
      </c>
      <c r="H477" t="s">
        <v>7</v>
      </c>
      <c r="I477" t="s">
        <v>117</v>
      </c>
      <c r="K477"/>
    </row>
    <row r="478" spans="1:11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7">
        <v>45630</v>
      </c>
      <c r="G478" s="6" t="s">
        <v>941</v>
      </c>
      <c r="H478" t="s">
        <v>7</v>
      </c>
      <c r="I478" t="s">
        <v>10</v>
      </c>
      <c r="K478"/>
    </row>
    <row r="479" spans="1:11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7">
        <v>45630</v>
      </c>
      <c r="G479" s="6" t="s">
        <v>942</v>
      </c>
      <c r="H479" t="s">
        <v>7</v>
      </c>
      <c r="I479" t="s">
        <v>943</v>
      </c>
      <c r="K479"/>
    </row>
    <row r="480" spans="1:11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3">
        <v>45632</v>
      </c>
      <c r="G480" s="6" t="s">
        <v>944</v>
      </c>
      <c r="H480" t="s">
        <v>8</v>
      </c>
      <c r="I480" t="s">
        <v>688</v>
      </c>
      <c r="K480"/>
    </row>
    <row r="481" spans="1:11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7">
        <v>45632</v>
      </c>
      <c r="G481" s="6" t="s">
        <v>945</v>
      </c>
      <c r="H481" t="s">
        <v>8</v>
      </c>
      <c r="I481" t="s">
        <v>946</v>
      </c>
      <c r="K481"/>
    </row>
    <row r="482" spans="1:11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7">
        <v>45633</v>
      </c>
      <c r="G482" s="6" t="s">
        <v>947</v>
      </c>
      <c r="H482" t="s">
        <v>7</v>
      </c>
      <c r="I482" t="s">
        <v>948</v>
      </c>
      <c r="K482"/>
    </row>
    <row r="483" spans="1:11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7">
        <v>45635</v>
      </c>
      <c r="G483" s="6" t="s">
        <v>949</v>
      </c>
      <c r="H483" t="s">
        <v>7</v>
      </c>
      <c r="I483" t="s">
        <v>385</v>
      </c>
      <c r="K483"/>
    </row>
    <row r="484" spans="1:11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7">
        <v>45635</v>
      </c>
      <c r="G484" s="6" t="s">
        <v>950</v>
      </c>
      <c r="H484" t="s">
        <v>8</v>
      </c>
      <c r="I484" t="s">
        <v>951</v>
      </c>
      <c r="K484"/>
    </row>
    <row r="485" spans="1:11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7">
        <v>45635</v>
      </c>
      <c r="G485" s="6" t="s">
        <v>952</v>
      </c>
      <c r="H485" t="s">
        <v>8</v>
      </c>
      <c r="I485" t="s">
        <v>953</v>
      </c>
      <c r="K485"/>
    </row>
    <row r="486" spans="1:11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7">
        <v>45636</v>
      </c>
      <c r="G486" s="6" t="s">
        <v>954</v>
      </c>
      <c r="H486" t="s">
        <v>7</v>
      </c>
      <c r="I486" t="s">
        <v>72</v>
      </c>
      <c r="K486"/>
    </row>
    <row r="487" spans="1:11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7">
        <v>45638</v>
      </c>
      <c r="G487" s="6" t="s">
        <v>955</v>
      </c>
      <c r="H487" t="s">
        <v>7</v>
      </c>
      <c r="I487" t="s">
        <v>72</v>
      </c>
      <c r="K487"/>
    </row>
    <row r="488" spans="1:11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7">
        <v>45638</v>
      </c>
      <c r="G488" s="6" t="s">
        <v>956</v>
      </c>
      <c r="H488" t="s">
        <v>7</v>
      </c>
      <c r="I488" t="s">
        <v>106</v>
      </c>
      <c r="K488"/>
    </row>
    <row r="489" spans="1:11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7">
        <v>45638</v>
      </c>
      <c r="G489" s="6" t="s">
        <v>957</v>
      </c>
      <c r="H489" t="s">
        <v>7</v>
      </c>
      <c r="I489" t="s">
        <v>826</v>
      </c>
      <c r="K489"/>
    </row>
    <row r="490" spans="1:11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7">
        <v>45638</v>
      </c>
      <c r="G490" s="6" t="s">
        <v>958</v>
      </c>
      <c r="H490" t="s">
        <v>8</v>
      </c>
      <c r="I490" t="s">
        <v>147</v>
      </c>
      <c r="K490"/>
    </row>
    <row r="491" spans="1:11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7">
        <v>45640</v>
      </c>
      <c r="G491" s="6" t="s">
        <v>959</v>
      </c>
      <c r="H491" t="s">
        <v>7</v>
      </c>
      <c r="I491" t="s">
        <v>22</v>
      </c>
      <c r="K491"/>
    </row>
    <row r="492" spans="1:11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7">
        <v>45641</v>
      </c>
      <c r="G492" s="6" t="s">
        <v>960</v>
      </c>
      <c r="H492" t="s">
        <v>8</v>
      </c>
      <c r="I492" t="s">
        <v>660</v>
      </c>
      <c r="K492"/>
    </row>
    <row r="493" spans="1:11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7">
        <v>45642</v>
      </c>
      <c r="G493" s="6" t="s">
        <v>961</v>
      </c>
      <c r="H493" t="s">
        <v>7</v>
      </c>
      <c r="I493" t="s">
        <v>469</v>
      </c>
      <c r="K493"/>
    </row>
    <row r="494" spans="1:11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7">
        <v>45642</v>
      </c>
      <c r="G494" s="6" t="s">
        <v>962</v>
      </c>
      <c r="H494" t="s">
        <v>7</v>
      </c>
      <c r="I494" t="s">
        <v>10</v>
      </c>
      <c r="K494"/>
    </row>
    <row r="495" spans="1:11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7">
        <v>45643</v>
      </c>
      <c r="G495" s="6" t="s">
        <v>963</v>
      </c>
      <c r="H495" t="s">
        <v>7</v>
      </c>
      <c r="I495" t="s">
        <v>161</v>
      </c>
      <c r="K495"/>
    </row>
    <row r="496" spans="1:11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7">
        <v>45644</v>
      </c>
      <c r="G496" s="6" t="s">
        <v>964</v>
      </c>
      <c r="H496" t="s">
        <v>7</v>
      </c>
      <c r="I496" t="s">
        <v>10</v>
      </c>
      <c r="K496"/>
    </row>
    <row r="497" spans="1:11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7">
        <v>45644</v>
      </c>
      <c r="G497" s="6" t="s">
        <v>965</v>
      </c>
      <c r="H497" t="s">
        <v>7</v>
      </c>
      <c r="I497" t="s">
        <v>37</v>
      </c>
      <c r="K497"/>
    </row>
    <row r="498" spans="1:11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7">
        <v>45645</v>
      </c>
      <c r="G498" s="6" t="s">
        <v>966</v>
      </c>
      <c r="H498" t="s">
        <v>7</v>
      </c>
      <c r="I498" t="s">
        <v>46</v>
      </c>
      <c r="K498"/>
    </row>
    <row r="499" spans="1:11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7">
        <v>45646</v>
      </c>
      <c r="G499" s="6" t="s">
        <v>967</v>
      </c>
      <c r="H499" t="s">
        <v>7</v>
      </c>
      <c r="I499" t="s">
        <v>413</v>
      </c>
      <c r="K499"/>
    </row>
    <row r="500" spans="1:11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7">
        <v>45646</v>
      </c>
      <c r="G500" s="6" t="s">
        <v>968</v>
      </c>
      <c r="H500" t="s">
        <v>8</v>
      </c>
      <c r="I500" t="s">
        <v>31</v>
      </c>
      <c r="K500"/>
    </row>
    <row r="501" spans="1:11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7">
        <v>45646</v>
      </c>
      <c r="G501" s="6" t="s">
        <v>969</v>
      </c>
      <c r="H501" t="s">
        <v>8</v>
      </c>
      <c r="I501" t="s">
        <v>185</v>
      </c>
      <c r="K501"/>
    </row>
    <row r="502" spans="1:11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7">
        <v>45647</v>
      </c>
      <c r="G502" s="6" t="s">
        <v>970</v>
      </c>
      <c r="H502" t="s">
        <v>7</v>
      </c>
      <c r="I502" t="s">
        <v>203</v>
      </c>
      <c r="K502"/>
    </row>
    <row r="503" spans="1:11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7">
        <v>45647</v>
      </c>
      <c r="G503" s="6" t="s">
        <v>971</v>
      </c>
      <c r="H503" t="s">
        <v>8</v>
      </c>
      <c r="I503" t="s">
        <v>10</v>
      </c>
      <c r="K503"/>
    </row>
    <row r="504" spans="1:11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7">
        <v>45647</v>
      </c>
      <c r="G504" s="6" t="s">
        <v>972</v>
      </c>
      <c r="H504" t="s">
        <v>8</v>
      </c>
      <c r="I504" t="s">
        <v>5</v>
      </c>
      <c r="K504"/>
    </row>
    <row r="505" spans="1:11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7">
        <v>45647</v>
      </c>
      <c r="G505" s="6" t="s">
        <v>973</v>
      </c>
      <c r="H505" t="s">
        <v>8</v>
      </c>
      <c r="I505" t="s">
        <v>69</v>
      </c>
      <c r="K505"/>
    </row>
    <row r="506" spans="1:11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7">
        <v>45649</v>
      </c>
      <c r="G506" s="6" t="s">
        <v>974</v>
      </c>
      <c r="H506" t="s">
        <v>7</v>
      </c>
      <c r="I506" t="s">
        <v>113</v>
      </c>
      <c r="K506"/>
    </row>
    <row r="507" spans="1:11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7">
        <v>45652</v>
      </c>
      <c r="G507" s="6" t="s">
        <v>975</v>
      </c>
      <c r="H507" t="s">
        <v>7</v>
      </c>
      <c r="I507" t="s">
        <v>19</v>
      </c>
      <c r="K507"/>
    </row>
    <row r="508" spans="1:11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377</v>
      </c>
      <c r="D508" t="s">
        <v>377</v>
      </c>
      <c r="E508" t="s">
        <v>79</v>
      </c>
      <c r="F508" s="7">
        <v>45652</v>
      </c>
      <c r="G508" s="6" t="s">
        <v>976</v>
      </c>
      <c r="H508" t="s">
        <v>7</v>
      </c>
      <c r="I508" t="s">
        <v>10</v>
      </c>
      <c r="K508"/>
    </row>
    <row r="509" spans="1:11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377</v>
      </c>
      <c r="D509" t="s">
        <v>377</v>
      </c>
      <c r="E509" t="s">
        <v>79</v>
      </c>
      <c r="F509" s="7">
        <v>45653</v>
      </c>
      <c r="G509" s="6" t="s">
        <v>977</v>
      </c>
      <c r="H509" t="s">
        <v>8</v>
      </c>
      <c r="I509" t="s">
        <v>428</v>
      </c>
      <c r="K509"/>
    </row>
    <row r="510" spans="1:11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7">
        <v>45654</v>
      </c>
      <c r="G510" s="6" t="s">
        <v>978</v>
      </c>
      <c r="H510" t="s">
        <v>7</v>
      </c>
      <c r="I510" t="s">
        <v>161</v>
      </c>
      <c r="K510"/>
    </row>
    <row r="511" spans="1:11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7">
        <v>45654</v>
      </c>
      <c r="G511" s="6" t="s">
        <v>979</v>
      </c>
      <c r="H511" t="s">
        <v>7</v>
      </c>
      <c r="I511" t="s">
        <v>5</v>
      </c>
      <c r="K511"/>
    </row>
    <row r="512" spans="1:11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7">
        <v>45656</v>
      </c>
      <c r="G512" s="6" t="s">
        <v>980</v>
      </c>
      <c r="H512" t="s">
        <v>7</v>
      </c>
      <c r="I512" t="s">
        <v>81</v>
      </c>
      <c r="K512"/>
    </row>
    <row r="513" spans="1:11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7">
        <v>45657</v>
      </c>
      <c r="G513" s="6" t="s">
        <v>981</v>
      </c>
      <c r="H513" t="s">
        <v>8</v>
      </c>
      <c r="I513" t="s">
        <v>5</v>
      </c>
      <c r="K513"/>
    </row>
    <row r="514" spans="1:11" x14ac:dyDescent="0.25">
      <c r="A514">
        <v>31231</v>
      </c>
      <c r="B514" t="str">
        <f>_xlfn.CONCAT(bron[[#This Row],[personeelsnr]]," ",bron[[#This Row],[achternaam]]," ",bron[[#This Row],[voornaam]])</f>
        <v>31231 Colaes Dylan</v>
      </c>
      <c r="C514" t="str">
        <f>VLOOKUP(bron[[#This Row],[personeelsnr]],'data hastus'!$A:$C,2,0)</f>
        <v>Colaes</v>
      </c>
      <c r="D514" t="str">
        <f>VLOOKUP(bron[[#This Row],[personeelsnr]],'data hastus'!$A:$C,3,0)</f>
        <v>Dylan</v>
      </c>
      <c r="E514" t="str">
        <f>VLOOKUP(bron[[#This Row],[personeelsnr]],'data hastus'!A:K,11,FALSE)</f>
        <v>Els Vanhoe</v>
      </c>
      <c r="F514" s="3">
        <v>45660</v>
      </c>
      <c r="G514" s="6" t="s">
        <v>984</v>
      </c>
      <c r="H514" t="s">
        <v>3535</v>
      </c>
      <c r="I514" t="s">
        <v>169</v>
      </c>
      <c r="J514">
        <v>6312</v>
      </c>
      <c r="K514" s="27" t="s">
        <v>3547</v>
      </c>
    </row>
    <row r="515" spans="1:11" x14ac:dyDescent="0.25">
      <c r="A515">
        <v>31490</v>
      </c>
      <c r="B515" t="str">
        <f>_xlfn.CONCAT(bron[[#This Row],[personeelsnr]]," ",bron[[#This Row],[achternaam]]," ",bron[[#This Row],[voornaam]])</f>
        <v>31490 De Weirdt Steph</v>
      </c>
      <c r="C515" t="s">
        <v>986</v>
      </c>
      <c r="D515" t="s">
        <v>987</v>
      </c>
      <c r="E515" t="s">
        <v>76</v>
      </c>
      <c r="F515" s="3">
        <v>45660</v>
      </c>
      <c r="G515" s="6" t="s">
        <v>988</v>
      </c>
      <c r="H515" t="s">
        <v>3500</v>
      </c>
      <c r="I515" t="s">
        <v>16</v>
      </c>
      <c r="J515">
        <v>5934</v>
      </c>
      <c r="K515" s="27" t="s">
        <v>3547</v>
      </c>
    </row>
    <row r="516" spans="1:11" x14ac:dyDescent="0.25">
      <c r="A516">
        <v>36289</v>
      </c>
      <c r="B516" t="str">
        <f>_xlfn.CONCAT(bron[[#This Row],[personeelsnr]]," ",bron[[#This Row],[achternaam]]," ",bron[[#This Row],[voornaam]])</f>
        <v>36289 Van Rentergem Steve</v>
      </c>
      <c r="C516" t="str">
        <f>VLOOKUP(bron[[#This Row],[personeelsnr]],'data hastus'!$A:$C,2,0)</f>
        <v>Van Rentergem</v>
      </c>
      <c r="D516" t="str">
        <f>VLOOKUP(bron[[#This Row],[personeelsnr]],'data hastus'!$A:$C,3,0)</f>
        <v>Steve</v>
      </c>
      <c r="E516" t="str">
        <f>VLOOKUP(bron[[#This Row],[personeelsnr]],'data hastus'!A:K,11,FALSE)</f>
        <v>Els Vanhoe</v>
      </c>
      <c r="F516" s="3">
        <v>45660</v>
      </c>
      <c r="G516" s="6" t="s">
        <v>985</v>
      </c>
      <c r="H516" t="s">
        <v>3499</v>
      </c>
      <c r="I516" t="s">
        <v>19</v>
      </c>
      <c r="J516">
        <v>5048</v>
      </c>
      <c r="K516" s="27" t="s">
        <v>3547</v>
      </c>
    </row>
    <row r="517" spans="1:11" x14ac:dyDescent="0.25">
      <c r="A517">
        <v>36426</v>
      </c>
      <c r="B517" t="str">
        <f>_xlfn.CONCAT(bron[[#This Row],[personeelsnr]]," ",bron[[#This Row],[achternaam]]," ",bron[[#This Row],[voornaam]])</f>
        <v>36426 Mohamed Yassin Abdulhamid</v>
      </c>
      <c r="C517" t="str">
        <f>VLOOKUP(bron[[#This Row],[personeelsnr]],'data hastus'!$A:$C,2,0)</f>
        <v>Mohamed Yassin</v>
      </c>
      <c r="D517" t="str">
        <f>VLOOKUP(bron[[#This Row],[personeelsnr]],'data hastus'!$A:$C,3,0)</f>
        <v>Abdulhamid</v>
      </c>
      <c r="E517" t="str">
        <f>VLOOKUP(bron[[#This Row],[personeelsnr]],'data hastus'!A:K,11,FALSE)</f>
        <v>Bart Van Der Beken</v>
      </c>
      <c r="F517" s="3">
        <v>45660</v>
      </c>
      <c r="G517" s="6" t="s">
        <v>1276</v>
      </c>
      <c r="H517" t="s">
        <v>8</v>
      </c>
      <c r="I517" t="s">
        <v>235</v>
      </c>
      <c r="J517">
        <v>6311</v>
      </c>
      <c r="K517" s="27" t="s">
        <v>3548</v>
      </c>
    </row>
    <row r="518" spans="1:11" x14ac:dyDescent="0.25">
      <c r="A518">
        <v>39014</v>
      </c>
      <c r="B518" t="str">
        <f>_xlfn.CONCAT(bron[[#This Row],[personeelsnr]]," ",bron[[#This Row],[achternaam]]," ",bron[[#This Row],[voornaam]])</f>
        <v>39014 Genbrugge Kyllian</v>
      </c>
      <c r="C518" t="str">
        <f>VLOOKUP(bron[[#This Row],[personeelsnr]],'data hastus'!$A:$C,2,0)</f>
        <v>Genbrugge</v>
      </c>
      <c r="D518" t="str">
        <f>VLOOKUP(bron[[#This Row],[personeelsnr]],'data hastus'!$A:$C,3,0)</f>
        <v>Kyllian</v>
      </c>
      <c r="E518" t="str">
        <f>VLOOKUP(bron[[#This Row],[personeelsnr]],'data hastus'!A:K,11,FALSE)</f>
        <v>Bart Van Der Beken</v>
      </c>
      <c r="F518" s="3">
        <v>45660</v>
      </c>
      <c r="G518" s="6" t="s">
        <v>982</v>
      </c>
      <c r="H518" t="s">
        <v>3501</v>
      </c>
      <c r="I518" t="s">
        <v>263</v>
      </c>
      <c r="J518">
        <v>5048</v>
      </c>
      <c r="K518" s="27" t="s">
        <v>3547</v>
      </c>
    </row>
    <row r="519" spans="1:11" x14ac:dyDescent="0.25">
      <c r="A519">
        <v>39358</v>
      </c>
      <c r="B519" t="str">
        <f>_xlfn.CONCAT(bron[[#This Row],[personeelsnr]]," ",bron[[#This Row],[achternaam]]," ",bron[[#This Row],[voornaam]])</f>
        <v>39358 Weeks Aracena Jimmy Alexander</v>
      </c>
      <c r="C519" t="str">
        <f>VLOOKUP(bron[[#This Row],[personeelsnr]],'data hastus'!$A:$C,2,0)</f>
        <v>Weeks Aracena</v>
      </c>
      <c r="D519" t="str">
        <f>VLOOKUP(bron[[#This Row],[personeelsnr]],'data hastus'!$A:$C,3,0)</f>
        <v>Jimmy Alexander</v>
      </c>
      <c r="E519" t="str">
        <f>VLOOKUP(bron[[#This Row],[personeelsnr]],'data hastus'!A:K,11,FALSE)</f>
        <v>Christoff Rotty</v>
      </c>
      <c r="F519" s="3">
        <v>45660</v>
      </c>
      <c r="G519" s="6" t="s">
        <v>983</v>
      </c>
      <c r="H519" t="s">
        <v>3501</v>
      </c>
      <c r="I519" t="s">
        <v>13</v>
      </c>
      <c r="J519">
        <v>5229</v>
      </c>
      <c r="K519" s="27" t="s">
        <v>3547</v>
      </c>
    </row>
    <row r="520" spans="1:11" x14ac:dyDescent="0.25">
      <c r="A520">
        <v>40058</v>
      </c>
      <c r="B520" t="str">
        <f>_xlfn.CONCAT(bron[[#This Row],[personeelsnr]]," ",bron[[#This Row],[achternaam]]," ",bron[[#This Row],[voornaam]])</f>
        <v>40058 Sögüt Can</v>
      </c>
      <c r="C520" t="str">
        <f>VLOOKUP(bron[[#This Row],[personeelsnr]],'data hastus'!$A:$C,2,0)</f>
        <v>Sögüt</v>
      </c>
      <c r="D520" t="str">
        <f>VLOOKUP(bron[[#This Row],[personeelsnr]],'data hastus'!$A:$C,3,0)</f>
        <v>Can</v>
      </c>
      <c r="E520" t="str">
        <f>VLOOKUP(bron[[#This Row],[personeelsnr]],'data hastus'!A:K,11,FALSE)</f>
        <v>Christoff Rotty</v>
      </c>
      <c r="F520" s="3">
        <v>45660</v>
      </c>
      <c r="G520" s="6" t="s">
        <v>1285</v>
      </c>
      <c r="H520" t="s">
        <v>3499</v>
      </c>
      <c r="I520" t="s">
        <v>119</v>
      </c>
      <c r="J520">
        <v>5047</v>
      </c>
      <c r="K520" s="27" t="s">
        <v>3548</v>
      </c>
    </row>
    <row r="521" spans="1:11" x14ac:dyDescent="0.25">
      <c r="A521">
        <v>36663</v>
      </c>
      <c r="B521" t="str">
        <f>_xlfn.CONCAT(bron[[#This Row],[personeelsnr]]," ",bron[[#This Row],[achternaam]]," ",bron[[#This Row],[voornaam]])</f>
        <v>36663 Cesmeli Achraf</v>
      </c>
      <c r="C521" t="str">
        <f>VLOOKUP(bron[[#This Row],[personeelsnr]],'data hastus'!$A:$C,2,0)</f>
        <v>Cesmeli</v>
      </c>
      <c r="D521" t="str">
        <f>VLOOKUP(bron[[#This Row],[personeelsnr]],'data hastus'!$A:$C,3,0)</f>
        <v>Achraf</v>
      </c>
      <c r="E521" t="str">
        <f>VLOOKUP(bron[[#This Row],[personeelsnr]],'data hastus'!A:K,11,FALSE)</f>
        <v>Dominique De Clercq</v>
      </c>
      <c r="F521" s="3">
        <v>45661</v>
      </c>
      <c r="G521" t="s">
        <v>990</v>
      </c>
      <c r="H521" t="s">
        <v>3500</v>
      </c>
      <c r="J521">
        <v>0</v>
      </c>
      <c r="K521" s="27" t="s">
        <v>3547</v>
      </c>
    </row>
    <row r="522" spans="1:11" x14ac:dyDescent="0.25">
      <c r="A522">
        <v>40138</v>
      </c>
      <c r="B522" t="str">
        <f>_xlfn.CONCAT(bron[[#This Row],[personeelsnr]]," ",bron[[#This Row],[achternaam]]," ",bron[[#This Row],[voornaam]])</f>
        <v>40138 Moerman Tjimmy</v>
      </c>
      <c r="C522" t="str">
        <f>VLOOKUP(bron[[#This Row],[personeelsnr]],'data hastus'!$A:$C,2,0)</f>
        <v>Moerman</v>
      </c>
      <c r="D522" t="str">
        <f>VLOOKUP(bron[[#This Row],[personeelsnr]],'data hastus'!$A:$C,3,0)</f>
        <v>Tjimmy</v>
      </c>
      <c r="E522" t="str">
        <f>VLOOKUP(bron[[#This Row],[personeelsnr]],'data hastus'!A:K,11,FALSE)</f>
        <v>Christoff Rotty</v>
      </c>
      <c r="F522" s="3">
        <v>45661</v>
      </c>
      <c r="G522" s="6" t="s">
        <v>989</v>
      </c>
      <c r="H522" t="s">
        <v>3501</v>
      </c>
      <c r="I522" t="s">
        <v>257</v>
      </c>
      <c r="J522">
        <v>5051</v>
      </c>
      <c r="K522" s="27" t="s">
        <v>3547</v>
      </c>
    </row>
    <row r="523" spans="1:11" x14ac:dyDescent="0.25">
      <c r="A523">
        <v>37950</v>
      </c>
      <c r="B523" t="str">
        <f>_xlfn.CONCAT(bron[[#This Row],[personeelsnr]]," ",bron[[#This Row],[achternaam]]," ",bron[[#This Row],[voornaam]])</f>
        <v>37950 De Naegel Bruno</v>
      </c>
      <c r="C523" t="str">
        <f>VLOOKUP(bron[[#This Row],[personeelsnr]],'data hastus'!$A:$C,2,0)</f>
        <v>De Naegel</v>
      </c>
      <c r="D523" t="str">
        <f>VLOOKUP(bron[[#This Row],[personeelsnr]],'data hastus'!$A:$C,3,0)</f>
        <v>Bruno</v>
      </c>
      <c r="E523" t="str">
        <f>VLOOKUP(bron[[#This Row],[personeelsnr]],'data hastus'!A:K,11,FALSE)</f>
        <v>Dominique De Clercq</v>
      </c>
      <c r="F523" s="3">
        <v>45665</v>
      </c>
      <c r="G523" s="6" t="s">
        <v>991</v>
      </c>
      <c r="H523" t="s">
        <v>3500</v>
      </c>
      <c r="I523" t="s">
        <v>117</v>
      </c>
      <c r="J523">
        <v>5931</v>
      </c>
      <c r="K523" s="27" t="s">
        <v>3547</v>
      </c>
    </row>
    <row r="524" spans="1:11" x14ac:dyDescent="0.25">
      <c r="A524">
        <v>41032</v>
      </c>
      <c r="B524" t="str">
        <f>_xlfn.CONCAT(bron[[#This Row],[personeelsnr]]," ",bron[[#This Row],[achternaam]]," ",bron[[#This Row],[voornaam]])</f>
        <v>41032 Rocabado Hinojosa Lukas</v>
      </c>
      <c r="C524" t="str">
        <f>VLOOKUP(bron[[#This Row],[personeelsnr]],'data hastus'!$A:$C,2,0)</f>
        <v>Rocabado Hinojosa</v>
      </c>
      <c r="D524" t="str">
        <f>VLOOKUP(bron[[#This Row],[personeelsnr]],'data hastus'!$A:$C,3,0)</f>
        <v>Lukas</v>
      </c>
      <c r="E524" t="str">
        <f>VLOOKUP(bron[[#This Row],[personeelsnr]],'data hastus'!A:K,11,FALSE)</f>
        <v>Els Vanhoe</v>
      </c>
      <c r="F524" s="7">
        <v>45666</v>
      </c>
      <c r="G524" s="6" t="s">
        <v>992</v>
      </c>
      <c r="H524" t="s">
        <v>3500</v>
      </c>
      <c r="I524" t="s">
        <v>31</v>
      </c>
      <c r="J524">
        <v>5926</v>
      </c>
      <c r="K524" s="27" t="s">
        <v>3547</v>
      </c>
    </row>
    <row r="525" spans="1:11" x14ac:dyDescent="0.25">
      <c r="A525">
        <v>19917</v>
      </c>
      <c r="B525" t="str">
        <f>_xlfn.CONCAT(bron[[#This Row],[personeelsnr]]," ",bron[[#This Row],[achternaam]]," ",bron[[#This Row],[voornaam]])</f>
        <v>19917 Vandevyvere Frank</v>
      </c>
      <c r="C525" t="str">
        <f>VLOOKUP(bron[[#This Row],[personeelsnr]],'data hastus'!$A:$C,2,0)</f>
        <v>Vandevyvere</v>
      </c>
      <c r="D525" t="str">
        <f>VLOOKUP(bron[[#This Row],[personeelsnr]],'data hastus'!$A:$C,3,0)</f>
        <v>Frank</v>
      </c>
      <c r="E525" t="str">
        <f>VLOOKUP(bron[[#This Row],[personeelsnr]],'data hastus'!A:K,11,FALSE)</f>
        <v>Bart Van Der Beken</v>
      </c>
      <c r="F525" s="3">
        <v>45667</v>
      </c>
      <c r="G525" s="6" t="s">
        <v>993</v>
      </c>
      <c r="H525" t="s">
        <v>3500</v>
      </c>
      <c r="I525" t="s">
        <v>28</v>
      </c>
      <c r="J525">
        <v>5767</v>
      </c>
      <c r="K525" s="27" t="s">
        <v>3547</v>
      </c>
    </row>
    <row r="526" spans="1:11" x14ac:dyDescent="0.25">
      <c r="A526">
        <v>36559</v>
      </c>
      <c r="B526" t="str">
        <f>_xlfn.CONCAT(bron[[#This Row],[personeelsnr]]," ",bron[[#This Row],[achternaam]]," ",bron[[#This Row],[voornaam]])</f>
        <v>36559 De Staercke Sandra</v>
      </c>
      <c r="C526" t="str">
        <f>VLOOKUP(bron[[#This Row],[personeelsnr]],'data hastus'!$A:$C,2,0)</f>
        <v>De Staercke</v>
      </c>
      <c r="D526" t="str">
        <f>VLOOKUP(bron[[#This Row],[personeelsnr]],'data hastus'!$A:$C,3,0)</f>
        <v>Sandra</v>
      </c>
      <c r="E526" t="str">
        <f>VLOOKUP(bron[[#This Row],[personeelsnr]],'data hastus'!A:K,11,FALSE)</f>
        <v>Kenneth De Rick</v>
      </c>
      <c r="F526" s="3">
        <v>45667</v>
      </c>
      <c r="G526" s="6" t="s">
        <v>995</v>
      </c>
      <c r="H526" t="s">
        <v>3536</v>
      </c>
      <c r="I526" t="s">
        <v>297</v>
      </c>
      <c r="J526">
        <v>6366</v>
      </c>
      <c r="K526" s="27" t="s">
        <v>3547</v>
      </c>
    </row>
    <row r="527" spans="1:11" x14ac:dyDescent="0.25">
      <c r="A527">
        <v>40266</v>
      </c>
      <c r="B527" t="str">
        <f>_xlfn.CONCAT(bron[[#This Row],[personeelsnr]]," ",bron[[#This Row],[achternaam]]," ",bron[[#This Row],[voornaam]])</f>
        <v>40266 Taibi Yassine</v>
      </c>
      <c r="C527" t="str">
        <f>VLOOKUP(bron[[#This Row],[personeelsnr]],'data hastus'!$A:$C,2,0)</f>
        <v>Taibi</v>
      </c>
      <c r="D527" t="str">
        <f>VLOOKUP(bron[[#This Row],[personeelsnr]],'data hastus'!$A:$C,3,0)</f>
        <v>Yassine</v>
      </c>
      <c r="E527" t="str">
        <f>VLOOKUP(bron[[#This Row],[personeelsnr]],'data hastus'!A:K,11,FALSE)</f>
        <v>Christoff Rotty</v>
      </c>
      <c r="F527" s="3">
        <v>45667</v>
      </c>
      <c r="G527" s="6" t="s">
        <v>994</v>
      </c>
      <c r="H527" t="s">
        <v>3500</v>
      </c>
      <c r="I527" t="s">
        <v>102</v>
      </c>
      <c r="J527">
        <v>5912</v>
      </c>
      <c r="K527" s="27" t="s">
        <v>3547</v>
      </c>
    </row>
    <row r="528" spans="1:11" x14ac:dyDescent="0.25">
      <c r="A528">
        <v>33986</v>
      </c>
      <c r="B528" t="str">
        <f>_xlfn.CONCAT(bron[[#This Row],[personeelsnr]]," ",bron[[#This Row],[achternaam]]," ",bron[[#This Row],[voornaam]])</f>
        <v>33986 Göktas Muharrem</v>
      </c>
      <c r="C528" t="str">
        <f>VLOOKUP(bron[[#This Row],[personeelsnr]],'data hastus'!$A:$C,2,0)</f>
        <v>Göktas</v>
      </c>
      <c r="D528" t="str">
        <f>VLOOKUP(bron[[#This Row],[personeelsnr]],'data hastus'!$A:$C,3,0)</f>
        <v>Muharrem</v>
      </c>
      <c r="E528" t="str">
        <f>VLOOKUP(bron[[#This Row],[personeelsnr]],'data hastus'!A:K,11,FALSE)</f>
        <v>Kenneth De Rick</v>
      </c>
      <c r="F528" s="3">
        <v>45669</v>
      </c>
      <c r="G528" s="6" t="s">
        <v>996</v>
      </c>
      <c r="H528" t="s">
        <v>3501</v>
      </c>
      <c r="I528" t="s">
        <v>249</v>
      </c>
      <c r="J528">
        <v>5267</v>
      </c>
      <c r="K528" s="27" t="s">
        <v>3547</v>
      </c>
    </row>
    <row r="529" spans="1:11" x14ac:dyDescent="0.25">
      <c r="A529">
        <v>36428</v>
      </c>
      <c r="B529" t="str">
        <f>_xlfn.CONCAT(bron[[#This Row],[personeelsnr]]," ",bron[[#This Row],[achternaam]]," ",bron[[#This Row],[voornaam]])</f>
        <v>36428 Abdi Shaiye Rashid</v>
      </c>
      <c r="C529" t="str">
        <f>VLOOKUP(bron[[#This Row],[personeelsnr]],'data hastus'!$A:$C,2,0)</f>
        <v>Abdi Shaiye</v>
      </c>
      <c r="D529" t="str">
        <f>VLOOKUP(bron[[#This Row],[personeelsnr]],'data hastus'!$A:$C,3,0)</f>
        <v>Rashid</v>
      </c>
      <c r="E529" t="str">
        <f>VLOOKUP(bron[[#This Row],[personeelsnr]],'data hastus'!A:K,11,FALSE)</f>
        <v>Lucie Vande Velde</v>
      </c>
      <c r="F529" s="3">
        <v>45669</v>
      </c>
      <c r="G529" s="6" t="s">
        <v>997</v>
      </c>
      <c r="H529" t="s">
        <v>3499</v>
      </c>
      <c r="I529" t="s">
        <v>13</v>
      </c>
      <c r="J529">
        <v>5328</v>
      </c>
      <c r="K529" s="27" t="s">
        <v>3547</v>
      </c>
    </row>
    <row r="530" spans="1:11" x14ac:dyDescent="0.25">
      <c r="A530">
        <v>22052</v>
      </c>
      <c r="B530" t="str">
        <f>_xlfn.CONCAT(bron[[#This Row],[personeelsnr]]," ",bron[[#This Row],[achternaam]]," ",bron[[#This Row],[voornaam]])</f>
        <v>22052 Meyvaert Peter</v>
      </c>
      <c r="C530" t="str">
        <f>VLOOKUP(bron[[#This Row],[personeelsnr]],'data hastus'!$A:$C,2,0)</f>
        <v>Meyvaert</v>
      </c>
      <c r="D530" t="str">
        <f>VLOOKUP(bron[[#This Row],[personeelsnr]],'data hastus'!$A:$C,3,0)</f>
        <v>Peter</v>
      </c>
      <c r="E530" t="str">
        <f>VLOOKUP(bron[[#This Row],[personeelsnr]],'data hastus'!A:K,11,FALSE)</f>
        <v>Els Dewulf</v>
      </c>
      <c r="F530" s="3">
        <v>45670</v>
      </c>
      <c r="G530" s="6" t="s">
        <v>1298</v>
      </c>
      <c r="H530" t="s">
        <v>3499</v>
      </c>
      <c r="I530" t="s">
        <v>113</v>
      </c>
      <c r="J530">
        <v>5263</v>
      </c>
      <c r="K530" s="27" t="s">
        <v>3548</v>
      </c>
    </row>
    <row r="531" spans="1:11" x14ac:dyDescent="0.25">
      <c r="A531">
        <v>40444</v>
      </c>
      <c r="B531" t="str">
        <f>_xlfn.CONCAT(bron[[#This Row],[personeelsnr]]," ",bron[[#This Row],[achternaam]]," ",bron[[#This Row],[voornaam]])</f>
        <v>40444 Van Damme Glenn</v>
      </c>
      <c r="C531" t="str">
        <f>VLOOKUP(bron[[#This Row],[personeelsnr]],'data hastus'!$A:$C,2,0)</f>
        <v>Van Damme</v>
      </c>
      <c r="D531" t="str">
        <f>VLOOKUP(bron[[#This Row],[personeelsnr]],'data hastus'!$A:$C,3,0)</f>
        <v>Glenn</v>
      </c>
      <c r="E531" t="str">
        <f>VLOOKUP(bron[[#This Row],[personeelsnr]],'data hastus'!A:K,11,FALSE)</f>
        <v>Els Dewulf</v>
      </c>
      <c r="F531" s="3">
        <v>45670</v>
      </c>
      <c r="G531" s="6" t="s">
        <v>998</v>
      </c>
      <c r="H531" t="s">
        <v>3501</v>
      </c>
      <c r="I531" t="s">
        <v>100</v>
      </c>
      <c r="J531">
        <v>5260</v>
      </c>
      <c r="K531" s="27" t="s">
        <v>3547</v>
      </c>
    </row>
    <row r="532" spans="1:11" x14ac:dyDescent="0.25">
      <c r="A532">
        <v>25487</v>
      </c>
      <c r="B532" t="str">
        <f>_xlfn.CONCAT(bron[[#This Row],[personeelsnr]]," ",bron[[#This Row],[achternaam]]," ",bron[[#This Row],[voornaam]])</f>
        <v>25487 Devos Stefaan</v>
      </c>
      <c r="C532" t="str">
        <f>VLOOKUP(bron[[#This Row],[personeelsnr]],'data hastus'!$A:$C,2,0)</f>
        <v>Devos</v>
      </c>
      <c r="D532" t="str">
        <f>VLOOKUP(bron[[#This Row],[personeelsnr]],'data hastus'!$A:$C,3,0)</f>
        <v>Stefaan</v>
      </c>
      <c r="E532" t="str">
        <f>VLOOKUP(bron[[#This Row],[personeelsnr]],'data hastus'!A:K,11,FALSE)</f>
        <v>Steven Storm</v>
      </c>
      <c r="F532" s="3">
        <v>45671</v>
      </c>
      <c r="G532" s="6" t="s">
        <v>1000</v>
      </c>
      <c r="H532" t="s">
        <v>3500</v>
      </c>
      <c r="I532" t="s">
        <v>92</v>
      </c>
      <c r="J532">
        <v>5912</v>
      </c>
      <c r="K532" s="27" t="s">
        <v>3547</v>
      </c>
    </row>
    <row r="533" spans="1:11" x14ac:dyDescent="0.25">
      <c r="A533">
        <v>36626</v>
      </c>
      <c r="B533" t="str">
        <f>_xlfn.CONCAT(bron[[#This Row],[personeelsnr]]," ",bron[[#This Row],[achternaam]]," ",bron[[#This Row],[voornaam]])</f>
        <v>36626 Kartal Kadir</v>
      </c>
      <c r="C533" t="str">
        <f>VLOOKUP(bron[[#This Row],[personeelsnr]],'data hastus'!$A:$C,2,0)</f>
        <v>Kartal</v>
      </c>
      <c r="D533" t="str">
        <f>VLOOKUP(bron[[#This Row],[personeelsnr]],'data hastus'!$A:$C,3,0)</f>
        <v>Kadir</v>
      </c>
      <c r="E533" t="str">
        <f>VLOOKUP(bron[[#This Row],[personeelsnr]],'data hastus'!A:K,11,FALSE)</f>
        <v>Els Dewulf</v>
      </c>
      <c r="F533" s="3">
        <v>45671</v>
      </c>
      <c r="G533" s="6" t="s">
        <v>999</v>
      </c>
      <c r="H533" t="s">
        <v>3500</v>
      </c>
      <c r="I533" t="s">
        <v>22</v>
      </c>
      <c r="J533">
        <v>5927</v>
      </c>
      <c r="K533" s="27" t="s">
        <v>3547</v>
      </c>
    </row>
    <row r="534" spans="1:11" x14ac:dyDescent="0.25">
      <c r="A534">
        <v>41090</v>
      </c>
      <c r="B534" t="e">
        <f>_xlfn.CONCAT(bron[[#This Row],[personeelsnr]]," ",bron[[#This Row],[achternaam]]," ",bron[[#This Row],[voornaam]])</f>
        <v>#N/A</v>
      </c>
      <c r="C534" t="e">
        <f>VLOOKUP(bron[[#This Row],[personeelsnr]],'data hastus'!$A:$C,2,0)</f>
        <v>#N/A</v>
      </c>
      <c r="D534" t="e">
        <f>VLOOKUP(bron[[#This Row],[personeelsnr]],'data hastus'!$A:$C,3,0)</f>
        <v>#N/A</v>
      </c>
      <c r="E534" t="s">
        <v>79</v>
      </c>
      <c r="F534" s="3">
        <v>45671</v>
      </c>
      <c r="G534" s="6" t="s">
        <v>1001</v>
      </c>
      <c r="H534" t="s">
        <v>3500</v>
      </c>
      <c r="I534" t="s">
        <v>16</v>
      </c>
      <c r="J534">
        <v>5929</v>
      </c>
      <c r="K534" s="27" t="s">
        <v>3547</v>
      </c>
    </row>
    <row r="535" spans="1:11" x14ac:dyDescent="0.25">
      <c r="A535">
        <v>30967</v>
      </c>
      <c r="B535" t="str">
        <f>_xlfn.CONCAT(bron[[#This Row],[personeelsnr]]," ",bron[[#This Row],[achternaam]]," ",bron[[#This Row],[voornaam]])</f>
        <v>30967 Taser Fatih</v>
      </c>
      <c r="C535" t="str">
        <f>VLOOKUP(bron[[#This Row],[personeelsnr]],'data hastus'!$A:$C,2,0)</f>
        <v>Taser</v>
      </c>
      <c r="D535" t="str">
        <f>VLOOKUP(bron[[#This Row],[personeelsnr]],'data hastus'!$A:$C,3,0)</f>
        <v>Fatih</v>
      </c>
      <c r="E535" t="str">
        <f>VLOOKUP(bron[[#This Row],[personeelsnr]],'data hastus'!A:K,11,FALSE)</f>
        <v>Dominique De Clercq</v>
      </c>
      <c r="F535" s="3">
        <v>45672</v>
      </c>
      <c r="G535" s="6" t="s">
        <v>1003</v>
      </c>
      <c r="H535" t="s">
        <v>3535</v>
      </c>
      <c r="I535" t="s">
        <v>63</v>
      </c>
      <c r="J535">
        <v>6334</v>
      </c>
      <c r="K535" s="27" t="s">
        <v>3547</v>
      </c>
    </row>
    <row r="536" spans="1:11" x14ac:dyDescent="0.25">
      <c r="A536">
        <v>40005</v>
      </c>
      <c r="B536" t="str">
        <f>_xlfn.CONCAT(bron[[#This Row],[personeelsnr]]," ",bron[[#This Row],[achternaam]]," ",bron[[#This Row],[voornaam]])</f>
        <v>40005 Bernaerts Philip</v>
      </c>
      <c r="C536" t="str">
        <f>VLOOKUP(bron[[#This Row],[personeelsnr]],'data hastus'!$A:$C,2,0)</f>
        <v>Bernaerts</v>
      </c>
      <c r="D536" t="str">
        <f>VLOOKUP(bron[[#This Row],[personeelsnr]],'data hastus'!$A:$C,3,0)</f>
        <v>Philip</v>
      </c>
      <c r="E536" t="str">
        <f>VLOOKUP(bron[[#This Row],[personeelsnr]],'data hastus'!A:K,11,FALSE)</f>
        <v>Christoff Rotty</v>
      </c>
      <c r="F536" s="3">
        <v>45672</v>
      </c>
      <c r="G536" s="6" t="s">
        <v>1002</v>
      </c>
      <c r="H536" t="s">
        <v>3500</v>
      </c>
      <c r="I536" t="s">
        <v>185</v>
      </c>
      <c r="J536">
        <v>5920</v>
      </c>
      <c r="K536" s="27" t="s">
        <v>3547</v>
      </c>
    </row>
    <row r="537" spans="1:11" x14ac:dyDescent="0.25">
      <c r="A537">
        <v>36626</v>
      </c>
      <c r="B537" t="str">
        <f>_xlfn.CONCAT(bron[[#This Row],[personeelsnr]]," ",bron[[#This Row],[achternaam]]," ",bron[[#This Row],[voornaam]])</f>
        <v>36626 Kartal Kadir</v>
      </c>
      <c r="C537" t="str">
        <f>VLOOKUP(bron[[#This Row],[personeelsnr]],'data hastus'!$A:$C,2,0)</f>
        <v>Kartal</v>
      </c>
      <c r="D537" t="str">
        <f>VLOOKUP(bron[[#This Row],[personeelsnr]],'data hastus'!$A:$C,3,0)</f>
        <v>Kadir</v>
      </c>
      <c r="E537" t="str">
        <f>VLOOKUP(bron[[#This Row],[personeelsnr]],'data hastus'!A:K,11,FALSE)</f>
        <v>Els Dewulf</v>
      </c>
      <c r="F537" s="3">
        <v>45673</v>
      </c>
      <c r="G537" s="6" t="s">
        <v>1004</v>
      </c>
      <c r="H537" t="s">
        <v>3536</v>
      </c>
      <c r="I537" t="s">
        <v>5</v>
      </c>
      <c r="J537">
        <v>6357</v>
      </c>
      <c r="K537" s="27" t="s">
        <v>3547</v>
      </c>
    </row>
    <row r="538" spans="1:11" x14ac:dyDescent="0.25">
      <c r="A538">
        <v>40969</v>
      </c>
      <c r="B538" t="str">
        <f>_xlfn.CONCAT(bron[[#This Row],[personeelsnr]]," ",bron[[#This Row],[achternaam]]," ",bron[[#This Row],[voornaam]])</f>
        <v>40969 Kerman Melisa</v>
      </c>
      <c r="C538" t="str">
        <f>VLOOKUP(bron[[#This Row],[personeelsnr]],'data hastus'!$A:$C,2,0)</f>
        <v>Kerman</v>
      </c>
      <c r="D538" t="str">
        <f>VLOOKUP(bron[[#This Row],[personeelsnr]],'data hastus'!$A:$C,3,0)</f>
        <v>Melisa</v>
      </c>
      <c r="E538" t="str">
        <f>VLOOKUP(bron[[#This Row],[personeelsnr]],'data hastus'!A:K,11,FALSE)</f>
        <v>Steven Storm</v>
      </c>
      <c r="F538" s="3">
        <v>45673</v>
      </c>
      <c r="G538" s="6" t="s">
        <v>1005</v>
      </c>
      <c r="H538" t="s">
        <v>3500</v>
      </c>
      <c r="I538" t="s">
        <v>28</v>
      </c>
      <c r="J538">
        <v>5771</v>
      </c>
      <c r="K538" s="27" t="s">
        <v>3547</v>
      </c>
    </row>
    <row r="539" spans="1:11" x14ac:dyDescent="0.25">
      <c r="A539">
        <v>19249</v>
      </c>
      <c r="B539" t="str">
        <f>_xlfn.CONCAT(bron[[#This Row],[personeelsnr]]," ",bron[[#This Row],[achternaam]]," ",bron[[#This Row],[voornaam]])</f>
        <v>19249 Odaci Kadir</v>
      </c>
      <c r="C539" t="str">
        <f>VLOOKUP(bron[[#This Row],[personeelsnr]],'data hastus'!$A:$C,2,0)</f>
        <v>Odaci</v>
      </c>
      <c r="D539" t="str">
        <f>VLOOKUP(bron[[#This Row],[personeelsnr]],'data hastus'!$A:$C,3,0)</f>
        <v>Kadir</v>
      </c>
      <c r="E539" t="str">
        <f>VLOOKUP(bron[[#This Row],[personeelsnr]],'data hastus'!A:K,11,FALSE)</f>
        <v>Lucie Vande Velde</v>
      </c>
      <c r="F539" s="3">
        <v>45674</v>
      </c>
      <c r="G539" s="6" t="s">
        <v>1314</v>
      </c>
      <c r="H539" t="s">
        <v>8</v>
      </c>
      <c r="I539" t="s">
        <v>566</v>
      </c>
      <c r="J539">
        <v>6337</v>
      </c>
      <c r="K539" s="27" t="s">
        <v>3548</v>
      </c>
    </row>
    <row r="540" spans="1:11" x14ac:dyDescent="0.25">
      <c r="A540">
        <v>22240</v>
      </c>
      <c r="B540" t="str">
        <f>_xlfn.CONCAT(bron[[#This Row],[personeelsnr]]," ",bron[[#This Row],[achternaam]]," ",bron[[#This Row],[voornaam]])</f>
        <v>22240 Delahaye Karina</v>
      </c>
      <c r="C540" t="str">
        <f>VLOOKUP(bron[[#This Row],[personeelsnr]],'data hastus'!$A:$C,2,0)</f>
        <v>Delahaye</v>
      </c>
      <c r="D540" t="str">
        <f>VLOOKUP(bron[[#This Row],[personeelsnr]],'data hastus'!$A:$C,3,0)</f>
        <v>Karina</v>
      </c>
      <c r="E540" t="str">
        <f>VLOOKUP(bron[[#This Row],[personeelsnr]],'data hastus'!A:K,11,FALSE)</f>
        <v>Els Dewulf</v>
      </c>
      <c r="F540" s="3">
        <v>45674</v>
      </c>
      <c r="G540" s="6" t="s">
        <v>1006</v>
      </c>
      <c r="H540" t="s">
        <v>3536</v>
      </c>
      <c r="I540" t="s">
        <v>187</v>
      </c>
      <c r="J540">
        <v>6355</v>
      </c>
      <c r="K540" s="27" t="s">
        <v>3547</v>
      </c>
    </row>
    <row r="541" spans="1:11" x14ac:dyDescent="0.25">
      <c r="A541">
        <v>35588</v>
      </c>
      <c r="B541" t="str">
        <f>_xlfn.CONCAT(bron[[#This Row],[personeelsnr]]," ",bron[[#This Row],[achternaam]]," ",bron[[#This Row],[voornaam]])</f>
        <v>35588 Smesman Glenn</v>
      </c>
      <c r="C541" t="str">
        <f>VLOOKUP(bron[[#This Row],[personeelsnr]],'data hastus'!$A:$C,2,0)</f>
        <v>Smesman</v>
      </c>
      <c r="D541" t="str">
        <f>VLOOKUP(bron[[#This Row],[personeelsnr]],'data hastus'!$A:$C,3,0)</f>
        <v>Glenn</v>
      </c>
      <c r="E541" t="str">
        <f>VLOOKUP(bron[[#This Row],[personeelsnr]],'data hastus'!A:K,11,FALSE)</f>
        <v>Lucie Vande Velde</v>
      </c>
      <c r="F541" s="3">
        <v>45675</v>
      </c>
      <c r="G541" s="6" t="s">
        <v>1315</v>
      </c>
      <c r="H541" t="s">
        <v>8</v>
      </c>
      <c r="I541" t="s">
        <v>72</v>
      </c>
      <c r="J541">
        <v>6356</v>
      </c>
      <c r="K541" s="27" t="s">
        <v>3548</v>
      </c>
    </row>
    <row r="542" spans="1:11" x14ac:dyDescent="0.25">
      <c r="A542">
        <v>8394</v>
      </c>
      <c r="B542" t="str">
        <f>_xlfn.CONCAT(bron[[#This Row],[personeelsnr]]," ",bron[[#This Row],[achternaam]]," ",bron[[#This Row],[voornaam]])</f>
        <v>8394 Smet Antoon</v>
      </c>
      <c r="C542" t="str">
        <f>VLOOKUP(bron[[#This Row],[personeelsnr]],'data hastus'!$A:$C,2,0)</f>
        <v>Smet</v>
      </c>
      <c r="D542" t="str">
        <f>VLOOKUP(bron[[#This Row],[personeelsnr]],'data hastus'!$A:$C,3,0)</f>
        <v>Antoon</v>
      </c>
      <c r="E542" t="str">
        <f>VLOOKUP(bron[[#This Row],[personeelsnr]],'data hastus'!A:K,11,FALSE)</f>
        <v>Lucie Vande Velde</v>
      </c>
      <c r="F542" s="3">
        <v>45677</v>
      </c>
      <c r="G542" s="6" t="s">
        <v>1008</v>
      </c>
      <c r="H542" t="s">
        <v>3499</v>
      </c>
      <c r="I542" t="s">
        <v>285</v>
      </c>
      <c r="J542">
        <v>5039</v>
      </c>
      <c r="K542" s="27" t="s">
        <v>3547</v>
      </c>
    </row>
    <row r="543" spans="1:11" x14ac:dyDescent="0.25">
      <c r="A543">
        <v>33965</v>
      </c>
      <c r="B543" t="str">
        <f>_xlfn.CONCAT(bron[[#This Row],[personeelsnr]]," ",bron[[#This Row],[achternaam]]," ",bron[[#This Row],[voornaam]])</f>
        <v>33965 Van de Gehuchte Gilles</v>
      </c>
      <c r="C543" t="str">
        <f>VLOOKUP(bron[[#This Row],[personeelsnr]],'data hastus'!$A:$C,2,0)</f>
        <v>Van de Gehuchte</v>
      </c>
      <c r="D543" t="str">
        <f>VLOOKUP(bron[[#This Row],[personeelsnr]],'data hastus'!$A:$C,3,0)</f>
        <v>Gilles</v>
      </c>
      <c r="E543" t="str">
        <f>VLOOKUP(bron[[#This Row],[personeelsnr]],'data hastus'!A:K,11,FALSE)</f>
        <v>Kenneth De Rick</v>
      </c>
      <c r="F543" s="3">
        <v>45677</v>
      </c>
      <c r="G543" s="6" t="s">
        <v>1007</v>
      </c>
      <c r="H543" t="s">
        <v>3535</v>
      </c>
      <c r="I543" t="s">
        <v>31</v>
      </c>
      <c r="J543">
        <v>6327</v>
      </c>
      <c r="K543" s="27" t="s">
        <v>3547</v>
      </c>
    </row>
    <row r="544" spans="1:11" x14ac:dyDescent="0.25">
      <c r="A544">
        <v>21581</v>
      </c>
      <c r="B544" t="str">
        <f>_xlfn.CONCAT(bron[[#This Row],[personeelsnr]]," ",bron[[#This Row],[achternaam]]," ",bron[[#This Row],[voornaam]])</f>
        <v>21581 Vanderstraeten Franky</v>
      </c>
      <c r="C544" t="str">
        <f>VLOOKUP(bron[[#This Row],[personeelsnr]],'data hastus'!$A:$C,2,0)</f>
        <v>Vanderstraeten</v>
      </c>
      <c r="D544" t="str">
        <f>VLOOKUP(bron[[#This Row],[personeelsnr]],'data hastus'!$A:$C,3,0)</f>
        <v>Franky</v>
      </c>
      <c r="E544" t="str">
        <f>VLOOKUP(bron[[#This Row],[personeelsnr]],'data hastus'!A:K,11,FALSE)</f>
        <v>Lucie Vande Velde</v>
      </c>
      <c r="F544" s="3">
        <v>45678</v>
      </c>
      <c r="G544" s="6" t="s">
        <v>1310</v>
      </c>
      <c r="H544" t="s">
        <v>3499</v>
      </c>
      <c r="I544" t="s">
        <v>1311</v>
      </c>
      <c r="J544">
        <v>5040</v>
      </c>
      <c r="K544" s="27" t="s">
        <v>3548</v>
      </c>
    </row>
    <row r="545" spans="1:11" x14ac:dyDescent="0.25">
      <c r="A545">
        <v>39673</v>
      </c>
      <c r="B545" t="str">
        <f>_xlfn.CONCAT(bron[[#This Row],[personeelsnr]]," ",bron[[#This Row],[achternaam]]," ",bron[[#This Row],[voornaam]])</f>
        <v>39673 Steurbaut Henri</v>
      </c>
      <c r="C545" t="str">
        <f>VLOOKUP(bron[[#This Row],[personeelsnr]],'data hastus'!$A:$C,2,0)</f>
        <v>Steurbaut</v>
      </c>
      <c r="D545" t="str">
        <f>VLOOKUP(bron[[#This Row],[personeelsnr]],'data hastus'!$A:$C,3,0)</f>
        <v>Henri</v>
      </c>
      <c r="E545" t="str">
        <f>VLOOKUP(bron[[#This Row],[personeelsnr]],'data hastus'!A:K,11,FALSE)</f>
        <v>Els Vanhoe</v>
      </c>
      <c r="F545" s="3">
        <v>45678</v>
      </c>
      <c r="G545" s="6" t="s">
        <v>1009</v>
      </c>
      <c r="H545" t="s">
        <v>3500</v>
      </c>
      <c r="I545" t="s">
        <v>92</v>
      </c>
      <c r="J545">
        <v>5922</v>
      </c>
      <c r="K545" s="27" t="s">
        <v>3547</v>
      </c>
    </row>
    <row r="546" spans="1:11" x14ac:dyDescent="0.25">
      <c r="A546">
        <v>34351</v>
      </c>
      <c r="B546" t="str">
        <f>_xlfn.CONCAT(bron[[#This Row],[personeelsnr]]," ",bron[[#This Row],[achternaam]]," ",bron[[#This Row],[voornaam]])</f>
        <v>34351 Callant Dieter</v>
      </c>
      <c r="C546" t="str">
        <f>VLOOKUP(bron[[#This Row],[personeelsnr]],'data hastus'!$A:$C,2,0)</f>
        <v>Callant</v>
      </c>
      <c r="D546" t="str">
        <f>VLOOKUP(bron[[#This Row],[personeelsnr]],'data hastus'!$A:$C,3,0)</f>
        <v>Dieter</v>
      </c>
      <c r="E546" t="str">
        <f>VLOOKUP(bron[[#This Row],[personeelsnr]],'data hastus'!A:K,11,FALSE)</f>
        <v>Els Vanhoe</v>
      </c>
      <c r="F546" s="3">
        <v>45679</v>
      </c>
      <c r="G546" s="6" t="s">
        <v>1012</v>
      </c>
      <c r="H546" t="s">
        <v>3535</v>
      </c>
      <c r="I546" t="s">
        <v>159</v>
      </c>
      <c r="J546">
        <v>6324</v>
      </c>
      <c r="K546" s="27" t="s">
        <v>3547</v>
      </c>
    </row>
    <row r="547" spans="1:11" x14ac:dyDescent="0.25">
      <c r="A547">
        <v>39660</v>
      </c>
      <c r="B547" t="str">
        <f>_xlfn.CONCAT(bron[[#This Row],[personeelsnr]]," ",bron[[#This Row],[achternaam]]," ",bron[[#This Row],[voornaam]])</f>
        <v>39660 Lloyd Glenn</v>
      </c>
      <c r="C547" t="str">
        <f>VLOOKUP(bron[[#This Row],[personeelsnr]],'data hastus'!$A:$C,2,0)</f>
        <v>Lloyd</v>
      </c>
      <c r="D547" t="str">
        <f>VLOOKUP(bron[[#This Row],[personeelsnr]],'data hastus'!$A:$C,3,0)</f>
        <v>Glenn</v>
      </c>
      <c r="E547" t="str">
        <f>VLOOKUP(bron[[#This Row],[personeelsnr]],'data hastus'!A:K,11,FALSE)</f>
        <v>Bart Van Der Beken</v>
      </c>
      <c r="F547" s="3">
        <v>45679</v>
      </c>
      <c r="G547" s="6" t="s">
        <v>1010</v>
      </c>
      <c r="H547" t="s">
        <v>3501</v>
      </c>
      <c r="I547" t="s">
        <v>48</v>
      </c>
      <c r="J547">
        <v>5264</v>
      </c>
      <c r="K547" s="27" t="s">
        <v>3547</v>
      </c>
    </row>
    <row r="548" spans="1:11" x14ac:dyDescent="0.25">
      <c r="A548">
        <v>41162</v>
      </c>
      <c r="B548" t="str">
        <f>_xlfn.CONCAT(bron[[#This Row],[personeelsnr]]," ",bron[[#This Row],[achternaam]]," ",bron[[#This Row],[voornaam]])</f>
        <v>41162 Hoeckman Jeroen</v>
      </c>
      <c r="C548" t="str">
        <f>VLOOKUP(bron[[#This Row],[personeelsnr]],'data hastus'!$A:$C,2,0)</f>
        <v>Hoeckman</v>
      </c>
      <c r="D548" t="str">
        <f>VLOOKUP(bron[[#This Row],[personeelsnr]],'data hastus'!$A:$C,3,0)</f>
        <v>Jeroen</v>
      </c>
      <c r="E548" t="str">
        <f>VLOOKUP(bron[[#This Row],[personeelsnr]],'data hastus'!A:K,11,FALSE)</f>
        <v>Dominique De Clercq</v>
      </c>
      <c r="F548" s="3">
        <v>45679</v>
      </c>
      <c r="G548" s="6" t="s">
        <v>1011</v>
      </c>
      <c r="H548" t="s">
        <v>3500</v>
      </c>
      <c r="I548" t="s">
        <v>127</v>
      </c>
      <c r="J548">
        <v>5929</v>
      </c>
      <c r="K548" s="27" t="s">
        <v>3547</v>
      </c>
    </row>
    <row r="549" spans="1:11" x14ac:dyDescent="0.25">
      <c r="A549">
        <v>31360</v>
      </c>
      <c r="B549" t="str">
        <f>_xlfn.CONCAT(bron[[#This Row],[personeelsnr]]," ",bron[[#This Row],[achternaam]]," ",bron[[#This Row],[voornaam]])</f>
        <v>31360 Simsek Fatih</v>
      </c>
      <c r="C549" t="str">
        <f>VLOOKUP(bron[[#This Row],[personeelsnr]],'data hastus'!$A:$C,2,0)</f>
        <v>Simsek</v>
      </c>
      <c r="D549" t="str">
        <f>VLOOKUP(bron[[#This Row],[personeelsnr]],'data hastus'!$A:$C,3,0)</f>
        <v>Fatih</v>
      </c>
      <c r="E549" t="str">
        <f>VLOOKUP(bron[[#This Row],[personeelsnr]],'data hastus'!A:K,11,FALSE)</f>
        <v>Dominique De Clercq</v>
      </c>
      <c r="F549" s="3">
        <v>45680</v>
      </c>
      <c r="G549" s="6" t="s">
        <v>1013</v>
      </c>
      <c r="H549" t="s">
        <v>3535</v>
      </c>
      <c r="I549" t="s">
        <v>75</v>
      </c>
      <c r="J549">
        <v>6325</v>
      </c>
      <c r="K549" s="27" t="s">
        <v>3547</v>
      </c>
    </row>
    <row r="550" spans="1:11" x14ac:dyDescent="0.25">
      <c r="A550">
        <v>35395</v>
      </c>
      <c r="B550" t="str">
        <f>_xlfn.CONCAT(bron[[#This Row],[personeelsnr]]," ",bron[[#This Row],[achternaam]]," ",bron[[#This Row],[voornaam]])</f>
        <v>35395 Limbourg Heidi</v>
      </c>
      <c r="C550" t="str">
        <f>VLOOKUP(bron[[#This Row],[personeelsnr]],'data hastus'!$A:$C,2,0)</f>
        <v>Limbourg</v>
      </c>
      <c r="D550" t="str">
        <f>VLOOKUP(bron[[#This Row],[personeelsnr]],'data hastus'!$A:$C,3,0)</f>
        <v>Heidi</v>
      </c>
      <c r="E550" t="str">
        <f>VLOOKUP(bron[[#This Row],[personeelsnr]],'data hastus'!A:K,11,FALSE)</f>
        <v>Steven Storm</v>
      </c>
      <c r="F550" s="3">
        <v>45680</v>
      </c>
      <c r="G550" s="6" t="s">
        <v>1014</v>
      </c>
      <c r="H550" t="s">
        <v>3535</v>
      </c>
      <c r="I550" t="s">
        <v>171</v>
      </c>
      <c r="J550">
        <v>6320</v>
      </c>
      <c r="K550" s="27" t="s">
        <v>3547</v>
      </c>
    </row>
    <row r="551" spans="1:11" x14ac:dyDescent="0.25">
      <c r="A551">
        <v>13398</v>
      </c>
      <c r="B551" t="str">
        <f>_xlfn.CONCAT(bron[[#This Row],[personeelsnr]]," ",bron[[#This Row],[achternaam]]," ",bron[[#This Row],[voornaam]])</f>
        <v>13398 Kirdas Ramazan</v>
      </c>
      <c r="C551" t="str">
        <f>VLOOKUP(bron[[#This Row],[personeelsnr]],'data hastus'!$A:$C,2,0)</f>
        <v>Kirdas</v>
      </c>
      <c r="D551" t="str">
        <f>VLOOKUP(bron[[#This Row],[personeelsnr]],'data hastus'!$A:$C,3,0)</f>
        <v>Ramazan</v>
      </c>
      <c r="E551" t="str">
        <f>VLOOKUP(bron[[#This Row],[personeelsnr]],'data hastus'!A:K,11,FALSE)</f>
        <v>Dominique De Clercq</v>
      </c>
      <c r="F551" s="3">
        <v>45681</v>
      </c>
      <c r="G551" s="6" t="s">
        <v>1015</v>
      </c>
      <c r="H551" t="s">
        <v>3535</v>
      </c>
      <c r="I551" t="s">
        <v>129</v>
      </c>
      <c r="J551">
        <v>6333</v>
      </c>
      <c r="K551" s="27" t="s">
        <v>3547</v>
      </c>
    </row>
    <row r="552" spans="1:11" x14ac:dyDescent="0.25">
      <c r="A552">
        <v>21509</v>
      </c>
      <c r="B552" t="str">
        <f>_xlfn.CONCAT(bron[[#This Row],[personeelsnr]]," ",bron[[#This Row],[achternaam]]," ",bron[[#This Row],[voornaam]])</f>
        <v>21509 De Craemer Kris</v>
      </c>
      <c r="C552" t="str">
        <f>VLOOKUP(bron[[#This Row],[personeelsnr]],'data hastus'!$A:$C,2,0)</f>
        <v>De Craemer</v>
      </c>
      <c r="D552" t="str">
        <f>VLOOKUP(bron[[#This Row],[personeelsnr]],'data hastus'!$A:$C,3,0)</f>
        <v>Kris</v>
      </c>
      <c r="E552" t="str">
        <f>VLOOKUP(bron[[#This Row],[personeelsnr]],'data hastus'!A:K,11,FALSE)</f>
        <v>Dominique De Clercq</v>
      </c>
      <c r="F552" s="3">
        <v>45684</v>
      </c>
      <c r="G552" s="6" t="s">
        <v>1291</v>
      </c>
      <c r="H552" t="s">
        <v>8</v>
      </c>
      <c r="I552" t="s">
        <v>81</v>
      </c>
      <c r="J552">
        <v>6303</v>
      </c>
      <c r="K552" s="27" t="s">
        <v>3548</v>
      </c>
    </row>
    <row r="553" spans="1:11" x14ac:dyDescent="0.25">
      <c r="A553">
        <v>36663</v>
      </c>
      <c r="B553" t="str">
        <f>_xlfn.CONCAT(bron[[#This Row],[personeelsnr]]," ",bron[[#This Row],[achternaam]]," ",bron[[#This Row],[voornaam]])</f>
        <v>36663 Cesmeli Achraf</v>
      </c>
      <c r="C553" t="str">
        <f>VLOOKUP(bron[[#This Row],[personeelsnr]],'data hastus'!$A:$C,2,0)</f>
        <v>Cesmeli</v>
      </c>
      <c r="D553" t="str">
        <f>VLOOKUP(bron[[#This Row],[personeelsnr]],'data hastus'!$A:$C,3,0)</f>
        <v>Achraf</v>
      </c>
      <c r="E553" t="str">
        <f>VLOOKUP(bron[[#This Row],[personeelsnr]],'data hastus'!A:K,11,FALSE)</f>
        <v>Dominique De Clercq</v>
      </c>
      <c r="F553" s="3">
        <v>45684</v>
      </c>
      <c r="G553" s="6" t="s">
        <v>1016</v>
      </c>
      <c r="H553" t="s">
        <v>3501</v>
      </c>
      <c r="I553" t="s">
        <v>81</v>
      </c>
      <c r="J553">
        <v>5267</v>
      </c>
      <c r="K553" s="27" t="s">
        <v>3547</v>
      </c>
    </row>
    <row r="554" spans="1:11" x14ac:dyDescent="0.25">
      <c r="A554">
        <v>35491</v>
      </c>
      <c r="B554" t="str">
        <f>_xlfn.CONCAT(bron[[#This Row],[personeelsnr]]," ",bron[[#This Row],[achternaam]]," ",bron[[#This Row],[voornaam]])</f>
        <v>35491 Toubadie Zakaria</v>
      </c>
      <c r="C554" t="str">
        <f>VLOOKUP(bron[[#This Row],[personeelsnr]],'data hastus'!$A:$C,2,0)</f>
        <v>Toubadie</v>
      </c>
      <c r="D554" t="str">
        <f>VLOOKUP(bron[[#This Row],[personeelsnr]],'data hastus'!$A:$C,3,0)</f>
        <v>Zakaria</v>
      </c>
      <c r="E554" t="str">
        <f>VLOOKUP(bron[[#This Row],[personeelsnr]],'data hastus'!A:K,11,FALSE)</f>
        <v>Els Vanhoe</v>
      </c>
      <c r="F554" s="3">
        <v>45685</v>
      </c>
      <c r="G554" s="6" t="s">
        <v>1018</v>
      </c>
      <c r="H554" t="s">
        <v>3499</v>
      </c>
      <c r="I554" t="s">
        <v>22</v>
      </c>
      <c r="J554">
        <v>5235</v>
      </c>
      <c r="K554" s="27" t="s">
        <v>3547</v>
      </c>
    </row>
    <row r="555" spans="1:11" x14ac:dyDescent="0.25">
      <c r="A555">
        <v>40138</v>
      </c>
      <c r="B555" t="str">
        <f>_xlfn.CONCAT(bron[[#This Row],[personeelsnr]]," ",bron[[#This Row],[achternaam]]," ",bron[[#This Row],[voornaam]])</f>
        <v>40138 Moerman Tjimmy</v>
      </c>
      <c r="C555" t="str">
        <f>VLOOKUP(bron[[#This Row],[personeelsnr]],'data hastus'!$A:$C,2,0)</f>
        <v>Moerman</v>
      </c>
      <c r="D555" t="str">
        <f>VLOOKUP(bron[[#This Row],[personeelsnr]],'data hastus'!$A:$C,3,0)</f>
        <v>Tjimmy</v>
      </c>
      <c r="E555" t="str">
        <f>VLOOKUP(bron[[#This Row],[personeelsnr]],'data hastus'!A:K,11,FALSE)</f>
        <v>Christoff Rotty</v>
      </c>
      <c r="F555" s="3">
        <v>45685</v>
      </c>
      <c r="G555" s="6" t="s">
        <v>1017</v>
      </c>
      <c r="H555" t="s">
        <v>3500</v>
      </c>
      <c r="I555" t="s">
        <v>54</v>
      </c>
      <c r="J555">
        <v>5923</v>
      </c>
      <c r="K555" s="27" t="s">
        <v>3547</v>
      </c>
    </row>
    <row r="556" spans="1:11" x14ac:dyDescent="0.25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3">
        <v>45686</v>
      </c>
      <c r="G556" s="6" t="s">
        <v>1020</v>
      </c>
      <c r="H556" t="s">
        <v>3535</v>
      </c>
      <c r="I556" t="s">
        <v>75</v>
      </c>
      <c r="J556">
        <v>6337</v>
      </c>
      <c r="K556" s="27" t="s">
        <v>3547</v>
      </c>
    </row>
    <row r="557" spans="1:11" x14ac:dyDescent="0.25">
      <c r="A557">
        <v>21424</v>
      </c>
      <c r="B557" t="str">
        <f>_xlfn.CONCAT(bron[[#This Row],[personeelsnr]]," ",bron[[#This Row],[achternaam]]," ",bron[[#This Row],[voornaam]])</f>
        <v>21424 Verstichel Jethro</v>
      </c>
      <c r="C557" t="str">
        <f>VLOOKUP(bron[[#This Row],[personeelsnr]],'data hastus'!$A:$C,2,0)</f>
        <v>Verstichel</v>
      </c>
      <c r="D557" t="str">
        <f>VLOOKUP(bron[[#This Row],[personeelsnr]],'data hastus'!$A:$C,3,0)</f>
        <v>Jethro</v>
      </c>
      <c r="E557" t="str">
        <f>VLOOKUP(bron[[#This Row],[personeelsnr]],'data hastus'!A:K,11,FALSE)</f>
        <v>Els Dewulf</v>
      </c>
      <c r="F557" s="3">
        <v>45686</v>
      </c>
      <c r="G557" s="6" t="s">
        <v>1019</v>
      </c>
      <c r="H557" t="s">
        <v>3536</v>
      </c>
      <c r="I557" t="s">
        <v>31</v>
      </c>
      <c r="J557">
        <v>6368</v>
      </c>
      <c r="K557" s="27" t="s">
        <v>3547</v>
      </c>
    </row>
    <row r="558" spans="1:11" x14ac:dyDescent="0.25">
      <c r="A558">
        <v>33640</v>
      </c>
      <c r="B558" t="str">
        <f>_xlfn.CONCAT(bron[[#This Row],[personeelsnr]]," ",bron[[#This Row],[achternaam]]," ",bron[[#This Row],[voornaam]])</f>
        <v>33640 Verschraegen Patrick</v>
      </c>
      <c r="C558" t="str">
        <f>VLOOKUP(bron[[#This Row],[personeelsnr]],'data hastus'!$A:$C,2,0)</f>
        <v>Verschraegen</v>
      </c>
      <c r="D558" t="str">
        <f>VLOOKUP(bron[[#This Row],[personeelsnr]],'data hastus'!$A:$C,3,0)</f>
        <v>Patrick</v>
      </c>
      <c r="E558" t="str">
        <f>VLOOKUP(bron[[#This Row],[personeelsnr]],'data hastus'!A:K,11,FALSE)</f>
        <v>Steven Storm</v>
      </c>
      <c r="F558" s="3">
        <v>45686</v>
      </c>
      <c r="G558" s="6" t="s">
        <v>1021</v>
      </c>
      <c r="H558" t="s">
        <v>3500</v>
      </c>
      <c r="I558" t="s">
        <v>215</v>
      </c>
      <c r="J558">
        <v>5763</v>
      </c>
      <c r="K558" s="27" t="s">
        <v>3547</v>
      </c>
    </row>
    <row r="559" spans="1:11" x14ac:dyDescent="0.25">
      <c r="A559">
        <v>40652</v>
      </c>
      <c r="B559" t="str">
        <f>_xlfn.CONCAT(bron[[#This Row],[personeelsnr]]," ",bron[[#This Row],[achternaam]]," ",bron[[#This Row],[voornaam]])</f>
        <v>40652 Van Damme Gilyann</v>
      </c>
      <c r="C559" t="str">
        <f>VLOOKUP(bron[[#This Row],[personeelsnr]],'data hastus'!$A:$C,2,0)</f>
        <v>Van Damme</v>
      </c>
      <c r="D559" t="str">
        <f>VLOOKUP(bron[[#This Row],[personeelsnr]],'data hastus'!$A:$C,3,0)</f>
        <v>Gilyann</v>
      </c>
      <c r="E559" t="str">
        <f>VLOOKUP(bron[[#This Row],[personeelsnr]],'data hastus'!A:K,11,FALSE)</f>
        <v>Els Vanhoe</v>
      </c>
      <c r="F559" s="3">
        <v>45687</v>
      </c>
      <c r="G559" s="6" t="s">
        <v>1022</v>
      </c>
      <c r="H559" t="s">
        <v>3501</v>
      </c>
      <c r="I559" t="s">
        <v>241</v>
      </c>
      <c r="J559">
        <v>2204</v>
      </c>
      <c r="K559" s="27" t="s">
        <v>3547</v>
      </c>
    </row>
    <row r="560" spans="1:11" x14ac:dyDescent="0.25">
      <c r="A560">
        <v>36663</v>
      </c>
      <c r="B560" t="str">
        <f>_xlfn.CONCAT(bron[[#This Row],[personeelsnr]]," ",bron[[#This Row],[achternaam]]," ",bron[[#This Row],[voornaam]])</f>
        <v>36663 Cesmeli Achraf</v>
      </c>
      <c r="C560" t="str">
        <f>VLOOKUP(bron[[#This Row],[personeelsnr]],'data hastus'!$A:$C,2,0)</f>
        <v>Cesmeli</v>
      </c>
      <c r="D560" t="str">
        <f>VLOOKUP(bron[[#This Row],[personeelsnr]],'data hastus'!$A:$C,3,0)</f>
        <v>Achraf</v>
      </c>
      <c r="E560" t="str">
        <f>VLOOKUP(bron[[#This Row],[personeelsnr]],'data hastus'!A:K,11,FALSE)</f>
        <v>Dominique De Clercq</v>
      </c>
      <c r="F560" s="3">
        <v>45688</v>
      </c>
      <c r="G560" s="6" t="s">
        <v>1023</v>
      </c>
      <c r="H560" t="s">
        <v>3500</v>
      </c>
      <c r="I560" t="s">
        <v>13</v>
      </c>
      <c r="J560">
        <v>5053</v>
      </c>
      <c r="K560" s="27" t="s">
        <v>3547</v>
      </c>
    </row>
    <row r="561" spans="1:11" x14ac:dyDescent="0.25">
      <c r="A561">
        <v>39532</v>
      </c>
      <c r="B561" t="str">
        <f>_xlfn.CONCAT(bron[[#This Row],[personeelsnr]]," ",bron[[#This Row],[achternaam]]," ",bron[[#This Row],[voornaam]])</f>
        <v>39532 Sahin Orhan</v>
      </c>
      <c r="C561" t="str">
        <f>VLOOKUP(bron[[#This Row],[personeelsnr]],'data hastus'!$A:$C,2,0)</f>
        <v>Sahin</v>
      </c>
      <c r="D561" t="str">
        <f>VLOOKUP(bron[[#This Row],[personeelsnr]],'data hastus'!$A:$C,3,0)</f>
        <v>Orhan</v>
      </c>
      <c r="E561" t="str">
        <f>VLOOKUP(bron[[#This Row],[personeelsnr]],'data hastus'!A:K,11,FALSE)</f>
        <v>Christoff Rotty</v>
      </c>
      <c r="F561" s="3">
        <v>45689</v>
      </c>
      <c r="G561" s="6" t="s">
        <v>1024</v>
      </c>
      <c r="H561" t="s">
        <v>3501</v>
      </c>
      <c r="I561" t="s">
        <v>13</v>
      </c>
      <c r="J561">
        <v>5048</v>
      </c>
      <c r="K561" s="27" t="s">
        <v>3547</v>
      </c>
    </row>
    <row r="562" spans="1:11" x14ac:dyDescent="0.25">
      <c r="A562">
        <v>37496</v>
      </c>
      <c r="B562" t="str">
        <f>_xlfn.CONCAT(bron[[#This Row],[personeelsnr]]," ",bron[[#This Row],[achternaam]]," ",bron[[#This Row],[voornaam]])</f>
        <v>37496 Oosterlinck Willy</v>
      </c>
      <c r="C562" t="str">
        <f>VLOOKUP(bron[[#This Row],[personeelsnr]],'data hastus'!$A:$C,2,0)</f>
        <v>Oosterlinck</v>
      </c>
      <c r="D562" t="str">
        <f>VLOOKUP(bron[[#This Row],[personeelsnr]],'data hastus'!$A:$C,3,0)</f>
        <v>Willy</v>
      </c>
      <c r="E562" t="str">
        <f>VLOOKUP(bron[[#This Row],[personeelsnr]],'data hastus'!A:K,11,FALSE)</f>
        <v>Dominique De Clercq</v>
      </c>
      <c r="F562" s="3">
        <v>45690</v>
      </c>
      <c r="G562" s="6" t="s">
        <v>1025</v>
      </c>
      <c r="H562" t="s">
        <v>3535</v>
      </c>
      <c r="I562" t="s">
        <v>5</v>
      </c>
      <c r="J562">
        <v>6327</v>
      </c>
      <c r="K562" s="27" t="s">
        <v>3547</v>
      </c>
    </row>
    <row r="563" spans="1:11" x14ac:dyDescent="0.25">
      <c r="A563">
        <v>12514</v>
      </c>
      <c r="B563" t="str">
        <f>_xlfn.CONCAT(bron[[#This Row],[personeelsnr]]," ",bron[[#This Row],[achternaam]]," ",bron[[#This Row],[voornaam]])</f>
        <v>12514 De Smet Kenneth</v>
      </c>
      <c r="C563" t="str">
        <f>VLOOKUP(bron[[#This Row],[personeelsnr]],'data hastus'!$A:$C,2,0)</f>
        <v>De Smet</v>
      </c>
      <c r="D563" t="str">
        <f>VLOOKUP(bron[[#This Row],[personeelsnr]],'data hastus'!$A:$C,3,0)</f>
        <v>Kenneth</v>
      </c>
      <c r="E563" t="str">
        <f>VLOOKUP(bron[[#This Row],[personeelsnr]],'data hastus'!A:K,11,FALSE)</f>
        <v>Lucie Vande Velde</v>
      </c>
      <c r="F563" s="3">
        <v>45691</v>
      </c>
      <c r="G563" s="6" t="s">
        <v>1028</v>
      </c>
      <c r="H563" t="s">
        <v>3535</v>
      </c>
      <c r="I563" t="s">
        <v>147</v>
      </c>
      <c r="J563">
        <v>6314</v>
      </c>
      <c r="K563" s="27" t="s">
        <v>3547</v>
      </c>
    </row>
    <row r="564" spans="1:11" x14ac:dyDescent="0.25">
      <c r="A564">
        <v>13568</v>
      </c>
      <c r="B564" t="e">
        <f>_xlfn.CONCAT(bron[[#This Row],[personeelsnr]]," ",bron[[#This Row],[achternaam]]," ",bron[[#This Row],[voornaam]])</f>
        <v>#N/A</v>
      </c>
      <c r="C564" t="e">
        <f>VLOOKUP(bron[[#This Row],[personeelsnr]],'data hastus'!$A:$C,2,0)</f>
        <v>#N/A</v>
      </c>
      <c r="D564" t="e">
        <f>VLOOKUP(bron[[#This Row],[personeelsnr]],'data hastus'!$A:$C,3,0)</f>
        <v>#N/A</v>
      </c>
      <c r="E564" t="s">
        <v>79</v>
      </c>
      <c r="F564" s="3">
        <v>45691</v>
      </c>
      <c r="G564" s="6" t="s">
        <v>1029</v>
      </c>
      <c r="H564" t="s">
        <v>3500</v>
      </c>
      <c r="I564" t="s">
        <v>149</v>
      </c>
      <c r="J564">
        <v>5916</v>
      </c>
      <c r="K564" s="27" t="s">
        <v>3547</v>
      </c>
    </row>
    <row r="565" spans="1:11" x14ac:dyDescent="0.25">
      <c r="A565">
        <v>16545</v>
      </c>
      <c r="B565" t="str">
        <f>_xlfn.CONCAT(bron[[#This Row],[personeelsnr]]," ",bron[[#This Row],[achternaam]]," ",bron[[#This Row],[voornaam]])</f>
        <v>16545 Toch Erwin</v>
      </c>
      <c r="C565" t="str">
        <f>VLOOKUP(bron[[#This Row],[personeelsnr]],'data hastus'!$A:$C,2,0)</f>
        <v>Toch</v>
      </c>
      <c r="D565" t="str">
        <f>VLOOKUP(bron[[#This Row],[personeelsnr]],'data hastus'!$A:$C,3,0)</f>
        <v>Erwin</v>
      </c>
      <c r="E565" t="str">
        <f>VLOOKUP(bron[[#This Row],[personeelsnr]],'data hastus'!A:K,11,FALSE)</f>
        <v>Bart Van Der Beken</v>
      </c>
      <c r="F565" s="3">
        <v>45691</v>
      </c>
      <c r="G565" s="6" t="s">
        <v>1026</v>
      </c>
      <c r="H565" t="s">
        <v>3499</v>
      </c>
      <c r="I565" t="s">
        <v>19</v>
      </c>
      <c r="J565">
        <v>5327</v>
      </c>
      <c r="K565" s="27" t="s">
        <v>3547</v>
      </c>
    </row>
    <row r="566" spans="1:11" x14ac:dyDescent="0.25">
      <c r="A566">
        <v>21424</v>
      </c>
      <c r="B566" t="str">
        <f>_xlfn.CONCAT(bron[[#This Row],[personeelsnr]]," ",bron[[#This Row],[achternaam]]," ",bron[[#This Row],[voornaam]])</f>
        <v>21424 Verstichel Jethro</v>
      </c>
      <c r="C566" t="str">
        <f>VLOOKUP(bron[[#This Row],[personeelsnr]],'data hastus'!$A:$C,2,0)</f>
        <v>Verstichel</v>
      </c>
      <c r="D566" t="str">
        <f>VLOOKUP(bron[[#This Row],[personeelsnr]],'data hastus'!$A:$C,3,0)</f>
        <v>Jethro</v>
      </c>
      <c r="E566" t="str">
        <f>VLOOKUP(bron[[#This Row],[personeelsnr]],'data hastus'!A:K,11,FALSE)</f>
        <v>Els Dewulf</v>
      </c>
      <c r="F566" s="3">
        <v>45691</v>
      </c>
      <c r="G566" s="6" t="s">
        <v>1027</v>
      </c>
      <c r="H566" t="s">
        <v>3500</v>
      </c>
      <c r="I566" t="s">
        <v>78</v>
      </c>
      <c r="J566">
        <v>5911</v>
      </c>
      <c r="K566" s="27" t="s">
        <v>3547</v>
      </c>
    </row>
    <row r="567" spans="1:11" x14ac:dyDescent="0.25">
      <c r="A567">
        <v>40266</v>
      </c>
      <c r="B567" t="str">
        <f>_xlfn.CONCAT(bron[[#This Row],[personeelsnr]]," ",bron[[#This Row],[achternaam]]," ",bron[[#This Row],[voornaam]])</f>
        <v>40266 Taibi Yassine</v>
      </c>
      <c r="C567" t="str">
        <f>VLOOKUP(bron[[#This Row],[personeelsnr]],'data hastus'!$A:$C,2,0)</f>
        <v>Taibi</v>
      </c>
      <c r="D567" t="str">
        <f>VLOOKUP(bron[[#This Row],[personeelsnr]],'data hastus'!$A:$C,3,0)</f>
        <v>Yassine</v>
      </c>
      <c r="E567" t="str">
        <f>VLOOKUP(bron[[#This Row],[personeelsnr]],'data hastus'!A:K,11,FALSE)</f>
        <v>Christoff Rotty</v>
      </c>
      <c r="F567" s="3">
        <v>45693</v>
      </c>
      <c r="G567" s="6" t="s">
        <v>1030</v>
      </c>
      <c r="H567" t="s">
        <v>3501</v>
      </c>
      <c r="I567" t="s">
        <v>43</v>
      </c>
      <c r="J567">
        <v>2199</v>
      </c>
      <c r="K567" s="27" t="s">
        <v>3547</v>
      </c>
    </row>
    <row r="568" spans="1:11" x14ac:dyDescent="0.25">
      <c r="A568">
        <v>40859</v>
      </c>
      <c r="B568" t="str">
        <f>_xlfn.CONCAT(bron[[#This Row],[personeelsnr]]," ",bron[[#This Row],[achternaam]]," ",bron[[#This Row],[voornaam]])</f>
        <v>40859 Yagoub Abdelali</v>
      </c>
      <c r="C568" t="str">
        <f>VLOOKUP(bron[[#This Row],[personeelsnr]],'data hastus'!$A:$C,2,0)</f>
        <v>Yagoub</v>
      </c>
      <c r="D568" t="str">
        <f>VLOOKUP(bron[[#This Row],[personeelsnr]],'data hastus'!$A:$C,3,0)</f>
        <v>Abdelali</v>
      </c>
      <c r="E568" t="str">
        <f>VLOOKUP(bron[[#This Row],[personeelsnr]],'data hastus'!A:K,11,FALSE)</f>
        <v>Els Vanhoe</v>
      </c>
      <c r="F568" s="3">
        <v>45693</v>
      </c>
      <c r="G568" s="6" t="s">
        <v>1033</v>
      </c>
      <c r="H568" t="s">
        <v>3499</v>
      </c>
      <c r="I568" t="s">
        <v>273</v>
      </c>
      <c r="J568">
        <v>5325</v>
      </c>
      <c r="K568" s="27" t="s">
        <v>3547</v>
      </c>
    </row>
    <row r="569" spans="1:11" x14ac:dyDescent="0.25">
      <c r="A569">
        <v>41092</v>
      </c>
      <c r="B569" t="str">
        <f>_xlfn.CONCAT(bron[[#This Row],[personeelsnr]]," ",bron[[#This Row],[achternaam]]," ",bron[[#This Row],[voornaam]])</f>
        <v>41092 De Keyser Dorien</v>
      </c>
      <c r="C569" t="str">
        <f>VLOOKUP(bron[[#This Row],[personeelsnr]],'data hastus'!$A:$C,2,0)</f>
        <v>De Keyser</v>
      </c>
      <c r="D569" t="str">
        <f>VLOOKUP(bron[[#This Row],[personeelsnr]],'data hastus'!$A:$C,3,0)</f>
        <v>Dorien</v>
      </c>
      <c r="E569" t="str">
        <f>VLOOKUP(bron[[#This Row],[personeelsnr]],'data hastus'!A:K,11,FALSE)</f>
        <v>Dominique De Clercq</v>
      </c>
      <c r="F569" s="3">
        <v>45693</v>
      </c>
      <c r="G569" s="6" t="s">
        <v>1032</v>
      </c>
      <c r="H569" t="s">
        <v>3500</v>
      </c>
      <c r="I569" t="s">
        <v>57</v>
      </c>
      <c r="J569">
        <v>5935</v>
      </c>
      <c r="K569" s="27" t="s">
        <v>3547</v>
      </c>
    </row>
    <row r="570" spans="1:11" x14ac:dyDescent="0.25">
      <c r="A570">
        <v>41162</v>
      </c>
      <c r="B570" t="str">
        <f>_xlfn.CONCAT(bron[[#This Row],[personeelsnr]]," ",bron[[#This Row],[achternaam]]," ",bron[[#This Row],[voornaam]])</f>
        <v>41162 Hoeckman Jeroen</v>
      </c>
      <c r="C570" t="str">
        <f>VLOOKUP(bron[[#This Row],[personeelsnr]],'data hastus'!$A:$C,2,0)</f>
        <v>Hoeckman</v>
      </c>
      <c r="D570" t="str">
        <f>VLOOKUP(bron[[#This Row],[personeelsnr]],'data hastus'!$A:$C,3,0)</f>
        <v>Jeroen</v>
      </c>
      <c r="E570" t="str">
        <f>VLOOKUP(bron[[#This Row],[personeelsnr]],'data hastus'!A:K,11,FALSE)</f>
        <v>Dominique De Clercq</v>
      </c>
      <c r="F570" s="3">
        <v>45693</v>
      </c>
      <c r="G570" s="6" t="s">
        <v>1031</v>
      </c>
      <c r="H570" t="s">
        <v>3500</v>
      </c>
      <c r="I570" t="s">
        <v>261</v>
      </c>
      <c r="J570">
        <v>5769</v>
      </c>
      <c r="K570" s="27" t="s">
        <v>3547</v>
      </c>
    </row>
    <row r="571" spans="1:11" x14ac:dyDescent="0.25">
      <c r="A571">
        <v>17951</v>
      </c>
      <c r="B571" t="str">
        <f>_xlfn.CONCAT(bron[[#This Row],[personeelsnr]]," ",bron[[#This Row],[achternaam]]," ",bron[[#This Row],[voornaam]])</f>
        <v>17951 Lega Claude</v>
      </c>
      <c r="C571" t="str">
        <f>VLOOKUP(bron[[#This Row],[personeelsnr]],'data hastus'!$A:$C,2,0)</f>
        <v>Lega</v>
      </c>
      <c r="D571" t="str">
        <f>VLOOKUP(bron[[#This Row],[personeelsnr]],'data hastus'!$A:$C,3,0)</f>
        <v>Claude</v>
      </c>
      <c r="E571" t="str">
        <f>VLOOKUP(bron[[#This Row],[personeelsnr]],'data hastus'!A:K,11,FALSE)</f>
        <v>Bart Van Der Beken</v>
      </c>
      <c r="F571" s="3">
        <v>45694</v>
      </c>
      <c r="G571" s="6" t="s">
        <v>1034</v>
      </c>
      <c r="H571" t="s">
        <v>3535</v>
      </c>
      <c r="I571" t="s">
        <v>121</v>
      </c>
      <c r="J571">
        <v>6317</v>
      </c>
      <c r="K571" s="27" t="s">
        <v>3547</v>
      </c>
    </row>
    <row r="572" spans="1:11" x14ac:dyDescent="0.25">
      <c r="A572">
        <v>40856</v>
      </c>
      <c r="B572" t="str">
        <f>_xlfn.CONCAT(bron[[#This Row],[personeelsnr]]," ",bron[[#This Row],[achternaam]]," ",bron[[#This Row],[voornaam]])</f>
        <v>40856 Neissi Sadegh</v>
      </c>
      <c r="C572" t="str">
        <f>VLOOKUP(bron[[#This Row],[personeelsnr]],'data hastus'!$A:$C,2,0)</f>
        <v>Neissi</v>
      </c>
      <c r="D572" t="str">
        <f>VLOOKUP(bron[[#This Row],[personeelsnr]],'data hastus'!$A:$C,3,0)</f>
        <v>Sadegh</v>
      </c>
      <c r="E572" t="str">
        <f>VLOOKUP(bron[[#This Row],[personeelsnr]],'data hastus'!A:K,11,FALSE)</f>
        <v>Kenneth De Rick</v>
      </c>
      <c r="F572" s="3">
        <v>45694</v>
      </c>
      <c r="G572" s="6" t="s">
        <v>1035</v>
      </c>
      <c r="H572" t="s">
        <v>3499</v>
      </c>
      <c r="I572" t="s">
        <v>211</v>
      </c>
      <c r="J572">
        <v>2208</v>
      </c>
      <c r="K572" s="27" t="s">
        <v>3547</v>
      </c>
    </row>
    <row r="573" spans="1:11" x14ac:dyDescent="0.25">
      <c r="A573">
        <v>4419</v>
      </c>
      <c r="B573" t="str">
        <f>_xlfn.CONCAT(bron[[#This Row],[personeelsnr]]," ",bron[[#This Row],[achternaam]]," ",bron[[#This Row],[voornaam]])</f>
        <v>4419 Maelbrancke Eddy</v>
      </c>
      <c r="C573" t="str">
        <f>VLOOKUP(bron[[#This Row],[personeelsnr]],'data hastus'!$A:$C,2,0)</f>
        <v>Maelbrancke</v>
      </c>
      <c r="D573" t="str">
        <f>VLOOKUP(bron[[#This Row],[personeelsnr]],'data hastus'!$A:$C,3,0)</f>
        <v>Eddy</v>
      </c>
      <c r="E573" t="str">
        <f>VLOOKUP(bron[[#This Row],[personeelsnr]],'data hastus'!A:K,11,FALSE)</f>
        <v>Lucie Vande Velde</v>
      </c>
      <c r="F573" s="3">
        <v>45695</v>
      </c>
      <c r="G573" s="6" t="s">
        <v>1037</v>
      </c>
      <c r="H573" t="s">
        <v>3499</v>
      </c>
      <c r="I573" t="s">
        <v>10</v>
      </c>
      <c r="J573">
        <v>2195</v>
      </c>
      <c r="K573" s="27" t="s">
        <v>3547</v>
      </c>
    </row>
    <row r="574" spans="1:11" x14ac:dyDescent="0.25">
      <c r="A574">
        <v>40055</v>
      </c>
      <c r="B574" t="str">
        <f>_xlfn.CONCAT(bron[[#This Row],[personeelsnr]]," ",bron[[#This Row],[achternaam]]," ",bron[[#This Row],[voornaam]])</f>
        <v>40055 Afara Ammar</v>
      </c>
      <c r="C574" t="str">
        <f>VLOOKUP(bron[[#This Row],[personeelsnr]],'data hastus'!$A:$C,2,0)</f>
        <v>Afara</v>
      </c>
      <c r="D574" t="str">
        <f>VLOOKUP(bron[[#This Row],[personeelsnr]],'data hastus'!$A:$C,3,0)</f>
        <v>Ammar</v>
      </c>
      <c r="E574" t="str">
        <f>VLOOKUP(bron[[#This Row],[personeelsnr]],'data hastus'!A:K,11,FALSE)</f>
        <v>Els Vanhoe</v>
      </c>
      <c r="F574" s="3">
        <v>45695</v>
      </c>
      <c r="G574" s="6" t="s">
        <v>1036</v>
      </c>
      <c r="H574" t="s">
        <v>3499</v>
      </c>
      <c r="I574" t="s">
        <v>19</v>
      </c>
      <c r="J574">
        <v>5261</v>
      </c>
      <c r="K574" s="27" t="s">
        <v>3547</v>
      </c>
    </row>
    <row r="575" spans="1:11" x14ac:dyDescent="0.25">
      <c r="A575">
        <v>28737</v>
      </c>
      <c r="B575" t="str">
        <f>_xlfn.CONCAT(bron[[#This Row],[personeelsnr]]," ",bron[[#This Row],[achternaam]]," ",bron[[#This Row],[voornaam]])</f>
        <v>28737 El-Mohamed Mohamed</v>
      </c>
      <c r="C575" t="str">
        <f>VLOOKUP(bron[[#This Row],[personeelsnr]],'data hastus'!$A:$C,2,0)</f>
        <v>El-Mohamed</v>
      </c>
      <c r="D575" t="str">
        <f>VLOOKUP(bron[[#This Row],[personeelsnr]],'data hastus'!$A:$C,3,0)</f>
        <v>Mohamed</v>
      </c>
      <c r="E575" t="str">
        <f>VLOOKUP(bron[[#This Row],[personeelsnr]],'data hastus'!A:K,11,FALSE)</f>
        <v>Lucie Vande Velde</v>
      </c>
      <c r="F575" s="3">
        <v>45698</v>
      </c>
      <c r="G575" s="6" t="s">
        <v>1038</v>
      </c>
      <c r="H575" t="s">
        <v>3536</v>
      </c>
      <c r="I575" t="s">
        <v>221</v>
      </c>
      <c r="J575">
        <v>6369</v>
      </c>
      <c r="K575" s="27" t="s">
        <v>3547</v>
      </c>
    </row>
    <row r="576" spans="1:11" x14ac:dyDescent="0.25">
      <c r="A576">
        <v>25679</v>
      </c>
      <c r="B576" t="str">
        <f>_xlfn.CONCAT(bron[[#This Row],[personeelsnr]]," ",bron[[#This Row],[achternaam]]," ",bron[[#This Row],[voornaam]])</f>
        <v>25679 Vanrenterghem Serge</v>
      </c>
      <c r="C576" t="str">
        <f>VLOOKUP(bron[[#This Row],[personeelsnr]],'data hastus'!$A:$C,2,0)</f>
        <v>Vanrenterghem</v>
      </c>
      <c r="D576" t="str">
        <f>VLOOKUP(bron[[#This Row],[personeelsnr]],'data hastus'!$A:$C,3,0)</f>
        <v>Serge</v>
      </c>
      <c r="E576" t="str">
        <f>VLOOKUP(bron[[#This Row],[personeelsnr]],'data hastus'!A:K,11,FALSE)</f>
        <v>Christoff Rotty</v>
      </c>
      <c r="F576" s="3">
        <v>45699</v>
      </c>
      <c r="G576" s="6" t="s">
        <v>1039</v>
      </c>
      <c r="H576" t="s">
        <v>3500</v>
      </c>
      <c r="I576" t="s">
        <v>10</v>
      </c>
      <c r="J576">
        <v>4676</v>
      </c>
      <c r="K576" s="27" t="s">
        <v>3547</v>
      </c>
    </row>
    <row r="577" spans="1:11" x14ac:dyDescent="0.25">
      <c r="A577">
        <v>40223</v>
      </c>
      <c r="B577" t="str">
        <f>_xlfn.CONCAT(bron[[#This Row],[personeelsnr]]," ",bron[[#This Row],[achternaam]]," ",bron[[#This Row],[voornaam]])</f>
        <v>40223 Teetaert Billy</v>
      </c>
      <c r="C577" t="str">
        <f>VLOOKUP(bron[[#This Row],[personeelsnr]],'data hastus'!$A:$C,2,0)</f>
        <v>Teetaert</v>
      </c>
      <c r="D577" t="str">
        <f>VLOOKUP(bron[[#This Row],[personeelsnr]],'data hastus'!$A:$C,3,0)</f>
        <v>Billy</v>
      </c>
      <c r="E577" t="str">
        <f>VLOOKUP(bron[[#This Row],[personeelsnr]],'data hastus'!A:K,11,FALSE)</f>
        <v>Dominique De Clercq</v>
      </c>
      <c r="F577" s="3">
        <v>45699</v>
      </c>
      <c r="G577" s="6" t="s">
        <v>1040</v>
      </c>
      <c r="H577" t="s">
        <v>3501</v>
      </c>
      <c r="I577" t="s">
        <v>299</v>
      </c>
      <c r="J577">
        <v>5052</v>
      </c>
      <c r="K577" s="27" t="s">
        <v>3547</v>
      </c>
    </row>
    <row r="578" spans="1:11" x14ac:dyDescent="0.25">
      <c r="A578">
        <v>39267</v>
      </c>
      <c r="B578" t="str">
        <f>_xlfn.CONCAT(bron[[#This Row],[personeelsnr]]," ",bron[[#This Row],[achternaam]]," ",bron[[#This Row],[voornaam]])</f>
        <v>39267 Van Holsbeeck Jens</v>
      </c>
      <c r="C578" t="str">
        <f>VLOOKUP(bron[[#This Row],[personeelsnr]],'data hastus'!$A:$C,2,0)</f>
        <v>Van Holsbeeck</v>
      </c>
      <c r="D578" t="str">
        <f>VLOOKUP(bron[[#This Row],[personeelsnr]],'data hastus'!$A:$C,3,0)</f>
        <v>Jens</v>
      </c>
      <c r="E578" t="str">
        <f>VLOOKUP(bron[[#This Row],[personeelsnr]],'data hastus'!A:K,11,FALSE)</f>
        <v>Christoff Rotty</v>
      </c>
      <c r="F578" s="3">
        <v>45700</v>
      </c>
      <c r="G578" s="6" t="s">
        <v>1041</v>
      </c>
      <c r="H578" t="s">
        <v>3535</v>
      </c>
      <c r="I578" t="s">
        <v>81</v>
      </c>
      <c r="J578">
        <v>6317</v>
      </c>
      <c r="K578" s="27" t="s">
        <v>3547</v>
      </c>
    </row>
    <row r="579" spans="1:11" x14ac:dyDescent="0.25">
      <c r="A579">
        <v>6229</v>
      </c>
      <c r="B579" t="str">
        <f>_xlfn.CONCAT(bron[[#This Row],[personeelsnr]]," ",bron[[#This Row],[achternaam]]," ",bron[[#This Row],[voornaam]])</f>
        <v>6229 De Meyer Antoon</v>
      </c>
      <c r="C579" t="str">
        <f>VLOOKUP(bron[[#This Row],[personeelsnr]],'data hastus'!$A:$C,2,0)</f>
        <v>De Meyer</v>
      </c>
      <c r="D579" t="str">
        <f>VLOOKUP(bron[[#This Row],[personeelsnr]],'data hastus'!$A:$C,3,0)</f>
        <v>Antoon</v>
      </c>
      <c r="E579" t="str">
        <f>VLOOKUP(bron[[#This Row],[personeelsnr]],'data hastus'!A:K,11,FALSE)</f>
        <v>Els Vanhoe</v>
      </c>
      <c r="F579" s="3">
        <v>45701</v>
      </c>
      <c r="G579" s="6" t="s">
        <v>1042</v>
      </c>
      <c r="H579" t="s">
        <v>3499</v>
      </c>
      <c r="I579" t="s">
        <v>193</v>
      </c>
      <c r="J579">
        <v>5240</v>
      </c>
      <c r="K579" s="27" t="s">
        <v>3547</v>
      </c>
    </row>
    <row r="580" spans="1:11" x14ac:dyDescent="0.25">
      <c r="A580">
        <v>11236</v>
      </c>
      <c r="B580" t="str">
        <f>_xlfn.CONCAT(bron[[#This Row],[personeelsnr]]," ",bron[[#This Row],[achternaam]]," ",bron[[#This Row],[voornaam]])</f>
        <v>11236 Baert Freddy</v>
      </c>
      <c r="C580" t="str">
        <f>VLOOKUP(bron[[#This Row],[personeelsnr]],'data hastus'!$A:$C,2,0)</f>
        <v>Baert</v>
      </c>
      <c r="D580" t="str">
        <f>VLOOKUP(bron[[#This Row],[personeelsnr]],'data hastus'!$A:$C,3,0)</f>
        <v>Freddy</v>
      </c>
      <c r="E580" t="str">
        <f>VLOOKUP(bron[[#This Row],[personeelsnr]],'data hastus'!A:K,11,FALSE)</f>
        <v>Bart Van Der Beken</v>
      </c>
      <c r="F580" s="3">
        <v>45702</v>
      </c>
      <c r="G580" s="6" t="s">
        <v>1044</v>
      </c>
      <c r="H580" t="s">
        <v>3499</v>
      </c>
      <c r="I580" t="s">
        <v>66</v>
      </c>
      <c r="J580">
        <v>5241</v>
      </c>
      <c r="K580" s="27" t="s">
        <v>3547</v>
      </c>
    </row>
    <row r="581" spans="1:11" x14ac:dyDescent="0.25">
      <c r="A581">
        <v>37496</v>
      </c>
      <c r="B581" t="str">
        <f>_xlfn.CONCAT(bron[[#This Row],[personeelsnr]]," ",bron[[#This Row],[achternaam]]," ",bron[[#This Row],[voornaam]])</f>
        <v>37496 Oosterlinck Willy</v>
      </c>
      <c r="C581" t="str">
        <f>VLOOKUP(bron[[#This Row],[personeelsnr]],'data hastus'!$A:$C,2,0)</f>
        <v>Oosterlinck</v>
      </c>
      <c r="D581" t="str">
        <f>VLOOKUP(bron[[#This Row],[personeelsnr]],'data hastus'!$A:$C,3,0)</f>
        <v>Willy</v>
      </c>
      <c r="E581" t="str">
        <f>VLOOKUP(bron[[#This Row],[personeelsnr]],'data hastus'!A:K,11,FALSE)</f>
        <v>Dominique De Clercq</v>
      </c>
      <c r="F581" s="3">
        <v>45702</v>
      </c>
      <c r="G581" s="6" t="s">
        <v>1045</v>
      </c>
      <c r="H581" t="s">
        <v>3535</v>
      </c>
      <c r="I581" t="s">
        <v>88</v>
      </c>
      <c r="J581">
        <v>6322</v>
      </c>
      <c r="K581" s="27" t="s">
        <v>3547</v>
      </c>
    </row>
    <row r="582" spans="1:11" x14ac:dyDescent="0.25">
      <c r="A582">
        <v>37662</v>
      </c>
      <c r="B582" t="str">
        <f>_xlfn.CONCAT(bron[[#This Row],[personeelsnr]]," ",bron[[#This Row],[achternaam]]," ",bron[[#This Row],[voornaam]])</f>
        <v>37662 Van den Meerssche Steven</v>
      </c>
      <c r="C582" t="str">
        <f>VLOOKUP(bron[[#This Row],[personeelsnr]],'data hastus'!$A:$C,2,0)</f>
        <v>Van den Meerssche</v>
      </c>
      <c r="D582" t="str">
        <f>VLOOKUP(bron[[#This Row],[personeelsnr]],'data hastus'!$A:$C,3,0)</f>
        <v>Steven</v>
      </c>
      <c r="E582" t="str">
        <f>VLOOKUP(bron[[#This Row],[personeelsnr]],'data hastus'!A:K,11,FALSE)</f>
        <v>Bart Van Der Beken</v>
      </c>
      <c r="F582" s="3">
        <v>45702</v>
      </c>
      <c r="G582" s="6" t="s">
        <v>1043</v>
      </c>
      <c r="H582" t="s">
        <v>3499</v>
      </c>
      <c r="I582" t="s">
        <v>217</v>
      </c>
      <c r="J582">
        <v>5052</v>
      </c>
      <c r="K582" s="27" t="s">
        <v>3547</v>
      </c>
    </row>
    <row r="583" spans="1:11" x14ac:dyDescent="0.25">
      <c r="A583">
        <v>41383</v>
      </c>
      <c r="B583" t="str">
        <f>_xlfn.CONCAT(bron[[#This Row],[personeelsnr]]," ",bron[[#This Row],[achternaam]]," ",bron[[#This Row],[voornaam]])</f>
        <v>41383 De Pauw Tony</v>
      </c>
      <c r="C583" t="str">
        <f>VLOOKUP(bron[[#This Row],[personeelsnr]],'data hastus'!$A:$C,2,0)</f>
        <v>De Pauw</v>
      </c>
      <c r="D583" t="str">
        <f>VLOOKUP(bron[[#This Row],[personeelsnr]],'data hastus'!$A:$C,3,0)</f>
        <v>Tony</v>
      </c>
      <c r="E583" t="str">
        <f>VLOOKUP(bron[[#This Row],[personeelsnr]],'data hastus'!A:K,11,FALSE)</f>
        <v>Els Vanhoe</v>
      </c>
      <c r="F583" s="3">
        <v>45702</v>
      </c>
      <c r="G583" s="6" t="s">
        <v>1046</v>
      </c>
      <c r="H583" t="s">
        <v>3500</v>
      </c>
      <c r="I583" t="s">
        <v>60</v>
      </c>
      <c r="J583">
        <v>5909</v>
      </c>
      <c r="K583" s="27" t="s">
        <v>3547</v>
      </c>
    </row>
    <row r="584" spans="1:11" x14ac:dyDescent="0.25">
      <c r="A584">
        <v>26199</v>
      </c>
      <c r="B584" t="str">
        <f>_xlfn.CONCAT(bron[[#This Row],[personeelsnr]]," ",bron[[#This Row],[achternaam]]," ",bron[[#This Row],[voornaam]])</f>
        <v>26199 Wauters Franky</v>
      </c>
      <c r="C584" t="str">
        <f>VLOOKUP(bron[[#This Row],[personeelsnr]],'data hastus'!$A:$C,2,0)</f>
        <v>Wauters</v>
      </c>
      <c r="D584" t="str">
        <f>VLOOKUP(bron[[#This Row],[personeelsnr]],'data hastus'!$A:$C,3,0)</f>
        <v>Franky</v>
      </c>
      <c r="E584" t="str">
        <f>VLOOKUP(bron[[#This Row],[personeelsnr]],'data hastus'!A:K,11,FALSE)</f>
        <v>Els Vanhoe</v>
      </c>
      <c r="F584" s="3">
        <v>45703</v>
      </c>
      <c r="G584" s="6" t="s">
        <v>1048</v>
      </c>
      <c r="H584" t="s">
        <v>3536</v>
      </c>
      <c r="I584" t="s">
        <v>163</v>
      </c>
      <c r="J584">
        <v>6364</v>
      </c>
      <c r="K584" s="27" t="s">
        <v>3547</v>
      </c>
    </row>
    <row r="585" spans="1:11" x14ac:dyDescent="0.25">
      <c r="A585">
        <v>37543</v>
      </c>
      <c r="B585" t="str">
        <f>_xlfn.CONCAT(bron[[#This Row],[personeelsnr]]," ",bron[[#This Row],[achternaam]]," ",bron[[#This Row],[voornaam]])</f>
        <v>37543 Öztürk Bilgehan</v>
      </c>
      <c r="C585" t="str">
        <f>VLOOKUP(bron[[#This Row],[personeelsnr]],'data hastus'!$A:$C,2,0)</f>
        <v>Öztürk</v>
      </c>
      <c r="D585" t="str">
        <f>VLOOKUP(bron[[#This Row],[personeelsnr]],'data hastus'!$A:$C,3,0)</f>
        <v>Bilgehan</v>
      </c>
      <c r="E585" t="str">
        <f>VLOOKUP(bron[[#This Row],[personeelsnr]],'data hastus'!A:K,11,FALSE)</f>
        <v>Kenneth De Rick</v>
      </c>
      <c r="F585" s="3">
        <v>45703</v>
      </c>
      <c r="G585" s="6" t="s">
        <v>1304</v>
      </c>
      <c r="H585" t="s">
        <v>3501</v>
      </c>
      <c r="I585" t="s">
        <v>106</v>
      </c>
      <c r="J585">
        <v>2208</v>
      </c>
      <c r="K585" s="27" t="s">
        <v>3548</v>
      </c>
    </row>
    <row r="586" spans="1:11" x14ac:dyDescent="0.25">
      <c r="A586">
        <v>41091</v>
      </c>
      <c r="B586" t="str">
        <f>_xlfn.CONCAT(bron[[#This Row],[personeelsnr]]," ",bron[[#This Row],[achternaam]]," ",bron[[#This Row],[voornaam]])</f>
        <v>41091 Yavas Talha</v>
      </c>
      <c r="C586" t="str">
        <f>VLOOKUP(bron[[#This Row],[personeelsnr]],'data hastus'!$A:$C,2,0)</f>
        <v>Yavas</v>
      </c>
      <c r="D586" t="str">
        <f>VLOOKUP(bron[[#This Row],[personeelsnr]],'data hastus'!$A:$C,3,0)</f>
        <v>Talha</v>
      </c>
      <c r="E586" t="str">
        <f>VLOOKUP(bron[[#This Row],[personeelsnr]],'data hastus'!A:K,11,FALSE)</f>
        <v>Dominique De Clercq</v>
      </c>
      <c r="F586" s="3">
        <v>45703</v>
      </c>
      <c r="G586" s="6" t="s">
        <v>1047</v>
      </c>
      <c r="H586" t="s">
        <v>3500</v>
      </c>
      <c r="I586" t="s">
        <v>111</v>
      </c>
      <c r="J586">
        <v>5928</v>
      </c>
      <c r="K586" s="27" t="s">
        <v>3547</v>
      </c>
    </row>
    <row r="587" spans="1:11" x14ac:dyDescent="0.25">
      <c r="A587">
        <v>35490</v>
      </c>
      <c r="B587" t="str">
        <f>_xlfn.CONCAT(bron[[#This Row],[personeelsnr]]," ",bron[[#This Row],[achternaam]]," ",bron[[#This Row],[voornaam]])</f>
        <v>35490 Nguetto Brisco Romeo</v>
      </c>
      <c r="C587" t="str">
        <f>VLOOKUP(bron[[#This Row],[personeelsnr]],'data hastus'!$A:$C,2,0)</f>
        <v>Nguetto</v>
      </c>
      <c r="D587" t="str">
        <f>VLOOKUP(bron[[#This Row],[personeelsnr]],'data hastus'!$A:$C,3,0)</f>
        <v>Brisco Romeo</v>
      </c>
      <c r="E587" t="str">
        <f>VLOOKUP(bron[[#This Row],[personeelsnr]],'data hastus'!A:K,11,FALSE)</f>
        <v>Steven Storm</v>
      </c>
      <c r="F587" s="3">
        <v>45706</v>
      </c>
      <c r="G587" s="6" t="s">
        <v>1322</v>
      </c>
      <c r="H587" t="s">
        <v>3500</v>
      </c>
      <c r="I587" t="s">
        <v>219</v>
      </c>
      <c r="J587">
        <v>5912</v>
      </c>
      <c r="K587" s="27" t="s">
        <v>3548</v>
      </c>
    </row>
    <row r="588" spans="1:11" x14ac:dyDescent="0.25">
      <c r="A588">
        <v>37509</v>
      </c>
      <c r="B588" t="str">
        <f>_xlfn.CONCAT(bron[[#This Row],[personeelsnr]]," ",bron[[#This Row],[achternaam]]," ",bron[[#This Row],[voornaam]])</f>
        <v>37509 Abdulkader Sabah</v>
      </c>
      <c r="C588" t="str">
        <f>VLOOKUP(bron[[#This Row],[personeelsnr]],'data hastus'!$A:$C,2,0)</f>
        <v>Abdulkader</v>
      </c>
      <c r="D588" t="str">
        <f>VLOOKUP(bron[[#This Row],[personeelsnr]],'data hastus'!$A:$C,3,0)</f>
        <v>Sabah</v>
      </c>
      <c r="E588" t="str">
        <f>VLOOKUP(bron[[#This Row],[personeelsnr]],'data hastus'!A:K,11,FALSE)</f>
        <v>Bart Van Der Beken</v>
      </c>
      <c r="F588" s="3">
        <v>45706</v>
      </c>
      <c r="G588" s="6" t="s">
        <v>1278</v>
      </c>
      <c r="H588" t="s">
        <v>3501</v>
      </c>
      <c r="I588" t="s">
        <v>1279</v>
      </c>
      <c r="J588">
        <v>2200</v>
      </c>
      <c r="K588" s="27" t="s">
        <v>3548</v>
      </c>
    </row>
    <row r="589" spans="1:11" x14ac:dyDescent="0.25">
      <c r="A589">
        <v>41012</v>
      </c>
      <c r="B589" t="str">
        <f>_xlfn.CONCAT(bron[[#This Row],[personeelsnr]]," ",bron[[#This Row],[achternaam]]," ",bron[[#This Row],[voornaam]])</f>
        <v>41012 Natad Younes</v>
      </c>
      <c r="C589" t="str">
        <f>VLOOKUP(bron[[#This Row],[personeelsnr]],'data hastus'!$A:$C,2,0)</f>
        <v>Natad</v>
      </c>
      <c r="D589" t="str">
        <f>VLOOKUP(bron[[#This Row],[personeelsnr]],'data hastus'!$A:$C,3,0)</f>
        <v>Younes</v>
      </c>
      <c r="E589" t="str">
        <f>VLOOKUP(bron[[#This Row],[personeelsnr]],'data hastus'!A:K,11,FALSE)</f>
        <v>Els Vanhoe</v>
      </c>
      <c r="F589" s="3">
        <v>45706</v>
      </c>
      <c r="G589" s="6" t="s">
        <v>1050</v>
      </c>
      <c r="H589" t="s">
        <v>3500</v>
      </c>
      <c r="I589" t="s">
        <v>500</v>
      </c>
      <c r="J589">
        <v>5923</v>
      </c>
      <c r="K589" s="27" t="s">
        <v>3547</v>
      </c>
    </row>
    <row r="590" spans="1:11" x14ac:dyDescent="0.25">
      <c r="A590">
        <v>41032</v>
      </c>
      <c r="B590" t="str">
        <f>_xlfn.CONCAT(bron[[#This Row],[personeelsnr]]," ",bron[[#This Row],[achternaam]]," ",bron[[#This Row],[voornaam]])</f>
        <v>41032 Rocabado Hinojosa Lukas</v>
      </c>
      <c r="C590" t="str">
        <f>VLOOKUP(bron[[#This Row],[personeelsnr]],'data hastus'!$A:$C,2,0)</f>
        <v>Rocabado Hinojosa</v>
      </c>
      <c r="D590" t="str">
        <f>VLOOKUP(bron[[#This Row],[personeelsnr]],'data hastus'!$A:$C,3,0)</f>
        <v>Lukas</v>
      </c>
      <c r="E590" t="str">
        <f>VLOOKUP(bron[[#This Row],[personeelsnr]],'data hastus'!A:K,11,FALSE)</f>
        <v>Els Vanhoe</v>
      </c>
      <c r="F590" s="3">
        <v>45706</v>
      </c>
      <c r="G590" s="6" t="s">
        <v>1051</v>
      </c>
      <c r="H590" t="s">
        <v>3500</v>
      </c>
      <c r="I590" t="s">
        <v>219</v>
      </c>
      <c r="J590">
        <v>5925</v>
      </c>
      <c r="K590" s="27" t="s">
        <v>3547</v>
      </c>
    </row>
    <row r="591" spans="1:11" x14ac:dyDescent="0.25">
      <c r="A591">
        <v>41162</v>
      </c>
      <c r="B591" t="str">
        <f>_xlfn.CONCAT(bron[[#This Row],[personeelsnr]]," ",bron[[#This Row],[achternaam]]," ",bron[[#This Row],[voornaam]])</f>
        <v>41162 Hoeckman Jeroen</v>
      </c>
      <c r="C591" t="str">
        <f>VLOOKUP(bron[[#This Row],[personeelsnr]],'data hastus'!$A:$C,2,0)</f>
        <v>Hoeckman</v>
      </c>
      <c r="D591" t="str">
        <f>VLOOKUP(bron[[#This Row],[personeelsnr]],'data hastus'!$A:$C,3,0)</f>
        <v>Jeroen</v>
      </c>
      <c r="E591" t="str">
        <f>VLOOKUP(bron[[#This Row],[personeelsnr]],'data hastus'!A:K,11,FALSE)</f>
        <v>Dominique De Clercq</v>
      </c>
      <c r="F591" s="3">
        <v>45706</v>
      </c>
      <c r="G591" s="6" t="s">
        <v>1049</v>
      </c>
      <c r="H591" t="s">
        <v>3500</v>
      </c>
      <c r="I591" t="s">
        <v>213</v>
      </c>
      <c r="J591">
        <v>5927</v>
      </c>
      <c r="K591" s="27" t="s">
        <v>3547</v>
      </c>
    </row>
    <row r="592" spans="1:11" x14ac:dyDescent="0.25">
      <c r="A592">
        <v>39660</v>
      </c>
      <c r="B592" t="str">
        <f>_xlfn.CONCAT(bron[[#This Row],[personeelsnr]]," ",bron[[#This Row],[achternaam]]," ",bron[[#This Row],[voornaam]])</f>
        <v>39660 Lloyd Glenn</v>
      </c>
      <c r="C592" t="str">
        <f>VLOOKUP(bron[[#This Row],[personeelsnr]],'data hastus'!$A:$C,2,0)</f>
        <v>Lloyd</v>
      </c>
      <c r="D592" t="str">
        <f>VLOOKUP(bron[[#This Row],[personeelsnr]],'data hastus'!$A:$C,3,0)</f>
        <v>Glenn</v>
      </c>
      <c r="E592" t="str">
        <f>VLOOKUP(bron[[#This Row],[personeelsnr]],'data hastus'!A:K,11,FALSE)</f>
        <v>Bart Van Der Beken</v>
      </c>
      <c r="F592" s="3">
        <v>45707</v>
      </c>
      <c r="G592" s="6" t="s">
        <v>1052</v>
      </c>
      <c r="H592" t="s">
        <v>3501</v>
      </c>
      <c r="I592" t="s">
        <v>43</v>
      </c>
      <c r="J592">
        <v>2195</v>
      </c>
      <c r="K592" s="27" t="s">
        <v>3547</v>
      </c>
    </row>
    <row r="593" spans="1:11" x14ac:dyDescent="0.25">
      <c r="A593">
        <v>36569</v>
      </c>
      <c r="B593" t="e">
        <f>_xlfn.CONCAT(bron[[#This Row],[personeelsnr]]," ",bron[[#This Row],[achternaam]]," ",bron[[#This Row],[voornaam]])</f>
        <v>#N/A</v>
      </c>
      <c r="C593" t="e">
        <f>VLOOKUP(bron[[#This Row],[personeelsnr]],'data hastus'!$A:$C,2,0)</f>
        <v>#N/A</v>
      </c>
      <c r="D593" t="e">
        <f>VLOOKUP(bron[[#This Row],[personeelsnr]],'data hastus'!$A:$C,3,0)</f>
        <v>#N/A</v>
      </c>
      <c r="E593" t="s">
        <v>79</v>
      </c>
      <c r="F593" s="3">
        <v>45708</v>
      </c>
      <c r="G593" s="6" t="s">
        <v>1054</v>
      </c>
      <c r="H593" t="s">
        <v>3535</v>
      </c>
      <c r="I593" t="s">
        <v>5</v>
      </c>
      <c r="J593">
        <v>6333</v>
      </c>
      <c r="K593" s="27" t="s">
        <v>3547</v>
      </c>
    </row>
    <row r="594" spans="1:11" x14ac:dyDescent="0.25">
      <c r="A594">
        <v>41246</v>
      </c>
      <c r="B594" t="str">
        <f>_xlfn.CONCAT(bron[[#This Row],[personeelsnr]]," ",bron[[#This Row],[achternaam]]," ",bron[[#This Row],[voornaam]])</f>
        <v>41246 Van Holsbeeck Yana</v>
      </c>
      <c r="C594" t="str">
        <f>VLOOKUP(bron[[#This Row],[personeelsnr]],'data hastus'!$A:$C,2,0)</f>
        <v>Van Holsbeeck</v>
      </c>
      <c r="D594" t="str">
        <f>VLOOKUP(bron[[#This Row],[personeelsnr]],'data hastus'!$A:$C,3,0)</f>
        <v>Yana</v>
      </c>
      <c r="E594" t="str">
        <f>VLOOKUP(bron[[#This Row],[personeelsnr]],'data hastus'!A:K,11,FALSE)</f>
        <v>Dominique De Clercq</v>
      </c>
      <c r="F594" s="3">
        <v>45708</v>
      </c>
      <c r="G594" s="6" t="s">
        <v>1053</v>
      </c>
      <c r="H594" t="s">
        <v>3500</v>
      </c>
      <c r="I594" t="s">
        <v>131</v>
      </c>
      <c r="J594">
        <v>5916</v>
      </c>
      <c r="K594" s="27" t="s">
        <v>3547</v>
      </c>
    </row>
    <row r="595" spans="1:11" x14ac:dyDescent="0.25">
      <c r="A595">
        <v>39712</v>
      </c>
      <c r="B595" t="str">
        <f>_xlfn.CONCAT(bron[[#This Row],[personeelsnr]]," ",bron[[#This Row],[achternaam]]," ",bron[[#This Row],[voornaam]])</f>
        <v>39712 Repaj Ramazan</v>
      </c>
      <c r="C595" t="str">
        <f>VLOOKUP(bron[[#This Row],[personeelsnr]],'data hastus'!$A:$C,2,0)</f>
        <v>Repaj</v>
      </c>
      <c r="D595" t="str">
        <f>VLOOKUP(bron[[#This Row],[personeelsnr]],'data hastus'!$A:$C,3,0)</f>
        <v>Ramazan</v>
      </c>
      <c r="E595" t="str">
        <f>VLOOKUP(bron[[#This Row],[personeelsnr]],'data hastus'!A:K,11,FALSE)</f>
        <v>Bart Van Der Beken</v>
      </c>
      <c r="F595" s="3">
        <v>45709</v>
      </c>
      <c r="G595"/>
      <c r="H595" t="s">
        <v>3501</v>
      </c>
      <c r="J595">
        <v>0</v>
      </c>
      <c r="K595" s="27" t="s">
        <v>3547</v>
      </c>
    </row>
    <row r="596" spans="1:11" x14ac:dyDescent="0.25">
      <c r="A596">
        <v>39972</v>
      </c>
      <c r="B596" t="str">
        <f>_xlfn.CONCAT(bron[[#This Row],[personeelsnr]]," ",bron[[#This Row],[achternaam]]," ",bron[[#This Row],[voornaam]])</f>
        <v>39972 Repaj Ramazav</v>
      </c>
      <c r="C596" t="s">
        <v>1055</v>
      </c>
      <c r="D596" t="s">
        <v>1056</v>
      </c>
      <c r="E596" t="s">
        <v>55</v>
      </c>
      <c r="F596" s="3">
        <v>45709</v>
      </c>
      <c r="G596" s="6" t="s">
        <v>1057</v>
      </c>
      <c r="H596" t="s">
        <v>3499</v>
      </c>
      <c r="I596" t="s">
        <v>25</v>
      </c>
      <c r="J596">
        <v>5229</v>
      </c>
      <c r="K596" s="27" t="s">
        <v>3547</v>
      </c>
    </row>
    <row r="597" spans="1:11" x14ac:dyDescent="0.25">
      <c r="A597">
        <v>40744</v>
      </c>
      <c r="B597" t="str">
        <f>_xlfn.CONCAT(bron[[#This Row],[personeelsnr]]," ",bron[[#This Row],[achternaam]]," ",bron[[#This Row],[voornaam]])</f>
        <v>40744 Gözüküçük Ugur</v>
      </c>
      <c r="C597" t="str">
        <f>VLOOKUP(bron[[#This Row],[personeelsnr]],'data hastus'!$A:$C,2,0)</f>
        <v>Gözüküçük</v>
      </c>
      <c r="D597" t="str">
        <f>VLOOKUP(bron[[#This Row],[personeelsnr]],'data hastus'!$A:$C,3,0)</f>
        <v>Ugur</v>
      </c>
      <c r="E597" t="str">
        <f>VLOOKUP(bron[[#This Row],[personeelsnr]],'data hastus'!A:K,11,FALSE)</f>
        <v>Bart Van Der Beken</v>
      </c>
      <c r="F597" s="3">
        <v>45709</v>
      </c>
      <c r="G597" s="6" t="s">
        <v>1058</v>
      </c>
      <c r="H597" t="s">
        <v>3500</v>
      </c>
      <c r="I597" t="s">
        <v>16</v>
      </c>
      <c r="J597">
        <v>5929</v>
      </c>
      <c r="K597" s="27" t="s">
        <v>3547</v>
      </c>
    </row>
    <row r="598" spans="1:11" x14ac:dyDescent="0.25">
      <c r="A598">
        <v>37509</v>
      </c>
      <c r="B598" t="str">
        <f>_xlfn.CONCAT(bron[[#This Row],[personeelsnr]]," ",bron[[#This Row],[achternaam]]," ",bron[[#This Row],[voornaam]])</f>
        <v>37509 Abdulkader Sabah</v>
      </c>
      <c r="C598" t="str">
        <f>VLOOKUP(bron[[#This Row],[personeelsnr]],'data hastus'!$A:$C,2,0)</f>
        <v>Abdulkader</v>
      </c>
      <c r="D598" t="str">
        <f>VLOOKUP(bron[[#This Row],[personeelsnr]],'data hastus'!$A:$C,3,0)</f>
        <v>Sabah</v>
      </c>
      <c r="E598" t="str">
        <f>VLOOKUP(bron[[#This Row],[personeelsnr]],'data hastus'!A:K,11,FALSE)</f>
        <v>Bart Van Der Beken</v>
      </c>
      <c r="F598" s="3">
        <v>45710</v>
      </c>
      <c r="G598" s="6" t="s">
        <v>1059</v>
      </c>
      <c r="H598" t="s">
        <v>3501</v>
      </c>
      <c r="I598" t="s">
        <v>500</v>
      </c>
      <c r="J598">
        <v>5043</v>
      </c>
      <c r="K598" s="27" t="s">
        <v>3547</v>
      </c>
    </row>
    <row r="599" spans="1:11" x14ac:dyDescent="0.25">
      <c r="A599">
        <v>39818</v>
      </c>
      <c r="B599" t="e">
        <f>_xlfn.CONCAT(bron[[#This Row],[personeelsnr]]," ",bron[[#This Row],[achternaam]]," ",bron[[#This Row],[voornaam]])</f>
        <v>#N/A</v>
      </c>
      <c r="C599" t="e">
        <f>VLOOKUP(bron[[#This Row],[personeelsnr]],'data hastus'!$A:$C,2,0)</f>
        <v>#N/A</v>
      </c>
      <c r="D599" t="e">
        <f>VLOOKUP(bron[[#This Row],[personeelsnr]],'data hastus'!$A:$C,3,0)</f>
        <v>#N/A</v>
      </c>
      <c r="E599" t="s">
        <v>79</v>
      </c>
      <c r="F599" s="7">
        <v>45710</v>
      </c>
      <c r="G599" s="6" t="s">
        <v>1060</v>
      </c>
      <c r="H599" t="s">
        <v>3500</v>
      </c>
      <c r="I599" t="s">
        <v>1061</v>
      </c>
      <c r="J599">
        <v>5929</v>
      </c>
      <c r="K599" s="27" t="s">
        <v>3547</v>
      </c>
    </row>
    <row r="600" spans="1:11" x14ac:dyDescent="0.25">
      <c r="A600">
        <v>39831</v>
      </c>
      <c r="B600" t="str">
        <f>_xlfn.CONCAT(bron[[#This Row],[personeelsnr]]," ",bron[[#This Row],[achternaam]]," ",bron[[#This Row],[voornaam]])</f>
        <v>39831 Dolgiev Mukhamed</v>
      </c>
      <c r="C600" t="str">
        <f>VLOOKUP(bron[[#This Row],[personeelsnr]],'data hastus'!$A:$C,2,0)</f>
        <v>Dolgiev</v>
      </c>
      <c r="D600" t="str">
        <f>VLOOKUP(bron[[#This Row],[personeelsnr]],'data hastus'!$A:$C,3,0)</f>
        <v>Mukhamed</v>
      </c>
      <c r="E600" t="str">
        <f>VLOOKUP(bron[[#This Row],[personeelsnr]],'data hastus'!A:K,11,FALSE)</f>
        <v>Els Dewulf</v>
      </c>
      <c r="F600" s="3">
        <v>45710</v>
      </c>
      <c r="G600" s="6" t="s">
        <v>1297</v>
      </c>
      <c r="H600" t="s">
        <v>3501</v>
      </c>
      <c r="I600" t="s">
        <v>113</v>
      </c>
      <c r="J600">
        <v>5043</v>
      </c>
      <c r="K600" s="27" t="s">
        <v>3548</v>
      </c>
    </row>
    <row r="601" spans="1:11" x14ac:dyDescent="0.25">
      <c r="A601">
        <v>9824</v>
      </c>
      <c r="B601" t="str">
        <f>_xlfn.CONCAT(bron[[#This Row],[personeelsnr]]," ",bron[[#This Row],[achternaam]]," ",bron[[#This Row],[voornaam]])</f>
        <v>9824 De Meulenaere Eric</v>
      </c>
      <c r="C601" t="str">
        <f>VLOOKUP(bron[[#This Row],[personeelsnr]],'data hastus'!$A:$C,2,0)</f>
        <v>De Meulenaere</v>
      </c>
      <c r="D601" t="str">
        <f>VLOOKUP(bron[[#This Row],[personeelsnr]],'data hastus'!$A:$C,3,0)</f>
        <v>Eric</v>
      </c>
      <c r="E601" t="str">
        <f>VLOOKUP(bron[[#This Row],[personeelsnr]],'data hastus'!A:K,11,FALSE)</f>
        <v>Steven Storm</v>
      </c>
      <c r="F601" s="3">
        <v>45711</v>
      </c>
      <c r="G601" s="6" t="s">
        <v>1064</v>
      </c>
      <c r="H601" t="s">
        <v>3535</v>
      </c>
      <c r="I601" t="s">
        <v>5</v>
      </c>
      <c r="J601">
        <v>6364</v>
      </c>
      <c r="K601" s="27" t="s">
        <v>3547</v>
      </c>
    </row>
    <row r="602" spans="1:11" x14ac:dyDescent="0.25">
      <c r="A602">
        <v>32387</v>
      </c>
      <c r="B602" t="str">
        <f>_xlfn.CONCAT(bron[[#This Row],[personeelsnr]]," ",bron[[#This Row],[achternaam]]," ",bron[[#This Row],[voornaam]])</f>
        <v>32387 Meersman Herman</v>
      </c>
      <c r="C602" t="str">
        <f>VLOOKUP(bron[[#This Row],[personeelsnr]],'data hastus'!$A:$C,2,0)</f>
        <v>Meersman</v>
      </c>
      <c r="D602" t="str">
        <f>VLOOKUP(bron[[#This Row],[personeelsnr]],'data hastus'!$A:$C,3,0)</f>
        <v>Herman</v>
      </c>
      <c r="E602" t="str">
        <f>VLOOKUP(bron[[#This Row],[personeelsnr]],'data hastus'!A:K,11,FALSE)</f>
        <v>Steven Storm</v>
      </c>
      <c r="F602" s="3">
        <v>45711</v>
      </c>
      <c r="G602" s="6" t="s">
        <v>1063</v>
      </c>
      <c r="H602" t="s">
        <v>3500</v>
      </c>
      <c r="I602" t="s">
        <v>28</v>
      </c>
      <c r="J602">
        <v>5771</v>
      </c>
      <c r="K602" s="27" t="s">
        <v>3547</v>
      </c>
    </row>
    <row r="603" spans="1:11" x14ac:dyDescent="0.25">
      <c r="A603">
        <v>40223</v>
      </c>
      <c r="B603" t="str">
        <f>_xlfn.CONCAT(bron[[#This Row],[personeelsnr]]," ",bron[[#This Row],[achternaam]]," ",bron[[#This Row],[voornaam]])</f>
        <v>40223 Teetaert Billy</v>
      </c>
      <c r="C603" t="str">
        <f>VLOOKUP(bron[[#This Row],[personeelsnr]],'data hastus'!$A:$C,2,0)</f>
        <v>Teetaert</v>
      </c>
      <c r="D603" t="str">
        <f>VLOOKUP(bron[[#This Row],[personeelsnr]],'data hastus'!$A:$C,3,0)</f>
        <v>Billy</v>
      </c>
      <c r="E603" t="str">
        <f>VLOOKUP(bron[[#This Row],[personeelsnr]],'data hastus'!A:K,11,FALSE)</f>
        <v>Dominique De Clercq</v>
      </c>
      <c r="F603" s="3">
        <v>45711</v>
      </c>
      <c r="G603" s="6" t="s">
        <v>1062</v>
      </c>
      <c r="H603" t="s">
        <v>3501</v>
      </c>
      <c r="I603" t="s">
        <v>25</v>
      </c>
      <c r="J603">
        <v>5049</v>
      </c>
      <c r="K603" s="27" t="s">
        <v>3547</v>
      </c>
    </row>
    <row r="604" spans="1:11" x14ac:dyDescent="0.25">
      <c r="A604">
        <v>30121</v>
      </c>
      <c r="B604" t="str">
        <f>_xlfn.CONCAT(bron[[#This Row],[personeelsnr]]," ",bron[[#This Row],[achternaam]]," ",bron[[#This Row],[voornaam]])</f>
        <v>30121 Simons Andreas</v>
      </c>
      <c r="C604" t="str">
        <f>VLOOKUP(bron[[#This Row],[personeelsnr]],'data hastus'!$A:$C,2,0)</f>
        <v>Simons</v>
      </c>
      <c r="D604" t="str">
        <f>VLOOKUP(bron[[#This Row],[personeelsnr]],'data hastus'!$A:$C,3,0)</f>
        <v>Andreas</v>
      </c>
      <c r="E604" t="str">
        <f>VLOOKUP(bron[[#This Row],[personeelsnr]],'data hastus'!A:K,11,FALSE)</f>
        <v>Christoff Rotty</v>
      </c>
      <c r="F604" s="3">
        <v>45712</v>
      </c>
      <c r="G604" s="6" t="s">
        <v>1065</v>
      </c>
      <c r="H604" t="s">
        <v>3499</v>
      </c>
      <c r="I604" t="s">
        <v>189</v>
      </c>
      <c r="J604">
        <v>2206</v>
      </c>
      <c r="K604" s="27" t="s">
        <v>3547</v>
      </c>
    </row>
    <row r="605" spans="1:11" x14ac:dyDescent="0.25">
      <c r="A605">
        <v>35397</v>
      </c>
      <c r="B605" t="str">
        <f>_xlfn.CONCAT(bron[[#This Row],[personeelsnr]]," ",bron[[#This Row],[achternaam]]," ",bron[[#This Row],[voornaam]])</f>
        <v>35397 Minbari Ako</v>
      </c>
      <c r="C605" t="str">
        <f>VLOOKUP(bron[[#This Row],[personeelsnr]],'data hastus'!$A:$C,2,0)</f>
        <v>Minbari</v>
      </c>
      <c r="D605" t="str">
        <f>VLOOKUP(bron[[#This Row],[personeelsnr]],'data hastus'!$A:$C,3,0)</f>
        <v>Ako</v>
      </c>
      <c r="E605" t="str">
        <f>VLOOKUP(bron[[#This Row],[personeelsnr]],'data hastus'!A:K,11,FALSE)</f>
        <v>Lucie Vande Velde</v>
      </c>
      <c r="F605" s="3">
        <v>45713</v>
      </c>
      <c r="G605" s="6" t="s">
        <v>1066</v>
      </c>
      <c r="H605" t="s">
        <v>3499</v>
      </c>
      <c r="I605" t="s">
        <v>108</v>
      </c>
      <c r="J605">
        <v>5914</v>
      </c>
      <c r="K605" s="27" t="s">
        <v>3547</v>
      </c>
    </row>
    <row r="606" spans="1:11" x14ac:dyDescent="0.25">
      <c r="A606">
        <v>28737</v>
      </c>
      <c r="B606" t="str">
        <f>_xlfn.CONCAT(bron[[#This Row],[personeelsnr]]," ",bron[[#This Row],[achternaam]]," ",bron[[#This Row],[voornaam]])</f>
        <v>28737 El-Mohamed Mohamed</v>
      </c>
      <c r="C606" t="str">
        <f>VLOOKUP(bron[[#This Row],[personeelsnr]],'data hastus'!$A:$C,2,0)</f>
        <v>El-Mohamed</v>
      </c>
      <c r="D606" t="str">
        <f>VLOOKUP(bron[[#This Row],[personeelsnr]],'data hastus'!$A:$C,3,0)</f>
        <v>Mohamed</v>
      </c>
      <c r="E606" t="str">
        <f>VLOOKUP(bron[[#This Row],[personeelsnr]],'data hastus'!A:K,11,FALSE)</f>
        <v>Lucie Vande Velde</v>
      </c>
      <c r="F606" s="3">
        <v>45715</v>
      </c>
      <c r="G606" s="6" t="s">
        <v>1313</v>
      </c>
      <c r="H606" t="s">
        <v>8</v>
      </c>
      <c r="I606" t="s">
        <v>654</v>
      </c>
      <c r="J606">
        <v>6320</v>
      </c>
      <c r="K606" s="27" t="s">
        <v>3548</v>
      </c>
    </row>
    <row r="607" spans="1:11" x14ac:dyDescent="0.25">
      <c r="A607">
        <v>39779</v>
      </c>
      <c r="B607" t="str">
        <f>_xlfn.CONCAT(bron[[#This Row],[personeelsnr]]," ",bron[[#This Row],[achternaam]]," ",bron[[#This Row],[voornaam]])</f>
        <v>39779 Avci Muhammet Abdullah</v>
      </c>
      <c r="C607" t="str">
        <f>VLOOKUP(bron[[#This Row],[personeelsnr]],'data hastus'!$A:$C,2,0)</f>
        <v>Avci</v>
      </c>
      <c r="D607" t="str">
        <f>VLOOKUP(bron[[#This Row],[personeelsnr]],'data hastus'!$A:$C,3,0)</f>
        <v>Muhammet Abdullah</v>
      </c>
      <c r="E607" t="str">
        <f>VLOOKUP(bron[[#This Row],[personeelsnr]],'data hastus'!A:K,11,FALSE)</f>
        <v>Bart Van Der Beken</v>
      </c>
      <c r="F607" s="3">
        <v>45715</v>
      </c>
      <c r="G607" s="6" t="s">
        <v>1068</v>
      </c>
      <c r="H607" t="s">
        <v>3500</v>
      </c>
      <c r="I607" t="s">
        <v>277</v>
      </c>
      <c r="J607">
        <v>5923</v>
      </c>
      <c r="K607" s="27" t="s">
        <v>3547</v>
      </c>
    </row>
    <row r="608" spans="1:11" x14ac:dyDescent="0.25">
      <c r="A608">
        <v>39829</v>
      </c>
      <c r="B608" t="str">
        <f>_xlfn.CONCAT(bron[[#This Row],[personeelsnr]]," ",bron[[#This Row],[achternaam]]," ",bron[[#This Row],[voornaam]])</f>
        <v>39829 Demirkaya Serkan</v>
      </c>
      <c r="C608" t="str">
        <f>VLOOKUP(bron[[#This Row],[personeelsnr]],'data hastus'!$A:$C,2,0)</f>
        <v>Demirkaya</v>
      </c>
      <c r="D608" t="str">
        <f>VLOOKUP(bron[[#This Row],[personeelsnr]],'data hastus'!$A:$C,3,0)</f>
        <v>Serkan</v>
      </c>
      <c r="E608" t="str">
        <f>VLOOKUP(bron[[#This Row],[personeelsnr]],'data hastus'!A:K,11,FALSE)</f>
        <v>Lucie Vande Velde</v>
      </c>
      <c r="F608" s="3">
        <v>45715</v>
      </c>
      <c r="G608" s="6" t="s">
        <v>1069</v>
      </c>
      <c r="H608" t="s">
        <v>3499</v>
      </c>
      <c r="I608" t="s">
        <v>5</v>
      </c>
      <c r="J608">
        <v>5046</v>
      </c>
      <c r="K608" s="27" t="s">
        <v>3547</v>
      </c>
    </row>
    <row r="609" spans="1:11" x14ac:dyDescent="0.25">
      <c r="A609">
        <v>40744</v>
      </c>
      <c r="B609" t="str">
        <f>_xlfn.CONCAT(bron[[#This Row],[personeelsnr]]," ",bron[[#This Row],[achternaam]]," ",bron[[#This Row],[voornaam]])</f>
        <v>40744 Gözüküçük Ugur</v>
      </c>
      <c r="C609" t="str">
        <f>VLOOKUP(bron[[#This Row],[personeelsnr]],'data hastus'!$A:$C,2,0)</f>
        <v>Gözüküçük</v>
      </c>
      <c r="D609" t="str">
        <f>VLOOKUP(bron[[#This Row],[personeelsnr]],'data hastus'!$A:$C,3,0)</f>
        <v>Ugur</v>
      </c>
      <c r="E609" t="str">
        <f>VLOOKUP(bron[[#This Row],[personeelsnr]],'data hastus'!A:K,11,FALSE)</f>
        <v>Bart Van Der Beken</v>
      </c>
      <c r="F609" s="3">
        <v>45715</v>
      </c>
      <c r="G609" s="6" t="s">
        <v>1067</v>
      </c>
      <c r="H609" t="s">
        <v>3500</v>
      </c>
      <c r="I609" t="s">
        <v>207</v>
      </c>
      <c r="J609">
        <v>2546</v>
      </c>
      <c r="K609" s="27" t="s">
        <v>3547</v>
      </c>
    </row>
    <row r="610" spans="1:11" x14ac:dyDescent="0.25">
      <c r="A610">
        <v>41092</v>
      </c>
      <c r="B610" t="str">
        <f>_xlfn.CONCAT(bron[[#This Row],[personeelsnr]]," ",bron[[#This Row],[achternaam]]," ",bron[[#This Row],[voornaam]])</f>
        <v>41092 De Keyser Dorien</v>
      </c>
      <c r="C610" t="str">
        <f>VLOOKUP(bron[[#This Row],[personeelsnr]],'data hastus'!$A:$C,2,0)</f>
        <v>De Keyser</v>
      </c>
      <c r="D610" t="str">
        <f>VLOOKUP(bron[[#This Row],[personeelsnr]],'data hastus'!$A:$C,3,0)</f>
        <v>Dorien</v>
      </c>
      <c r="E610" t="str">
        <f>VLOOKUP(bron[[#This Row],[personeelsnr]],'data hastus'!A:K,11,FALSE)</f>
        <v>Dominique De Clercq</v>
      </c>
      <c r="F610" s="3">
        <v>45716</v>
      </c>
      <c r="G610" s="6" t="s">
        <v>1070</v>
      </c>
      <c r="H610" t="s">
        <v>3500</v>
      </c>
      <c r="I610" t="s">
        <v>34</v>
      </c>
      <c r="J610">
        <v>2548</v>
      </c>
      <c r="K610" s="27" t="s">
        <v>3547</v>
      </c>
    </row>
    <row r="611" spans="1:11" x14ac:dyDescent="0.25">
      <c r="A611" s="10">
        <v>40138</v>
      </c>
      <c r="B611" t="str">
        <f>_xlfn.CONCAT(bron[[#This Row],[personeelsnr]]," ",bron[[#This Row],[achternaam]]," ",bron[[#This Row],[voornaam]])</f>
        <v>40138 Moerman Tjimmy</v>
      </c>
      <c r="C611" s="10" t="str">
        <f>VLOOKUP(bron[[#This Row],[personeelsnr]],'data hastus'!$A:$C,2,0)</f>
        <v>Moerman</v>
      </c>
      <c r="D611" s="10" t="str">
        <f>VLOOKUP(bron[[#This Row],[personeelsnr]],'data hastus'!$A:$C,3,0)</f>
        <v>Tjimmy</v>
      </c>
      <c r="E611" s="10" t="str">
        <f>VLOOKUP(bron[[#This Row],[personeelsnr]],'data hastus'!A:K,11,FALSE)</f>
        <v>Christoff Rotty</v>
      </c>
      <c r="F611" s="13">
        <v>45717</v>
      </c>
      <c r="G611" s="12" t="s">
        <v>1071</v>
      </c>
      <c r="H611" t="s">
        <v>3500</v>
      </c>
      <c r="I611" s="10" t="s">
        <v>287</v>
      </c>
      <c r="J611">
        <v>5047</v>
      </c>
      <c r="K611" s="27" t="s">
        <v>3547</v>
      </c>
    </row>
    <row r="612" spans="1:11" x14ac:dyDescent="0.25">
      <c r="A612">
        <v>38807</v>
      </c>
      <c r="B612" t="str">
        <f>_xlfn.CONCAT(bron[[#This Row],[personeelsnr]]," ",bron[[#This Row],[achternaam]]," ",bron[[#This Row],[voornaam]])</f>
        <v>38807 Dossche Caroline</v>
      </c>
      <c r="C612" t="str">
        <f>VLOOKUP(bron[[#This Row],[personeelsnr]],'data hastus'!$A:$C,2,0)</f>
        <v>Dossche</v>
      </c>
      <c r="D612" t="str">
        <f>VLOOKUP(bron[[#This Row],[personeelsnr]],'data hastus'!$A:$C,3,0)</f>
        <v>Caroline</v>
      </c>
      <c r="E612" t="str">
        <f>VLOOKUP(bron[[#This Row],[personeelsnr]],'data hastus'!A:K,11,FALSE)</f>
        <v>Christoff Rotty</v>
      </c>
      <c r="F612" s="3">
        <v>45718</v>
      </c>
      <c r="G612" s="6" t="s">
        <v>1072</v>
      </c>
      <c r="H612" t="s">
        <v>3500</v>
      </c>
      <c r="I612" t="s">
        <v>78</v>
      </c>
      <c r="J612">
        <v>5929</v>
      </c>
      <c r="K612" s="27" t="s">
        <v>3547</v>
      </c>
    </row>
    <row r="613" spans="1:11" x14ac:dyDescent="0.25">
      <c r="A613">
        <v>26137</v>
      </c>
      <c r="B613" t="str">
        <f>_xlfn.CONCAT(bron[[#This Row],[personeelsnr]]," ",bron[[#This Row],[achternaam]]," ",bron[[#This Row],[voornaam]])</f>
        <v>26137 Hublau Roland</v>
      </c>
      <c r="C613" t="str">
        <f>VLOOKUP(bron[[#This Row],[personeelsnr]],'data hastus'!$A:$C,2,0)</f>
        <v>Hublau</v>
      </c>
      <c r="D613" t="str">
        <f>VLOOKUP(bron[[#This Row],[personeelsnr]],'data hastus'!$A:$C,3,0)</f>
        <v>Roland</v>
      </c>
      <c r="E613" t="str">
        <f>VLOOKUP(bron[[#This Row],[personeelsnr]],'data hastus'!A:K,11,FALSE)</f>
        <v>Steven Storm</v>
      </c>
      <c r="F613" s="7">
        <v>45719</v>
      </c>
      <c r="G613" s="6" t="s">
        <v>1073</v>
      </c>
      <c r="H613" t="s">
        <v>3536</v>
      </c>
      <c r="I613" t="s">
        <v>10</v>
      </c>
      <c r="J613">
        <v>6375</v>
      </c>
      <c r="K613" s="27" t="s">
        <v>3547</v>
      </c>
    </row>
    <row r="614" spans="1:11" x14ac:dyDescent="0.25">
      <c r="A614">
        <v>19520</v>
      </c>
      <c r="B614" t="str">
        <f>_xlfn.CONCAT(bron[[#This Row],[personeelsnr]]," ",bron[[#This Row],[achternaam]]," ",bron[[#This Row],[voornaam]])</f>
        <v>19520 Van Steenbergen Kris</v>
      </c>
      <c r="C614" t="str">
        <f>VLOOKUP(bron[[#This Row],[personeelsnr]],'data hastus'!$A:$C,2,0)</f>
        <v>Van Steenbergen</v>
      </c>
      <c r="D614" t="str">
        <f>VLOOKUP(bron[[#This Row],[personeelsnr]],'data hastus'!$A:$C,3,0)</f>
        <v>Kris</v>
      </c>
      <c r="E614" t="str">
        <f>VLOOKUP(bron[[#This Row],[personeelsnr]],'data hastus'!A:K,11,FALSE)</f>
        <v>Els Dewulf</v>
      </c>
      <c r="F614" s="3">
        <v>45720</v>
      </c>
      <c r="G614" s="6" t="s">
        <v>1074</v>
      </c>
      <c r="H614" t="s">
        <v>3499</v>
      </c>
      <c r="I614" t="s">
        <v>40</v>
      </c>
      <c r="J614">
        <v>2196</v>
      </c>
      <c r="K614" s="27" t="s">
        <v>3547</v>
      </c>
    </row>
    <row r="615" spans="1:11" x14ac:dyDescent="0.25">
      <c r="A615">
        <v>34019</v>
      </c>
      <c r="B615" t="str">
        <f>_xlfn.CONCAT(bron[[#This Row],[personeelsnr]]," ",bron[[#This Row],[achternaam]]," ",bron[[#This Row],[voornaam]])</f>
        <v>34019 Hoste Tom</v>
      </c>
      <c r="C615" t="str">
        <f>VLOOKUP(bron[[#This Row],[personeelsnr]],'data hastus'!$A:$C,2,0)</f>
        <v>Hoste</v>
      </c>
      <c r="D615" t="str">
        <f>VLOOKUP(bron[[#This Row],[personeelsnr]],'data hastus'!$A:$C,3,0)</f>
        <v>Tom</v>
      </c>
      <c r="E615" t="str">
        <f>VLOOKUP(bron[[#This Row],[personeelsnr]],'data hastus'!A:K,11,FALSE)</f>
        <v>Christoff Rotty</v>
      </c>
      <c r="F615" s="3">
        <v>45721</v>
      </c>
      <c r="G615" s="6" t="s">
        <v>1075</v>
      </c>
      <c r="H615" t="s">
        <v>3500</v>
      </c>
      <c r="I615" t="s">
        <v>127</v>
      </c>
      <c r="J615">
        <v>5911</v>
      </c>
      <c r="K615" s="27" t="s">
        <v>3547</v>
      </c>
    </row>
    <row r="616" spans="1:11" x14ac:dyDescent="0.25">
      <c r="A616">
        <v>40591</v>
      </c>
      <c r="B616" t="str">
        <f>_xlfn.CONCAT(bron[[#This Row],[personeelsnr]]," ",bron[[#This Row],[achternaam]]," ",bron[[#This Row],[voornaam]])</f>
        <v>40591 Hiloui Mahmoud</v>
      </c>
      <c r="C616" t="str">
        <f>VLOOKUP(bron[[#This Row],[personeelsnr]],'data hastus'!$A:$C,2,0)</f>
        <v>Hiloui</v>
      </c>
      <c r="D616" t="str">
        <f>VLOOKUP(bron[[#This Row],[personeelsnr]],'data hastus'!$A:$C,3,0)</f>
        <v>Mahmoud</v>
      </c>
      <c r="E616" t="str">
        <f>VLOOKUP(bron[[#This Row],[personeelsnr]],'data hastus'!A:K,11,FALSE)</f>
        <v>Dominique De Clercq</v>
      </c>
      <c r="F616" s="3">
        <v>45721</v>
      </c>
      <c r="G616" s="6" t="s">
        <v>1076</v>
      </c>
      <c r="H616" t="s">
        <v>3501</v>
      </c>
      <c r="I616" t="s">
        <v>22</v>
      </c>
      <c r="J616">
        <v>5042</v>
      </c>
      <c r="K616" s="27" t="s">
        <v>3547</v>
      </c>
    </row>
    <row r="617" spans="1:11" x14ac:dyDescent="0.25">
      <c r="A617">
        <v>16897</v>
      </c>
      <c r="B617" t="str">
        <f>_xlfn.CONCAT(bron[[#This Row],[personeelsnr]]," ",bron[[#This Row],[achternaam]]," ",bron[[#This Row],[voornaam]])</f>
        <v>16897 VandenDaele Andy</v>
      </c>
      <c r="C617" t="str">
        <f>VLOOKUP(bron[[#This Row],[personeelsnr]],'data hastus'!$A:$C,2,0)</f>
        <v>VandenDaele</v>
      </c>
      <c r="D617" t="str">
        <f>VLOOKUP(bron[[#This Row],[personeelsnr]],'data hastus'!$A:$C,3,0)</f>
        <v>Andy</v>
      </c>
      <c r="E617" t="str">
        <f>VLOOKUP(bron[[#This Row],[personeelsnr]],'data hastus'!A:K,11,FALSE)</f>
        <v>Steven Storm</v>
      </c>
      <c r="F617" s="3">
        <v>45722</v>
      </c>
      <c r="G617" s="6" t="s">
        <v>1081</v>
      </c>
      <c r="H617" t="s">
        <v>3535</v>
      </c>
      <c r="I617" t="s">
        <v>72</v>
      </c>
      <c r="J617">
        <v>6314</v>
      </c>
      <c r="K617" s="27" t="s">
        <v>3547</v>
      </c>
    </row>
    <row r="618" spans="1:11" x14ac:dyDescent="0.25">
      <c r="A618">
        <v>26960</v>
      </c>
      <c r="B618" t="str">
        <f>_xlfn.CONCAT(bron[[#This Row],[personeelsnr]]," ",bron[[#This Row],[achternaam]]," ",bron[[#This Row],[voornaam]])</f>
        <v>26960 Toubadie Mossa</v>
      </c>
      <c r="C618" t="str">
        <f>VLOOKUP(bron[[#This Row],[personeelsnr]],'data hastus'!$A:$C,2,0)</f>
        <v>Toubadie</v>
      </c>
      <c r="D618" t="str">
        <f>VLOOKUP(bron[[#This Row],[personeelsnr]],'data hastus'!$A:$C,3,0)</f>
        <v>Mossa</v>
      </c>
      <c r="E618" t="str">
        <f>VLOOKUP(bron[[#This Row],[personeelsnr]],'data hastus'!A:K,11,FALSE)</f>
        <v>Els Vanhoe</v>
      </c>
      <c r="F618" s="3">
        <v>45722</v>
      </c>
      <c r="G618" s="6" t="s">
        <v>1079</v>
      </c>
      <c r="H618" t="s">
        <v>3500</v>
      </c>
      <c r="I618" t="s">
        <v>63</v>
      </c>
      <c r="J618">
        <v>5916</v>
      </c>
      <c r="K618" s="27" t="s">
        <v>3547</v>
      </c>
    </row>
    <row r="619" spans="1:11" x14ac:dyDescent="0.25">
      <c r="A619">
        <v>29674</v>
      </c>
      <c r="B619" t="str">
        <f>_xlfn.CONCAT(bron[[#This Row],[personeelsnr]]," ",bron[[#This Row],[achternaam]]," ",bron[[#This Row],[voornaam]])</f>
        <v>29674 Martens Geoffrey</v>
      </c>
      <c r="C619" t="str">
        <f>VLOOKUP(bron[[#This Row],[personeelsnr]],'data hastus'!$A:$C,2,0)</f>
        <v>Martens</v>
      </c>
      <c r="D619" t="str">
        <f>VLOOKUP(bron[[#This Row],[personeelsnr]],'data hastus'!$A:$C,3,0)</f>
        <v>Geoffrey</v>
      </c>
      <c r="E619" t="str">
        <f>VLOOKUP(bron[[#This Row],[personeelsnr]],'data hastus'!A:K,11,FALSE)</f>
        <v>Dominique De Clercq</v>
      </c>
      <c r="F619" s="3">
        <v>45722</v>
      </c>
      <c r="G619" s="6" t="s">
        <v>1078</v>
      </c>
      <c r="H619" t="s">
        <v>3535</v>
      </c>
      <c r="I619" t="s">
        <v>5</v>
      </c>
      <c r="J619">
        <v>6313</v>
      </c>
      <c r="K619" s="27" t="s">
        <v>3547</v>
      </c>
    </row>
    <row r="620" spans="1:11" x14ac:dyDescent="0.25">
      <c r="A620">
        <v>32091</v>
      </c>
      <c r="B620" t="str">
        <f>_xlfn.CONCAT(bron[[#This Row],[personeelsnr]]," ",bron[[#This Row],[achternaam]]," ",bron[[#This Row],[voornaam]])</f>
        <v>32091 Köroglu Ercan</v>
      </c>
      <c r="C620" t="str">
        <f>VLOOKUP(bron[[#This Row],[personeelsnr]],'data hastus'!$A:$C,2,0)</f>
        <v>Köroglu</v>
      </c>
      <c r="D620" t="str">
        <f>VLOOKUP(bron[[#This Row],[personeelsnr]],'data hastus'!$A:$C,3,0)</f>
        <v>Ercan</v>
      </c>
      <c r="E620" t="str">
        <f>VLOOKUP(bron[[#This Row],[personeelsnr]],'data hastus'!A:K,11,FALSE)</f>
        <v>Kenneth De Rick</v>
      </c>
      <c r="F620" s="3">
        <v>45722</v>
      </c>
      <c r="G620" s="6" t="s">
        <v>1080</v>
      </c>
      <c r="H620" t="s">
        <v>3500</v>
      </c>
      <c r="I620" t="s">
        <v>10</v>
      </c>
      <c r="J620">
        <v>5911</v>
      </c>
      <c r="K620" s="27" t="s">
        <v>3547</v>
      </c>
    </row>
    <row r="621" spans="1:11" x14ac:dyDescent="0.25">
      <c r="A621">
        <v>41092</v>
      </c>
      <c r="B621" t="str">
        <f>_xlfn.CONCAT(bron[[#This Row],[personeelsnr]]," ",bron[[#This Row],[achternaam]]," ",bron[[#This Row],[voornaam]])</f>
        <v>41092 De Keyser Dorien</v>
      </c>
      <c r="C621" t="str">
        <f>VLOOKUP(bron[[#This Row],[personeelsnr]],'data hastus'!$A:$C,2,0)</f>
        <v>De Keyser</v>
      </c>
      <c r="D621" t="str">
        <f>VLOOKUP(bron[[#This Row],[personeelsnr]],'data hastus'!$A:$C,3,0)</f>
        <v>Dorien</v>
      </c>
      <c r="E621" t="str">
        <f>VLOOKUP(bron[[#This Row],[personeelsnr]],'data hastus'!A:K,11,FALSE)</f>
        <v>Dominique De Clercq</v>
      </c>
      <c r="F621" s="3">
        <v>45722</v>
      </c>
      <c r="G621" s="6" t="s">
        <v>1077</v>
      </c>
      <c r="H621" t="s">
        <v>3500</v>
      </c>
      <c r="I621" t="s">
        <v>225</v>
      </c>
      <c r="J621">
        <v>5909</v>
      </c>
      <c r="K621" s="27" t="s">
        <v>3547</v>
      </c>
    </row>
    <row r="622" spans="1:11" x14ac:dyDescent="0.25">
      <c r="A622">
        <v>25487</v>
      </c>
      <c r="B622" t="str">
        <f>_xlfn.CONCAT(bron[[#This Row],[personeelsnr]]," ",bron[[#This Row],[achternaam]]," ",bron[[#This Row],[voornaam]])</f>
        <v>25487 Devos Stefaan</v>
      </c>
      <c r="C622" t="str">
        <f>VLOOKUP(bron[[#This Row],[personeelsnr]],'data hastus'!$A:$C,2,0)</f>
        <v>Devos</v>
      </c>
      <c r="D622" t="str">
        <f>VLOOKUP(bron[[#This Row],[personeelsnr]],'data hastus'!$A:$C,3,0)</f>
        <v>Stefaan</v>
      </c>
      <c r="E622" t="str">
        <f>VLOOKUP(bron[[#This Row],[personeelsnr]],'data hastus'!A:K,11,FALSE)</f>
        <v>Steven Storm</v>
      </c>
      <c r="F622" s="3">
        <v>45725</v>
      </c>
      <c r="G622" s="6" t="s">
        <v>1084</v>
      </c>
      <c r="H622" t="s">
        <v>3535</v>
      </c>
      <c r="I622" t="s">
        <v>137</v>
      </c>
      <c r="J622">
        <v>6303</v>
      </c>
      <c r="K622" s="27" t="s">
        <v>3547</v>
      </c>
    </row>
    <row r="623" spans="1:11" x14ac:dyDescent="0.25">
      <c r="A623">
        <v>28910</v>
      </c>
      <c r="B623" t="str">
        <f>_xlfn.CONCAT(bron[[#This Row],[personeelsnr]]," ",bron[[#This Row],[achternaam]]," ",bron[[#This Row],[voornaam]])</f>
        <v>28910 Gassa Osmane</v>
      </c>
      <c r="C623" t="str">
        <f>VLOOKUP(bron[[#This Row],[personeelsnr]],'data hastus'!$A:$C,2,0)</f>
        <v>Gassa</v>
      </c>
      <c r="D623" t="str">
        <f>VLOOKUP(bron[[#This Row],[personeelsnr]],'data hastus'!$A:$C,3,0)</f>
        <v>Osmane</v>
      </c>
      <c r="E623" t="str">
        <f>VLOOKUP(bron[[#This Row],[personeelsnr]],'data hastus'!A:K,11,FALSE)</f>
        <v>Bart Van Der Beken</v>
      </c>
      <c r="F623" s="3">
        <v>45725</v>
      </c>
      <c r="G623" s="6" t="s">
        <v>1082</v>
      </c>
      <c r="H623" t="s">
        <v>3499</v>
      </c>
      <c r="I623" t="s">
        <v>151</v>
      </c>
      <c r="J623">
        <v>5040</v>
      </c>
      <c r="K623" s="27" t="s">
        <v>3547</v>
      </c>
    </row>
    <row r="624" spans="1:11" x14ac:dyDescent="0.25">
      <c r="A624">
        <v>40939</v>
      </c>
      <c r="B624" t="str">
        <f>_xlfn.CONCAT(bron[[#This Row],[personeelsnr]]," ",bron[[#This Row],[achternaam]]," ",bron[[#This Row],[voornaam]])</f>
        <v>40939 Cisse Sayon</v>
      </c>
      <c r="C624" t="str">
        <f>VLOOKUP(bron[[#This Row],[personeelsnr]],'data hastus'!$A:$C,2,0)</f>
        <v>Cisse</v>
      </c>
      <c r="D624" t="str">
        <f>VLOOKUP(bron[[#This Row],[personeelsnr]],'data hastus'!$A:$C,3,0)</f>
        <v>Sayon</v>
      </c>
      <c r="E624" t="str">
        <f>VLOOKUP(bron[[#This Row],[personeelsnr]],'data hastus'!A:K,11,FALSE)</f>
        <v>Kenneth De Rick</v>
      </c>
      <c r="F624" s="3">
        <v>45725</v>
      </c>
      <c r="G624" s="6" t="s">
        <v>1083</v>
      </c>
      <c r="H624" t="s">
        <v>3500</v>
      </c>
      <c r="I624" t="s">
        <v>13</v>
      </c>
      <c r="J624">
        <v>5932</v>
      </c>
      <c r="K624" s="27" t="s">
        <v>3547</v>
      </c>
    </row>
    <row r="625" spans="1:11" x14ac:dyDescent="0.25">
      <c r="A625">
        <v>35645</v>
      </c>
      <c r="B625" t="str">
        <f>_xlfn.CONCAT(bron[[#This Row],[personeelsnr]]," ",bron[[#This Row],[achternaam]]," ",bron[[#This Row],[voornaam]])</f>
        <v>35645 Jalili Yaseeb</v>
      </c>
      <c r="C625" t="str">
        <f>VLOOKUP(bron[[#This Row],[personeelsnr]],'data hastus'!$A:$C,2,0)</f>
        <v>Jalili</v>
      </c>
      <c r="D625" t="str">
        <f>VLOOKUP(bron[[#This Row],[personeelsnr]],'data hastus'!$A:$C,3,0)</f>
        <v>Yaseeb</v>
      </c>
      <c r="E625" t="str">
        <f>VLOOKUP(bron[[#This Row],[personeelsnr]],'data hastus'!A:K,11,FALSE)</f>
        <v>Steven Storm</v>
      </c>
      <c r="F625" s="3">
        <v>45726</v>
      </c>
      <c r="G625" s="6" t="s">
        <v>1085</v>
      </c>
      <c r="H625" t="s">
        <v>3500</v>
      </c>
      <c r="I625" t="s">
        <v>46</v>
      </c>
      <c r="J625">
        <v>5938</v>
      </c>
      <c r="K625" s="27" t="s">
        <v>3547</v>
      </c>
    </row>
    <row r="626" spans="1:11" x14ac:dyDescent="0.25">
      <c r="A626">
        <v>40138</v>
      </c>
      <c r="B626" t="str">
        <f>_xlfn.CONCAT(bron[[#This Row],[personeelsnr]]," ",bron[[#This Row],[achternaam]]," ",bron[[#This Row],[voornaam]])</f>
        <v>40138 Moerman Tjimmy</v>
      </c>
      <c r="C626" t="str">
        <f>VLOOKUP(bron[[#This Row],[personeelsnr]],'data hastus'!$A:$C,2,0)</f>
        <v>Moerman</v>
      </c>
      <c r="D626" t="str">
        <f>VLOOKUP(bron[[#This Row],[personeelsnr]],'data hastus'!$A:$C,3,0)</f>
        <v>Tjimmy</v>
      </c>
      <c r="E626" t="str">
        <f>VLOOKUP(bron[[#This Row],[personeelsnr]],'data hastus'!A:K,11,FALSE)</f>
        <v>Christoff Rotty</v>
      </c>
      <c r="F626" s="3">
        <v>45727</v>
      </c>
      <c r="G626" s="6" t="s">
        <v>1086</v>
      </c>
      <c r="H626" t="s">
        <v>3501</v>
      </c>
      <c r="I626" t="s">
        <v>40</v>
      </c>
      <c r="J626">
        <v>5325</v>
      </c>
      <c r="K626" s="27" t="s">
        <v>3547</v>
      </c>
    </row>
    <row r="627" spans="1:11" x14ac:dyDescent="0.25">
      <c r="A627">
        <v>39532</v>
      </c>
      <c r="B627" t="str">
        <f>_xlfn.CONCAT(bron[[#This Row],[personeelsnr]]," ",bron[[#This Row],[achternaam]]," ",bron[[#This Row],[voornaam]])</f>
        <v>39532 Sahin Orhan</v>
      </c>
      <c r="C627" t="str">
        <f>VLOOKUP(bron[[#This Row],[personeelsnr]],'data hastus'!$A:$C,2,0)</f>
        <v>Sahin</v>
      </c>
      <c r="D627" t="str">
        <f>VLOOKUP(bron[[#This Row],[personeelsnr]],'data hastus'!$A:$C,3,0)</f>
        <v>Orhan</v>
      </c>
      <c r="E627" t="str">
        <f>VLOOKUP(bron[[#This Row],[personeelsnr]],'data hastus'!A:K,11,FALSE)</f>
        <v>Christoff Rotty</v>
      </c>
      <c r="F627" s="7">
        <v>45728</v>
      </c>
      <c r="G627" s="6" t="s">
        <v>1087</v>
      </c>
      <c r="H627" t="s">
        <v>3501</v>
      </c>
      <c r="I627" t="s">
        <v>100</v>
      </c>
      <c r="J627">
        <v>5237</v>
      </c>
      <c r="K627" s="27" t="s">
        <v>3547</v>
      </c>
    </row>
    <row r="628" spans="1:11" x14ac:dyDescent="0.25">
      <c r="A628">
        <v>35379</v>
      </c>
      <c r="B628" t="str">
        <f>_xlfn.CONCAT(bron[[#This Row],[personeelsnr]]," ",bron[[#This Row],[achternaam]]," ",bron[[#This Row],[voornaam]])</f>
        <v>35379 Engels Sam</v>
      </c>
      <c r="C628" t="str">
        <f>VLOOKUP(bron[[#This Row],[personeelsnr]],'data hastus'!$A:$C,2,0)</f>
        <v>Engels</v>
      </c>
      <c r="D628" t="str">
        <f>VLOOKUP(bron[[#This Row],[personeelsnr]],'data hastus'!$A:$C,3,0)</f>
        <v>Sam</v>
      </c>
      <c r="E628" t="str">
        <f>VLOOKUP(bron[[#This Row],[personeelsnr]],'data hastus'!A:K,11,FALSE)</f>
        <v>Els Vanhoe</v>
      </c>
      <c r="F628" s="3">
        <v>45729</v>
      </c>
      <c r="G628" s="6" t="s">
        <v>1089</v>
      </c>
      <c r="H628" t="s">
        <v>3501</v>
      </c>
      <c r="I628" t="s">
        <v>115</v>
      </c>
      <c r="J628">
        <v>5240</v>
      </c>
      <c r="K628" s="27" t="s">
        <v>3547</v>
      </c>
    </row>
    <row r="629" spans="1:11" x14ac:dyDescent="0.25">
      <c r="A629">
        <v>37662</v>
      </c>
      <c r="B629" t="str">
        <f>_xlfn.CONCAT(bron[[#This Row],[personeelsnr]]," ",bron[[#This Row],[achternaam]]," ",bron[[#This Row],[voornaam]])</f>
        <v>37662 Van den Meerssche Steven</v>
      </c>
      <c r="C629" t="str">
        <f>VLOOKUP(bron[[#This Row],[personeelsnr]],'data hastus'!$A:$C,2,0)</f>
        <v>Van den Meerssche</v>
      </c>
      <c r="D629" t="str">
        <f>VLOOKUP(bron[[#This Row],[personeelsnr]],'data hastus'!$A:$C,3,0)</f>
        <v>Steven</v>
      </c>
      <c r="E629" t="str">
        <f>VLOOKUP(bron[[#This Row],[personeelsnr]],'data hastus'!A:K,11,FALSE)</f>
        <v>Bart Van Der Beken</v>
      </c>
      <c r="F629" s="3">
        <v>45729</v>
      </c>
      <c r="G629" s="6" t="s">
        <v>1088</v>
      </c>
      <c r="H629" t="s">
        <v>3500</v>
      </c>
      <c r="I629" t="s">
        <v>123</v>
      </c>
      <c r="J629">
        <v>5915</v>
      </c>
      <c r="K629" s="27" t="s">
        <v>3547</v>
      </c>
    </row>
    <row r="630" spans="1:11" x14ac:dyDescent="0.25">
      <c r="A630">
        <v>35495</v>
      </c>
      <c r="B630" t="str">
        <f>_xlfn.CONCAT(bron[[#This Row],[personeelsnr]]," ",bron[[#This Row],[achternaam]]," ",bron[[#This Row],[voornaam]])</f>
        <v>35495 Razzaz Mahmoud</v>
      </c>
      <c r="C630" t="str">
        <f>VLOOKUP(bron[[#This Row],[personeelsnr]],'data hastus'!$A:$C,2,0)</f>
        <v>Razzaz</v>
      </c>
      <c r="D630" t="str">
        <f>VLOOKUP(bron[[#This Row],[personeelsnr]],'data hastus'!$A:$C,3,0)</f>
        <v>Mahmoud</v>
      </c>
      <c r="E630" t="str">
        <f>VLOOKUP(bron[[#This Row],[personeelsnr]],'data hastus'!A:K,11,FALSE)</f>
        <v>Kenneth De Rick</v>
      </c>
      <c r="F630" s="3">
        <v>45731</v>
      </c>
      <c r="G630" s="6" t="s">
        <v>1307</v>
      </c>
      <c r="H630" t="s">
        <v>8</v>
      </c>
      <c r="I630" t="s">
        <v>953</v>
      </c>
      <c r="J630">
        <v>6326</v>
      </c>
      <c r="K630" s="27" t="s">
        <v>3548</v>
      </c>
    </row>
    <row r="631" spans="1:11" x14ac:dyDescent="0.25">
      <c r="A631" s="10">
        <v>41246</v>
      </c>
      <c r="B631" t="str">
        <f>_xlfn.CONCAT(bron[[#This Row],[personeelsnr]]," ",bron[[#This Row],[achternaam]]," ",bron[[#This Row],[voornaam]])</f>
        <v>41246 Van Holsbeeck Yana</v>
      </c>
      <c r="C631" s="10" t="str">
        <f>VLOOKUP(bron[[#This Row],[personeelsnr]],'data hastus'!$A:$C,2,0)</f>
        <v>Van Holsbeeck</v>
      </c>
      <c r="D631" s="10" t="str">
        <f>VLOOKUP(bron[[#This Row],[personeelsnr]],'data hastus'!$A:$C,3,0)</f>
        <v>Yana</v>
      </c>
      <c r="E631" s="10" t="str">
        <f>VLOOKUP(bron[[#This Row],[personeelsnr]],'data hastus'!A:K,11,FALSE)</f>
        <v>Dominique De Clercq</v>
      </c>
      <c r="F631" s="11">
        <v>45732</v>
      </c>
      <c r="G631" s="12" t="s">
        <v>1090</v>
      </c>
      <c r="H631" t="s">
        <v>3500</v>
      </c>
      <c r="I631" s="10" t="s">
        <v>121</v>
      </c>
      <c r="J631">
        <v>5928</v>
      </c>
      <c r="K631" s="27" t="s">
        <v>3547</v>
      </c>
    </row>
    <row r="632" spans="1:11" x14ac:dyDescent="0.25">
      <c r="A632">
        <v>36635</v>
      </c>
      <c r="B632" t="str">
        <f>_xlfn.CONCAT(bron[[#This Row],[personeelsnr]]," ",bron[[#This Row],[achternaam]]," ",bron[[#This Row],[voornaam]])</f>
        <v>36635 Fadel Husam</v>
      </c>
      <c r="C632" t="str">
        <f>VLOOKUP(bron[[#This Row],[personeelsnr]],'data hastus'!$A:$C,2,0)</f>
        <v>Fadel</v>
      </c>
      <c r="D632" t="str">
        <f>VLOOKUP(bron[[#This Row],[personeelsnr]],'data hastus'!$A:$C,3,0)</f>
        <v>Husam</v>
      </c>
      <c r="E632" t="str">
        <f>VLOOKUP(bron[[#This Row],[personeelsnr]],'data hastus'!A:K,11,FALSE)</f>
        <v>Kenneth De Rick</v>
      </c>
      <c r="F632" s="3">
        <v>45733</v>
      </c>
      <c r="G632" s="6" t="s">
        <v>1091</v>
      </c>
      <c r="H632" t="s">
        <v>3535</v>
      </c>
      <c r="I632" t="s">
        <v>104</v>
      </c>
      <c r="J632">
        <v>6331</v>
      </c>
      <c r="K632" s="27" t="s">
        <v>3547</v>
      </c>
    </row>
    <row r="633" spans="1:11" x14ac:dyDescent="0.25">
      <c r="A633">
        <v>35246</v>
      </c>
      <c r="B633" t="str">
        <f>_xlfn.CONCAT(bron[[#This Row],[personeelsnr]]," ",bron[[#This Row],[achternaam]]," ",bron[[#This Row],[voornaam]])</f>
        <v>35246 De Meyer Karel</v>
      </c>
      <c r="C633" t="str">
        <f>VLOOKUP(bron[[#This Row],[personeelsnr]],'data hastus'!$A:$C,2,0)</f>
        <v>De Meyer</v>
      </c>
      <c r="D633" t="str">
        <f>VLOOKUP(bron[[#This Row],[personeelsnr]],'data hastus'!$A:$C,3,0)</f>
        <v>Karel</v>
      </c>
      <c r="E633" t="str">
        <f>VLOOKUP(bron[[#This Row],[personeelsnr]],'data hastus'!A:K,11,FALSE)</f>
        <v>Els Vanhoe</v>
      </c>
      <c r="F633" s="3">
        <v>45734</v>
      </c>
      <c r="G633" s="6" t="s">
        <v>1095</v>
      </c>
      <c r="H633" t="s">
        <v>3500</v>
      </c>
      <c r="I633" t="s">
        <v>78</v>
      </c>
      <c r="J633">
        <v>5922</v>
      </c>
      <c r="K633" s="27" t="s">
        <v>3547</v>
      </c>
    </row>
    <row r="634" spans="1:11" x14ac:dyDescent="0.25">
      <c r="A634">
        <v>41012</v>
      </c>
      <c r="B634" t="str">
        <f>_xlfn.CONCAT(bron[[#This Row],[personeelsnr]]," ",bron[[#This Row],[achternaam]]," ",bron[[#This Row],[voornaam]])</f>
        <v>41012 Natad Younes</v>
      </c>
      <c r="C634" t="str">
        <f>VLOOKUP(bron[[#This Row],[personeelsnr]],'data hastus'!$A:$C,2,0)</f>
        <v>Natad</v>
      </c>
      <c r="D634" t="str">
        <f>VLOOKUP(bron[[#This Row],[personeelsnr]],'data hastus'!$A:$C,3,0)</f>
        <v>Younes</v>
      </c>
      <c r="E634" t="str">
        <f>VLOOKUP(bron[[#This Row],[personeelsnr]],'data hastus'!A:K,11,FALSE)</f>
        <v>Els Vanhoe</v>
      </c>
      <c r="F634" s="3">
        <v>45734</v>
      </c>
      <c r="G634" s="6" t="s">
        <v>1094</v>
      </c>
      <c r="H634" t="s">
        <v>3499</v>
      </c>
      <c r="I634" t="s">
        <v>25</v>
      </c>
      <c r="J634">
        <v>5045</v>
      </c>
      <c r="K634" s="27" t="s">
        <v>3547</v>
      </c>
    </row>
    <row r="635" spans="1:11" x14ac:dyDescent="0.25">
      <c r="A635">
        <v>41064</v>
      </c>
      <c r="B635" t="str">
        <f>_xlfn.CONCAT(bron[[#This Row],[personeelsnr]]," ",bron[[#This Row],[achternaam]]," ",bron[[#This Row],[voornaam]])</f>
        <v>41064 Ardic Atilla</v>
      </c>
      <c r="C635" t="str">
        <f>VLOOKUP(bron[[#This Row],[personeelsnr]],'data hastus'!$A:$C,2,0)</f>
        <v>Ardic</v>
      </c>
      <c r="D635" t="str">
        <f>VLOOKUP(bron[[#This Row],[personeelsnr]],'data hastus'!$A:$C,3,0)</f>
        <v>Atilla</v>
      </c>
      <c r="E635" t="str">
        <f>VLOOKUP(bron[[#This Row],[personeelsnr]],'data hastus'!A:K,11,FALSE)</f>
        <v>Dominique De Clercq</v>
      </c>
      <c r="F635" s="3">
        <v>45734</v>
      </c>
      <c r="G635" s="6" t="s">
        <v>1092</v>
      </c>
      <c r="H635" t="s">
        <v>3500</v>
      </c>
      <c r="I635" t="s">
        <v>10</v>
      </c>
      <c r="J635">
        <v>2549</v>
      </c>
      <c r="K635" s="27" t="s">
        <v>3547</v>
      </c>
    </row>
    <row r="636" spans="1:11" x14ac:dyDescent="0.25">
      <c r="A636">
        <v>41092</v>
      </c>
      <c r="B636" t="str">
        <f>_xlfn.CONCAT(bron[[#This Row],[personeelsnr]]," ",bron[[#This Row],[achternaam]]," ",bron[[#This Row],[voornaam]])</f>
        <v>41092 De Keyser Dorien</v>
      </c>
      <c r="C636" t="str">
        <f>VLOOKUP(bron[[#This Row],[personeelsnr]],'data hastus'!$A:$C,2,0)</f>
        <v>De Keyser</v>
      </c>
      <c r="D636" t="str">
        <f>VLOOKUP(bron[[#This Row],[personeelsnr]],'data hastus'!$A:$C,3,0)</f>
        <v>Dorien</v>
      </c>
      <c r="E636" t="str">
        <f>VLOOKUP(bron[[#This Row],[personeelsnr]],'data hastus'!A:K,11,FALSE)</f>
        <v>Dominique De Clercq</v>
      </c>
      <c r="F636" s="3">
        <v>45734</v>
      </c>
      <c r="G636" s="6" t="s">
        <v>1093</v>
      </c>
      <c r="H636" t="s">
        <v>3500</v>
      </c>
      <c r="I636" t="s">
        <v>102</v>
      </c>
      <c r="J636">
        <v>5770</v>
      </c>
      <c r="K636" s="27" t="s">
        <v>3547</v>
      </c>
    </row>
    <row r="637" spans="1:11" x14ac:dyDescent="0.25">
      <c r="A637">
        <v>11120</v>
      </c>
      <c r="B637" t="str">
        <f>_xlfn.CONCAT(bron[[#This Row],[personeelsnr]]," ",bron[[#This Row],[achternaam]]," ",bron[[#This Row],[voornaam]])</f>
        <v>11120 De Vrieze Ludo</v>
      </c>
      <c r="C637" t="str">
        <f>VLOOKUP(bron[[#This Row],[personeelsnr]],'data hastus'!$A:$C,2,0)</f>
        <v>De Vrieze</v>
      </c>
      <c r="D637" t="str">
        <f>VLOOKUP(bron[[#This Row],[personeelsnr]],'data hastus'!$A:$C,3,0)</f>
        <v>Ludo</v>
      </c>
      <c r="E637" t="str">
        <f>VLOOKUP(bron[[#This Row],[personeelsnr]],'data hastus'!A:K,11,FALSE)</f>
        <v>Lucie Vande Velde</v>
      </c>
      <c r="F637" s="3">
        <v>45735</v>
      </c>
      <c r="G637" s="6" t="s">
        <v>1317</v>
      </c>
      <c r="H637" t="s">
        <v>8</v>
      </c>
      <c r="I637" t="s">
        <v>1318</v>
      </c>
      <c r="J637">
        <v>6322</v>
      </c>
      <c r="K637" s="27" t="s">
        <v>3548</v>
      </c>
    </row>
    <row r="638" spans="1:11" x14ac:dyDescent="0.25">
      <c r="A638">
        <v>35216</v>
      </c>
      <c r="B638" t="str">
        <f>_xlfn.CONCAT(bron[[#This Row],[personeelsnr]]," ",bron[[#This Row],[achternaam]]," ",bron[[#This Row],[voornaam]])</f>
        <v>35216 Coban Mehmet</v>
      </c>
      <c r="C638" t="str">
        <f>VLOOKUP(bron[[#This Row],[personeelsnr]],'data hastus'!$A:$C,2,0)</f>
        <v>Coban</v>
      </c>
      <c r="D638" t="str">
        <f>VLOOKUP(bron[[#This Row],[personeelsnr]],'data hastus'!$A:$C,3,0)</f>
        <v>Mehmet</v>
      </c>
      <c r="E638" t="str">
        <f>VLOOKUP(bron[[#This Row],[personeelsnr]],'data hastus'!A:K,11,FALSE)</f>
        <v>Lucie Vande Velde</v>
      </c>
      <c r="F638" s="3">
        <v>45735</v>
      </c>
      <c r="G638" s="6" t="s">
        <v>1097</v>
      </c>
      <c r="H638" t="s">
        <v>3500</v>
      </c>
      <c r="I638" t="s">
        <v>153</v>
      </c>
      <c r="J638">
        <v>5924</v>
      </c>
      <c r="K638" s="27" t="s">
        <v>3547</v>
      </c>
    </row>
    <row r="639" spans="1:11" x14ac:dyDescent="0.25">
      <c r="A639">
        <v>35450</v>
      </c>
      <c r="B639" t="str">
        <f>_xlfn.CONCAT(bron[[#This Row],[personeelsnr]]," ",bron[[#This Row],[achternaam]]," ",bron[[#This Row],[voornaam]])</f>
        <v>35450 Roos Hugo</v>
      </c>
      <c r="C639" t="str">
        <f>VLOOKUP(bron[[#This Row],[personeelsnr]],'data hastus'!$A:$C,2,0)</f>
        <v>Roos</v>
      </c>
      <c r="D639" t="str">
        <f>VLOOKUP(bron[[#This Row],[personeelsnr]],'data hastus'!$A:$C,3,0)</f>
        <v>Hugo</v>
      </c>
      <c r="E639" t="str">
        <f>VLOOKUP(bron[[#This Row],[personeelsnr]],'data hastus'!A:K,11,FALSE)</f>
        <v>Els Dewulf</v>
      </c>
      <c r="F639" s="3">
        <v>45735</v>
      </c>
      <c r="G639" s="6" t="s">
        <v>1096</v>
      </c>
      <c r="H639" t="s">
        <v>3500</v>
      </c>
      <c r="I639" t="s">
        <v>255</v>
      </c>
      <c r="J639">
        <v>4665</v>
      </c>
      <c r="K639" s="27" t="s">
        <v>3547</v>
      </c>
    </row>
    <row r="640" spans="1:11" x14ac:dyDescent="0.25">
      <c r="A640">
        <v>39779</v>
      </c>
      <c r="B640" t="str">
        <f>_xlfn.CONCAT(bron[[#This Row],[personeelsnr]]," ",bron[[#This Row],[achternaam]]," ",bron[[#This Row],[voornaam]])</f>
        <v>39779 Avci Muhammet Abdullah</v>
      </c>
      <c r="C640" t="str">
        <f>VLOOKUP(bron[[#This Row],[personeelsnr]],'data hastus'!$A:$C,2,0)</f>
        <v>Avci</v>
      </c>
      <c r="D640" t="str">
        <f>VLOOKUP(bron[[#This Row],[personeelsnr]],'data hastus'!$A:$C,3,0)</f>
        <v>Muhammet Abdullah</v>
      </c>
      <c r="E640" t="str">
        <f>VLOOKUP(bron[[#This Row],[personeelsnr]],'data hastus'!A:K,11,FALSE)</f>
        <v>Bart Van Der Beken</v>
      </c>
      <c r="F640" s="3">
        <v>45735</v>
      </c>
      <c r="G640" s="6" t="s">
        <v>1282</v>
      </c>
      <c r="H640" t="s">
        <v>3501</v>
      </c>
      <c r="I640" t="s">
        <v>72</v>
      </c>
      <c r="J640">
        <v>5054</v>
      </c>
      <c r="K640" s="27" t="s">
        <v>3548</v>
      </c>
    </row>
    <row r="641" spans="1:11" x14ac:dyDescent="0.25">
      <c r="A641">
        <v>41520</v>
      </c>
      <c r="B641" t="str">
        <f>_xlfn.CONCAT(bron[[#This Row],[personeelsnr]]," ",bron[[#This Row],[achternaam]]," ",bron[[#This Row],[voornaam]])</f>
        <v>41520 Smets Avery</v>
      </c>
      <c r="C641" t="str">
        <f>VLOOKUP(bron[[#This Row],[personeelsnr]],'data hastus'!$A:$C,2,0)</f>
        <v>Smets</v>
      </c>
      <c r="D641" t="str">
        <f>VLOOKUP(bron[[#This Row],[personeelsnr]],'data hastus'!$A:$C,3,0)</f>
        <v>Avery</v>
      </c>
      <c r="E641" t="str">
        <f>VLOOKUP(bron[[#This Row],[personeelsnr]],'data hastus'!A:K,11,FALSE)</f>
        <v>Christoff Rotty</v>
      </c>
      <c r="F641" s="3">
        <v>45736</v>
      </c>
      <c r="G641" s="6" t="s">
        <v>1098</v>
      </c>
      <c r="H641" t="s">
        <v>3500</v>
      </c>
      <c r="I641" t="s">
        <v>145</v>
      </c>
      <c r="J641">
        <v>8138</v>
      </c>
      <c r="K641" s="27" t="s">
        <v>3547</v>
      </c>
    </row>
    <row r="642" spans="1:11" x14ac:dyDescent="0.25">
      <c r="A642">
        <v>31600</v>
      </c>
      <c r="B642" t="str">
        <f>_xlfn.CONCAT(bron[[#This Row],[personeelsnr]]," ",bron[[#This Row],[achternaam]]," ",bron[[#This Row],[voornaam]])</f>
        <v>31600 Mertens Tom</v>
      </c>
      <c r="C642" t="str">
        <f>VLOOKUP(bron[[#This Row],[personeelsnr]],'data hastus'!$A:$C,2,0)</f>
        <v>Mertens</v>
      </c>
      <c r="D642" t="str">
        <f>VLOOKUP(bron[[#This Row],[personeelsnr]],'data hastus'!$A:$C,3,0)</f>
        <v>Tom</v>
      </c>
      <c r="E642" t="str">
        <f>VLOOKUP(bron[[#This Row],[personeelsnr]],'data hastus'!A:K,11,FALSE)</f>
        <v>Els Dewulf</v>
      </c>
      <c r="F642" s="3">
        <v>45737</v>
      </c>
      <c r="G642" s="6" t="s">
        <v>1299</v>
      </c>
      <c r="H642" t="s">
        <v>3499</v>
      </c>
      <c r="I642" t="s">
        <v>1300</v>
      </c>
      <c r="J642">
        <v>2197</v>
      </c>
      <c r="K642" s="27" t="s">
        <v>3548</v>
      </c>
    </row>
    <row r="643" spans="1:11" x14ac:dyDescent="0.25">
      <c r="A643">
        <v>32611</v>
      </c>
      <c r="B643" t="str">
        <f>_xlfn.CONCAT(bron[[#This Row],[personeelsnr]]," ",bron[[#This Row],[achternaam]]," ",bron[[#This Row],[voornaam]])</f>
        <v>32611 Özer Özgur</v>
      </c>
      <c r="C643" t="str">
        <f>VLOOKUP(bron[[#This Row],[personeelsnr]],'data hastus'!$A:$C,2,0)</f>
        <v>Özer</v>
      </c>
      <c r="D643" t="str">
        <f>VLOOKUP(bron[[#This Row],[personeelsnr]],'data hastus'!$A:$C,3,0)</f>
        <v>Özgur</v>
      </c>
      <c r="E643" t="str">
        <f>VLOOKUP(bron[[#This Row],[personeelsnr]],'data hastus'!A:K,11,FALSE)</f>
        <v>Kenneth De Rick</v>
      </c>
      <c r="F643" s="3">
        <v>45737</v>
      </c>
      <c r="G643" s="6" t="s">
        <v>1099</v>
      </c>
      <c r="H643" t="s">
        <v>3500</v>
      </c>
      <c r="I643" t="s">
        <v>60</v>
      </c>
      <c r="J643">
        <v>5922</v>
      </c>
      <c r="K643" s="27" t="s">
        <v>3547</v>
      </c>
    </row>
    <row r="644" spans="1:11" x14ac:dyDescent="0.25">
      <c r="A644">
        <v>37809</v>
      </c>
      <c r="B644" t="str">
        <f>_xlfn.CONCAT(bron[[#This Row],[personeelsnr]]," ",bron[[#This Row],[achternaam]]," ",bron[[#This Row],[voornaam]])</f>
        <v>37809 Sturtewagen Kenny</v>
      </c>
      <c r="C644" t="str">
        <f>VLOOKUP(bron[[#This Row],[personeelsnr]],'data hastus'!$A:$C,2,0)</f>
        <v>Sturtewagen</v>
      </c>
      <c r="D644" t="str">
        <f>VLOOKUP(bron[[#This Row],[personeelsnr]],'data hastus'!$A:$C,3,0)</f>
        <v>Kenny</v>
      </c>
      <c r="E644" t="str">
        <f>VLOOKUP(bron[[#This Row],[personeelsnr]],'data hastus'!A:K,11,FALSE)</f>
        <v>Steven Storm</v>
      </c>
      <c r="F644" s="3">
        <v>45740</v>
      </c>
      <c r="G644" s="6" t="s">
        <v>1100</v>
      </c>
      <c r="H644" t="s">
        <v>3499</v>
      </c>
      <c r="I644" t="s">
        <v>22</v>
      </c>
      <c r="J644">
        <v>5235</v>
      </c>
      <c r="K644" s="27" t="s">
        <v>3547</v>
      </c>
    </row>
    <row r="645" spans="1:11" x14ac:dyDescent="0.25">
      <c r="A645">
        <v>37179</v>
      </c>
      <c r="B645" t="str">
        <f>_xlfn.CONCAT(bron[[#This Row],[personeelsnr]]," ",bron[[#This Row],[achternaam]]," ",bron[[#This Row],[voornaam]])</f>
        <v>37179 Bashir Muhammad Salman</v>
      </c>
      <c r="C645" t="str">
        <f>VLOOKUP(bron[[#This Row],[personeelsnr]],'data hastus'!$A:$C,2,0)</f>
        <v>Bashir</v>
      </c>
      <c r="D645" t="str">
        <f>VLOOKUP(bron[[#This Row],[personeelsnr]],'data hastus'!$A:$C,3,0)</f>
        <v>Muhammad Salman</v>
      </c>
      <c r="E645" t="str">
        <f>VLOOKUP(bron[[#This Row],[personeelsnr]],'data hastus'!A:K,11,FALSE)</f>
        <v>Bart Van Der Beken</v>
      </c>
      <c r="F645" s="3">
        <v>45742</v>
      </c>
      <c r="G645" s="6" t="s">
        <v>1101</v>
      </c>
      <c r="H645" t="s">
        <v>3501</v>
      </c>
      <c r="I645" t="s">
        <v>48</v>
      </c>
      <c r="J645">
        <v>5266</v>
      </c>
      <c r="K645" s="27" t="s">
        <v>3547</v>
      </c>
    </row>
    <row r="646" spans="1:11" x14ac:dyDescent="0.25">
      <c r="A646">
        <v>38580</v>
      </c>
      <c r="B646" t="str">
        <f>_xlfn.CONCAT(bron[[#This Row],[personeelsnr]]," ",bron[[#This Row],[achternaam]]," ",bron[[#This Row],[voornaam]])</f>
        <v>38580 Smajla Samet</v>
      </c>
      <c r="C646" t="str">
        <f>VLOOKUP(bron[[#This Row],[personeelsnr]],'data hastus'!$A:$C,2,0)</f>
        <v>Smajla</v>
      </c>
      <c r="D646" t="str">
        <f>VLOOKUP(bron[[#This Row],[personeelsnr]],'data hastus'!$A:$C,3,0)</f>
        <v>Samet</v>
      </c>
      <c r="E646" t="str">
        <f>VLOOKUP(bron[[#This Row],[personeelsnr]],'data hastus'!A:K,11,FALSE)</f>
        <v>Els Dewulf</v>
      </c>
      <c r="F646" s="3">
        <v>45742</v>
      </c>
      <c r="G646" s="6" t="s">
        <v>1102</v>
      </c>
      <c r="H646" t="s">
        <v>3499</v>
      </c>
      <c r="I646" t="s">
        <v>106</v>
      </c>
      <c r="J646">
        <v>5043</v>
      </c>
      <c r="K646" s="27" t="s">
        <v>3547</v>
      </c>
    </row>
    <row r="647" spans="1:11" x14ac:dyDescent="0.25">
      <c r="A647">
        <v>31118</v>
      </c>
      <c r="B647" t="str">
        <f>_xlfn.CONCAT(bron[[#This Row],[personeelsnr]]," ",bron[[#This Row],[achternaam]]," ",bron[[#This Row],[voornaam]])</f>
        <v>31118 De Sutter Michiel</v>
      </c>
      <c r="C647" t="str">
        <f>VLOOKUP(bron[[#This Row],[personeelsnr]],'data hastus'!$A:$C,2,0)</f>
        <v>De Sutter</v>
      </c>
      <c r="D647" t="str">
        <f>VLOOKUP(bron[[#This Row],[personeelsnr]],'data hastus'!$A:$C,3,0)</f>
        <v>Michiel</v>
      </c>
      <c r="E647" t="str">
        <f>VLOOKUP(bron[[#This Row],[personeelsnr]],'data hastus'!A:K,11,FALSE)</f>
        <v>Els Dewulf</v>
      </c>
      <c r="F647" s="3">
        <v>45743</v>
      </c>
      <c r="G647" s="6" t="s">
        <v>1103</v>
      </c>
      <c r="H647" t="s">
        <v>3500</v>
      </c>
      <c r="I647" t="s">
        <v>500</v>
      </c>
      <c r="J647">
        <v>5922</v>
      </c>
      <c r="K647" s="27" t="s">
        <v>3547</v>
      </c>
    </row>
    <row r="648" spans="1:11" x14ac:dyDescent="0.25">
      <c r="A648">
        <v>36358</v>
      </c>
      <c r="B648" t="str">
        <f>_xlfn.CONCAT(bron[[#This Row],[personeelsnr]]," ",bron[[#This Row],[achternaam]]," ",bron[[#This Row],[voornaam]])</f>
        <v>36358 De Nys Elise</v>
      </c>
      <c r="C648" t="str">
        <f>VLOOKUP(bron[[#This Row],[personeelsnr]],'data hastus'!$A:$C,2,0)</f>
        <v>De Nys</v>
      </c>
      <c r="D648" t="str">
        <f>VLOOKUP(bron[[#This Row],[personeelsnr]],'data hastus'!$A:$C,3,0)</f>
        <v>Elise</v>
      </c>
      <c r="E648" t="str">
        <f>VLOOKUP(bron[[#This Row],[personeelsnr]],'data hastus'!A:K,11,FALSE)</f>
        <v>Els Dewulf</v>
      </c>
      <c r="F648" s="3">
        <v>45744</v>
      </c>
      <c r="G648" s="6" t="s">
        <v>1105</v>
      </c>
      <c r="H648" t="s">
        <v>3536</v>
      </c>
      <c r="I648" t="s">
        <v>63</v>
      </c>
      <c r="J648">
        <v>6370</v>
      </c>
      <c r="K648" s="27" t="s">
        <v>3547</v>
      </c>
    </row>
    <row r="649" spans="1:11" x14ac:dyDescent="0.25">
      <c r="A649">
        <v>36569</v>
      </c>
      <c r="B649" t="e">
        <f>_xlfn.CONCAT(bron[[#This Row],[personeelsnr]]," ",bron[[#This Row],[achternaam]]," ",bron[[#This Row],[voornaam]])</f>
        <v>#N/A</v>
      </c>
      <c r="C649" t="e">
        <f>VLOOKUP(bron[[#This Row],[personeelsnr]],'data hastus'!$A:$C,2,0)</f>
        <v>#N/A</v>
      </c>
      <c r="D649" t="e">
        <f>VLOOKUP(bron[[#This Row],[personeelsnr]],'data hastus'!$A:$C,3,0)</f>
        <v>#N/A</v>
      </c>
      <c r="E649" t="s">
        <v>79</v>
      </c>
      <c r="F649" s="3">
        <v>45744</v>
      </c>
      <c r="G649" s="6" t="s">
        <v>1106</v>
      </c>
      <c r="H649" t="s">
        <v>3535</v>
      </c>
      <c r="I649" t="s">
        <v>167</v>
      </c>
      <c r="J649">
        <v>6325</v>
      </c>
      <c r="K649" s="27" t="s">
        <v>3547</v>
      </c>
    </row>
    <row r="650" spans="1:11" x14ac:dyDescent="0.25">
      <c r="A650">
        <v>39581</v>
      </c>
      <c r="B650" t="str">
        <f>_xlfn.CONCAT(bron[[#This Row],[personeelsnr]]," ",bron[[#This Row],[achternaam]]," ",bron[[#This Row],[voornaam]])</f>
        <v>39581 Vandenhaute Linus</v>
      </c>
      <c r="C650" t="str">
        <f>VLOOKUP(bron[[#This Row],[personeelsnr]],'data hastus'!$A:$C,2,0)</f>
        <v>Vandenhaute</v>
      </c>
      <c r="D650" t="str">
        <f>VLOOKUP(bron[[#This Row],[personeelsnr]],'data hastus'!$A:$C,3,0)</f>
        <v>Linus</v>
      </c>
      <c r="E650" t="str">
        <f>VLOOKUP(bron[[#This Row],[personeelsnr]],'data hastus'!A:K,11,FALSE)</f>
        <v>Els Dewulf</v>
      </c>
      <c r="F650" s="3">
        <v>45744</v>
      </c>
      <c r="G650" s="6" t="s">
        <v>1104</v>
      </c>
      <c r="H650" t="s">
        <v>3501</v>
      </c>
      <c r="I650" t="s">
        <v>48</v>
      </c>
      <c r="J650">
        <v>5261</v>
      </c>
      <c r="K650" s="27" t="s">
        <v>3547</v>
      </c>
    </row>
    <row r="651" spans="1:11" x14ac:dyDescent="0.25">
      <c r="A651">
        <v>31668</v>
      </c>
      <c r="B651" t="str">
        <f>_xlfn.CONCAT(bron[[#This Row],[personeelsnr]]," ",bron[[#This Row],[achternaam]]," ",bron[[#This Row],[voornaam]])</f>
        <v>31668 Weemhof Maurice</v>
      </c>
      <c r="C651" t="str">
        <f>VLOOKUP(bron[[#This Row],[personeelsnr]],'data hastus'!$A:$C,2,0)</f>
        <v>Weemhof</v>
      </c>
      <c r="D651" t="str">
        <f>VLOOKUP(bron[[#This Row],[personeelsnr]],'data hastus'!$A:$C,3,0)</f>
        <v>Maurice</v>
      </c>
      <c r="E651" t="str">
        <f>VLOOKUP(bron[[#This Row],[personeelsnr]],'data hastus'!A:K,11,FALSE)</f>
        <v>Dominique De Clercq</v>
      </c>
      <c r="F651" s="3">
        <v>45745</v>
      </c>
      <c r="G651" s="6" t="s">
        <v>1107</v>
      </c>
      <c r="H651" t="s">
        <v>3500</v>
      </c>
      <c r="I651" t="s">
        <v>10</v>
      </c>
      <c r="J651">
        <v>5918</v>
      </c>
      <c r="K651" s="27" t="s">
        <v>3547</v>
      </c>
    </row>
    <row r="652" spans="1:11" x14ac:dyDescent="0.25">
      <c r="A652">
        <v>17566</v>
      </c>
      <c r="B652" t="str">
        <f>_xlfn.CONCAT(bron[[#This Row],[personeelsnr]]," ",bron[[#This Row],[achternaam]]," ",bron[[#This Row],[voornaam]])</f>
        <v>17566 Praet Reginald</v>
      </c>
      <c r="C652" t="str">
        <f>VLOOKUP(bron[[#This Row],[personeelsnr]],'data hastus'!$A:$C,2,0)</f>
        <v>Praet</v>
      </c>
      <c r="D652" t="str">
        <f>VLOOKUP(bron[[#This Row],[personeelsnr]],'data hastus'!$A:$C,3,0)</f>
        <v>Reginald</v>
      </c>
      <c r="E652" t="str">
        <f>VLOOKUP(bron[[#This Row],[personeelsnr]],'data hastus'!A:K,11,FALSE)</f>
        <v>Bart Van Der Beken</v>
      </c>
      <c r="F652" s="3">
        <v>45749</v>
      </c>
      <c r="G652" s="6" t="s">
        <v>3549</v>
      </c>
      <c r="H652" t="s">
        <v>3535</v>
      </c>
      <c r="I652" t="s">
        <v>31</v>
      </c>
      <c r="J652">
        <v>6324</v>
      </c>
      <c r="K652" s="27" t="s">
        <v>3547</v>
      </c>
    </row>
    <row r="653" spans="1:11" x14ac:dyDescent="0.25">
      <c r="A653">
        <v>32620</v>
      </c>
      <c r="B653" t="str">
        <f>_xlfn.CONCAT(bron[[#This Row],[personeelsnr]]," ",bron[[#This Row],[achternaam]]," ",bron[[#This Row],[voornaam]])</f>
        <v>32620 Saey Elias</v>
      </c>
      <c r="C653" t="str">
        <f>VLOOKUP(bron[[#This Row],[personeelsnr]],'data hastus'!$A:$C,2,0)</f>
        <v>Saey</v>
      </c>
      <c r="D653" t="str">
        <f>VLOOKUP(bron[[#This Row],[personeelsnr]],'data hastus'!$A:$C,3,0)</f>
        <v>Elias</v>
      </c>
      <c r="E653" t="str">
        <f>VLOOKUP(bron[[#This Row],[personeelsnr]],'data hastus'!A:K,11,FALSE)</f>
        <v>Els Vanhoe</v>
      </c>
      <c r="F653" s="3">
        <v>45749</v>
      </c>
      <c r="G653" s="6" t="s">
        <v>1108</v>
      </c>
      <c r="H653" t="s">
        <v>3535</v>
      </c>
      <c r="I653" t="s">
        <v>46</v>
      </c>
      <c r="J653">
        <v>6929</v>
      </c>
      <c r="K653" s="27" t="s">
        <v>3547</v>
      </c>
    </row>
    <row r="654" spans="1:11" x14ac:dyDescent="0.25">
      <c r="A654">
        <v>38807</v>
      </c>
      <c r="B654" t="str">
        <f>_xlfn.CONCAT(bron[[#This Row],[personeelsnr]]," ",bron[[#This Row],[achternaam]]," ",bron[[#This Row],[voornaam]])</f>
        <v>38807 Dossche Caroline</v>
      </c>
      <c r="C654" t="str">
        <f>VLOOKUP(bron[[#This Row],[personeelsnr]],'data hastus'!$A:$C,2,0)</f>
        <v>Dossche</v>
      </c>
      <c r="D654" t="str">
        <f>VLOOKUP(bron[[#This Row],[personeelsnr]],'data hastus'!$A:$C,3,0)</f>
        <v>Caroline</v>
      </c>
      <c r="E654" t="str">
        <f>VLOOKUP(bron[[#This Row],[personeelsnr]],'data hastus'!A:K,11,FALSE)</f>
        <v>Christoff Rotty</v>
      </c>
      <c r="F654" s="3">
        <v>45750</v>
      </c>
      <c r="G654" s="6" t="s">
        <v>1109</v>
      </c>
      <c r="H654" t="s">
        <v>3501</v>
      </c>
      <c r="I654" t="s">
        <v>40</v>
      </c>
      <c r="J654">
        <v>5046</v>
      </c>
      <c r="K654" s="27" t="s">
        <v>3547</v>
      </c>
    </row>
    <row r="655" spans="1:11" x14ac:dyDescent="0.25">
      <c r="A655">
        <v>32951</v>
      </c>
      <c r="B655" t="str">
        <f>_xlfn.CONCAT(bron[[#This Row],[personeelsnr]]," ",bron[[#This Row],[achternaam]]," ",bron[[#This Row],[voornaam]])</f>
        <v>32951 De Bruyne Sonia</v>
      </c>
      <c r="C655" t="str">
        <f>VLOOKUP(bron[[#This Row],[personeelsnr]],'data hastus'!$A:$C,2,0)</f>
        <v>De Bruyne</v>
      </c>
      <c r="D655" t="str">
        <f>VLOOKUP(bron[[#This Row],[personeelsnr]],'data hastus'!$A:$C,3,0)</f>
        <v>Sonia</v>
      </c>
      <c r="E655" t="str">
        <f>VLOOKUP(bron[[#This Row],[personeelsnr]],'data hastus'!A:K,11,FALSE)</f>
        <v>Lucie Vande Velde</v>
      </c>
      <c r="F655" s="3">
        <v>45751</v>
      </c>
      <c r="G655" s="6" t="s">
        <v>1111</v>
      </c>
      <c r="H655" t="s">
        <v>3501</v>
      </c>
      <c r="I655" t="s">
        <v>43</v>
      </c>
      <c r="J655">
        <v>2198</v>
      </c>
      <c r="K655" s="27" t="s">
        <v>3547</v>
      </c>
    </row>
    <row r="656" spans="1:11" x14ac:dyDescent="0.25">
      <c r="A656">
        <v>40939</v>
      </c>
      <c r="B656" t="str">
        <f>_xlfn.CONCAT(bron[[#This Row],[personeelsnr]]," ",bron[[#This Row],[achternaam]]," ",bron[[#This Row],[voornaam]])</f>
        <v>40939 Cisse Sayon</v>
      </c>
      <c r="C656" t="str">
        <f>VLOOKUP(bron[[#This Row],[personeelsnr]],'data hastus'!$A:$C,2,0)</f>
        <v>Cisse</v>
      </c>
      <c r="D656" t="str">
        <f>VLOOKUP(bron[[#This Row],[personeelsnr]],'data hastus'!$A:$C,3,0)</f>
        <v>Sayon</v>
      </c>
      <c r="E656" t="str">
        <f>VLOOKUP(bron[[#This Row],[personeelsnr]],'data hastus'!A:K,11,FALSE)</f>
        <v>Kenneth De Rick</v>
      </c>
      <c r="F656" s="3">
        <v>45751</v>
      </c>
      <c r="G656" s="6" t="s">
        <v>1110</v>
      </c>
      <c r="H656" t="s">
        <v>3499</v>
      </c>
      <c r="I656" t="s">
        <v>43</v>
      </c>
      <c r="J656">
        <v>2198</v>
      </c>
      <c r="K656" s="27" t="s">
        <v>3547</v>
      </c>
    </row>
    <row r="657" spans="1:11" x14ac:dyDescent="0.25">
      <c r="A657">
        <v>39677</v>
      </c>
      <c r="B657" t="str">
        <f>_xlfn.CONCAT(bron[[#This Row],[personeelsnr]]," ",bron[[#This Row],[achternaam]]," ",bron[[#This Row],[voornaam]])</f>
        <v>39677 Tacq Joey</v>
      </c>
      <c r="C657" t="str">
        <f>VLOOKUP(bron[[#This Row],[personeelsnr]],'data hastus'!$A:$C,2,0)</f>
        <v>Tacq</v>
      </c>
      <c r="D657" t="str">
        <f>VLOOKUP(bron[[#This Row],[personeelsnr]],'data hastus'!$A:$C,3,0)</f>
        <v>Joey</v>
      </c>
      <c r="E657" t="str">
        <f>VLOOKUP(bron[[#This Row],[personeelsnr]],'data hastus'!A:K,11,FALSE)</f>
        <v>Kenneth De Rick</v>
      </c>
      <c r="F657" s="3">
        <v>45754</v>
      </c>
      <c r="G657" s="6" t="s">
        <v>1305</v>
      </c>
      <c r="H657" t="s">
        <v>3501</v>
      </c>
      <c r="I657" t="s">
        <v>1306</v>
      </c>
      <c r="J657">
        <v>2197</v>
      </c>
      <c r="K657" s="27" t="s">
        <v>3548</v>
      </c>
    </row>
    <row r="658" spans="1:11" x14ac:dyDescent="0.25">
      <c r="A658">
        <v>41092</v>
      </c>
      <c r="B658" t="str">
        <f>_xlfn.CONCAT(bron[[#This Row],[personeelsnr]]," ",bron[[#This Row],[achternaam]]," ",bron[[#This Row],[voornaam]])</f>
        <v>41092 De Keyser Dorien</v>
      </c>
      <c r="C658" t="str">
        <f>VLOOKUP(bron[[#This Row],[personeelsnr]],'data hastus'!$A:$C,2,0)</f>
        <v>De Keyser</v>
      </c>
      <c r="D658" t="str">
        <f>VLOOKUP(bron[[#This Row],[personeelsnr]],'data hastus'!$A:$C,3,0)</f>
        <v>Dorien</v>
      </c>
      <c r="E658" t="str">
        <f>VLOOKUP(bron[[#This Row],[personeelsnr]],'data hastus'!A:K,11,FALSE)</f>
        <v>Dominique De Clercq</v>
      </c>
      <c r="F658" s="3">
        <v>45754</v>
      </c>
      <c r="G658" s="6" t="s">
        <v>1112</v>
      </c>
      <c r="H658" t="s">
        <v>3500</v>
      </c>
      <c r="I658" t="s">
        <v>119</v>
      </c>
      <c r="J658">
        <v>5766</v>
      </c>
      <c r="K658" s="27" t="s">
        <v>3547</v>
      </c>
    </row>
    <row r="659" spans="1:11" x14ac:dyDescent="0.25">
      <c r="A659">
        <v>35619</v>
      </c>
      <c r="B659" t="str">
        <f>_xlfn.CONCAT(bron[[#This Row],[personeelsnr]]," ",bron[[#This Row],[achternaam]]," ",bron[[#This Row],[voornaam]])</f>
        <v>35619 El Mezroui Zouheir</v>
      </c>
      <c r="C659" t="str">
        <f>VLOOKUP(bron[[#This Row],[personeelsnr]],'data hastus'!$A:$C,2,0)</f>
        <v>El Mezroui</v>
      </c>
      <c r="D659" t="str">
        <f>VLOOKUP(bron[[#This Row],[personeelsnr]],'data hastus'!$A:$C,3,0)</f>
        <v>Zouheir</v>
      </c>
      <c r="E659" t="str">
        <f>VLOOKUP(bron[[#This Row],[personeelsnr]],'data hastus'!A:K,11,FALSE)</f>
        <v>Steven Storm</v>
      </c>
      <c r="F659" s="3">
        <v>45755</v>
      </c>
      <c r="G659" s="6" t="s">
        <v>1113</v>
      </c>
      <c r="H659" t="s">
        <v>3535</v>
      </c>
      <c r="I659" t="s">
        <v>69</v>
      </c>
      <c r="J659">
        <v>6306</v>
      </c>
      <c r="K659" s="27" t="s">
        <v>3547</v>
      </c>
    </row>
    <row r="660" spans="1:11" x14ac:dyDescent="0.25">
      <c r="A660">
        <v>25679</v>
      </c>
      <c r="B660" t="str">
        <f>_xlfn.CONCAT(bron[[#This Row],[personeelsnr]]," ",bron[[#This Row],[achternaam]]," ",bron[[#This Row],[voornaam]])</f>
        <v>25679 Vanrenterghem Serge</v>
      </c>
      <c r="C660" t="str">
        <f>VLOOKUP(bron[[#This Row],[personeelsnr]],'data hastus'!$A:$C,2,0)</f>
        <v>Vanrenterghem</v>
      </c>
      <c r="D660" t="str">
        <f>VLOOKUP(bron[[#This Row],[personeelsnr]],'data hastus'!$A:$C,3,0)</f>
        <v>Serge</v>
      </c>
      <c r="E660" t="str">
        <f>VLOOKUP(bron[[#This Row],[personeelsnr]],'data hastus'!A:K,11,FALSE)</f>
        <v>Christoff Rotty</v>
      </c>
      <c r="F660" s="3">
        <v>45756</v>
      </c>
      <c r="G660" s="6" t="s">
        <v>1117</v>
      </c>
      <c r="H660" t="s">
        <v>3535</v>
      </c>
      <c r="I660" t="s">
        <v>5</v>
      </c>
      <c r="J660">
        <v>6308</v>
      </c>
      <c r="K660" s="27" t="s">
        <v>3547</v>
      </c>
    </row>
    <row r="661" spans="1:11" x14ac:dyDescent="0.25">
      <c r="A661">
        <v>38035</v>
      </c>
      <c r="B661" t="str">
        <f>_xlfn.CONCAT(bron[[#This Row],[personeelsnr]]," ",bron[[#This Row],[achternaam]]," ",bron[[#This Row],[voornaam]])</f>
        <v>38035 Simsek Isa</v>
      </c>
      <c r="C661" t="str">
        <f>VLOOKUP(bron[[#This Row],[personeelsnr]],'data hastus'!$A:$C,2,0)</f>
        <v>Simsek</v>
      </c>
      <c r="D661" t="str">
        <f>VLOOKUP(bron[[#This Row],[personeelsnr]],'data hastus'!$A:$C,3,0)</f>
        <v>Isa</v>
      </c>
      <c r="E661" t="str">
        <f>VLOOKUP(bron[[#This Row],[personeelsnr]],'data hastus'!A:K,11,FALSE)</f>
        <v>Bart Van Der Beken</v>
      </c>
      <c r="F661" s="3">
        <v>45756</v>
      </c>
      <c r="G661" s="6" t="s">
        <v>1114</v>
      </c>
      <c r="H661" t="s">
        <v>3500</v>
      </c>
      <c r="I661" t="s">
        <v>22</v>
      </c>
      <c r="J661">
        <v>5765</v>
      </c>
      <c r="K661" s="27" t="s">
        <v>3547</v>
      </c>
    </row>
    <row r="662" spans="1:11" x14ac:dyDescent="0.25">
      <c r="A662">
        <v>39358</v>
      </c>
      <c r="B662" t="str">
        <f>_xlfn.CONCAT(bron[[#This Row],[personeelsnr]]," ",bron[[#This Row],[achternaam]]," ",bron[[#This Row],[voornaam]])</f>
        <v>39358 Weeks Aracena Jimmy Alexander</v>
      </c>
      <c r="C662" t="str">
        <f>VLOOKUP(bron[[#This Row],[personeelsnr]],'data hastus'!$A:$C,2,0)</f>
        <v>Weeks Aracena</v>
      </c>
      <c r="D662" t="str">
        <f>VLOOKUP(bron[[#This Row],[personeelsnr]],'data hastus'!$A:$C,3,0)</f>
        <v>Jimmy Alexander</v>
      </c>
      <c r="E662" t="str">
        <f>VLOOKUP(bron[[#This Row],[personeelsnr]],'data hastus'!A:K,11,FALSE)</f>
        <v>Christoff Rotty</v>
      </c>
      <c r="F662" s="3">
        <v>45756</v>
      </c>
      <c r="G662" s="6" t="s">
        <v>1116</v>
      </c>
      <c r="H662" t="s">
        <v>3501</v>
      </c>
      <c r="I662" t="s">
        <v>25</v>
      </c>
      <c r="J662">
        <v>5238</v>
      </c>
      <c r="K662" s="27" t="s">
        <v>3547</v>
      </c>
    </row>
    <row r="663" spans="1:11" x14ac:dyDescent="0.25">
      <c r="A663">
        <v>39929</v>
      </c>
      <c r="B663" t="str">
        <f>_xlfn.CONCAT(bron[[#This Row],[personeelsnr]]," ",bron[[#This Row],[achternaam]]," ",bron[[#This Row],[voornaam]])</f>
        <v>39929 Staneva Mariyana</v>
      </c>
      <c r="C663" t="str">
        <f>VLOOKUP(bron[[#This Row],[personeelsnr]],'data hastus'!$A:$C,2,0)</f>
        <v>Staneva</v>
      </c>
      <c r="D663" t="str">
        <f>VLOOKUP(bron[[#This Row],[personeelsnr]],'data hastus'!$A:$C,3,0)</f>
        <v>Mariyana</v>
      </c>
      <c r="E663" t="str">
        <f>VLOOKUP(bron[[#This Row],[personeelsnr]],'data hastus'!A:K,11,FALSE)</f>
        <v>Christoff Rotty</v>
      </c>
      <c r="F663" s="3">
        <v>45756</v>
      </c>
      <c r="G663" s="6" t="s">
        <v>1115</v>
      </c>
      <c r="H663" t="s">
        <v>3499</v>
      </c>
      <c r="I663" t="s">
        <v>253</v>
      </c>
      <c r="J663">
        <v>2197</v>
      </c>
      <c r="K663" s="27" t="s">
        <v>3547</v>
      </c>
    </row>
    <row r="664" spans="1:11" x14ac:dyDescent="0.25">
      <c r="A664">
        <v>34325</v>
      </c>
      <c r="B664" t="str">
        <f>_xlfn.CONCAT(bron[[#This Row],[personeelsnr]]," ",bron[[#This Row],[achternaam]]," ",bron[[#This Row],[voornaam]])</f>
        <v>34325 Eid Mathyn</v>
      </c>
      <c r="C664" t="str">
        <f>VLOOKUP(bron[[#This Row],[personeelsnr]],'data hastus'!$A:$C,2,0)</f>
        <v>Eid</v>
      </c>
      <c r="D664" t="str">
        <f>VLOOKUP(bron[[#This Row],[personeelsnr]],'data hastus'!$A:$C,3,0)</f>
        <v>Mathyn</v>
      </c>
      <c r="E664" t="str">
        <f>VLOOKUP(bron[[#This Row],[personeelsnr]],'data hastus'!A:K,11,FALSE)</f>
        <v>Steven Storm</v>
      </c>
      <c r="F664" s="3">
        <v>45757</v>
      </c>
      <c r="G664" s="6" t="s">
        <v>1118</v>
      </c>
      <c r="H664" t="s">
        <v>3536</v>
      </c>
      <c r="I664" t="s">
        <v>275</v>
      </c>
      <c r="J664">
        <v>6364</v>
      </c>
      <c r="K664" s="27" t="s">
        <v>3547</v>
      </c>
    </row>
    <row r="665" spans="1:11" x14ac:dyDescent="0.25">
      <c r="A665">
        <v>9158</v>
      </c>
      <c r="B665" t="str">
        <f>_xlfn.CONCAT(bron[[#This Row],[personeelsnr]]," ",bron[[#This Row],[achternaam]]," ",bron[[#This Row],[voornaam]])</f>
        <v>9158 De Weirdt Ronny</v>
      </c>
      <c r="C665" t="str">
        <f>VLOOKUP(bron[[#This Row],[personeelsnr]],'data hastus'!$A:$C,2,0)</f>
        <v>De Weirdt</v>
      </c>
      <c r="D665" t="str">
        <f>VLOOKUP(bron[[#This Row],[personeelsnr]],'data hastus'!$A:$C,3,0)</f>
        <v>Ronny</v>
      </c>
      <c r="E665" t="str">
        <f>VLOOKUP(bron[[#This Row],[personeelsnr]],'data hastus'!A:K,11,FALSE)</f>
        <v>Steven Storm</v>
      </c>
      <c r="F665" s="3">
        <v>45758</v>
      </c>
      <c r="G665" s="6" t="s">
        <v>1120</v>
      </c>
      <c r="H665" t="s">
        <v>3536</v>
      </c>
      <c r="I665" t="s">
        <v>5</v>
      </c>
      <c r="J665">
        <v>6373</v>
      </c>
      <c r="K665" s="27" t="s">
        <v>3547</v>
      </c>
    </row>
    <row r="666" spans="1:11" x14ac:dyDescent="0.25">
      <c r="A666">
        <v>35645</v>
      </c>
      <c r="B666" t="str">
        <f>_xlfn.CONCAT(bron[[#This Row],[personeelsnr]]," ",bron[[#This Row],[achternaam]]," ",bron[[#This Row],[voornaam]])</f>
        <v>35645 Jalili Yaseeb</v>
      </c>
      <c r="C666" t="str">
        <f>VLOOKUP(bron[[#This Row],[personeelsnr]],'data hastus'!$A:$C,2,0)</f>
        <v>Jalili</v>
      </c>
      <c r="D666" t="str">
        <f>VLOOKUP(bron[[#This Row],[personeelsnr]],'data hastus'!$A:$C,3,0)</f>
        <v>Yaseeb</v>
      </c>
      <c r="E666" t="str">
        <f>VLOOKUP(bron[[#This Row],[personeelsnr]],'data hastus'!A:K,11,FALSE)</f>
        <v>Steven Storm</v>
      </c>
      <c r="F666" s="3">
        <v>45758</v>
      </c>
      <c r="G666" s="6" t="s">
        <v>1119</v>
      </c>
      <c r="H666" t="s">
        <v>3499</v>
      </c>
      <c r="I666" t="s">
        <v>13</v>
      </c>
      <c r="J666">
        <v>5238</v>
      </c>
      <c r="K666" s="27" t="s">
        <v>3547</v>
      </c>
    </row>
    <row r="667" spans="1:11" x14ac:dyDescent="0.25">
      <c r="A667">
        <v>25733</v>
      </c>
      <c r="B667" t="str">
        <f>_xlfn.CONCAT(bron[[#This Row],[personeelsnr]]," ",bron[[#This Row],[achternaam]]," ",bron[[#This Row],[voornaam]])</f>
        <v>25733 Simsek Abdullah</v>
      </c>
      <c r="C667" t="str">
        <f>VLOOKUP(bron[[#This Row],[personeelsnr]],'data hastus'!$A:$C,2,0)</f>
        <v>Simsek</v>
      </c>
      <c r="D667" t="str">
        <f>VLOOKUP(bron[[#This Row],[personeelsnr]],'data hastus'!$A:$C,3,0)</f>
        <v>Abdullah</v>
      </c>
      <c r="E667" t="str">
        <f>VLOOKUP(bron[[#This Row],[personeelsnr]],'data hastus'!A:K,11,FALSE)</f>
        <v>Els Vanhoe</v>
      </c>
      <c r="F667" s="3">
        <v>45759</v>
      </c>
      <c r="G667" s="6" t="s">
        <v>1121</v>
      </c>
      <c r="H667" t="s">
        <v>3535</v>
      </c>
      <c r="I667" t="s">
        <v>133</v>
      </c>
      <c r="J667">
        <v>6329</v>
      </c>
      <c r="K667" s="27" t="s">
        <v>3547</v>
      </c>
    </row>
    <row r="668" spans="1:11" x14ac:dyDescent="0.25">
      <c r="A668">
        <v>36820</v>
      </c>
      <c r="B668" t="str">
        <f>_xlfn.CONCAT(bron[[#This Row],[personeelsnr]]," ",bron[[#This Row],[achternaam]]," ",bron[[#This Row],[voornaam]])</f>
        <v>36820 Haché Philip</v>
      </c>
      <c r="C668" t="str">
        <f>VLOOKUP(bron[[#This Row],[personeelsnr]],'data hastus'!$A:$C,2,0)</f>
        <v>Haché</v>
      </c>
      <c r="D668" t="str">
        <f>VLOOKUP(bron[[#This Row],[personeelsnr]],'data hastus'!$A:$C,3,0)</f>
        <v>Philip</v>
      </c>
      <c r="E668" t="str">
        <f>VLOOKUP(bron[[#This Row],[personeelsnr]],'data hastus'!A:K,11,FALSE)</f>
        <v>Steven Storm</v>
      </c>
      <c r="F668" s="3">
        <v>45759</v>
      </c>
      <c r="G668" s="6" t="s">
        <v>1122</v>
      </c>
      <c r="H668" t="s">
        <v>3501</v>
      </c>
      <c r="I668" t="s">
        <v>500</v>
      </c>
      <c r="J668">
        <v>5229</v>
      </c>
      <c r="K668" s="27" t="s">
        <v>3547</v>
      </c>
    </row>
    <row r="669" spans="1:11" x14ac:dyDescent="0.25">
      <c r="A669">
        <v>40443</v>
      </c>
      <c r="B669" t="str">
        <f>_xlfn.CONCAT(bron[[#This Row],[personeelsnr]]," ",bron[[#This Row],[achternaam]]," ",bron[[#This Row],[voornaam]])</f>
        <v>40443 Fakash Mahmoud</v>
      </c>
      <c r="C669" t="str">
        <f>VLOOKUP(bron[[#This Row],[personeelsnr]],'data hastus'!$A:$C,2,0)</f>
        <v>Fakash</v>
      </c>
      <c r="D669" t="str">
        <f>VLOOKUP(bron[[#This Row],[personeelsnr]],'data hastus'!$A:$C,3,0)</f>
        <v>Mahmoud</v>
      </c>
      <c r="E669" t="str">
        <f>VLOOKUP(bron[[#This Row],[personeelsnr]],'data hastus'!A:K,11,FALSE)</f>
        <v>Bart Van Der Beken</v>
      </c>
      <c r="F669" s="3">
        <v>45762</v>
      </c>
      <c r="G669" s="6" t="s">
        <v>1123</v>
      </c>
      <c r="H669" t="s">
        <v>3500</v>
      </c>
      <c r="I669" t="s">
        <v>51</v>
      </c>
      <c r="J669">
        <v>5767</v>
      </c>
      <c r="K669" s="27" t="s">
        <v>3547</v>
      </c>
    </row>
    <row r="670" spans="1:11" x14ac:dyDescent="0.25">
      <c r="A670">
        <v>23700</v>
      </c>
      <c r="B670" t="str">
        <f>_xlfn.CONCAT(bron[[#This Row],[personeelsnr]]," ",bron[[#This Row],[achternaam]]," ",bron[[#This Row],[voornaam]])</f>
        <v>23700 Byosière Christof</v>
      </c>
      <c r="C670" t="str">
        <f>VLOOKUP(bron[[#This Row],[personeelsnr]],'data hastus'!$A:$C,2,0)</f>
        <v>Byosière</v>
      </c>
      <c r="D670" t="str">
        <f>VLOOKUP(bron[[#This Row],[personeelsnr]],'data hastus'!$A:$C,3,0)</f>
        <v>Christof</v>
      </c>
      <c r="E670" t="str">
        <f>VLOOKUP(bron[[#This Row],[personeelsnr]],'data hastus'!A:K,11,FALSE)</f>
        <v>Dominique De Clercq</v>
      </c>
      <c r="F670" s="3">
        <v>45763</v>
      </c>
      <c r="G670" s="6" t="s">
        <v>1294</v>
      </c>
      <c r="H670" t="s">
        <v>3499</v>
      </c>
      <c r="I670" t="s">
        <v>5</v>
      </c>
      <c r="J670">
        <v>5235</v>
      </c>
      <c r="K670" s="27" t="s">
        <v>3548</v>
      </c>
    </row>
    <row r="671" spans="1:11" x14ac:dyDescent="0.25">
      <c r="A671">
        <v>34445</v>
      </c>
      <c r="B671" t="str">
        <f>_xlfn.CONCAT(bron[[#This Row],[personeelsnr]]," ",bron[[#This Row],[achternaam]]," ",bron[[#This Row],[voornaam]])</f>
        <v>34445 Wulleput Illya</v>
      </c>
      <c r="C671" t="str">
        <f>VLOOKUP(bron[[#This Row],[personeelsnr]],'data hastus'!$A:$C,2,0)</f>
        <v>Wulleput</v>
      </c>
      <c r="D671" t="str">
        <f>VLOOKUP(bron[[#This Row],[personeelsnr]],'data hastus'!$A:$C,3,0)</f>
        <v>Illya</v>
      </c>
      <c r="E671" t="str">
        <f>VLOOKUP(bron[[#This Row],[personeelsnr]],'data hastus'!A:K,11,FALSE)</f>
        <v>Dominique De Clercq</v>
      </c>
      <c r="F671" s="3">
        <v>45763</v>
      </c>
      <c r="G671" s="6" t="s">
        <v>1124</v>
      </c>
      <c r="H671" t="s">
        <v>3536</v>
      </c>
      <c r="I671" t="s">
        <v>46</v>
      </c>
      <c r="J671">
        <v>6357</v>
      </c>
      <c r="K671" s="27" t="s">
        <v>3547</v>
      </c>
    </row>
    <row r="672" spans="1:11" x14ac:dyDescent="0.25">
      <c r="A672">
        <v>21582</v>
      </c>
      <c r="B672" t="e">
        <f>_xlfn.CONCAT(bron[[#This Row],[personeelsnr]]," ",bron[[#This Row],[achternaam]]," ",bron[[#This Row],[voornaam]])</f>
        <v>#N/A</v>
      </c>
      <c r="C672" t="e">
        <f>VLOOKUP(bron[[#This Row],[personeelsnr]],'data hastus'!$A:$C,2,0)</f>
        <v>#N/A</v>
      </c>
      <c r="D672" t="e">
        <f>VLOOKUP(bron[[#This Row],[personeelsnr]],'data hastus'!$A:$C,3,0)</f>
        <v>#N/A</v>
      </c>
      <c r="E672" t="s">
        <v>79</v>
      </c>
      <c r="F672" s="3">
        <v>45765</v>
      </c>
      <c r="G672" s="6" t="s">
        <v>1128</v>
      </c>
      <c r="H672" t="s">
        <v>3535</v>
      </c>
      <c r="I672" t="s">
        <v>10</v>
      </c>
      <c r="J672">
        <v>6305</v>
      </c>
      <c r="K672" s="27" t="s">
        <v>3547</v>
      </c>
    </row>
    <row r="673" spans="1:11" x14ac:dyDescent="0.25">
      <c r="A673">
        <v>37744</v>
      </c>
      <c r="B673" t="str">
        <f>_xlfn.CONCAT(bron[[#This Row],[personeelsnr]]," ",bron[[#This Row],[achternaam]]," ",bron[[#This Row],[voornaam]])</f>
        <v>37744 De Lange Frank</v>
      </c>
      <c r="C673" t="str">
        <f>VLOOKUP(bron[[#This Row],[personeelsnr]],'data hastus'!$A:$C,2,0)</f>
        <v>De Lange</v>
      </c>
      <c r="D673" t="str">
        <f>VLOOKUP(bron[[#This Row],[personeelsnr]],'data hastus'!$A:$C,3,0)</f>
        <v>Frank</v>
      </c>
      <c r="E673" t="str">
        <f>VLOOKUP(bron[[#This Row],[personeelsnr]],'data hastus'!A:K,11,FALSE)</f>
        <v>Dominique De Clercq</v>
      </c>
      <c r="F673" s="3">
        <v>45765</v>
      </c>
      <c r="G673" s="6" t="s">
        <v>1125</v>
      </c>
      <c r="H673" t="s">
        <v>3499</v>
      </c>
      <c r="I673" t="s">
        <v>86</v>
      </c>
      <c r="J673">
        <v>5325</v>
      </c>
      <c r="K673" s="27" t="s">
        <v>3547</v>
      </c>
    </row>
    <row r="674" spans="1:11" x14ac:dyDescent="0.25">
      <c r="A674">
        <v>38938</v>
      </c>
      <c r="B674" t="str">
        <f>_xlfn.CONCAT(bron[[#This Row],[personeelsnr]]," ",bron[[#This Row],[achternaam]]," ",bron[[#This Row],[voornaam]])</f>
        <v>38938 Sedighi Hamid</v>
      </c>
      <c r="C674" t="str">
        <f>VLOOKUP(bron[[#This Row],[personeelsnr]],'data hastus'!$A:$C,2,0)</f>
        <v>Sedighi</v>
      </c>
      <c r="D674" t="str">
        <f>VLOOKUP(bron[[#This Row],[personeelsnr]],'data hastus'!$A:$C,3,0)</f>
        <v>Hamid</v>
      </c>
      <c r="E674" t="str">
        <f>VLOOKUP(bron[[#This Row],[personeelsnr]],'data hastus'!A:K,11,FALSE)</f>
        <v>Lucie Vande Velde</v>
      </c>
      <c r="F674" s="3">
        <v>45765</v>
      </c>
      <c r="G674" s="6" t="s">
        <v>1127</v>
      </c>
      <c r="H674" t="s">
        <v>3535</v>
      </c>
      <c r="I674" t="s">
        <v>88</v>
      </c>
      <c r="J674">
        <v>6339</v>
      </c>
      <c r="K674" s="27" t="s">
        <v>3547</v>
      </c>
    </row>
    <row r="675" spans="1:11" x14ac:dyDescent="0.25">
      <c r="A675">
        <v>41230</v>
      </c>
      <c r="B675" t="str">
        <f>_xlfn.CONCAT(bron[[#This Row],[personeelsnr]]," ",bron[[#This Row],[achternaam]]," ",bron[[#This Row],[voornaam]])</f>
        <v>41230 De Witte Bart</v>
      </c>
      <c r="C675" t="str">
        <f>VLOOKUP(bron[[#This Row],[personeelsnr]],'data hastus'!$A:$C,2,0)</f>
        <v>De Witte</v>
      </c>
      <c r="D675" t="str">
        <f>VLOOKUP(bron[[#This Row],[personeelsnr]],'data hastus'!$A:$C,3,0)</f>
        <v>Bart</v>
      </c>
      <c r="E675" t="str">
        <f>VLOOKUP(bron[[#This Row],[personeelsnr]],'data hastus'!A:K,11,FALSE)</f>
        <v>Dominique De Clercq</v>
      </c>
      <c r="F675" s="3">
        <v>45765</v>
      </c>
      <c r="G675" s="6" t="s">
        <v>1126</v>
      </c>
      <c r="H675" t="s">
        <v>3500</v>
      </c>
      <c r="I675" t="s">
        <v>131</v>
      </c>
      <c r="J675">
        <v>5910</v>
      </c>
      <c r="K675" s="27" t="s">
        <v>3547</v>
      </c>
    </row>
    <row r="676" spans="1:11" x14ac:dyDescent="0.25">
      <c r="A676">
        <v>32245</v>
      </c>
      <c r="B676" t="str">
        <f>_xlfn.CONCAT(bron[[#This Row],[personeelsnr]]," ",bron[[#This Row],[achternaam]]," ",bron[[#This Row],[voornaam]])</f>
        <v>32245 Verlinden Bianca</v>
      </c>
      <c r="C676" t="str">
        <f>VLOOKUP(bron[[#This Row],[personeelsnr]],'data hastus'!$A:$C,2,0)</f>
        <v>Verlinden</v>
      </c>
      <c r="D676" t="str">
        <f>VLOOKUP(bron[[#This Row],[personeelsnr]],'data hastus'!$A:$C,3,0)</f>
        <v>Bianca</v>
      </c>
      <c r="E676" t="str">
        <f>VLOOKUP(bron[[#This Row],[personeelsnr]],'data hastus'!A:K,11,FALSE)</f>
        <v>Els Vanhoe</v>
      </c>
      <c r="F676" s="3">
        <v>45766</v>
      </c>
      <c r="G676" s="6" t="s">
        <v>1131</v>
      </c>
      <c r="H676" t="s">
        <v>3500</v>
      </c>
      <c r="I676" t="s">
        <v>13</v>
      </c>
      <c r="J676">
        <v>5918</v>
      </c>
      <c r="K676" s="27" t="s">
        <v>3547</v>
      </c>
    </row>
    <row r="677" spans="1:11" x14ac:dyDescent="0.25">
      <c r="A677">
        <v>40110</v>
      </c>
      <c r="B677" t="str">
        <f>_xlfn.CONCAT(bron[[#This Row],[personeelsnr]]," ",bron[[#This Row],[achternaam]]," ",bron[[#This Row],[voornaam]])</f>
        <v>40110 Vanlerberghe Sandra</v>
      </c>
      <c r="C677" t="str">
        <f>VLOOKUP(bron[[#This Row],[personeelsnr]],'data hastus'!$A:$C,2,0)</f>
        <v>Vanlerberghe</v>
      </c>
      <c r="D677" t="str">
        <f>VLOOKUP(bron[[#This Row],[personeelsnr]],'data hastus'!$A:$C,3,0)</f>
        <v>Sandra</v>
      </c>
      <c r="E677" t="str">
        <f>VLOOKUP(bron[[#This Row],[personeelsnr]],'data hastus'!A:K,11,FALSE)</f>
        <v>Christoff Rotty</v>
      </c>
      <c r="F677" s="3">
        <v>45766</v>
      </c>
      <c r="G677" s="6" t="s">
        <v>1129</v>
      </c>
      <c r="H677" t="s">
        <v>3499</v>
      </c>
      <c r="I677" t="s">
        <v>177</v>
      </c>
      <c r="J677">
        <v>2197</v>
      </c>
      <c r="K677" s="27" t="s">
        <v>3547</v>
      </c>
    </row>
    <row r="678" spans="1:11" x14ac:dyDescent="0.25">
      <c r="A678">
        <v>41520</v>
      </c>
      <c r="B678" t="str">
        <f>_xlfn.CONCAT(bron[[#This Row],[personeelsnr]]," ",bron[[#This Row],[achternaam]]," ",bron[[#This Row],[voornaam]])</f>
        <v>41520 Smets Avery</v>
      </c>
      <c r="C678" t="str">
        <f>VLOOKUP(bron[[#This Row],[personeelsnr]],'data hastus'!$A:$C,2,0)</f>
        <v>Smets</v>
      </c>
      <c r="D678" t="str">
        <f>VLOOKUP(bron[[#This Row],[personeelsnr]],'data hastus'!$A:$C,3,0)</f>
        <v>Avery</v>
      </c>
      <c r="E678" t="str">
        <f>VLOOKUP(bron[[#This Row],[personeelsnr]],'data hastus'!A:K,11,FALSE)</f>
        <v>Christoff Rotty</v>
      </c>
      <c r="F678" s="3">
        <v>45766</v>
      </c>
      <c r="G678" s="6" t="s">
        <v>1130</v>
      </c>
      <c r="H678" t="s">
        <v>3500</v>
      </c>
      <c r="I678" t="s">
        <v>269</v>
      </c>
      <c r="J678">
        <v>5919</v>
      </c>
      <c r="K678" s="27" t="s">
        <v>3547</v>
      </c>
    </row>
    <row r="679" spans="1:11" x14ac:dyDescent="0.25">
      <c r="A679">
        <v>40478</v>
      </c>
      <c r="B679" t="str">
        <f>_xlfn.CONCAT(bron[[#This Row],[personeelsnr]]," ",bron[[#This Row],[achternaam]]," ",bron[[#This Row],[voornaam]])</f>
        <v>40478 Hashimi Ali Mir</v>
      </c>
      <c r="C679" t="str">
        <f>VLOOKUP(bron[[#This Row],[personeelsnr]],'data hastus'!$A:$C,2,0)</f>
        <v>Hashimi</v>
      </c>
      <c r="D679" t="str">
        <f>VLOOKUP(bron[[#This Row],[personeelsnr]],'data hastus'!$A:$C,3,0)</f>
        <v>Ali Mir</v>
      </c>
      <c r="E679" t="str">
        <f>VLOOKUP(bron[[#This Row],[personeelsnr]],'data hastus'!A:K,11,FALSE)</f>
        <v>Bart Van Der Beken</v>
      </c>
      <c r="F679" s="3">
        <v>45769</v>
      </c>
      <c r="G679" s="6" t="s">
        <v>1132</v>
      </c>
      <c r="H679" t="s">
        <v>3500</v>
      </c>
      <c r="I679" t="s">
        <v>245</v>
      </c>
      <c r="J679">
        <v>5772</v>
      </c>
      <c r="K679" s="27" t="s">
        <v>3547</v>
      </c>
    </row>
    <row r="680" spans="1:11" x14ac:dyDescent="0.25">
      <c r="A680">
        <v>41588</v>
      </c>
      <c r="B680" t="str">
        <f>_xlfn.CONCAT(bron[[#This Row],[personeelsnr]]," ",bron[[#This Row],[achternaam]]," ",bron[[#This Row],[voornaam]])</f>
        <v>41588 Naessens Yves</v>
      </c>
      <c r="C680" t="str">
        <f>VLOOKUP(bron[[#This Row],[personeelsnr]],'data hastus'!$A:$C,2,0)</f>
        <v>Naessens</v>
      </c>
      <c r="D680" t="str">
        <f>VLOOKUP(bron[[#This Row],[personeelsnr]],'data hastus'!$A:$C,3,0)</f>
        <v>Yves</v>
      </c>
      <c r="E680" t="str">
        <f>VLOOKUP(bron[[#This Row],[personeelsnr]],'data hastus'!A:K,11,FALSE)</f>
        <v>Kenneth De Rick</v>
      </c>
      <c r="F680" s="3">
        <v>45769</v>
      </c>
      <c r="G680" s="6" t="s">
        <v>1133</v>
      </c>
      <c r="H680" t="s">
        <v>3500</v>
      </c>
      <c r="I680" t="s">
        <v>183</v>
      </c>
      <c r="J680">
        <v>7897</v>
      </c>
      <c r="K680" s="27" t="s">
        <v>3547</v>
      </c>
    </row>
    <row r="681" spans="1:11" x14ac:dyDescent="0.25">
      <c r="A681">
        <v>36512</v>
      </c>
      <c r="B681" t="str">
        <f>_xlfn.CONCAT(bron[[#This Row],[personeelsnr]]," ",bron[[#This Row],[achternaam]]," ",bron[[#This Row],[voornaam]])</f>
        <v>36512 Van Herreweghe Branco</v>
      </c>
      <c r="C681" t="str">
        <f>VLOOKUP(bron[[#This Row],[personeelsnr]],'data hastus'!$A:$C,2,0)</f>
        <v>Van Herreweghe</v>
      </c>
      <c r="D681" t="str">
        <f>VLOOKUP(bron[[#This Row],[personeelsnr]],'data hastus'!$A:$C,3,0)</f>
        <v>Branco</v>
      </c>
      <c r="E681" t="str">
        <f>VLOOKUP(bron[[#This Row],[personeelsnr]],'data hastus'!A:K,11,FALSE)</f>
        <v>Steven Storm</v>
      </c>
      <c r="F681" s="7">
        <v>45770</v>
      </c>
      <c r="G681" s="6" t="s">
        <v>1135</v>
      </c>
      <c r="H681" t="s">
        <v>3535</v>
      </c>
      <c r="I681" t="s">
        <v>31</v>
      </c>
      <c r="J681">
        <v>6313</v>
      </c>
      <c r="K681" s="27" t="s">
        <v>3547</v>
      </c>
    </row>
    <row r="682" spans="1:11" x14ac:dyDescent="0.25">
      <c r="A682">
        <v>37132</v>
      </c>
      <c r="B682" t="str">
        <f>_xlfn.CONCAT(bron[[#This Row],[personeelsnr]]," ",bron[[#This Row],[achternaam]]," ",bron[[#This Row],[voornaam]])</f>
        <v>37132 Dacic Esmir</v>
      </c>
      <c r="C682" t="str">
        <f>VLOOKUP(bron[[#This Row],[personeelsnr]],'data hastus'!$A:$C,2,0)</f>
        <v>Dacic</v>
      </c>
      <c r="D682" t="str">
        <f>VLOOKUP(bron[[#This Row],[personeelsnr]],'data hastus'!$A:$C,3,0)</f>
        <v>Esmir</v>
      </c>
      <c r="E682" t="str">
        <f>VLOOKUP(bron[[#This Row],[personeelsnr]],'data hastus'!A:K,11,FALSE)</f>
        <v>Dominique De Clercq</v>
      </c>
      <c r="F682" s="3">
        <v>45770</v>
      </c>
      <c r="G682" s="6" t="s">
        <v>1134</v>
      </c>
      <c r="H682" t="s">
        <v>3535</v>
      </c>
      <c r="I682" t="s">
        <v>279</v>
      </c>
      <c r="J682">
        <v>6320</v>
      </c>
      <c r="K682" s="27" t="s">
        <v>3547</v>
      </c>
    </row>
    <row r="683" spans="1:11" x14ac:dyDescent="0.25">
      <c r="A683">
        <v>9999</v>
      </c>
      <c r="B683" t="e">
        <f>_xlfn.CONCAT(bron[[#This Row],[personeelsnr]]," ",bron[[#This Row],[achternaam]]," ",bron[[#This Row],[voornaam]])</f>
        <v>#N/A</v>
      </c>
      <c r="C683" t="e">
        <f>VLOOKUP(bron[[#This Row],[personeelsnr]],'data hastus'!$A:$C,2,0)</f>
        <v>#N/A</v>
      </c>
      <c r="D683" t="e">
        <f>VLOOKUP(bron[[#This Row],[personeelsnr]],'data hastus'!$A:$C,3,0)</f>
        <v>#N/A</v>
      </c>
      <c r="E683" t="s">
        <v>79</v>
      </c>
      <c r="F683" s="3">
        <v>45771</v>
      </c>
      <c r="G683" s="6" t="s">
        <v>1138</v>
      </c>
      <c r="H683" t="s">
        <v>377</v>
      </c>
      <c r="I683" t="s">
        <v>5</v>
      </c>
      <c r="J683">
        <v>8232</v>
      </c>
      <c r="K683" s="27" t="s">
        <v>3547</v>
      </c>
    </row>
    <row r="684" spans="1:11" x14ac:dyDescent="0.25">
      <c r="A684">
        <v>33965</v>
      </c>
      <c r="B684" t="str">
        <f>_xlfn.CONCAT(bron[[#This Row],[personeelsnr]]," ",bron[[#This Row],[achternaam]]," ",bron[[#This Row],[voornaam]])</f>
        <v>33965 Van de Gehuchte Gilles</v>
      </c>
      <c r="C684" t="str">
        <f>VLOOKUP(bron[[#This Row],[personeelsnr]],'data hastus'!$A:$C,2,0)</f>
        <v>Van de Gehuchte</v>
      </c>
      <c r="D684" t="str">
        <f>VLOOKUP(bron[[#This Row],[personeelsnr]],'data hastus'!$A:$C,3,0)</f>
        <v>Gilles</v>
      </c>
      <c r="E684" t="str">
        <f>VLOOKUP(bron[[#This Row],[personeelsnr]],'data hastus'!A:K,11,FALSE)</f>
        <v>Kenneth De Rick</v>
      </c>
      <c r="F684" s="3">
        <v>45771</v>
      </c>
      <c r="G684" s="6" t="s">
        <v>1137</v>
      </c>
      <c r="H684" t="s">
        <v>3500</v>
      </c>
      <c r="I684" t="s">
        <v>66</v>
      </c>
      <c r="J684">
        <v>5917</v>
      </c>
      <c r="K684" s="27" t="s">
        <v>3547</v>
      </c>
    </row>
    <row r="685" spans="1:11" x14ac:dyDescent="0.25">
      <c r="A685">
        <v>38475</v>
      </c>
      <c r="B685" t="str">
        <f>_xlfn.CONCAT(bron[[#This Row],[personeelsnr]]," ",bron[[#This Row],[achternaam]]," ",bron[[#This Row],[voornaam]])</f>
        <v>38475 Verschraegen Katleen</v>
      </c>
      <c r="C685" t="str">
        <f>VLOOKUP(bron[[#This Row],[personeelsnr]],'data hastus'!$A:$C,2,0)</f>
        <v>Verschraegen</v>
      </c>
      <c r="D685" t="str">
        <f>VLOOKUP(bron[[#This Row],[personeelsnr]],'data hastus'!$A:$C,3,0)</f>
        <v>Katleen</v>
      </c>
      <c r="E685" t="str">
        <f>VLOOKUP(bron[[#This Row],[personeelsnr]],'data hastus'!A:K,11,FALSE)</f>
        <v>Els Dewulf</v>
      </c>
      <c r="F685" s="3">
        <v>45771</v>
      </c>
      <c r="G685" s="6" t="s">
        <v>1136</v>
      </c>
      <c r="H685" t="s">
        <v>3500</v>
      </c>
      <c r="I685" t="s">
        <v>197</v>
      </c>
      <c r="J685">
        <v>5933</v>
      </c>
      <c r="K685" s="27" t="s">
        <v>3547</v>
      </c>
    </row>
    <row r="686" spans="1:11" x14ac:dyDescent="0.25">
      <c r="A686">
        <v>32002</v>
      </c>
      <c r="B686" t="str">
        <f>_xlfn.CONCAT(bron[[#This Row],[personeelsnr]]," ",bron[[#This Row],[achternaam]]," ",bron[[#This Row],[voornaam]])</f>
        <v>32002 Hasni Helmi</v>
      </c>
      <c r="C686" t="str">
        <f>VLOOKUP(bron[[#This Row],[personeelsnr]],'data hastus'!$A:$C,2,0)</f>
        <v>Hasni</v>
      </c>
      <c r="D686" t="str">
        <f>VLOOKUP(bron[[#This Row],[personeelsnr]],'data hastus'!$A:$C,3,0)</f>
        <v>Helmi</v>
      </c>
      <c r="E686" t="str">
        <f>VLOOKUP(bron[[#This Row],[personeelsnr]],'data hastus'!A:K,11,FALSE)</f>
        <v>Steven Storm</v>
      </c>
      <c r="F686" s="3">
        <v>45773</v>
      </c>
      <c r="G686" s="6" t="s">
        <v>1323</v>
      </c>
      <c r="H686" t="s">
        <v>8</v>
      </c>
      <c r="I686" t="s">
        <v>5</v>
      </c>
      <c r="J686">
        <v>6372</v>
      </c>
      <c r="K686" s="27" t="s">
        <v>3548</v>
      </c>
    </row>
    <row r="687" spans="1:11" x14ac:dyDescent="0.25">
      <c r="A687">
        <v>33085</v>
      </c>
      <c r="B687" t="str">
        <f>_xlfn.CONCAT(bron[[#This Row],[personeelsnr]]," ",bron[[#This Row],[achternaam]]," ",bron[[#This Row],[voornaam]])</f>
        <v>33085 Van Hoe Ivo</v>
      </c>
      <c r="C687" t="str">
        <f>VLOOKUP(bron[[#This Row],[personeelsnr]],'data hastus'!$A:$C,2,0)</f>
        <v>Van Hoe</v>
      </c>
      <c r="D687" t="str">
        <f>VLOOKUP(bron[[#This Row],[personeelsnr]],'data hastus'!$A:$C,3,0)</f>
        <v>Ivo</v>
      </c>
      <c r="E687" t="str">
        <f>VLOOKUP(bron[[#This Row],[personeelsnr]],'data hastus'!A:K,11,FALSE)</f>
        <v>Kenneth De Rick</v>
      </c>
      <c r="F687" s="3">
        <v>45773</v>
      </c>
      <c r="G687" s="6" t="s">
        <v>1139</v>
      </c>
      <c r="H687" t="s">
        <v>3501</v>
      </c>
      <c r="I687" t="s">
        <v>139</v>
      </c>
      <c r="J687">
        <v>2198</v>
      </c>
      <c r="K687" s="27" t="s">
        <v>3547</v>
      </c>
    </row>
    <row r="688" spans="1:11" x14ac:dyDescent="0.25">
      <c r="A688">
        <v>38475</v>
      </c>
      <c r="B688" t="str">
        <f>_xlfn.CONCAT(bron[[#This Row],[personeelsnr]]," ",bron[[#This Row],[achternaam]]," ",bron[[#This Row],[voornaam]])</f>
        <v>38475 Verschraegen Katleen</v>
      </c>
      <c r="C688" t="str">
        <f>VLOOKUP(bron[[#This Row],[personeelsnr]],'data hastus'!$A:$C,2,0)</f>
        <v>Verschraegen</v>
      </c>
      <c r="D688" t="str">
        <f>VLOOKUP(bron[[#This Row],[personeelsnr]],'data hastus'!$A:$C,3,0)</f>
        <v>Katleen</v>
      </c>
      <c r="E688" t="str">
        <f>VLOOKUP(bron[[#This Row],[personeelsnr]],'data hastus'!A:K,11,FALSE)</f>
        <v>Els Dewulf</v>
      </c>
      <c r="F688" s="3">
        <v>45775</v>
      </c>
      <c r="G688" s="6" t="s">
        <v>1142</v>
      </c>
      <c r="H688" t="s">
        <v>3500</v>
      </c>
      <c r="I688" t="s">
        <v>84</v>
      </c>
      <c r="J688">
        <v>5930</v>
      </c>
      <c r="K688" s="27" t="s">
        <v>3547</v>
      </c>
    </row>
    <row r="689" spans="1:11" x14ac:dyDescent="0.25">
      <c r="A689">
        <v>40134</v>
      </c>
      <c r="B689" t="str">
        <f>_xlfn.CONCAT(bron[[#This Row],[personeelsnr]]," ",bron[[#This Row],[achternaam]]," ",bron[[#This Row],[voornaam]])</f>
        <v>40134 Cardon Sharon</v>
      </c>
      <c r="C689" t="str">
        <f>VLOOKUP(bron[[#This Row],[personeelsnr]],'data hastus'!$A:$C,2,0)</f>
        <v>Cardon</v>
      </c>
      <c r="D689" t="str">
        <f>VLOOKUP(bron[[#This Row],[personeelsnr]],'data hastus'!$A:$C,3,0)</f>
        <v>Sharon</v>
      </c>
      <c r="E689" t="str">
        <f>VLOOKUP(bron[[#This Row],[personeelsnr]],'data hastus'!A:K,11,FALSE)</f>
        <v>Dominique De Clercq</v>
      </c>
      <c r="F689" s="3">
        <v>45775</v>
      </c>
      <c r="G689" s="6" t="s">
        <v>1141</v>
      </c>
      <c r="H689" t="s">
        <v>3500</v>
      </c>
      <c r="I689" t="s">
        <v>179</v>
      </c>
      <c r="J689">
        <v>5770</v>
      </c>
      <c r="K689" s="27" t="s">
        <v>3547</v>
      </c>
    </row>
    <row r="690" spans="1:11" x14ac:dyDescent="0.25">
      <c r="A690">
        <v>40591</v>
      </c>
      <c r="B690" t="str">
        <f>_xlfn.CONCAT(bron[[#This Row],[personeelsnr]]," ",bron[[#This Row],[achternaam]]," ",bron[[#This Row],[voornaam]])</f>
        <v>40591 Hiloui Mahmoud</v>
      </c>
      <c r="C690" t="str">
        <f>VLOOKUP(bron[[#This Row],[personeelsnr]],'data hastus'!$A:$C,2,0)</f>
        <v>Hiloui</v>
      </c>
      <c r="D690" t="str">
        <f>VLOOKUP(bron[[#This Row],[personeelsnr]],'data hastus'!$A:$C,3,0)</f>
        <v>Mahmoud</v>
      </c>
      <c r="E690" t="str">
        <f>VLOOKUP(bron[[#This Row],[personeelsnr]],'data hastus'!A:K,11,FALSE)</f>
        <v>Dominique De Clercq</v>
      </c>
      <c r="F690" s="3">
        <v>45775</v>
      </c>
      <c r="G690" s="6" t="s">
        <v>1140</v>
      </c>
      <c r="H690" t="s">
        <v>3501</v>
      </c>
      <c r="I690" t="s">
        <v>157</v>
      </c>
      <c r="J690">
        <v>2208</v>
      </c>
      <c r="K690" s="27" t="s">
        <v>3547</v>
      </c>
    </row>
    <row r="691" spans="1:11" x14ac:dyDescent="0.25">
      <c r="A691">
        <v>24155</v>
      </c>
      <c r="B691" t="str">
        <f>_xlfn.CONCAT(bron[[#This Row],[personeelsnr]]," ",bron[[#This Row],[achternaam]]," ",bron[[#This Row],[voornaam]])</f>
        <v>24155 Luttens Koen</v>
      </c>
      <c r="C691" t="str">
        <f>VLOOKUP(bron[[#This Row],[personeelsnr]],'data hastus'!$A:$C,2,0)</f>
        <v>Luttens</v>
      </c>
      <c r="D691" t="str">
        <f>VLOOKUP(bron[[#This Row],[personeelsnr]],'data hastus'!$A:$C,3,0)</f>
        <v>Koen</v>
      </c>
      <c r="E691" t="str">
        <f>VLOOKUP(bron[[#This Row],[personeelsnr]],'data hastus'!A:K,11,FALSE)</f>
        <v>Els Vanhoe</v>
      </c>
      <c r="F691" s="3">
        <v>45776</v>
      </c>
      <c r="G691" s="6" t="s">
        <v>1143</v>
      </c>
      <c r="H691" t="s">
        <v>3536</v>
      </c>
      <c r="I691" t="s">
        <v>223</v>
      </c>
      <c r="J691">
        <v>6368</v>
      </c>
      <c r="K691" s="27" t="s">
        <v>3547</v>
      </c>
    </row>
    <row r="692" spans="1:11" x14ac:dyDescent="0.25">
      <c r="A692">
        <v>37908</v>
      </c>
      <c r="B692" t="str">
        <f>_xlfn.CONCAT(bron[[#This Row],[personeelsnr]]," ",bron[[#This Row],[achternaam]]," ",bron[[#This Row],[voornaam]])</f>
        <v>37908 Vandenberghe Michael</v>
      </c>
      <c r="C692" t="str">
        <f>VLOOKUP(bron[[#This Row],[personeelsnr]],'data hastus'!$A:$C,2,0)</f>
        <v>Vandenberghe</v>
      </c>
      <c r="D692" t="str">
        <f>VLOOKUP(bron[[#This Row],[personeelsnr]],'data hastus'!$A:$C,3,0)</f>
        <v>Michael</v>
      </c>
      <c r="E692" t="str">
        <f>VLOOKUP(bron[[#This Row],[personeelsnr]],'data hastus'!A:K,11,FALSE)</f>
        <v>Steven Storm</v>
      </c>
      <c r="F692" s="3">
        <v>45777</v>
      </c>
      <c r="G692" s="6" t="s">
        <v>1145</v>
      </c>
      <c r="H692" t="s">
        <v>3499</v>
      </c>
      <c r="I692" t="s">
        <v>25</v>
      </c>
      <c r="J692">
        <v>5054</v>
      </c>
      <c r="K692" s="27" t="s">
        <v>3547</v>
      </c>
    </row>
    <row r="693" spans="1:11" x14ac:dyDescent="0.25">
      <c r="A693">
        <v>38740</v>
      </c>
      <c r="B693" t="str">
        <f>_xlfn.CONCAT(bron[[#This Row],[personeelsnr]]," ",bron[[#This Row],[achternaam]]," ",bron[[#This Row],[voornaam]])</f>
        <v>38740 Meskens Anthony</v>
      </c>
      <c r="C693" t="str">
        <f>VLOOKUP(bron[[#This Row],[personeelsnr]],'data hastus'!$A:$C,2,0)</f>
        <v>Meskens</v>
      </c>
      <c r="D693" t="str">
        <f>VLOOKUP(bron[[#This Row],[personeelsnr]],'data hastus'!$A:$C,3,0)</f>
        <v>Anthony</v>
      </c>
      <c r="E693" t="str">
        <f>VLOOKUP(bron[[#This Row],[personeelsnr]],'data hastus'!A:K,11,FALSE)</f>
        <v>Christoff Rotty</v>
      </c>
      <c r="F693" s="3">
        <v>45777</v>
      </c>
      <c r="G693" s="6" t="s">
        <v>1286</v>
      </c>
      <c r="H693" t="s">
        <v>8</v>
      </c>
      <c r="I693" t="s">
        <v>845</v>
      </c>
      <c r="J693">
        <v>6322</v>
      </c>
      <c r="K693" s="27" t="s">
        <v>3548</v>
      </c>
    </row>
    <row r="694" spans="1:11" x14ac:dyDescent="0.25">
      <c r="A694">
        <v>41092</v>
      </c>
      <c r="B694" t="str">
        <f>_xlfn.CONCAT(bron[[#This Row],[personeelsnr]]," ",bron[[#This Row],[achternaam]]," ",bron[[#This Row],[voornaam]])</f>
        <v>41092 De Keyser Dorien</v>
      </c>
      <c r="C694" t="str">
        <f>VLOOKUP(bron[[#This Row],[personeelsnr]],'data hastus'!$A:$C,2,0)</f>
        <v>De Keyser</v>
      </c>
      <c r="D694" t="str">
        <f>VLOOKUP(bron[[#This Row],[personeelsnr]],'data hastus'!$A:$C,3,0)</f>
        <v>Dorien</v>
      </c>
      <c r="E694" t="str">
        <f>VLOOKUP(bron[[#This Row],[personeelsnr]],'data hastus'!A:K,11,FALSE)</f>
        <v>Dominique De Clercq</v>
      </c>
      <c r="F694" s="3">
        <v>45777</v>
      </c>
      <c r="G694" s="6" t="s">
        <v>1144</v>
      </c>
      <c r="H694" t="s">
        <v>3500</v>
      </c>
      <c r="I694" t="s">
        <v>133</v>
      </c>
      <c r="J694">
        <v>5912</v>
      </c>
      <c r="K694" s="27" t="s">
        <v>3547</v>
      </c>
    </row>
    <row r="695" spans="1:11" x14ac:dyDescent="0.25">
      <c r="A695">
        <v>30967</v>
      </c>
      <c r="B695" t="str">
        <f>_xlfn.CONCAT(bron[[#This Row],[personeelsnr]]," ",bron[[#This Row],[achternaam]]," ",bron[[#This Row],[voornaam]])</f>
        <v>30967 Taser Fatih</v>
      </c>
      <c r="C695" t="str">
        <f>VLOOKUP(bron[[#This Row],[personeelsnr]],'data hastus'!$A:$C,2,0)</f>
        <v>Taser</v>
      </c>
      <c r="D695" t="str">
        <f>VLOOKUP(bron[[#This Row],[personeelsnr]],'data hastus'!$A:$C,3,0)</f>
        <v>Fatih</v>
      </c>
      <c r="E695" t="str">
        <f>VLOOKUP(bron[[#This Row],[personeelsnr]],'data hastus'!A:K,11,FALSE)</f>
        <v>Dominique De Clercq</v>
      </c>
      <c r="F695" s="7">
        <v>45778</v>
      </c>
      <c r="G695" s="6" t="s">
        <v>1146</v>
      </c>
      <c r="H695" t="s">
        <v>3499</v>
      </c>
      <c r="I695" t="s">
        <v>19</v>
      </c>
      <c r="J695">
        <v>2205</v>
      </c>
      <c r="K695" s="27" t="s">
        <v>3547</v>
      </c>
    </row>
    <row r="696" spans="1:11" x14ac:dyDescent="0.25">
      <c r="A696">
        <v>40652</v>
      </c>
      <c r="B696" t="str">
        <f>_xlfn.CONCAT(bron[[#This Row],[personeelsnr]]," ",bron[[#This Row],[achternaam]]," ",bron[[#This Row],[voornaam]])</f>
        <v>40652 Van Damme Gilyann</v>
      </c>
      <c r="C696" t="str">
        <f>VLOOKUP(bron[[#This Row],[personeelsnr]],'data hastus'!$A:$C,2,0)</f>
        <v>Van Damme</v>
      </c>
      <c r="D696" t="str">
        <f>VLOOKUP(bron[[#This Row],[personeelsnr]],'data hastus'!$A:$C,3,0)</f>
        <v>Gilyann</v>
      </c>
      <c r="E696" t="str">
        <f>VLOOKUP(bron[[#This Row],[personeelsnr]],'data hastus'!A:K,11,FALSE)</f>
        <v>Els Vanhoe</v>
      </c>
      <c r="F696" s="3">
        <v>45779</v>
      </c>
      <c r="G696" s="6" t="s">
        <v>1008</v>
      </c>
      <c r="H696" t="s">
        <v>3501</v>
      </c>
      <c r="I696" t="s">
        <v>40</v>
      </c>
      <c r="J696">
        <v>5039</v>
      </c>
      <c r="K696" s="27" t="s">
        <v>3547</v>
      </c>
    </row>
    <row r="697" spans="1:1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7">
        <v>45779</v>
      </c>
      <c r="G697" s="6" t="s">
        <v>1147</v>
      </c>
      <c r="H697" t="s">
        <v>3501</v>
      </c>
      <c r="I697" t="s">
        <v>40</v>
      </c>
      <c r="J697">
        <v>2198</v>
      </c>
      <c r="K697" s="27" t="s">
        <v>3547</v>
      </c>
    </row>
    <row r="698" spans="1:11" x14ac:dyDescent="0.25">
      <c r="A698">
        <v>4608</v>
      </c>
      <c r="B698" t="str">
        <f>_xlfn.CONCAT(bron[[#This Row],[personeelsnr]]," ",bron[[#This Row],[achternaam]]," ",bron[[#This Row],[voornaam]])</f>
        <v>4608 Steenbrugge Johan</v>
      </c>
      <c r="C698" t="str">
        <f>VLOOKUP(bron[[#This Row],[personeelsnr]],'data hastus'!$A:$C,2,0)</f>
        <v>Steenbrugge</v>
      </c>
      <c r="D698" t="str">
        <f>VLOOKUP(bron[[#This Row],[personeelsnr]],'data hastus'!$A:$C,3,0)</f>
        <v>Johan</v>
      </c>
      <c r="E698" t="str">
        <f>VLOOKUP(bron[[#This Row],[personeelsnr]],'data hastus'!A:K,11,FALSE)</f>
        <v>Lucie Vande Velde</v>
      </c>
      <c r="F698" s="3">
        <v>45780</v>
      </c>
      <c r="G698" s="6" t="s">
        <v>1148</v>
      </c>
      <c r="H698" t="s">
        <v>3499</v>
      </c>
      <c r="I698" t="s">
        <v>34</v>
      </c>
      <c r="J698">
        <v>2208</v>
      </c>
      <c r="K698" s="27" t="s">
        <v>3547</v>
      </c>
    </row>
    <row r="699" spans="1:11" x14ac:dyDescent="0.25">
      <c r="A699">
        <v>33965</v>
      </c>
      <c r="B699" t="str">
        <f>_xlfn.CONCAT(bron[[#This Row],[personeelsnr]]," ",bron[[#This Row],[achternaam]]," ",bron[[#This Row],[voornaam]])</f>
        <v>33965 Van de Gehuchte Gilles</v>
      </c>
      <c r="C699" t="str">
        <f>VLOOKUP(bron[[#This Row],[personeelsnr]],'data hastus'!$A:$C,2,0)</f>
        <v>Van de Gehuchte</v>
      </c>
      <c r="D699" t="str">
        <f>VLOOKUP(bron[[#This Row],[personeelsnr]],'data hastus'!$A:$C,3,0)</f>
        <v>Gilles</v>
      </c>
      <c r="E699" t="str">
        <f>VLOOKUP(bron[[#This Row],[personeelsnr]],'data hastus'!A:K,11,FALSE)</f>
        <v>Kenneth De Rick</v>
      </c>
      <c r="F699" s="7">
        <v>45781</v>
      </c>
      <c r="G699" s="6" t="s">
        <v>1149</v>
      </c>
      <c r="H699" t="s">
        <v>3535</v>
      </c>
      <c r="I699" t="s">
        <v>5</v>
      </c>
      <c r="J699">
        <v>6325</v>
      </c>
      <c r="K699" s="27" t="s">
        <v>3547</v>
      </c>
    </row>
    <row r="700" spans="1:11" x14ac:dyDescent="0.25">
      <c r="A700">
        <v>38731</v>
      </c>
      <c r="B700" t="str">
        <f>_xlfn.CONCAT(bron[[#This Row],[personeelsnr]]," ",bron[[#This Row],[achternaam]]," ",bron[[#This Row],[voornaam]])</f>
        <v>38731 Ben Sidhom Samir</v>
      </c>
      <c r="C700" t="str">
        <f>VLOOKUP(bron[[#This Row],[personeelsnr]],'data hastus'!$A:$C,2,0)</f>
        <v>Ben Sidhom</v>
      </c>
      <c r="D700" t="str">
        <f>VLOOKUP(bron[[#This Row],[personeelsnr]],'data hastus'!$A:$C,3,0)</f>
        <v>Samir</v>
      </c>
      <c r="E700" t="str">
        <f>VLOOKUP(bron[[#This Row],[personeelsnr]],'data hastus'!A:K,11,FALSE)</f>
        <v>Christoff Rotty</v>
      </c>
      <c r="F700" s="3">
        <v>45782</v>
      </c>
      <c r="G700" s="6" t="s">
        <v>1150</v>
      </c>
      <c r="H700" t="s">
        <v>3501</v>
      </c>
      <c r="I700" t="s">
        <v>13</v>
      </c>
      <c r="J700">
        <v>5053</v>
      </c>
      <c r="K700" s="27" t="s">
        <v>3547</v>
      </c>
    </row>
    <row r="701" spans="1:11" x14ac:dyDescent="0.25">
      <c r="A701">
        <v>39633</v>
      </c>
      <c r="B701" t="str">
        <f>_xlfn.CONCAT(bron[[#This Row],[personeelsnr]]," ",bron[[#This Row],[achternaam]]," ",bron[[#This Row],[voornaam]])</f>
        <v>39633 Duyck Kimberly</v>
      </c>
      <c r="C701" t="str">
        <f>VLOOKUP(bron[[#This Row],[personeelsnr]],'data hastus'!$A:$C,2,0)</f>
        <v>Duyck</v>
      </c>
      <c r="D701" t="str">
        <f>VLOOKUP(bron[[#This Row],[personeelsnr]],'data hastus'!$A:$C,3,0)</f>
        <v>Kimberly</v>
      </c>
      <c r="E701" t="str">
        <f>VLOOKUP(bron[[#This Row],[personeelsnr]],'data hastus'!A:K,11,FALSE)</f>
        <v>Lucie Vande Velde</v>
      </c>
      <c r="F701" s="3">
        <v>45782</v>
      </c>
      <c r="G701" s="6" t="s">
        <v>1312</v>
      </c>
      <c r="H701" t="s">
        <v>3500</v>
      </c>
      <c r="I701" t="s">
        <v>475</v>
      </c>
      <c r="J701">
        <v>4667</v>
      </c>
      <c r="K701" s="27" t="s">
        <v>3548</v>
      </c>
    </row>
    <row r="702" spans="1:11" x14ac:dyDescent="0.25">
      <c r="A702">
        <v>37662</v>
      </c>
      <c r="B702" t="str">
        <f>_xlfn.CONCAT(bron[[#This Row],[personeelsnr]]," ",bron[[#This Row],[achternaam]]," ",bron[[#This Row],[voornaam]])</f>
        <v>37662 Van den Meerssche Steven</v>
      </c>
      <c r="C702" t="str">
        <f>VLOOKUP(bron[[#This Row],[personeelsnr]],'data hastus'!$A:$C,2,0)</f>
        <v>Van den Meerssche</v>
      </c>
      <c r="D702" t="str">
        <f>VLOOKUP(bron[[#This Row],[personeelsnr]],'data hastus'!$A:$C,3,0)</f>
        <v>Steven</v>
      </c>
      <c r="E702" t="str">
        <f>VLOOKUP(bron[[#This Row],[personeelsnr]],'data hastus'!A:K,11,FALSE)</f>
        <v>Bart Van Der Beken</v>
      </c>
      <c r="F702" s="3">
        <v>45783</v>
      </c>
      <c r="G702" s="6" t="s">
        <v>1280</v>
      </c>
      <c r="H702" t="s">
        <v>3499</v>
      </c>
      <c r="I702" t="s">
        <v>34</v>
      </c>
      <c r="J702">
        <v>5044</v>
      </c>
      <c r="K702" s="27" t="s">
        <v>3548</v>
      </c>
    </row>
    <row r="703" spans="1:11" x14ac:dyDescent="0.25">
      <c r="A703">
        <v>40938</v>
      </c>
      <c r="B703" t="str">
        <f>_xlfn.CONCAT(bron[[#This Row],[personeelsnr]]," ",bron[[#This Row],[achternaam]]," ",bron[[#This Row],[voornaam]])</f>
        <v>40938 Hasnaoui Nejmeddine</v>
      </c>
      <c r="C703" t="str">
        <f>VLOOKUP(bron[[#This Row],[personeelsnr]],'data hastus'!$A:$C,2,0)</f>
        <v>Hasnaoui</v>
      </c>
      <c r="D703" t="str">
        <f>VLOOKUP(bron[[#This Row],[personeelsnr]],'data hastus'!$A:$C,3,0)</f>
        <v>Nejmeddine</v>
      </c>
      <c r="E703" t="str">
        <f>VLOOKUP(bron[[#This Row],[personeelsnr]],'data hastus'!A:K,11,FALSE)</f>
        <v>Dominique De Clercq</v>
      </c>
      <c r="F703" s="7">
        <v>45783</v>
      </c>
      <c r="G703" s="6" t="s">
        <v>1151</v>
      </c>
      <c r="H703" t="s">
        <v>3499</v>
      </c>
      <c r="I703" t="s">
        <v>43</v>
      </c>
      <c r="J703">
        <v>2196</v>
      </c>
      <c r="K703" s="27" t="s">
        <v>3547</v>
      </c>
    </row>
    <row r="704" spans="1:11" x14ac:dyDescent="0.25">
      <c r="A704">
        <v>40652</v>
      </c>
      <c r="B704" t="str">
        <f>_xlfn.CONCAT(bron[[#This Row],[personeelsnr]]," ",bron[[#This Row],[achternaam]]," ",bron[[#This Row],[voornaam]])</f>
        <v>40652 Van Damme Gilyann</v>
      </c>
      <c r="C704" t="str">
        <f>VLOOKUP(bron[[#This Row],[personeelsnr]],'data hastus'!$A:$C,2,0)</f>
        <v>Van Damme</v>
      </c>
      <c r="D704" t="str">
        <f>VLOOKUP(bron[[#This Row],[personeelsnr]],'data hastus'!$A:$C,3,0)</f>
        <v>Gilyann</v>
      </c>
      <c r="E704" t="str">
        <f>VLOOKUP(bron[[#This Row],[personeelsnr]],'data hastus'!A:K,11,FALSE)</f>
        <v>Els Vanhoe</v>
      </c>
      <c r="F704" s="3">
        <v>45784</v>
      </c>
      <c r="G704" s="6" t="s">
        <v>1152</v>
      </c>
      <c r="H704" t="s">
        <v>3501</v>
      </c>
      <c r="I704" t="s">
        <v>295</v>
      </c>
      <c r="J704">
        <v>2196</v>
      </c>
      <c r="K704" s="27" t="s">
        <v>3547</v>
      </c>
    </row>
    <row r="705" spans="1:11" x14ac:dyDescent="0.25">
      <c r="A705">
        <v>38931</v>
      </c>
      <c r="B705" t="str">
        <f>_xlfn.CONCAT(bron[[#This Row],[personeelsnr]]," ",bron[[#This Row],[achternaam]]," ",bron[[#This Row],[voornaam]])</f>
        <v>38931 Sancak Eyuphan</v>
      </c>
      <c r="C705" t="str">
        <f>VLOOKUP(bron[[#This Row],[personeelsnr]],'data hastus'!$A:$C,2,0)</f>
        <v>Sancak</v>
      </c>
      <c r="D705" t="str">
        <f>VLOOKUP(bron[[#This Row],[personeelsnr]],'data hastus'!$A:$C,3,0)</f>
        <v>Eyuphan</v>
      </c>
      <c r="E705" t="str">
        <f>VLOOKUP(bron[[#This Row],[personeelsnr]],'data hastus'!A:K,11,FALSE)</f>
        <v>Bart Van Der Beken</v>
      </c>
      <c r="F705" s="3">
        <v>45786</v>
      </c>
      <c r="G705" s="6" t="s">
        <v>1153</v>
      </c>
      <c r="H705" t="s">
        <v>3500</v>
      </c>
      <c r="I705" t="s">
        <v>165</v>
      </c>
      <c r="J705">
        <v>4678</v>
      </c>
      <c r="K705" s="27" t="s">
        <v>3547</v>
      </c>
    </row>
    <row r="706" spans="1:11" x14ac:dyDescent="0.25">
      <c r="A706">
        <v>27672</v>
      </c>
      <c r="B706" t="str">
        <f>_xlfn.CONCAT(bron[[#This Row],[personeelsnr]]," ",bron[[#This Row],[achternaam]]," ",bron[[#This Row],[voornaam]])</f>
        <v>27672 Criel Veronique</v>
      </c>
      <c r="C706" t="str">
        <f>VLOOKUP(bron[[#This Row],[personeelsnr]],'data hastus'!$A:$C,2,0)</f>
        <v>Criel</v>
      </c>
      <c r="D706" t="str">
        <f>VLOOKUP(bron[[#This Row],[personeelsnr]],'data hastus'!$A:$C,3,0)</f>
        <v>Veronique</v>
      </c>
      <c r="E706" t="str">
        <f>VLOOKUP(bron[[#This Row],[personeelsnr]],'data hastus'!A:K,11,FALSE)</f>
        <v>Steven Storm</v>
      </c>
      <c r="F706" s="3">
        <v>45787</v>
      </c>
      <c r="G706" s="6" t="s">
        <v>1155</v>
      </c>
      <c r="H706" t="s">
        <v>3535</v>
      </c>
      <c r="I706" t="s">
        <v>72</v>
      </c>
      <c r="J706">
        <v>6311</v>
      </c>
      <c r="K706" s="27" t="s">
        <v>3547</v>
      </c>
    </row>
    <row r="707" spans="1:11" x14ac:dyDescent="0.25">
      <c r="A707">
        <v>31165</v>
      </c>
      <c r="B707" t="str">
        <f>_xlfn.CONCAT(bron[[#This Row],[personeelsnr]]," ",bron[[#This Row],[achternaam]]," ",bron[[#This Row],[voornaam]])</f>
        <v>31165 Govaerts Sandro</v>
      </c>
      <c r="C707" t="str">
        <f>VLOOKUP(bron[[#This Row],[personeelsnr]],'data hastus'!$A:$C,2,0)</f>
        <v>Govaerts</v>
      </c>
      <c r="D707" t="str">
        <f>VLOOKUP(bron[[#This Row],[personeelsnr]],'data hastus'!$A:$C,3,0)</f>
        <v>Sandro</v>
      </c>
      <c r="E707" t="str">
        <f>VLOOKUP(bron[[#This Row],[personeelsnr]],'data hastus'!A:K,11,FALSE)</f>
        <v>Lucie Vande Velde</v>
      </c>
      <c r="F707" s="3">
        <v>45787</v>
      </c>
      <c r="G707" s="6" t="s">
        <v>1154</v>
      </c>
      <c r="H707" t="s">
        <v>3499</v>
      </c>
      <c r="I707" t="s">
        <v>135</v>
      </c>
      <c r="J707">
        <v>5048</v>
      </c>
      <c r="K707" s="27" t="s">
        <v>3547</v>
      </c>
    </row>
    <row r="708" spans="1:11" x14ac:dyDescent="0.25">
      <c r="A708">
        <v>40138</v>
      </c>
      <c r="B708" t="str">
        <f>_xlfn.CONCAT(bron[[#This Row],[personeelsnr]]," ",bron[[#This Row],[achternaam]]," ",bron[[#This Row],[voornaam]])</f>
        <v>40138 Moerman Tjimmy</v>
      </c>
      <c r="C708" t="str">
        <f>VLOOKUP(bron[[#This Row],[personeelsnr]],'data hastus'!$A:$C,2,0)</f>
        <v>Moerman</v>
      </c>
      <c r="D708" t="str">
        <f>VLOOKUP(bron[[#This Row],[personeelsnr]],'data hastus'!$A:$C,3,0)</f>
        <v>Tjimmy</v>
      </c>
      <c r="E708" t="str">
        <f>VLOOKUP(bron[[#This Row],[personeelsnr]],'data hastus'!A:K,11,FALSE)</f>
        <v>Christoff Rotty</v>
      </c>
      <c r="F708" s="3">
        <v>45788</v>
      </c>
      <c r="G708" s="6" t="s">
        <v>1156</v>
      </c>
      <c r="H708" t="s">
        <v>3501</v>
      </c>
      <c r="I708" t="s">
        <v>25</v>
      </c>
      <c r="J708">
        <v>5047</v>
      </c>
      <c r="K708" s="27" t="s">
        <v>3547</v>
      </c>
    </row>
    <row r="709" spans="1:11" x14ac:dyDescent="0.25">
      <c r="A709">
        <v>39856</v>
      </c>
      <c r="B709" t="str">
        <f>_xlfn.CONCAT(bron[[#This Row],[personeelsnr]]," ",bron[[#This Row],[achternaam]]," ",bron[[#This Row],[voornaam]])</f>
        <v>39856 Curukcu Bayram</v>
      </c>
      <c r="C709" t="str">
        <f>VLOOKUP(bron[[#This Row],[personeelsnr]],'data hastus'!$A:$C,2,0)</f>
        <v>Curukcu</v>
      </c>
      <c r="D709" t="str">
        <f>VLOOKUP(bron[[#This Row],[personeelsnr]],'data hastus'!$A:$C,3,0)</f>
        <v>Bayram</v>
      </c>
      <c r="E709" t="str">
        <f>VLOOKUP(bron[[#This Row],[personeelsnr]],'data hastus'!A:K,11,FALSE)</f>
        <v>Kenneth De Rick</v>
      </c>
      <c r="F709" s="3">
        <v>45790</v>
      </c>
      <c r="G709" s="6" t="s">
        <v>1157</v>
      </c>
      <c r="H709" t="s">
        <v>3499</v>
      </c>
      <c r="I709" t="s">
        <v>161</v>
      </c>
      <c r="J709">
        <v>5265</v>
      </c>
      <c r="K709" s="27" t="s">
        <v>3547</v>
      </c>
    </row>
    <row r="710" spans="1:11" x14ac:dyDescent="0.25">
      <c r="A710">
        <v>29746</v>
      </c>
      <c r="B710" t="str">
        <f>_xlfn.CONCAT(bron[[#This Row],[personeelsnr]]," ",bron[[#This Row],[achternaam]]," ",bron[[#This Row],[voornaam]])</f>
        <v>29746 Huyse Annicke</v>
      </c>
      <c r="C710" t="str">
        <f>VLOOKUP(bron[[#This Row],[personeelsnr]],'data hastus'!$A:$C,2,0)</f>
        <v>Huyse</v>
      </c>
      <c r="D710" t="str">
        <f>VLOOKUP(bron[[#This Row],[personeelsnr]],'data hastus'!$A:$C,3,0)</f>
        <v>Annicke</v>
      </c>
      <c r="E710" t="str">
        <f>VLOOKUP(bron[[#This Row],[personeelsnr]],'data hastus'!A:K,11,FALSE)</f>
        <v>Bart Van Der Beken</v>
      </c>
      <c r="F710" s="7">
        <v>45791</v>
      </c>
      <c r="G710" s="6" t="s">
        <v>1158</v>
      </c>
      <c r="H710" t="s">
        <v>3499</v>
      </c>
      <c r="I710" t="s">
        <v>13</v>
      </c>
      <c r="J710">
        <v>5231</v>
      </c>
      <c r="K710" s="27" t="s">
        <v>3547</v>
      </c>
    </row>
    <row r="711" spans="1:11" x14ac:dyDescent="0.25">
      <c r="A711">
        <v>36428</v>
      </c>
      <c r="B711" t="str">
        <f>_xlfn.CONCAT(bron[[#This Row],[personeelsnr]]," ",bron[[#This Row],[achternaam]]," ",bron[[#This Row],[voornaam]])</f>
        <v>36428 Abdi Shaiye Rashid</v>
      </c>
      <c r="C711" t="str">
        <f>VLOOKUP(bron[[#This Row],[personeelsnr]],'data hastus'!$A:$C,2,0)</f>
        <v>Abdi Shaiye</v>
      </c>
      <c r="D711" t="str">
        <f>VLOOKUP(bron[[#This Row],[personeelsnr]],'data hastus'!$A:$C,3,0)</f>
        <v>Rashid</v>
      </c>
      <c r="E711" t="str">
        <f>VLOOKUP(bron[[#This Row],[personeelsnr]],'data hastus'!A:K,11,FALSE)</f>
        <v>Lucie Vande Velde</v>
      </c>
      <c r="F711" s="7">
        <v>45792</v>
      </c>
      <c r="G711" s="6" t="s">
        <v>1160</v>
      </c>
      <c r="H711" t="s">
        <v>3536</v>
      </c>
      <c r="I711" t="s">
        <v>10</v>
      </c>
      <c r="J711">
        <v>6367</v>
      </c>
      <c r="K711" s="27" t="s">
        <v>3547</v>
      </c>
    </row>
    <row r="712" spans="1:11" x14ac:dyDescent="0.25">
      <c r="A712">
        <v>40393</v>
      </c>
      <c r="B712" t="str">
        <f>_xlfn.CONCAT(bron[[#This Row],[personeelsnr]]," ",bron[[#This Row],[achternaam]]," ",bron[[#This Row],[voornaam]])</f>
        <v>40393 Salimova Eydzhan</v>
      </c>
      <c r="C712" t="str">
        <f>VLOOKUP(bron[[#This Row],[personeelsnr]],'data hastus'!$A:$C,2,0)</f>
        <v>Salimova</v>
      </c>
      <c r="D712" t="str">
        <f>VLOOKUP(bron[[#This Row],[personeelsnr]],'data hastus'!$A:$C,3,0)</f>
        <v>Eydzhan</v>
      </c>
      <c r="E712" t="str">
        <f>VLOOKUP(bron[[#This Row],[personeelsnr]],'data hastus'!A:K,11,FALSE)</f>
        <v>Dominique De Clercq</v>
      </c>
      <c r="F712" s="7">
        <v>45792</v>
      </c>
      <c r="G712" s="6" t="s">
        <v>1159</v>
      </c>
      <c r="H712" t="s">
        <v>3500</v>
      </c>
      <c r="I712" t="s">
        <v>175</v>
      </c>
      <c r="J712">
        <v>7897</v>
      </c>
      <c r="K712" s="27" t="s">
        <v>3547</v>
      </c>
    </row>
    <row r="713" spans="1:11" x14ac:dyDescent="0.25">
      <c r="A713">
        <v>41230</v>
      </c>
      <c r="B713" t="str">
        <f>_xlfn.CONCAT(bron[[#This Row],[personeelsnr]]," ",bron[[#This Row],[achternaam]]," ",bron[[#This Row],[voornaam]])</f>
        <v>41230 De Witte Bart</v>
      </c>
      <c r="C713" t="str">
        <f>VLOOKUP(bron[[#This Row],[personeelsnr]],'data hastus'!$A:$C,2,0)</f>
        <v>De Witte</v>
      </c>
      <c r="D713" t="str">
        <f>VLOOKUP(bron[[#This Row],[personeelsnr]],'data hastus'!$A:$C,3,0)</f>
        <v>Bart</v>
      </c>
      <c r="E713" t="str">
        <f>VLOOKUP(bron[[#This Row],[personeelsnr]],'data hastus'!A:K,11,FALSE)</f>
        <v>Dominique De Clercq</v>
      </c>
      <c r="F713" s="7">
        <v>45794</v>
      </c>
      <c r="G713" s="6" t="s">
        <v>1161</v>
      </c>
      <c r="H713" t="s">
        <v>3500</v>
      </c>
      <c r="I713" t="s">
        <v>281</v>
      </c>
      <c r="J713">
        <v>5924</v>
      </c>
      <c r="K713" s="27" t="s">
        <v>3547</v>
      </c>
    </row>
    <row r="714" spans="1:11" x14ac:dyDescent="0.25">
      <c r="A714">
        <v>26960</v>
      </c>
      <c r="B714" t="str">
        <f>_xlfn.CONCAT(bron[[#This Row],[personeelsnr]]," ",bron[[#This Row],[achternaam]]," ",bron[[#This Row],[voornaam]])</f>
        <v>26960 Toubadie Mossa</v>
      </c>
      <c r="C714" t="str">
        <f>VLOOKUP(bron[[#This Row],[personeelsnr]],'data hastus'!$A:$C,2,0)</f>
        <v>Toubadie</v>
      </c>
      <c r="D714" t="str">
        <f>VLOOKUP(bron[[#This Row],[personeelsnr]],'data hastus'!$A:$C,3,0)</f>
        <v>Mossa</v>
      </c>
      <c r="E714" t="str">
        <f>VLOOKUP(bron[[#This Row],[personeelsnr]],'data hastus'!A:K,11,FALSE)</f>
        <v>Els Vanhoe</v>
      </c>
      <c r="F714" s="14">
        <v>45798</v>
      </c>
      <c r="G714" s="6" t="s">
        <v>1302</v>
      </c>
      <c r="H714" t="s">
        <v>3500</v>
      </c>
      <c r="I714" t="s">
        <v>131</v>
      </c>
      <c r="J714">
        <v>5935</v>
      </c>
      <c r="K714" s="27" t="s">
        <v>3548</v>
      </c>
    </row>
    <row r="715" spans="1:11" x14ac:dyDescent="0.25">
      <c r="A715">
        <v>38648</v>
      </c>
      <c r="B715" t="str">
        <f>_xlfn.CONCAT(bron[[#This Row],[personeelsnr]]," ",bron[[#This Row],[achternaam]]," ",bron[[#This Row],[voornaam]])</f>
        <v>38648 Uckuyulu Muhammet Emin</v>
      </c>
      <c r="C715" t="str">
        <f>VLOOKUP(bron[[#This Row],[personeelsnr]],'data hastus'!$A:$C,2,0)</f>
        <v>Uckuyulu</v>
      </c>
      <c r="D715" t="str">
        <f>VLOOKUP(bron[[#This Row],[personeelsnr]],'data hastus'!$A:$C,3,0)</f>
        <v>Muhammet Emin</v>
      </c>
      <c r="E715" t="str">
        <f>VLOOKUP(bron[[#This Row],[personeelsnr]],'data hastus'!A:K,11,FALSE)</f>
        <v>Lucie Vande Velde</v>
      </c>
      <c r="F715" s="7">
        <v>45798</v>
      </c>
      <c r="G715" s="6" t="s">
        <v>1163</v>
      </c>
      <c r="H715" t="s">
        <v>3535</v>
      </c>
      <c r="I715" t="s">
        <v>173</v>
      </c>
      <c r="J715">
        <v>6333</v>
      </c>
      <c r="K715" s="27" t="s">
        <v>3547</v>
      </c>
    </row>
    <row r="716" spans="1:11" x14ac:dyDescent="0.25">
      <c r="A716">
        <v>41710</v>
      </c>
      <c r="B716" t="str">
        <f>_xlfn.CONCAT(bron[[#This Row],[personeelsnr]]," ",bron[[#This Row],[achternaam]]," ",bron[[#This Row],[voornaam]])</f>
        <v>41710 Ghani Fazal</v>
      </c>
      <c r="C716" t="str">
        <f>VLOOKUP(bron[[#This Row],[personeelsnr]],'data hastus'!$A:$C,2,0)</f>
        <v>Ghani</v>
      </c>
      <c r="D716" t="str">
        <f>VLOOKUP(bron[[#This Row],[personeelsnr]],'data hastus'!$A:$C,3,0)</f>
        <v>Fazal</v>
      </c>
      <c r="E716" t="str">
        <f>VLOOKUP(bron[[#This Row],[personeelsnr]],'data hastus'!A:K,11,FALSE)</f>
        <v>Els Vanhoe</v>
      </c>
      <c r="F716" s="7">
        <v>45798</v>
      </c>
      <c r="G716" s="6" t="s">
        <v>1162</v>
      </c>
      <c r="H716" t="s">
        <v>3500</v>
      </c>
      <c r="I716" t="s">
        <v>108</v>
      </c>
      <c r="J716">
        <v>2546</v>
      </c>
      <c r="K716" s="27" t="s">
        <v>3547</v>
      </c>
    </row>
    <row r="717" spans="1:11" x14ac:dyDescent="0.25">
      <c r="A717">
        <v>41671</v>
      </c>
      <c r="B717" t="str">
        <f>_xlfn.CONCAT(bron[[#This Row],[personeelsnr]]," ",bron[[#This Row],[achternaam]]," ",bron[[#This Row],[voornaam]])</f>
        <v>41671 Hasan Salem</v>
      </c>
      <c r="C717" t="str">
        <f>VLOOKUP(bron[[#This Row],[personeelsnr]],'data hastus'!$A:$C,2,0)</f>
        <v>Hasan</v>
      </c>
      <c r="D717" t="str">
        <f>VLOOKUP(bron[[#This Row],[personeelsnr]],'data hastus'!$A:$C,3,0)</f>
        <v>Salem</v>
      </c>
      <c r="E717" t="str">
        <f>VLOOKUP(bron[[#This Row],[personeelsnr]],'data hastus'!A:K,11,FALSE)</f>
        <v>Bart Van Der Beken</v>
      </c>
      <c r="F717" s="7">
        <v>45799</v>
      </c>
      <c r="G717" s="6" t="s">
        <v>1164</v>
      </c>
      <c r="H717" t="s">
        <v>3500</v>
      </c>
      <c r="I717" t="s">
        <v>46</v>
      </c>
      <c r="J717">
        <v>8232</v>
      </c>
      <c r="K717" s="27" t="s">
        <v>3547</v>
      </c>
    </row>
    <row r="718" spans="1:11" x14ac:dyDescent="0.25">
      <c r="A718">
        <v>39651</v>
      </c>
      <c r="B718" t="str">
        <f>_xlfn.CONCAT(bron[[#This Row],[personeelsnr]]," ",bron[[#This Row],[achternaam]]," ",bron[[#This Row],[voornaam]])</f>
        <v>39651 Kallenbach Sunny</v>
      </c>
      <c r="C718" t="str">
        <f>VLOOKUP(bron[[#This Row],[personeelsnr]],'data hastus'!$A:$C,2,0)</f>
        <v>Kallenbach</v>
      </c>
      <c r="D718" t="str">
        <f>VLOOKUP(bron[[#This Row],[personeelsnr]],'data hastus'!$A:$C,3,0)</f>
        <v>Sunny</v>
      </c>
      <c r="E718" t="str">
        <f>VLOOKUP(bron[[#This Row],[personeelsnr]],'data hastus'!A:K,11,FALSE)</f>
        <v>Kenneth De Rick</v>
      </c>
      <c r="F718" s="7">
        <v>45800</v>
      </c>
      <c r="G718" s="6" t="s">
        <v>1167</v>
      </c>
      <c r="H718" t="s">
        <v>3500</v>
      </c>
      <c r="I718" t="s">
        <v>10</v>
      </c>
      <c r="J718">
        <v>5238</v>
      </c>
      <c r="K718" s="27" t="s">
        <v>3548</v>
      </c>
    </row>
    <row r="719" spans="1:11" x14ac:dyDescent="0.25">
      <c r="A719">
        <v>40278</v>
      </c>
      <c r="B719" t="str">
        <f>_xlfn.CONCAT(bron[[#This Row],[personeelsnr]]," ",bron[[#This Row],[achternaam]]," ",bron[[#This Row],[voornaam]])</f>
        <v>40278 Ates Firat</v>
      </c>
      <c r="C719" t="str">
        <f>VLOOKUP(bron[[#This Row],[personeelsnr]],'data hastus'!$A:$C,2,0)</f>
        <v>Ates</v>
      </c>
      <c r="D719" t="str">
        <f>VLOOKUP(bron[[#This Row],[personeelsnr]],'data hastus'!$A:$C,3,0)</f>
        <v>Firat</v>
      </c>
      <c r="E719" t="str">
        <f>VLOOKUP(bron[[#This Row],[personeelsnr]],'data hastus'!A:K,11,FALSE)</f>
        <v>Christoff Rotty</v>
      </c>
      <c r="F719" s="7">
        <v>45800</v>
      </c>
      <c r="G719" s="5" t="s">
        <v>1166</v>
      </c>
      <c r="H719" t="s">
        <v>3501</v>
      </c>
      <c r="I719" t="s">
        <v>37</v>
      </c>
      <c r="J719">
        <v>0</v>
      </c>
      <c r="K719" s="27" t="s">
        <v>3547</v>
      </c>
    </row>
    <row r="720" spans="1:11" x14ac:dyDescent="0.25">
      <c r="A720">
        <v>41482</v>
      </c>
      <c r="B720" t="str">
        <f>_xlfn.CONCAT(bron[[#This Row],[personeelsnr]]," ",bron[[#This Row],[achternaam]]," ",bron[[#This Row],[voornaam]])</f>
        <v>41482 Özdemir Osman</v>
      </c>
      <c r="C720" t="str">
        <f>VLOOKUP(bron[[#This Row],[personeelsnr]],'data hastus'!$A:$C,2,0)</f>
        <v>Özdemir</v>
      </c>
      <c r="D720" t="str">
        <f>VLOOKUP(bron[[#This Row],[personeelsnr]],'data hastus'!$A:$C,3,0)</f>
        <v>Osman</v>
      </c>
      <c r="E720" t="str">
        <f>VLOOKUP(bron[[#This Row],[personeelsnr]],'data hastus'!A:K,11,FALSE)</f>
        <v>Bart Van Der Beken</v>
      </c>
      <c r="F720" s="7">
        <v>45800</v>
      </c>
      <c r="G720" s="6" t="s">
        <v>1165</v>
      </c>
      <c r="H720" t="s">
        <v>3500</v>
      </c>
      <c r="I720" t="s">
        <v>34</v>
      </c>
      <c r="J720">
        <v>5928</v>
      </c>
      <c r="K720" s="27" t="s">
        <v>3547</v>
      </c>
    </row>
    <row r="721" spans="1:11" x14ac:dyDescent="0.25">
      <c r="A721">
        <v>15282</v>
      </c>
      <c r="B721" t="str">
        <f>_xlfn.CONCAT(bron[[#This Row],[personeelsnr]]," ",bron[[#This Row],[achternaam]]," ",bron[[#This Row],[voornaam]])</f>
        <v>15282 Marinx Kristoff</v>
      </c>
      <c r="C721" t="str">
        <f>VLOOKUP(bron[[#This Row],[personeelsnr]],'data hastus'!$A:$C,2,0)</f>
        <v>Marinx</v>
      </c>
      <c r="D721" t="str">
        <f>VLOOKUP(bron[[#This Row],[personeelsnr]],'data hastus'!$A:$C,3,0)</f>
        <v>Kristoff</v>
      </c>
      <c r="E721" t="str">
        <f>VLOOKUP(bron[[#This Row],[personeelsnr]],'data hastus'!A:K,11,FALSE)</f>
        <v>Kenneth De Rick</v>
      </c>
      <c r="F721" s="7">
        <v>45803</v>
      </c>
      <c r="G721" s="6" t="s">
        <v>1170</v>
      </c>
      <c r="H721" t="s">
        <v>3535</v>
      </c>
      <c r="I721" t="s">
        <v>129</v>
      </c>
      <c r="J721">
        <v>6322</v>
      </c>
      <c r="K721" s="27" t="s">
        <v>3547</v>
      </c>
    </row>
    <row r="722" spans="1:11" x14ac:dyDescent="0.25">
      <c r="A722">
        <v>15412</v>
      </c>
      <c r="B722" t="str">
        <f>_xlfn.CONCAT(bron[[#This Row],[personeelsnr]]," ",bron[[#This Row],[achternaam]]," ",bron[[#This Row],[voornaam]])</f>
        <v>15412 Dhondt Frank</v>
      </c>
      <c r="C722" t="str">
        <f>VLOOKUP(bron[[#This Row],[personeelsnr]],'data hastus'!$A:$C,2,0)</f>
        <v>Dhondt</v>
      </c>
      <c r="D722" t="str">
        <f>VLOOKUP(bron[[#This Row],[personeelsnr]],'data hastus'!$A:$C,3,0)</f>
        <v>Frank</v>
      </c>
      <c r="E722" t="str">
        <f>VLOOKUP(bron[[#This Row],[personeelsnr]],'data hastus'!A:K,11,FALSE)</f>
        <v>Bart Van Der Beken</v>
      </c>
      <c r="F722" s="7">
        <v>45803</v>
      </c>
      <c r="G722" s="6" t="s">
        <v>1168</v>
      </c>
      <c r="H722" t="s">
        <v>3501</v>
      </c>
      <c r="I722" t="s">
        <v>115</v>
      </c>
      <c r="J722">
        <v>5266</v>
      </c>
      <c r="K722" s="27" t="s">
        <v>3547</v>
      </c>
    </row>
    <row r="723" spans="1:11" x14ac:dyDescent="0.25">
      <c r="A723">
        <v>36438</v>
      </c>
      <c r="B723" t="str">
        <f>_xlfn.CONCAT(bron[[#This Row],[personeelsnr]]," ",bron[[#This Row],[achternaam]]," ",bron[[#This Row],[voornaam]])</f>
        <v>36438 Agil Birol</v>
      </c>
      <c r="C723" t="str">
        <f>VLOOKUP(bron[[#This Row],[personeelsnr]],'data hastus'!$A:$C,2,0)</f>
        <v>Agil</v>
      </c>
      <c r="D723" t="str">
        <f>VLOOKUP(bron[[#This Row],[personeelsnr]],'data hastus'!$A:$C,3,0)</f>
        <v>Birol</v>
      </c>
      <c r="E723" t="str">
        <f>VLOOKUP(bron[[#This Row],[personeelsnr]],'data hastus'!A:K,11,FALSE)</f>
        <v>Bart Van Der Beken</v>
      </c>
      <c r="F723" s="3">
        <v>45803</v>
      </c>
      <c r="G723" s="6" t="s">
        <v>1169</v>
      </c>
      <c r="H723" t="s">
        <v>3535</v>
      </c>
      <c r="I723" t="s">
        <v>75</v>
      </c>
      <c r="J723">
        <v>6314</v>
      </c>
      <c r="K723" s="27" t="s">
        <v>3547</v>
      </c>
    </row>
    <row r="724" spans="1:11" x14ac:dyDescent="0.25">
      <c r="A724">
        <v>40856</v>
      </c>
      <c r="B724" t="str">
        <f>_xlfn.CONCAT(bron[[#This Row],[personeelsnr]]," ",bron[[#This Row],[achternaam]]," ",bron[[#This Row],[voornaam]])</f>
        <v>40856 Neissi Sadegh</v>
      </c>
      <c r="C724" t="str">
        <f>VLOOKUP(bron[[#This Row],[personeelsnr]],'data hastus'!$A:$C,2,0)</f>
        <v>Neissi</v>
      </c>
      <c r="D724" t="str">
        <f>VLOOKUP(bron[[#This Row],[personeelsnr]],'data hastus'!$A:$C,3,0)</f>
        <v>Sadegh</v>
      </c>
      <c r="E724" t="str">
        <f>VLOOKUP(bron[[#This Row],[personeelsnr]],'data hastus'!A:K,11,FALSE)</f>
        <v>Kenneth De Rick</v>
      </c>
      <c r="F724" s="7">
        <v>45806</v>
      </c>
      <c r="G724" s="6" t="s">
        <v>1171</v>
      </c>
      <c r="H724" t="s">
        <v>3499</v>
      </c>
      <c r="I724" t="s">
        <v>125</v>
      </c>
      <c r="J724">
        <v>5630</v>
      </c>
      <c r="K724" s="27" t="s">
        <v>3547</v>
      </c>
    </row>
    <row r="725" spans="1:11" x14ac:dyDescent="0.25">
      <c r="A725">
        <v>41619</v>
      </c>
      <c r="B725" t="str">
        <f>_xlfn.CONCAT(bron[[#This Row],[personeelsnr]]," ",bron[[#This Row],[achternaam]]," ",bron[[#This Row],[voornaam]])</f>
        <v>41619 Bachiri Ousama</v>
      </c>
      <c r="C725" t="str">
        <f>VLOOKUP(bron[[#This Row],[personeelsnr]],'data hastus'!$A:$C,2,0)</f>
        <v>Bachiri</v>
      </c>
      <c r="D725" t="str">
        <f>VLOOKUP(bron[[#This Row],[personeelsnr]],'data hastus'!$A:$C,3,0)</f>
        <v>Ousama</v>
      </c>
      <c r="E725" t="str">
        <f>VLOOKUP(bron[[#This Row],[personeelsnr]],'data hastus'!A:K,11,FALSE)</f>
        <v>Bart Van Der Beken</v>
      </c>
      <c r="F725" s="7">
        <v>45807</v>
      </c>
      <c r="G725" s="6" t="s">
        <v>1172</v>
      </c>
      <c r="H725" t="s">
        <v>3500</v>
      </c>
      <c r="I725" t="s">
        <v>57</v>
      </c>
      <c r="J725">
        <v>5927</v>
      </c>
      <c r="K725" s="27" t="s">
        <v>3547</v>
      </c>
    </row>
    <row r="726" spans="1:11" x14ac:dyDescent="0.25">
      <c r="A726">
        <v>39927</v>
      </c>
      <c r="B726" t="str">
        <f>_xlfn.CONCAT(bron[[#This Row],[personeelsnr]]," ",bron[[#This Row],[achternaam]]," ",bron[[#This Row],[voornaam]])</f>
        <v>39927 De Wilde Jordy</v>
      </c>
      <c r="C726" t="str">
        <f>VLOOKUP(bron[[#This Row],[personeelsnr]],'data hastus'!$A:$C,2,0)</f>
        <v>De Wilde</v>
      </c>
      <c r="D726" t="str">
        <f>VLOOKUP(bron[[#This Row],[personeelsnr]],'data hastus'!$A:$C,3,0)</f>
        <v>Jordy</v>
      </c>
      <c r="E726" t="str">
        <f>VLOOKUP(bron[[#This Row],[personeelsnr]],'data hastus'!A:K,11,FALSE)</f>
        <v>Christoff Rotty</v>
      </c>
      <c r="F726" s="7">
        <v>45808</v>
      </c>
      <c r="G726" s="6" t="s">
        <v>1173</v>
      </c>
      <c r="H726" t="s">
        <v>3536</v>
      </c>
      <c r="I726" t="s">
        <v>5</v>
      </c>
      <c r="J726">
        <v>6355</v>
      </c>
      <c r="K726" s="27" t="s">
        <v>3547</v>
      </c>
    </row>
    <row r="727" spans="1:11" x14ac:dyDescent="0.25">
      <c r="A727">
        <v>40036</v>
      </c>
      <c r="B727" t="str">
        <f>_xlfn.CONCAT(bron[[#This Row],[personeelsnr]]," ",bron[[#This Row],[achternaam]]," ",bron[[#This Row],[voornaam]])</f>
        <v>40036 Karakaya Oguz</v>
      </c>
      <c r="C727" t="str">
        <f>VLOOKUP(bron[[#This Row],[personeelsnr]],'data hastus'!$A:$C,2,0)</f>
        <v>Karakaya</v>
      </c>
      <c r="D727" t="str">
        <f>VLOOKUP(bron[[#This Row],[personeelsnr]],'data hastus'!$A:$C,3,0)</f>
        <v>Oguz</v>
      </c>
      <c r="E727" t="str">
        <f>VLOOKUP(bron[[#This Row],[personeelsnr]],'data hastus'!A:K,11,FALSE)</f>
        <v>Dominique De Clercq</v>
      </c>
      <c r="F727" s="7">
        <v>45810</v>
      </c>
      <c r="G727" s="6" t="s">
        <v>1176</v>
      </c>
      <c r="H727" t="s">
        <v>3500</v>
      </c>
      <c r="I727" t="s">
        <v>60</v>
      </c>
      <c r="J727">
        <v>5931</v>
      </c>
      <c r="K727" s="27" t="s">
        <v>3547</v>
      </c>
    </row>
    <row r="728" spans="1:11" x14ac:dyDescent="0.25">
      <c r="A728">
        <v>40278</v>
      </c>
      <c r="B728" t="str">
        <f>_xlfn.CONCAT(bron[[#This Row],[personeelsnr]]," ",bron[[#This Row],[achternaam]]," ",bron[[#This Row],[voornaam]])</f>
        <v>40278 Ates Firat</v>
      </c>
      <c r="C728" t="str">
        <f>VLOOKUP(bron[[#This Row],[personeelsnr]],'data hastus'!$A:$C,2,0)</f>
        <v>Ates</v>
      </c>
      <c r="D728" t="str">
        <f>VLOOKUP(bron[[#This Row],[personeelsnr]],'data hastus'!$A:$C,3,0)</f>
        <v>Firat</v>
      </c>
      <c r="E728" t="str">
        <f>VLOOKUP(bron[[#This Row],[personeelsnr]],'data hastus'!A:K,11,FALSE)</f>
        <v>Christoff Rotty</v>
      </c>
      <c r="F728" s="7">
        <v>45810</v>
      </c>
      <c r="G728" s="6" t="s">
        <v>1174</v>
      </c>
      <c r="H728" t="s">
        <v>3501</v>
      </c>
      <c r="I728" t="s">
        <v>98</v>
      </c>
      <c r="J728">
        <v>5236</v>
      </c>
      <c r="K728" s="27" t="s">
        <v>3547</v>
      </c>
    </row>
    <row r="729" spans="1:11" x14ac:dyDescent="0.25">
      <c r="A729">
        <v>41384</v>
      </c>
      <c r="B729" t="str">
        <f>_xlfn.CONCAT(bron[[#This Row],[personeelsnr]]," ",bron[[#This Row],[achternaam]]," ",bron[[#This Row],[voornaam]])</f>
        <v>41384 Hillaert Thimo</v>
      </c>
      <c r="C729" t="str">
        <f>VLOOKUP(bron[[#This Row],[personeelsnr]],'data hastus'!$A:$C,2,0)</f>
        <v>Hillaert</v>
      </c>
      <c r="D729" t="str">
        <f>VLOOKUP(bron[[#This Row],[personeelsnr]],'data hastus'!$A:$C,3,0)</f>
        <v>Thimo</v>
      </c>
      <c r="E729" t="str">
        <f>VLOOKUP(bron[[#This Row],[personeelsnr]],'data hastus'!A:K,11,FALSE)</f>
        <v>Christoff Rotty</v>
      </c>
      <c r="F729" s="7">
        <v>45810</v>
      </c>
      <c r="G729" s="6" t="s">
        <v>1175</v>
      </c>
      <c r="H729" t="s">
        <v>3500</v>
      </c>
      <c r="I729" t="s">
        <v>28</v>
      </c>
      <c r="J729">
        <v>5489</v>
      </c>
      <c r="K729" s="27" t="s">
        <v>3547</v>
      </c>
    </row>
    <row r="730" spans="1:11" x14ac:dyDescent="0.25">
      <c r="A730">
        <v>23918</v>
      </c>
      <c r="B730" t="str">
        <f>_xlfn.CONCAT(bron[[#This Row],[personeelsnr]]," ",bron[[#This Row],[achternaam]]," ",bron[[#This Row],[voornaam]])</f>
        <v>23918 D'Haeyere Bernard</v>
      </c>
      <c r="C730" t="str">
        <f>VLOOKUP(bron[[#This Row],[personeelsnr]],'data hastus'!$A:$C,2,0)</f>
        <v>D'Haeyere</v>
      </c>
      <c r="D730" t="str">
        <f>VLOOKUP(bron[[#This Row],[personeelsnr]],'data hastus'!$A:$C,3,0)</f>
        <v>Bernard</v>
      </c>
      <c r="E730" t="str">
        <f>VLOOKUP(bron[[#This Row],[personeelsnr]],'data hastus'!A:K,11,FALSE)</f>
        <v>Els Vanhoe</v>
      </c>
      <c r="F730" s="7">
        <v>45811</v>
      </c>
      <c r="G730" s="6" t="s">
        <v>1179</v>
      </c>
      <c r="H730" t="s">
        <v>3500</v>
      </c>
      <c r="I730" t="s">
        <v>155</v>
      </c>
      <c r="J730">
        <v>5931</v>
      </c>
      <c r="K730" s="27" t="s">
        <v>3547</v>
      </c>
    </row>
    <row r="731" spans="1:11" x14ac:dyDescent="0.25">
      <c r="A731">
        <v>36154</v>
      </c>
      <c r="B731" t="str">
        <f>_xlfn.CONCAT(bron[[#This Row],[personeelsnr]]," ",bron[[#This Row],[achternaam]]," ",bron[[#This Row],[voornaam]])</f>
        <v>36154 De Clercq Sven</v>
      </c>
      <c r="C731" t="str">
        <f>VLOOKUP(bron[[#This Row],[personeelsnr]],'data hastus'!$A:$C,2,0)</f>
        <v>De Clercq</v>
      </c>
      <c r="D731" t="str">
        <f>VLOOKUP(bron[[#This Row],[personeelsnr]],'data hastus'!$A:$C,3,0)</f>
        <v>Sven</v>
      </c>
      <c r="E731" t="str">
        <f>VLOOKUP(bron[[#This Row],[personeelsnr]],'data hastus'!A:K,11,FALSE)</f>
        <v>Lucie Vande Velde</v>
      </c>
      <c r="F731" s="7">
        <v>45811</v>
      </c>
      <c r="G731" s="6" t="s">
        <v>1180</v>
      </c>
      <c r="H731" t="s">
        <v>3536</v>
      </c>
      <c r="I731" t="s">
        <v>81</v>
      </c>
      <c r="J731">
        <v>6356</v>
      </c>
      <c r="K731" s="27" t="s">
        <v>3547</v>
      </c>
    </row>
    <row r="732" spans="1:11" x14ac:dyDescent="0.25">
      <c r="A732">
        <v>41064</v>
      </c>
      <c r="B732" t="str">
        <f>_xlfn.CONCAT(bron[[#This Row],[personeelsnr]]," ",bron[[#This Row],[achternaam]]," ",bron[[#This Row],[voornaam]])</f>
        <v>41064 Ardic Atilla</v>
      </c>
      <c r="C732" t="str">
        <f>VLOOKUP(bron[[#This Row],[personeelsnr]],'data hastus'!$A:$C,2,0)</f>
        <v>Ardic</v>
      </c>
      <c r="D732" t="str">
        <f>VLOOKUP(bron[[#This Row],[personeelsnr]],'data hastus'!$A:$C,3,0)</f>
        <v>Atilla</v>
      </c>
      <c r="E732" t="str">
        <f>VLOOKUP(bron[[#This Row],[personeelsnr]],'data hastus'!A:K,11,FALSE)</f>
        <v>Dominique De Clercq</v>
      </c>
      <c r="F732" s="7">
        <v>45811</v>
      </c>
      <c r="G732" s="6" t="s">
        <v>1177</v>
      </c>
      <c r="H732" t="s">
        <v>3500</v>
      </c>
      <c r="I732" t="s">
        <v>5</v>
      </c>
      <c r="J732">
        <v>5048</v>
      </c>
      <c r="K732" s="27" t="s">
        <v>3547</v>
      </c>
    </row>
    <row r="733" spans="1:11" x14ac:dyDescent="0.25">
      <c r="A733">
        <v>41246</v>
      </c>
      <c r="B733" t="str">
        <f>_xlfn.CONCAT(bron[[#This Row],[personeelsnr]]," ",bron[[#This Row],[achternaam]]," ",bron[[#This Row],[voornaam]])</f>
        <v>41246 Van Holsbeeck Yana</v>
      </c>
      <c r="C733" t="str">
        <f>VLOOKUP(bron[[#This Row],[personeelsnr]],'data hastus'!$A:$C,2,0)</f>
        <v>Van Holsbeeck</v>
      </c>
      <c r="D733" t="str">
        <f>VLOOKUP(bron[[#This Row],[personeelsnr]],'data hastus'!$A:$C,3,0)</f>
        <v>Yana</v>
      </c>
      <c r="E733" t="str">
        <f>VLOOKUP(bron[[#This Row],[personeelsnr]],'data hastus'!A:K,11,FALSE)</f>
        <v>Dominique De Clercq</v>
      </c>
      <c r="F733" s="7">
        <v>45811</v>
      </c>
      <c r="G733" s="6" t="s">
        <v>1178</v>
      </c>
      <c r="H733" t="s">
        <v>3500</v>
      </c>
      <c r="I733" t="s">
        <v>283</v>
      </c>
      <c r="J733">
        <v>5920</v>
      </c>
      <c r="K733" s="27" t="s">
        <v>3547</v>
      </c>
    </row>
    <row r="734" spans="1:11" x14ac:dyDescent="0.25">
      <c r="A734">
        <v>38481</v>
      </c>
      <c r="B734" t="str">
        <f>_xlfn.CONCAT(bron[[#This Row],[personeelsnr]]," ",bron[[#This Row],[achternaam]]," ",bron[[#This Row],[voornaam]])</f>
        <v>38481 Sari Devrim</v>
      </c>
      <c r="C734" t="str">
        <f>VLOOKUP(bron[[#This Row],[personeelsnr]],'data hastus'!$A:$C,2,0)</f>
        <v>Sari</v>
      </c>
      <c r="D734" t="str">
        <f>VLOOKUP(bron[[#This Row],[personeelsnr]],'data hastus'!$A:$C,3,0)</f>
        <v>Devrim</v>
      </c>
      <c r="E734" t="str">
        <f>VLOOKUP(bron[[#This Row],[personeelsnr]],'data hastus'!A:K,11,FALSE)</f>
        <v>Kenneth De Rick</v>
      </c>
      <c r="F734" s="7">
        <v>45812</v>
      </c>
      <c r="G734" s="6" t="s">
        <v>1181</v>
      </c>
      <c r="H734" t="s">
        <v>3500</v>
      </c>
      <c r="I734" t="s">
        <v>247</v>
      </c>
      <c r="J734">
        <v>0</v>
      </c>
      <c r="K734" s="27" t="s">
        <v>3547</v>
      </c>
    </row>
    <row r="735" spans="1:11" x14ac:dyDescent="0.25">
      <c r="A735">
        <v>30119</v>
      </c>
      <c r="B735" t="str">
        <f>_xlfn.CONCAT(bron[[#This Row],[personeelsnr]]," ",bron[[#This Row],[achternaam]]," ",bron[[#This Row],[voornaam]])</f>
        <v>30119 Haerens Tom</v>
      </c>
      <c r="C735" t="str">
        <f>VLOOKUP(bron[[#This Row],[personeelsnr]],'data hastus'!$A:$C,2,0)</f>
        <v>Haerens</v>
      </c>
      <c r="D735" t="str">
        <f>VLOOKUP(bron[[#This Row],[personeelsnr]],'data hastus'!$A:$C,3,0)</f>
        <v>Tom</v>
      </c>
      <c r="E735" t="str">
        <f>VLOOKUP(bron[[#This Row],[personeelsnr]],'data hastus'!A:K,11,FALSE)</f>
        <v>Dominique De Clercq</v>
      </c>
      <c r="F735" s="7">
        <v>45813</v>
      </c>
      <c r="G735" s="6" t="s">
        <v>1295</v>
      </c>
      <c r="H735" t="s">
        <v>8</v>
      </c>
      <c r="I735" t="s">
        <v>31</v>
      </c>
      <c r="J735">
        <v>6323</v>
      </c>
      <c r="K735" s="27" t="s">
        <v>3548</v>
      </c>
    </row>
    <row r="736" spans="1:11" x14ac:dyDescent="0.25">
      <c r="A736">
        <v>41032</v>
      </c>
      <c r="B736" t="str">
        <f>_xlfn.CONCAT(bron[[#This Row],[personeelsnr]]," ",bron[[#This Row],[achternaam]]," ",bron[[#This Row],[voornaam]])</f>
        <v>41032 Rocabado Hinojosa Lukas</v>
      </c>
      <c r="C736" t="str">
        <f>VLOOKUP(bron[[#This Row],[personeelsnr]],'data hastus'!$A:$C,2,0)</f>
        <v>Rocabado Hinojosa</v>
      </c>
      <c r="D736" t="str">
        <f>VLOOKUP(bron[[#This Row],[personeelsnr]],'data hastus'!$A:$C,3,0)</f>
        <v>Lukas</v>
      </c>
      <c r="E736" t="str">
        <f>VLOOKUP(bron[[#This Row],[personeelsnr]],'data hastus'!A:K,11,FALSE)</f>
        <v>Els Vanhoe</v>
      </c>
      <c r="F736" s="7">
        <v>45813</v>
      </c>
      <c r="G736" s="6" t="s">
        <v>1182</v>
      </c>
      <c r="H736" t="s">
        <v>3501</v>
      </c>
      <c r="I736" t="s">
        <v>117</v>
      </c>
      <c r="J736">
        <v>5237</v>
      </c>
      <c r="K736" s="27" t="s">
        <v>3547</v>
      </c>
    </row>
    <row r="737" spans="1:1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7">
        <v>45813</v>
      </c>
      <c r="G737" s="6" t="s">
        <v>1183</v>
      </c>
      <c r="H737" t="s">
        <v>3501</v>
      </c>
      <c r="I737" t="s">
        <v>34</v>
      </c>
      <c r="J737">
        <v>5237</v>
      </c>
      <c r="K737" s="27" t="s">
        <v>3547</v>
      </c>
    </row>
    <row r="738" spans="1:11" x14ac:dyDescent="0.25">
      <c r="A738">
        <v>36627</v>
      </c>
      <c r="B738" t="str">
        <f>_xlfn.CONCAT(bron[[#This Row],[personeelsnr]]," ",bron[[#This Row],[achternaam]]," ",bron[[#This Row],[voornaam]])</f>
        <v>36627 Dobbelaere David</v>
      </c>
      <c r="C738" t="str">
        <f>VLOOKUP(bron[[#This Row],[personeelsnr]],'data hastus'!$A:$C,2,0)</f>
        <v>Dobbelaere</v>
      </c>
      <c r="D738" t="str">
        <f>VLOOKUP(bron[[#This Row],[personeelsnr]],'data hastus'!$A:$C,3,0)</f>
        <v>David</v>
      </c>
      <c r="E738" t="str">
        <f>VLOOKUP(bron[[#This Row],[personeelsnr]],'data hastus'!A:K,11,FALSE)</f>
        <v>Els Dewulf</v>
      </c>
      <c r="F738" s="7">
        <v>45814</v>
      </c>
      <c r="G738" s="6" t="s">
        <v>1184</v>
      </c>
      <c r="H738" t="s">
        <v>3536</v>
      </c>
      <c r="I738" t="s">
        <v>72</v>
      </c>
      <c r="J738">
        <v>6374</v>
      </c>
      <c r="K738" s="27" t="s">
        <v>3547</v>
      </c>
    </row>
    <row r="739" spans="1:11" x14ac:dyDescent="0.25">
      <c r="A739">
        <v>37208</v>
      </c>
      <c r="B739" t="str">
        <f>_xlfn.CONCAT(bron[[#This Row],[personeelsnr]]," ",bron[[#This Row],[achternaam]]," ",bron[[#This Row],[voornaam]])</f>
        <v>37208 Catar Gökhan</v>
      </c>
      <c r="C739" t="str">
        <f>VLOOKUP(bron[[#This Row],[personeelsnr]],'data hastus'!$A:$C,2,0)</f>
        <v>Catar</v>
      </c>
      <c r="D739" t="str">
        <f>VLOOKUP(bron[[#This Row],[personeelsnr]],'data hastus'!$A:$C,3,0)</f>
        <v>Gökhan</v>
      </c>
      <c r="E739" t="str">
        <f>VLOOKUP(bron[[#This Row],[personeelsnr]],'data hastus'!A:K,11,FALSE)</f>
        <v>Kenneth De Rick</v>
      </c>
      <c r="F739" s="7">
        <v>45815</v>
      </c>
      <c r="G739" s="6" t="s">
        <v>1185</v>
      </c>
      <c r="H739" t="s">
        <v>3535</v>
      </c>
      <c r="I739" t="s">
        <v>10</v>
      </c>
      <c r="J739">
        <v>6329</v>
      </c>
      <c r="K739" s="27" t="s">
        <v>3547</v>
      </c>
    </row>
    <row r="740" spans="1:11" x14ac:dyDescent="0.25">
      <c r="A740">
        <v>40645</v>
      </c>
      <c r="B740" t="str">
        <f>_xlfn.CONCAT(bron[[#This Row],[personeelsnr]]," ",bron[[#This Row],[achternaam]]," ",bron[[#This Row],[voornaam]])</f>
        <v>40645 Bytebier Jason</v>
      </c>
      <c r="C740" t="str">
        <f>VLOOKUP(bron[[#This Row],[personeelsnr]],'data hastus'!$A:$C,2,0)</f>
        <v>Bytebier</v>
      </c>
      <c r="D740" t="str">
        <f>VLOOKUP(bron[[#This Row],[personeelsnr]],'data hastus'!$A:$C,3,0)</f>
        <v>Jason</v>
      </c>
      <c r="E740" t="str">
        <f>VLOOKUP(bron[[#This Row],[personeelsnr]],'data hastus'!A:K,11,FALSE)</f>
        <v>Els Dewulf</v>
      </c>
      <c r="F740" s="7">
        <v>45818</v>
      </c>
      <c r="G740" s="6" t="s">
        <v>1186</v>
      </c>
      <c r="H740" t="s">
        <v>3500</v>
      </c>
      <c r="I740" t="s">
        <v>16</v>
      </c>
      <c r="J740">
        <v>5909</v>
      </c>
      <c r="K740" s="27" t="s">
        <v>3547</v>
      </c>
    </row>
    <row r="741" spans="1:11" x14ac:dyDescent="0.25">
      <c r="A741">
        <v>36512</v>
      </c>
      <c r="B741" t="str">
        <f>_xlfn.CONCAT(bron[[#This Row],[personeelsnr]]," ",bron[[#This Row],[achternaam]]," ",bron[[#This Row],[voornaam]])</f>
        <v>36512 Van Herreweghe Branco</v>
      </c>
      <c r="C741" t="str">
        <f>VLOOKUP(bron[[#This Row],[personeelsnr]],'data hastus'!$A:$C,2,0)</f>
        <v>Van Herreweghe</v>
      </c>
      <c r="D741" t="str">
        <f>VLOOKUP(bron[[#This Row],[personeelsnr]],'data hastus'!$A:$C,3,0)</f>
        <v>Branco</v>
      </c>
      <c r="E741" t="str">
        <f>VLOOKUP(bron[[#This Row],[personeelsnr]],'data hastus'!A:K,11,FALSE)</f>
        <v>Steven Storm</v>
      </c>
      <c r="F741" s="7">
        <v>45819</v>
      </c>
      <c r="G741" s="6" t="s">
        <v>1187</v>
      </c>
      <c r="H741" t="s">
        <v>3500</v>
      </c>
      <c r="I741" t="s">
        <v>86</v>
      </c>
      <c r="J741">
        <v>5934</v>
      </c>
      <c r="K741" s="27" t="s">
        <v>3547</v>
      </c>
    </row>
    <row r="742" spans="1:11" x14ac:dyDescent="0.25">
      <c r="A742">
        <v>7746</v>
      </c>
      <c r="B742" t="str">
        <f>_xlfn.CONCAT(bron[[#This Row],[personeelsnr]]," ",bron[[#This Row],[achternaam]]," ",bron[[#This Row],[voornaam]])</f>
        <v>7746 Aelterman Didier</v>
      </c>
      <c r="C742" t="str">
        <f>VLOOKUP(bron[[#This Row],[personeelsnr]],'data hastus'!$A:$C,2,0)</f>
        <v>Aelterman</v>
      </c>
      <c r="D742" t="str">
        <f>VLOOKUP(bron[[#This Row],[personeelsnr]],'data hastus'!$A:$C,3,0)</f>
        <v>Didier</v>
      </c>
      <c r="E742" t="str">
        <f>VLOOKUP(bron[[#This Row],[personeelsnr]],'data hastus'!A:K,11,FALSE)</f>
        <v>Christoff Rotty</v>
      </c>
      <c r="F742" s="7">
        <v>45820</v>
      </c>
      <c r="G742" s="6" t="s">
        <v>1188</v>
      </c>
      <c r="H742" t="s">
        <v>3500</v>
      </c>
      <c r="I742" t="s">
        <v>94</v>
      </c>
      <c r="J742">
        <v>5488</v>
      </c>
      <c r="K742" s="27" t="s">
        <v>3547</v>
      </c>
    </row>
    <row r="743" spans="1:11" x14ac:dyDescent="0.25">
      <c r="A743">
        <v>31150</v>
      </c>
      <c r="B743" t="str">
        <f>_xlfn.CONCAT(bron[[#This Row],[personeelsnr]]," ",bron[[#This Row],[achternaam]]," ",bron[[#This Row],[voornaam]])</f>
        <v>31150 Oueslati Mohamed Ali</v>
      </c>
      <c r="C743" t="str">
        <f>VLOOKUP(bron[[#This Row],[personeelsnr]],'data hastus'!$A:$C,2,0)</f>
        <v>Oueslati</v>
      </c>
      <c r="D743" t="str">
        <f>VLOOKUP(bron[[#This Row],[personeelsnr]],'data hastus'!$A:$C,3,0)</f>
        <v>Mohamed Ali</v>
      </c>
      <c r="E743" t="str">
        <f>VLOOKUP(bron[[#This Row],[personeelsnr]],'data hastus'!A:K,11,FALSE)</f>
        <v>Kenneth De Rick</v>
      </c>
      <c r="F743" s="7">
        <v>45820</v>
      </c>
      <c r="G743" s="6" t="s">
        <v>1189</v>
      </c>
      <c r="H743" t="s">
        <v>3499</v>
      </c>
      <c r="I743" t="s">
        <v>19</v>
      </c>
      <c r="J743">
        <v>5039</v>
      </c>
      <c r="K743" s="27" t="s">
        <v>3547</v>
      </c>
    </row>
    <row r="744" spans="1:11" x14ac:dyDescent="0.25">
      <c r="A744">
        <v>26695</v>
      </c>
      <c r="B744" t="str">
        <f>_xlfn.CONCAT(bron[[#This Row],[personeelsnr]]," ",bron[[#This Row],[achternaam]]," ",bron[[#This Row],[voornaam]])</f>
        <v>26695 Lippens Miguel</v>
      </c>
      <c r="C744" t="str">
        <f>VLOOKUP(bron[[#This Row],[personeelsnr]],'data hastus'!$A:$C,2,0)</f>
        <v>Lippens</v>
      </c>
      <c r="D744" t="str">
        <f>VLOOKUP(bron[[#This Row],[personeelsnr]],'data hastus'!$A:$C,3,0)</f>
        <v>Miguel</v>
      </c>
      <c r="E744" t="str">
        <f>VLOOKUP(bron[[#This Row],[personeelsnr]],'data hastus'!A:K,11,FALSE)</f>
        <v>Christoff Rotty</v>
      </c>
      <c r="F744" s="7">
        <v>45821</v>
      </c>
      <c r="G744" s="6" t="s">
        <v>1190</v>
      </c>
      <c r="H744" t="s">
        <v>3500</v>
      </c>
      <c r="I744" t="s">
        <v>94</v>
      </c>
      <c r="J744">
        <v>5489</v>
      </c>
      <c r="K744" s="27" t="s">
        <v>3548</v>
      </c>
    </row>
    <row r="745" spans="1:11" x14ac:dyDescent="0.25">
      <c r="A745">
        <v>14625</v>
      </c>
      <c r="B745" t="str">
        <f>_xlfn.CONCAT(bron[[#This Row],[personeelsnr]]," ",bron[[#This Row],[achternaam]]," ",bron[[#This Row],[voornaam]])</f>
        <v>14625 Rodrigue Vincent</v>
      </c>
      <c r="C745" t="str">
        <f>VLOOKUP(bron[[#This Row],[personeelsnr]],'data hastus'!$A:$C,2,0)</f>
        <v>Rodrigue</v>
      </c>
      <c r="D745" t="str">
        <f>VLOOKUP(bron[[#This Row],[personeelsnr]],'data hastus'!$A:$C,3,0)</f>
        <v>Vincent</v>
      </c>
      <c r="E745" t="str">
        <f>VLOOKUP(bron[[#This Row],[personeelsnr]],'data hastus'!A:K,11,FALSE)</f>
        <v>Lucie Vande Velde</v>
      </c>
      <c r="F745" s="7">
        <v>45828</v>
      </c>
      <c r="G745" s="6" t="s">
        <v>1316</v>
      </c>
      <c r="H745" t="s">
        <v>3499</v>
      </c>
      <c r="I745" t="s">
        <v>413</v>
      </c>
      <c r="J745">
        <v>2209</v>
      </c>
      <c r="K745" s="27" t="s">
        <v>3548</v>
      </c>
    </row>
    <row r="746" spans="1:11" x14ac:dyDescent="0.25">
      <c r="A746">
        <v>26847</v>
      </c>
      <c r="B746" t="str">
        <f>_xlfn.CONCAT(bron[[#This Row],[personeelsnr]]," ",bron[[#This Row],[achternaam]]," ",bron[[#This Row],[voornaam]])</f>
        <v>26847 De Meester David</v>
      </c>
      <c r="C746" t="str">
        <f>VLOOKUP(bron[[#This Row],[personeelsnr]],'data hastus'!$A:$C,2,0)</f>
        <v>De Meester</v>
      </c>
      <c r="D746" t="str">
        <f>VLOOKUP(bron[[#This Row],[personeelsnr]],'data hastus'!$A:$C,3,0)</f>
        <v>David</v>
      </c>
      <c r="E746" t="str">
        <f>VLOOKUP(bron[[#This Row],[personeelsnr]],'data hastus'!A:K,11,FALSE)</f>
        <v>Bart Van Der Beken</v>
      </c>
      <c r="F746" s="7">
        <v>45828</v>
      </c>
      <c r="G746" s="6" t="s">
        <v>1192</v>
      </c>
      <c r="H746" t="s">
        <v>3535</v>
      </c>
      <c r="I746" t="s">
        <v>10</v>
      </c>
      <c r="J746">
        <v>6361</v>
      </c>
      <c r="K746" s="27" t="s">
        <v>3547</v>
      </c>
    </row>
    <row r="747" spans="1:11" x14ac:dyDescent="0.25">
      <c r="A747">
        <v>36426</v>
      </c>
      <c r="B747" t="str">
        <f>_xlfn.CONCAT(bron[[#This Row],[personeelsnr]]," ",bron[[#This Row],[achternaam]]," ",bron[[#This Row],[voornaam]])</f>
        <v>36426 Mohamed Yassin Abdulhamid</v>
      </c>
      <c r="C747" t="str">
        <f>VLOOKUP(bron[[#This Row],[personeelsnr]],'data hastus'!$A:$C,2,0)</f>
        <v>Mohamed Yassin</v>
      </c>
      <c r="D747" t="str">
        <f>VLOOKUP(bron[[#This Row],[personeelsnr]],'data hastus'!$A:$C,3,0)</f>
        <v>Abdulhamid</v>
      </c>
      <c r="E747" t="str">
        <f>VLOOKUP(bron[[#This Row],[personeelsnr]],'data hastus'!A:K,11,FALSE)</f>
        <v>Bart Van Der Beken</v>
      </c>
      <c r="F747" s="7">
        <v>45828</v>
      </c>
      <c r="G747" s="6" t="s">
        <v>1191</v>
      </c>
      <c r="H747" t="s">
        <v>3536</v>
      </c>
      <c r="I747" t="s">
        <v>301</v>
      </c>
      <c r="J747">
        <v>6364</v>
      </c>
      <c r="K747" s="27" t="s">
        <v>3547</v>
      </c>
    </row>
    <row r="748" spans="1:11" x14ac:dyDescent="0.25">
      <c r="A748">
        <v>36569</v>
      </c>
      <c r="B748" t="e">
        <f>_xlfn.CONCAT(bron[[#This Row],[personeelsnr]]," ",bron[[#This Row],[achternaam]]," ",bron[[#This Row],[voornaam]])</f>
        <v>#N/A</v>
      </c>
      <c r="C748" t="e">
        <f>VLOOKUP(bron[[#This Row],[personeelsnr]],'data hastus'!$A:$C,2,0)</f>
        <v>#N/A</v>
      </c>
      <c r="D748" t="e">
        <f>VLOOKUP(bron[[#This Row],[personeelsnr]],'data hastus'!$A:$C,3,0)</f>
        <v>#N/A</v>
      </c>
      <c r="E748" t="s">
        <v>79</v>
      </c>
      <c r="F748" s="7">
        <v>45828</v>
      </c>
      <c r="G748" s="6" t="s">
        <v>1193</v>
      </c>
      <c r="H748" t="s">
        <v>3535</v>
      </c>
      <c r="I748" t="s">
        <v>31</v>
      </c>
      <c r="J748">
        <v>6321</v>
      </c>
      <c r="K748" s="27" t="s">
        <v>3547</v>
      </c>
    </row>
    <row r="749" spans="1:11" x14ac:dyDescent="0.25">
      <c r="A749">
        <v>41721</v>
      </c>
      <c r="B749" t="str">
        <f>_xlfn.CONCAT(bron[[#This Row],[personeelsnr]]," ",bron[[#This Row],[achternaam]]," ",bron[[#This Row],[voornaam]])</f>
        <v>41721 Nolf Philippe</v>
      </c>
      <c r="C749" t="str">
        <f>VLOOKUP(bron[[#This Row],[personeelsnr]],'data hastus'!$A:$C,2,0)</f>
        <v>Nolf</v>
      </c>
      <c r="D749" t="str">
        <f>VLOOKUP(bron[[#This Row],[personeelsnr]],'data hastus'!$A:$C,3,0)</f>
        <v>Philippe</v>
      </c>
      <c r="E749" t="str">
        <f>VLOOKUP(bron[[#This Row],[personeelsnr]],'data hastus'!A:K,11,FALSE)</f>
        <v>Kenneth De Rick</v>
      </c>
      <c r="F749" s="7">
        <v>45828</v>
      </c>
      <c r="G749" s="6" t="s">
        <v>1194</v>
      </c>
      <c r="H749" t="s">
        <v>3500</v>
      </c>
      <c r="I749" t="s">
        <v>57</v>
      </c>
      <c r="J749">
        <v>5938</v>
      </c>
      <c r="K749" s="27" t="s">
        <v>3547</v>
      </c>
    </row>
    <row r="750" spans="1:11" x14ac:dyDescent="0.25">
      <c r="A750">
        <v>36624</v>
      </c>
      <c r="B750" t="str">
        <f>_xlfn.CONCAT(bron[[#This Row],[personeelsnr]]," ",bron[[#This Row],[achternaam]]," ",bron[[#This Row],[voornaam]])</f>
        <v>36624 De Meulenaere Kurt</v>
      </c>
      <c r="C750" t="str">
        <f>VLOOKUP(bron[[#This Row],[personeelsnr]],'data hastus'!$A:$C,2,0)</f>
        <v>De Meulenaere</v>
      </c>
      <c r="D750" t="str">
        <f>VLOOKUP(bron[[#This Row],[personeelsnr]],'data hastus'!$A:$C,3,0)</f>
        <v>Kurt</v>
      </c>
      <c r="E750" t="str">
        <f>VLOOKUP(bron[[#This Row],[personeelsnr]],'data hastus'!A:K,11,FALSE)</f>
        <v>Dominique De Clercq</v>
      </c>
      <c r="F750" s="7">
        <v>45829</v>
      </c>
      <c r="G750" s="6" t="s">
        <v>1195</v>
      </c>
      <c r="H750" t="s">
        <v>3500</v>
      </c>
      <c r="I750" t="s">
        <v>259</v>
      </c>
      <c r="J750">
        <v>5910</v>
      </c>
      <c r="K750" s="27" t="s">
        <v>3547</v>
      </c>
    </row>
    <row r="751" spans="1:11" x14ac:dyDescent="0.25">
      <c r="A751">
        <v>41690</v>
      </c>
      <c r="B751" t="str">
        <f>_xlfn.CONCAT(bron[[#This Row],[personeelsnr]]," ",bron[[#This Row],[achternaam]]," ",bron[[#This Row],[voornaam]])</f>
        <v>41690 Van de Winckel Kelly</v>
      </c>
      <c r="C751" t="str">
        <f>VLOOKUP(bron[[#This Row],[personeelsnr]],'data hastus'!$A:$C,2,0)</f>
        <v>Van de Winckel</v>
      </c>
      <c r="D751" t="str">
        <f>VLOOKUP(bron[[#This Row],[personeelsnr]],'data hastus'!$A:$C,3,0)</f>
        <v>Kelly</v>
      </c>
      <c r="E751" t="str">
        <f>VLOOKUP(bron[[#This Row],[personeelsnr]],'data hastus'!A:K,11,FALSE)</f>
        <v>Els Dewulf</v>
      </c>
      <c r="F751" s="7">
        <v>45829</v>
      </c>
      <c r="G751" s="6" t="s">
        <v>1196</v>
      </c>
      <c r="H751" t="s">
        <v>3500</v>
      </c>
      <c r="I751" t="s">
        <v>54</v>
      </c>
      <c r="J751">
        <v>5771</v>
      </c>
      <c r="K751" s="27" t="s">
        <v>3547</v>
      </c>
    </row>
    <row r="752" spans="1:11" x14ac:dyDescent="0.25">
      <c r="A752">
        <v>38808</v>
      </c>
      <c r="B752" t="str">
        <f>_xlfn.CONCAT(bron[[#This Row],[personeelsnr]]," ",bron[[#This Row],[achternaam]]," ",bron[[#This Row],[voornaam]])</f>
        <v>38808 Wasen Jens</v>
      </c>
      <c r="C752" t="str">
        <f>VLOOKUP(bron[[#This Row],[personeelsnr]],'data hastus'!$A:$C,2,0)</f>
        <v>Wasen</v>
      </c>
      <c r="D752" t="str">
        <f>VLOOKUP(bron[[#This Row],[personeelsnr]],'data hastus'!$A:$C,3,0)</f>
        <v>Jens</v>
      </c>
      <c r="E752" t="str">
        <f>VLOOKUP(bron[[#This Row],[personeelsnr]],'data hastus'!A:K,11,FALSE)</f>
        <v>Els Dewulf</v>
      </c>
      <c r="F752" s="7">
        <v>45830</v>
      </c>
      <c r="G752" s="6" t="s">
        <v>1197</v>
      </c>
      <c r="H752" t="s">
        <v>3500</v>
      </c>
      <c r="I752" t="s">
        <v>16</v>
      </c>
      <c r="J752">
        <v>5926</v>
      </c>
      <c r="K752" s="27" t="s">
        <v>3547</v>
      </c>
    </row>
    <row r="753" spans="1:11" x14ac:dyDescent="0.25">
      <c r="A753">
        <v>19917</v>
      </c>
      <c r="B753" t="str">
        <f>_xlfn.CONCAT(bron[[#This Row],[personeelsnr]]," ",bron[[#This Row],[achternaam]]," ",bron[[#This Row],[voornaam]])</f>
        <v>19917 Vandevyvere Frank</v>
      </c>
      <c r="C753" t="str">
        <f>VLOOKUP(bron[[#This Row],[personeelsnr]],'data hastus'!$A:$C,2,0)</f>
        <v>Vandevyvere</v>
      </c>
      <c r="D753" t="str">
        <f>VLOOKUP(bron[[#This Row],[personeelsnr]],'data hastus'!$A:$C,3,0)</f>
        <v>Frank</v>
      </c>
      <c r="E753" t="str">
        <f>VLOOKUP(bron[[#This Row],[personeelsnr]],'data hastus'!A:K,11,FALSE)</f>
        <v>Bart Van Der Beken</v>
      </c>
      <c r="F753" s="7">
        <v>45831</v>
      </c>
      <c r="G753" s="6" t="s">
        <v>1198</v>
      </c>
      <c r="H753" t="s">
        <v>3499</v>
      </c>
      <c r="I753" t="s">
        <v>48</v>
      </c>
      <c r="J753">
        <v>5260</v>
      </c>
      <c r="K753" s="27" t="s">
        <v>3547</v>
      </c>
    </row>
    <row r="754" spans="1:11" x14ac:dyDescent="0.25">
      <c r="A754">
        <v>29746</v>
      </c>
      <c r="B754" t="str">
        <f>_xlfn.CONCAT(bron[[#This Row],[personeelsnr]]," ",bron[[#This Row],[achternaam]]," ",bron[[#This Row],[voornaam]])</f>
        <v>29746 Huyse Annicke</v>
      </c>
      <c r="C754" t="str">
        <f>VLOOKUP(bron[[#This Row],[personeelsnr]],'data hastus'!$A:$C,2,0)</f>
        <v>Huyse</v>
      </c>
      <c r="D754" t="str">
        <f>VLOOKUP(bron[[#This Row],[personeelsnr]],'data hastus'!$A:$C,3,0)</f>
        <v>Annicke</v>
      </c>
      <c r="E754" t="str">
        <f>VLOOKUP(bron[[#This Row],[personeelsnr]],'data hastus'!A:K,11,FALSE)</f>
        <v>Bart Van Der Beken</v>
      </c>
      <c r="F754" s="7">
        <v>45831</v>
      </c>
      <c r="G754" s="6" t="s">
        <v>1281</v>
      </c>
      <c r="H754" t="s">
        <v>8</v>
      </c>
      <c r="I754" t="s">
        <v>725</v>
      </c>
      <c r="J754">
        <v>6368</v>
      </c>
      <c r="K754" s="27" t="s">
        <v>3548</v>
      </c>
    </row>
    <row r="755" spans="1:11" x14ac:dyDescent="0.25">
      <c r="A755">
        <v>38633</v>
      </c>
      <c r="B755" t="str">
        <f>_xlfn.CONCAT(bron[[#This Row],[personeelsnr]]," ",bron[[#This Row],[achternaam]]," ",bron[[#This Row],[voornaam]])</f>
        <v>38633 Stomphorst Mattanja</v>
      </c>
      <c r="C755" t="str">
        <f>VLOOKUP(bron[[#This Row],[personeelsnr]],'data hastus'!$A:$C,2,0)</f>
        <v>Stomphorst</v>
      </c>
      <c r="D755" t="str">
        <f>VLOOKUP(bron[[#This Row],[personeelsnr]],'data hastus'!$A:$C,3,0)</f>
        <v>Mattanja</v>
      </c>
      <c r="E755" t="str">
        <f>VLOOKUP(bron[[#This Row],[personeelsnr]],'data hastus'!A:K,11,FALSE)</f>
        <v>Els Dewulf</v>
      </c>
      <c r="F755" s="7">
        <v>45831</v>
      </c>
      <c r="G755" s="6" t="s">
        <v>1200</v>
      </c>
      <c r="H755" t="s">
        <v>3499</v>
      </c>
      <c r="I755" t="s">
        <v>28</v>
      </c>
      <c r="J755">
        <v>2269</v>
      </c>
      <c r="K755" s="27" t="s">
        <v>3547</v>
      </c>
    </row>
    <row r="756" spans="1:11" x14ac:dyDescent="0.25">
      <c r="A756">
        <v>40478</v>
      </c>
      <c r="B756" t="str">
        <f>_xlfn.CONCAT(bron[[#This Row],[personeelsnr]]," ",bron[[#This Row],[achternaam]]," ",bron[[#This Row],[voornaam]])</f>
        <v>40478 Hashimi Ali Mir</v>
      </c>
      <c r="C756" t="str">
        <f>VLOOKUP(bron[[#This Row],[personeelsnr]],'data hastus'!$A:$C,2,0)</f>
        <v>Hashimi</v>
      </c>
      <c r="D756" t="str">
        <f>VLOOKUP(bron[[#This Row],[personeelsnr]],'data hastus'!$A:$C,3,0)</f>
        <v>Ali Mir</v>
      </c>
      <c r="E756" t="str">
        <f>VLOOKUP(bron[[#This Row],[personeelsnr]],'data hastus'!A:K,11,FALSE)</f>
        <v>Bart Van Der Beken</v>
      </c>
      <c r="F756" s="7">
        <v>45831</v>
      </c>
      <c r="G756" s="6" t="s">
        <v>1199</v>
      </c>
      <c r="H756" t="s">
        <v>3500</v>
      </c>
      <c r="I756" t="s">
        <v>84</v>
      </c>
      <c r="J756">
        <v>5911</v>
      </c>
      <c r="K756" s="27" t="s">
        <v>3547</v>
      </c>
    </row>
    <row r="757" spans="1:11" x14ac:dyDescent="0.25">
      <c r="A757">
        <v>38634</v>
      </c>
      <c r="B757" t="str">
        <f>_xlfn.CONCAT(bron[[#This Row],[personeelsnr]]," ",bron[[#This Row],[achternaam]]," ",bron[[#This Row],[voornaam]])</f>
        <v>38634 Asskale Zouhir</v>
      </c>
      <c r="C757" t="str">
        <f>VLOOKUP(bron[[#This Row],[personeelsnr]],'data hastus'!$A:$C,2,0)</f>
        <v>Asskale</v>
      </c>
      <c r="D757" t="str">
        <f>VLOOKUP(bron[[#This Row],[personeelsnr]],'data hastus'!$A:$C,3,0)</f>
        <v>Zouhir</v>
      </c>
      <c r="E757" t="str">
        <f>VLOOKUP(bron[[#This Row],[personeelsnr]],'data hastus'!A:K,11,FALSE)</f>
        <v>Bart Van Der Beken</v>
      </c>
      <c r="F757" s="7">
        <v>45832</v>
      </c>
      <c r="G757" s="6" t="s">
        <v>1201</v>
      </c>
      <c r="H757" t="s">
        <v>3535</v>
      </c>
      <c r="I757" t="s">
        <v>239</v>
      </c>
      <c r="J757">
        <v>6339</v>
      </c>
      <c r="K757" s="27" t="s">
        <v>3547</v>
      </c>
    </row>
    <row r="758" spans="1:11" x14ac:dyDescent="0.25">
      <c r="A758">
        <v>15412</v>
      </c>
      <c r="B758" t="str">
        <f>_xlfn.CONCAT(bron[[#This Row],[personeelsnr]]," ",bron[[#This Row],[achternaam]]," ",bron[[#This Row],[voornaam]])</f>
        <v>15412 Dhondt Frank</v>
      </c>
      <c r="C758" t="str">
        <f>VLOOKUP(bron[[#This Row],[personeelsnr]],'data hastus'!$A:$C,2,0)</f>
        <v>Dhondt</v>
      </c>
      <c r="D758" t="str">
        <f>VLOOKUP(bron[[#This Row],[personeelsnr]],'data hastus'!$A:$C,3,0)</f>
        <v>Frank</v>
      </c>
      <c r="E758" t="str">
        <f>VLOOKUP(bron[[#This Row],[personeelsnr]],'data hastus'!A:K,11,FALSE)</f>
        <v>Bart Van Der Beken</v>
      </c>
      <c r="F758" s="7">
        <v>45833</v>
      </c>
      <c r="G758" s="6" t="s">
        <v>1202</v>
      </c>
      <c r="H758" t="s">
        <v>3501</v>
      </c>
      <c r="I758" t="s">
        <v>205</v>
      </c>
      <c r="J758">
        <v>5261</v>
      </c>
      <c r="K758" s="27" t="s">
        <v>3547</v>
      </c>
    </row>
    <row r="759" spans="1:11" x14ac:dyDescent="0.25">
      <c r="A759">
        <v>40362</v>
      </c>
      <c r="B759" t="str">
        <f>_xlfn.CONCAT(bron[[#This Row],[personeelsnr]]," ",bron[[#This Row],[achternaam]]," ",bron[[#This Row],[voornaam]])</f>
        <v>40362 Kuru Cetin</v>
      </c>
      <c r="C759" t="str">
        <f>VLOOKUP(bron[[#This Row],[personeelsnr]],'data hastus'!$A:$C,2,0)</f>
        <v>Kuru</v>
      </c>
      <c r="D759" t="str">
        <f>VLOOKUP(bron[[#This Row],[personeelsnr]],'data hastus'!$A:$C,3,0)</f>
        <v>Cetin</v>
      </c>
      <c r="E759" t="str">
        <f>VLOOKUP(bron[[#This Row],[personeelsnr]],'data hastus'!A:K,11,FALSE)</f>
        <v>Kenneth De Rick</v>
      </c>
      <c r="F759" s="7">
        <v>45833</v>
      </c>
      <c r="G759" s="6" t="s">
        <v>1203</v>
      </c>
      <c r="H759" t="s">
        <v>3501</v>
      </c>
      <c r="I759" t="s">
        <v>51</v>
      </c>
      <c r="J759">
        <v>5235</v>
      </c>
      <c r="K759" s="27" t="s">
        <v>3547</v>
      </c>
    </row>
    <row r="760" spans="1:11" x14ac:dyDescent="0.25">
      <c r="A760">
        <v>29646</v>
      </c>
      <c r="B760" t="str">
        <f>_xlfn.CONCAT(bron[[#This Row],[personeelsnr]]," ",bron[[#This Row],[achternaam]]," ",bron[[#This Row],[voornaam]])</f>
        <v>29646 Özer Mesut</v>
      </c>
      <c r="C760" t="str">
        <f>VLOOKUP(bron[[#This Row],[personeelsnr]],'data hastus'!$A:$C,2,0)</f>
        <v>Özer</v>
      </c>
      <c r="D760" t="str">
        <f>VLOOKUP(bron[[#This Row],[personeelsnr]],'data hastus'!$A:$C,3,0)</f>
        <v>Mesut</v>
      </c>
      <c r="E760" t="str">
        <f>VLOOKUP(bron[[#This Row],[personeelsnr]],'data hastus'!A:K,11,FALSE)</f>
        <v>Dominique De Clercq</v>
      </c>
      <c r="F760" s="7">
        <v>45836</v>
      </c>
      <c r="G760" s="6" t="s">
        <v>1292</v>
      </c>
      <c r="H760" t="s">
        <v>3500</v>
      </c>
      <c r="I760" t="s">
        <v>1293</v>
      </c>
      <c r="J760">
        <v>5912</v>
      </c>
      <c r="K760" s="27" t="s">
        <v>3548</v>
      </c>
    </row>
    <row r="761" spans="1:11" x14ac:dyDescent="0.25">
      <c r="A761">
        <v>15088</v>
      </c>
      <c r="B761" t="str">
        <f>_xlfn.CONCAT(bron[[#This Row],[personeelsnr]]," ",bron[[#This Row],[achternaam]]," ",bron[[#This Row],[voornaam]])</f>
        <v>15088 Laute Dirk</v>
      </c>
      <c r="C761" t="str">
        <f>VLOOKUP(bron[[#This Row],[personeelsnr]],'data hastus'!$A:$C,2,0)</f>
        <v>Laute</v>
      </c>
      <c r="D761" t="str">
        <f>VLOOKUP(bron[[#This Row],[personeelsnr]],'data hastus'!$A:$C,3,0)</f>
        <v>Dirk</v>
      </c>
      <c r="E761" t="str">
        <f>VLOOKUP(bron[[#This Row],[personeelsnr]],'data hastus'!A:K,11,FALSE)</f>
        <v>Els Vanhoe</v>
      </c>
      <c r="F761" s="7">
        <v>45837</v>
      </c>
      <c r="G761" s="6" t="s">
        <v>1301</v>
      </c>
      <c r="H761" t="s">
        <v>3499</v>
      </c>
      <c r="I761" t="s">
        <v>48</v>
      </c>
      <c r="J761">
        <v>5046</v>
      </c>
      <c r="K761" s="27" t="s">
        <v>3548</v>
      </c>
    </row>
    <row r="762" spans="1:11" x14ac:dyDescent="0.25">
      <c r="A762">
        <v>39850</v>
      </c>
      <c r="B762" t="str">
        <f>_xlfn.CONCAT(bron[[#This Row],[personeelsnr]]," ",bron[[#This Row],[achternaam]]," ",bron[[#This Row],[voornaam]])</f>
        <v>39850 Helleputte William</v>
      </c>
      <c r="C762" t="str">
        <f>VLOOKUP(bron[[#This Row],[personeelsnr]],'data hastus'!$A:$C,2,0)</f>
        <v>Helleputte</v>
      </c>
      <c r="D762" t="str">
        <f>VLOOKUP(bron[[#This Row],[personeelsnr]],'data hastus'!$A:$C,3,0)</f>
        <v>William</v>
      </c>
      <c r="E762" t="str">
        <f>VLOOKUP(bron[[#This Row],[personeelsnr]],'data hastus'!A:K,11,FALSE)</f>
        <v>Dominique De Clercq</v>
      </c>
      <c r="F762" s="7">
        <v>45837</v>
      </c>
      <c r="G762" s="6" t="s">
        <v>1204</v>
      </c>
      <c r="H762" t="s">
        <v>3499</v>
      </c>
      <c r="I762" t="s">
        <v>119</v>
      </c>
      <c r="J762">
        <v>5042</v>
      </c>
      <c r="K762" s="27" t="s">
        <v>3547</v>
      </c>
    </row>
    <row r="763" spans="1:11" x14ac:dyDescent="0.25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7">
        <v>45837</v>
      </c>
      <c r="G763" s="6" t="s">
        <v>1205</v>
      </c>
      <c r="H763" t="s">
        <v>3501</v>
      </c>
      <c r="I763" t="s">
        <v>271</v>
      </c>
      <c r="J763">
        <v>5047</v>
      </c>
      <c r="K763" s="27" t="s">
        <v>3547</v>
      </c>
    </row>
    <row r="764" spans="1:11" x14ac:dyDescent="0.25">
      <c r="A764">
        <v>4419</v>
      </c>
      <c r="B764" t="str">
        <f>_xlfn.CONCAT(bron[[#This Row],[personeelsnr]]," ",bron[[#This Row],[achternaam]]," ",bron[[#This Row],[voornaam]])</f>
        <v>4419 Maelbrancke Eddy</v>
      </c>
      <c r="C764" t="str">
        <f>VLOOKUP(bron[[#This Row],[personeelsnr]],'data hastus'!$A:$C,2,0)</f>
        <v>Maelbrancke</v>
      </c>
      <c r="D764" t="str">
        <f>VLOOKUP(bron[[#This Row],[personeelsnr]],'data hastus'!$A:$C,3,0)</f>
        <v>Eddy</v>
      </c>
      <c r="E764" t="str">
        <f>VLOOKUP(bron[[#This Row],[personeelsnr]],'data hastus'!A:K,11,FALSE)</f>
        <v>Lucie Vande Velde</v>
      </c>
      <c r="F764" s="7">
        <v>45839</v>
      </c>
      <c r="G764" s="6" t="s">
        <v>1207</v>
      </c>
      <c r="H764" t="s">
        <v>3499</v>
      </c>
      <c r="I764" t="s">
        <v>227</v>
      </c>
      <c r="J764">
        <v>2195</v>
      </c>
      <c r="K764" s="27" t="s">
        <v>3547</v>
      </c>
    </row>
    <row r="765" spans="1:11" x14ac:dyDescent="0.25">
      <c r="A765">
        <v>21509</v>
      </c>
      <c r="B765" t="str">
        <f>_xlfn.CONCAT(bron[[#This Row],[personeelsnr]]," ",bron[[#This Row],[achternaam]]," ",bron[[#This Row],[voornaam]])</f>
        <v>21509 De Craemer Kris</v>
      </c>
      <c r="C765" t="str">
        <f>VLOOKUP(bron[[#This Row],[personeelsnr]],'data hastus'!$A:$C,2,0)</f>
        <v>De Craemer</v>
      </c>
      <c r="D765" t="str">
        <f>VLOOKUP(bron[[#This Row],[personeelsnr]],'data hastus'!$A:$C,3,0)</f>
        <v>Kris</v>
      </c>
      <c r="E765" t="str">
        <f>VLOOKUP(bron[[#This Row],[personeelsnr]],'data hastus'!A:K,11,FALSE)</f>
        <v>Dominique De Clercq</v>
      </c>
      <c r="F765" s="7">
        <v>45839</v>
      </c>
      <c r="G765" s="6" t="s">
        <v>1206</v>
      </c>
      <c r="H765" t="s">
        <v>3535</v>
      </c>
      <c r="I765" t="s">
        <v>69</v>
      </c>
      <c r="J765">
        <v>6319</v>
      </c>
      <c r="K765" s="27" t="s">
        <v>3547</v>
      </c>
    </row>
    <row r="766" spans="1:11" x14ac:dyDescent="0.25">
      <c r="A766">
        <v>32528</v>
      </c>
      <c r="B766" t="str">
        <f>_xlfn.CONCAT(bron[[#This Row],[personeelsnr]]," ",bron[[#This Row],[achternaam]]," ",bron[[#This Row],[voornaam]])</f>
        <v>32528 Benjilali Abdelhak</v>
      </c>
      <c r="C766" t="str">
        <f>VLOOKUP(bron[[#This Row],[personeelsnr]],'data hastus'!$A:$C,2,0)</f>
        <v>Benjilali</v>
      </c>
      <c r="D766" t="str">
        <f>VLOOKUP(bron[[#This Row],[personeelsnr]],'data hastus'!$A:$C,3,0)</f>
        <v>Abdelhak</v>
      </c>
      <c r="E766" t="str">
        <f>VLOOKUP(bron[[#This Row],[personeelsnr]],'data hastus'!A:K,11,FALSE)</f>
        <v>Steven Storm</v>
      </c>
      <c r="F766" s="7">
        <v>45839</v>
      </c>
      <c r="G766" s="6" t="s">
        <v>1208</v>
      </c>
      <c r="H766" t="s">
        <v>3499</v>
      </c>
      <c r="I766" t="s">
        <v>66</v>
      </c>
      <c r="J766">
        <v>5264</v>
      </c>
      <c r="K766" s="27" t="s">
        <v>3547</v>
      </c>
    </row>
    <row r="767" spans="1:11" x14ac:dyDescent="0.25">
      <c r="A767">
        <v>37542</v>
      </c>
      <c r="B767" t="str">
        <f>_xlfn.CONCAT(bron[[#This Row],[personeelsnr]]," ",bron[[#This Row],[achternaam]]," ",bron[[#This Row],[voornaam]])</f>
        <v>37542 De Tandt Hans</v>
      </c>
      <c r="C767" t="str">
        <f>VLOOKUP(bron[[#This Row],[personeelsnr]],'data hastus'!$A:$C,2,0)</f>
        <v>De Tandt</v>
      </c>
      <c r="D767" t="str">
        <f>VLOOKUP(bron[[#This Row],[personeelsnr]],'data hastus'!$A:$C,3,0)</f>
        <v>Hans</v>
      </c>
      <c r="E767" t="str">
        <f>VLOOKUP(bron[[#This Row],[personeelsnr]],'data hastus'!A:K,11,FALSE)</f>
        <v>Bart Van Der Beken</v>
      </c>
      <c r="F767" s="7">
        <v>45840</v>
      </c>
      <c r="G767" s="6" t="s">
        <v>1209</v>
      </c>
      <c r="H767" t="s">
        <v>3536</v>
      </c>
      <c r="I767" t="s">
        <v>46</v>
      </c>
      <c r="J767">
        <v>6362</v>
      </c>
      <c r="K767" s="27" t="s">
        <v>3547</v>
      </c>
    </row>
    <row r="768" spans="1:11" x14ac:dyDescent="0.25">
      <c r="A768">
        <v>38648</v>
      </c>
      <c r="B768" t="str">
        <f>_xlfn.CONCAT(bron[[#This Row],[personeelsnr]]," ",bron[[#This Row],[achternaam]]," ",bron[[#This Row],[voornaam]])</f>
        <v>38648 Uckuyulu Muhammet Emin</v>
      </c>
      <c r="C768" t="str">
        <f>VLOOKUP(bron[[#This Row],[personeelsnr]],'data hastus'!$A:$C,2,0)</f>
        <v>Uckuyulu</v>
      </c>
      <c r="D768" t="str">
        <f>VLOOKUP(bron[[#This Row],[personeelsnr]],'data hastus'!$A:$C,3,0)</f>
        <v>Muhammet Emin</v>
      </c>
      <c r="E768" t="str">
        <f>VLOOKUP(bron[[#This Row],[personeelsnr]],'data hastus'!A:K,11,FALSE)</f>
        <v>Lucie Vande Velde</v>
      </c>
      <c r="F768" s="7">
        <v>45840</v>
      </c>
      <c r="G768" s="6" t="s">
        <v>1210</v>
      </c>
      <c r="H768" t="s">
        <v>3536</v>
      </c>
      <c r="I768" t="s">
        <v>5</v>
      </c>
      <c r="J768">
        <v>6368</v>
      </c>
      <c r="K768" s="27" t="s">
        <v>3547</v>
      </c>
    </row>
    <row r="769" spans="1:11" x14ac:dyDescent="0.25">
      <c r="A769">
        <v>4419</v>
      </c>
      <c r="B769" t="str">
        <f>_xlfn.CONCAT(bron[[#This Row],[personeelsnr]]," ",bron[[#This Row],[achternaam]]," ",bron[[#This Row],[voornaam]])</f>
        <v>4419 Maelbrancke Eddy</v>
      </c>
      <c r="C769" t="str">
        <f>VLOOKUP(bron[[#This Row],[personeelsnr]],'data hastus'!$A:$C,2,0)</f>
        <v>Maelbrancke</v>
      </c>
      <c r="D769" t="str">
        <f>VLOOKUP(bron[[#This Row],[personeelsnr]],'data hastus'!$A:$C,3,0)</f>
        <v>Eddy</v>
      </c>
      <c r="E769" t="str">
        <f>VLOOKUP(bron[[#This Row],[personeelsnr]],'data hastus'!A:K,11,FALSE)</f>
        <v>Lucie Vande Velde</v>
      </c>
      <c r="F769" s="7">
        <v>45841</v>
      </c>
      <c r="G769" s="6" t="s">
        <v>1319</v>
      </c>
      <c r="H769" t="s">
        <v>3499</v>
      </c>
      <c r="I769" t="s">
        <v>1320</v>
      </c>
      <c r="J769">
        <v>2193</v>
      </c>
      <c r="K769" s="27" t="s">
        <v>3548</v>
      </c>
    </row>
    <row r="770" spans="1:11" x14ac:dyDescent="0.25">
      <c r="A770">
        <v>40745</v>
      </c>
      <c r="B770" t="str">
        <f>_xlfn.CONCAT(bron[[#This Row],[personeelsnr]]," ",bron[[#This Row],[achternaam]]," ",bron[[#This Row],[voornaam]])</f>
        <v>40745 Ivanov Ivan</v>
      </c>
      <c r="C770" t="str">
        <f>VLOOKUP(bron[[#This Row],[personeelsnr]],'data hastus'!$A:$C,2,0)</f>
        <v>Ivanov</v>
      </c>
      <c r="D770" t="str">
        <f>VLOOKUP(bron[[#This Row],[personeelsnr]],'data hastus'!$A:$C,3,0)</f>
        <v>Ivan</v>
      </c>
      <c r="E770" t="str">
        <f>VLOOKUP(bron[[#This Row],[personeelsnr]],'data hastus'!A:K,11,FALSE)</f>
        <v>Bart Van Der Beken</v>
      </c>
      <c r="F770" s="7">
        <v>45841</v>
      </c>
      <c r="G770" s="6" t="s">
        <v>1211</v>
      </c>
      <c r="H770" t="s">
        <v>3499</v>
      </c>
      <c r="I770" t="s">
        <v>98</v>
      </c>
      <c r="J770">
        <v>5259</v>
      </c>
      <c r="K770" s="27" t="s">
        <v>3547</v>
      </c>
    </row>
    <row r="771" spans="1:11" x14ac:dyDescent="0.25">
      <c r="A771">
        <v>28737</v>
      </c>
      <c r="B771" t="str">
        <f>_xlfn.CONCAT(bron[[#This Row],[personeelsnr]]," ",bron[[#This Row],[achternaam]]," ",bron[[#This Row],[voornaam]])</f>
        <v>28737 El-Mohamed Mohamed</v>
      </c>
      <c r="C771" t="str">
        <f>VLOOKUP(bron[[#This Row],[personeelsnr]],'data hastus'!$A:$C,2,0)</f>
        <v>El-Mohamed</v>
      </c>
      <c r="D771" t="str">
        <f>VLOOKUP(bron[[#This Row],[personeelsnr]],'data hastus'!$A:$C,3,0)</f>
        <v>Mohamed</v>
      </c>
      <c r="E771" t="str">
        <f>VLOOKUP(bron[[#This Row],[personeelsnr]],'data hastus'!A:K,11,FALSE)</f>
        <v>Lucie Vande Velde</v>
      </c>
      <c r="F771" s="7">
        <v>45842</v>
      </c>
      <c r="G771" s="6" t="s">
        <v>1212</v>
      </c>
      <c r="H771" t="s">
        <v>3499</v>
      </c>
      <c r="I771" t="s">
        <v>523</v>
      </c>
      <c r="J771">
        <v>5046</v>
      </c>
      <c r="K771" s="27" t="s">
        <v>3547</v>
      </c>
    </row>
    <row r="772" spans="1:11" x14ac:dyDescent="0.25">
      <c r="A772">
        <v>39660</v>
      </c>
      <c r="B772" t="str">
        <f>_xlfn.CONCAT(bron[[#This Row],[personeelsnr]]," ",bron[[#This Row],[achternaam]]," ",bron[[#This Row],[voornaam]])</f>
        <v>39660 Lloyd Glenn</v>
      </c>
      <c r="C772" t="str">
        <f>VLOOKUP(bron[[#This Row],[personeelsnr]],'data hastus'!$A:$C,2,0)</f>
        <v>Lloyd</v>
      </c>
      <c r="D772" t="str">
        <f>VLOOKUP(bron[[#This Row],[personeelsnr]],'data hastus'!$A:$C,3,0)</f>
        <v>Glenn</v>
      </c>
      <c r="E772" t="str">
        <f>VLOOKUP(bron[[#This Row],[personeelsnr]],'data hastus'!A:K,11,FALSE)</f>
        <v>Bart Van Der Beken</v>
      </c>
      <c r="F772" s="7">
        <v>45842</v>
      </c>
      <c r="G772" s="6" t="s">
        <v>1283</v>
      </c>
      <c r="H772" t="s">
        <v>3501</v>
      </c>
      <c r="I772" t="s">
        <v>227</v>
      </c>
      <c r="J772">
        <v>2190</v>
      </c>
      <c r="K772" s="27" t="s">
        <v>3548</v>
      </c>
    </row>
    <row r="773" spans="1:11" x14ac:dyDescent="0.25">
      <c r="A773">
        <v>22416</v>
      </c>
      <c r="B773" t="str">
        <f>_xlfn.CONCAT(bron[[#This Row],[personeelsnr]]," ",bron[[#This Row],[achternaam]]," ",bron[[#This Row],[voornaam]])</f>
        <v>22416 Bicici Abdul Kadir</v>
      </c>
      <c r="C773" t="str">
        <f>VLOOKUP(bron[[#This Row],[personeelsnr]],'data hastus'!$A:$C,2,0)</f>
        <v>Bicici</v>
      </c>
      <c r="D773" t="str">
        <f>VLOOKUP(bron[[#This Row],[personeelsnr]],'data hastus'!$A:$C,3,0)</f>
        <v>Abdul Kadir</v>
      </c>
      <c r="E773" t="str">
        <f>VLOOKUP(bron[[#This Row],[personeelsnr]],'data hastus'!A:K,11,FALSE)</f>
        <v>Christoff Rotty</v>
      </c>
      <c r="F773" s="7">
        <v>45843</v>
      </c>
      <c r="G773" s="6" t="s">
        <v>1213</v>
      </c>
      <c r="H773" t="s">
        <v>3536</v>
      </c>
      <c r="I773" t="s">
        <v>231</v>
      </c>
      <c r="J773">
        <v>6355</v>
      </c>
      <c r="K773" s="27" t="s">
        <v>3547</v>
      </c>
    </row>
    <row r="774" spans="1:11" x14ac:dyDescent="0.25">
      <c r="A774">
        <v>40939</v>
      </c>
      <c r="B774" t="str">
        <f>_xlfn.CONCAT(bron[[#This Row],[personeelsnr]]," ",bron[[#This Row],[achternaam]]," ",bron[[#This Row],[voornaam]])</f>
        <v>40939 Cisse Sayon</v>
      </c>
      <c r="C774" t="str">
        <f>VLOOKUP(bron[[#This Row],[personeelsnr]],'data hastus'!$A:$C,2,0)</f>
        <v>Cisse</v>
      </c>
      <c r="D774" t="str">
        <f>VLOOKUP(bron[[#This Row],[personeelsnr]],'data hastus'!$A:$C,3,0)</f>
        <v>Sayon</v>
      </c>
      <c r="E774" t="str">
        <f>VLOOKUP(bron[[#This Row],[personeelsnr]],'data hastus'!A:K,11,FALSE)</f>
        <v>Kenneth De Rick</v>
      </c>
      <c r="F774" s="7">
        <v>45843</v>
      </c>
      <c r="G774" s="6" t="s">
        <v>1214</v>
      </c>
      <c r="H774" t="s">
        <v>3499</v>
      </c>
      <c r="I774" t="s">
        <v>22</v>
      </c>
      <c r="J774">
        <v>5046</v>
      </c>
      <c r="K774" s="27" t="s">
        <v>3547</v>
      </c>
    </row>
    <row r="775" spans="1:11" x14ac:dyDescent="0.25">
      <c r="A775">
        <v>31776</v>
      </c>
      <c r="B775" t="str">
        <f>_xlfn.CONCAT(bron[[#This Row],[personeelsnr]]," ",bron[[#This Row],[achternaam]]," ",bron[[#This Row],[voornaam]])</f>
        <v>31776 Famelaer Steve</v>
      </c>
      <c r="C775" t="str">
        <f>VLOOKUP(bron[[#This Row],[personeelsnr]],'data hastus'!$A:$C,2,0)</f>
        <v>Famelaer</v>
      </c>
      <c r="D775" t="str">
        <f>VLOOKUP(bron[[#This Row],[personeelsnr]],'data hastus'!$A:$C,3,0)</f>
        <v>Steve</v>
      </c>
      <c r="E775" t="str">
        <f>VLOOKUP(bron[[#This Row],[personeelsnr]],'data hastus'!A:K,11,FALSE)</f>
        <v>Dominique De Clercq</v>
      </c>
      <c r="F775" s="7">
        <v>45845</v>
      </c>
      <c r="G775" s="6" t="s">
        <v>1215</v>
      </c>
      <c r="H775" t="s">
        <v>3499</v>
      </c>
      <c r="I775" t="s">
        <v>19</v>
      </c>
      <c r="J775">
        <v>2198</v>
      </c>
      <c r="K775" s="27" t="s">
        <v>3547</v>
      </c>
    </row>
    <row r="776" spans="1:11" x14ac:dyDescent="0.25">
      <c r="A776">
        <v>37439</v>
      </c>
      <c r="B776" t="str">
        <f>_xlfn.CONCAT(bron[[#This Row],[personeelsnr]]," ",bron[[#This Row],[achternaam]]," ",bron[[#This Row],[voornaam]])</f>
        <v>37439 Demirkazik Mustafa</v>
      </c>
      <c r="C776" t="str">
        <f>VLOOKUP(bron[[#This Row],[personeelsnr]],'data hastus'!$A:$C,2,0)</f>
        <v>Demirkazik</v>
      </c>
      <c r="D776" t="str">
        <f>VLOOKUP(bron[[#This Row],[personeelsnr]],'data hastus'!$A:$C,3,0)</f>
        <v>Mustafa</v>
      </c>
      <c r="E776" t="str">
        <f>VLOOKUP(bron[[#This Row],[personeelsnr]],'data hastus'!A:K,11,FALSE)</f>
        <v>Kenneth De Rick</v>
      </c>
      <c r="F776" s="7">
        <v>45845</v>
      </c>
      <c r="G776" s="6" t="s">
        <v>1219</v>
      </c>
      <c r="H776" t="s">
        <v>3500</v>
      </c>
      <c r="I776" t="s">
        <v>106</v>
      </c>
      <c r="J776">
        <v>5486</v>
      </c>
      <c r="K776" s="27" t="s">
        <v>3547</v>
      </c>
    </row>
    <row r="777" spans="1:11" x14ac:dyDescent="0.25">
      <c r="A777">
        <v>41859</v>
      </c>
      <c r="B777" t="str">
        <f>_xlfn.CONCAT(bron[[#This Row],[personeelsnr]]," ",bron[[#This Row],[achternaam]]," ",bron[[#This Row],[voornaam]])</f>
        <v>41859 Palit Ramazan</v>
      </c>
      <c r="C777" t="s">
        <v>1216</v>
      </c>
      <c r="D777" t="s">
        <v>1217</v>
      </c>
      <c r="E777" t="s">
        <v>76</v>
      </c>
      <c r="F777" s="7">
        <v>45845</v>
      </c>
      <c r="G777" s="6" t="s">
        <v>1218</v>
      </c>
      <c r="H777" t="s">
        <v>3500</v>
      </c>
      <c r="I777" t="s">
        <v>16</v>
      </c>
      <c r="J777">
        <v>5921</v>
      </c>
      <c r="K777" s="27" t="s">
        <v>3547</v>
      </c>
    </row>
    <row r="778" spans="1:11" x14ac:dyDescent="0.25">
      <c r="A778">
        <v>18987</v>
      </c>
      <c r="B778" t="e">
        <f>_xlfn.CONCAT(bron[[#This Row],[personeelsnr]]," ",bron[[#This Row],[achternaam]]," ",bron[[#This Row],[voornaam]])</f>
        <v>#N/A</v>
      </c>
      <c r="C778" t="e">
        <f>VLOOKUP(bron[[#This Row],[personeelsnr]],'data hastus'!$A:$C,2,0)</f>
        <v>#N/A</v>
      </c>
      <c r="D778" t="e">
        <f>VLOOKUP(bron[[#This Row],[personeelsnr]],'data hastus'!$A:$C,3,0)</f>
        <v>#N/A</v>
      </c>
      <c r="E778" t="s">
        <v>79</v>
      </c>
      <c r="F778" s="7">
        <v>45846</v>
      </c>
      <c r="G778" s="6" t="s">
        <v>1220</v>
      </c>
      <c r="H778" t="s">
        <v>3535</v>
      </c>
      <c r="I778" t="s">
        <v>104</v>
      </c>
      <c r="J778">
        <v>6313</v>
      </c>
      <c r="K778" s="27" t="s">
        <v>3547</v>
      </c>
    </row>
    <row r="779" spans="1:11" hidden="1" x14ac:dyDescent="0.25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3">
        <v>45630</v>
      </c>
      <c r="G779" s="6" t="s">
        <v>942</v>
      </c>
      <c r="H779" t="s">
        <v>7</v>
      </c>
      <c r="I779" t="s">
        <v>1277</v>
      </c>
      <c r="J779" t="s">
        <v>377</v>
      </c>
      <c r="K779" s="27" t="s">
        <v>3548</v>
      </c>
    </row>
    <row r="780" spans="1:1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7">
        <v>45847</v>
      </c>
      <c r="G780" s="6" t="s">
        <v>1222</v>
      </c>
      <c r="H780" t="s">
        <v>3500</v>
      </c>
      <c r="I780" t="s">
        <v>191</v>
      </c>
      <c r="J780">
        <v>5772</v>
      </c>
      <c r="K780" s="27" t="s">
        <v>3547</v>
      </c>
    </row>
    <row r="781" spans="1:1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7">
        <v>45847</v>
      </c>
      <c r="G781" s="6" t="s">
        <v>1221</v>
      </c>
      <c r="H781" t="s">
        <v>3499</v>
      </c>
      <c r="I781" t="s">
        <v>125</v>
      </c>
      <c r="J781">
        <v>2189</v>
      </c>
      <c r="K781" s="27" t="s">
        <v>3547</v>
      </c>
    </row>
    <row r="782" spans="1:1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7">
        <v>45848</v>
      </c>
      <c r="G782" s="6" t="s">
        <v>1224</v>
      </c>
      <c r="H782" t="s">
        <v>3499</v>
      </c>
      <c r="I782" t="s">
        <v>37</v>
      </c>
      <c r="J782">
        <v>5046</v>
      </c>
      <c r="K782" s="27" t="s">
        <v>3547</v>
      </c>
    </row>
    <row r="783" spans="1:1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7">
        <v>45848</v>
      </c>
      <c r="G783" s="6" t="s">
        <v>1223</v>
      </c>
      <c r="H783" t="s">
        <v>3499</v>
      </c>
      <c r="I783" t="s">
        <v>16</v>
      </c>
      <c r="J783">
        <v>2196</v>
      </c>
      <c r="K783" s="27" t="s">
        <v>3547</v>
      </c>
    </row>
    <row r="784" spans="1:1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7">
        <v>45848</v>
      </c>
      <c r="G784" s="6" t="s">
        <v>1226</v>
      </c>
      <c r="H784" t="s">
        <v>3536</v>
      </c>
      <c r="I784" t="s">
        <v>181</v>
      </c>
      <c r="J784">
        <v>6355</v>
      </c>
      <c r="K784" s="27" t="s">
        <v>3547</v>
      </c>
    </row>
    <row r="785" spans="1:1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7">
        <v>45848</v>
      </c>
      <c r="G785" s="6" t="s">
        <v>1225</v>
      </c>
      <c r="H785" t="s">
        <v>3500</v>
      </c>
      <c r="I785" t="s">
        <v>505</v>
      </c>
      <c r="J785">
        <v>5915</v>
      </c>
      <c r="K785" s="27" t="s">
        <v>3547</v>
      </c>
    </row>
    <row r="786" spans="1:1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7">
        <v>45849</v>
      </c>
      <c r="G786" s="6" t="s">
        <v>1227</v>
      </c>
      <c r="H786" t="s">
        <v>3501</v>
      </c>
      <c r="I786" t="s">
        <v>135</v>
      </c>
      <c r="J786">
        <v>5324</v>
      </c>
      <c r="K786" s="27" t="s">
        <v>3547</v>
      </c>
    </row>
    <row r="787" spans="1:1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7">
        <v>45850</v>
      </c>
      <c r="G787" s="6" t="s">
        <v>1228</v>
      </c>
      <c r="H787" t="s">
        <v>3499</v>
      </c>
      <c r="I787" t="s">
        <v>19</v>
      </c>
      <c r="J787">
        <v>5043</v>
      </c>
      <c r="K787" s="27" t="s">
        <v>3547</v>
      </c>
    </row>
    <row r="788" spans="1:1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7">
        <v>45851</v>
      </c>
      <c r="G788" s="6" t="s">
        <v>1229</v>
      </c>
      <c r="H788" t="s">
        <v>3500</v>
      </c>
      <c r="I788" t="s">
        <v>201</v>
      </c>
      <c r="J788">
        <v>5763</v>
      </c>
      <c r="K788" s="27" t="s">
        <v>3547</v>
      </c>
    </row>
    <row r="789" spans="1:1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7">
        <v>45851</v>
      </c>
      <c r="G789" s="6" t="s">
        <v>1230</v>
      </c>
      <c r="H789" t="s">
        <v>3500</v>
      </c>
      <c r="I789" t="s">
        <v>229</v>
      </c>
      <c r="J789">
        <v>5911</v>
      </c>
      <c r="K789" s="27" t="s">
        <v>3547</v>
      </c>
    </row>
    <row r="790" spans="1:1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7">
        <v>45852</v>
      </c>
      <c r="G790" s="6" t="s">
        <v>1231</v>
      </c>
      <c r="H790" t="s">
        <v>3536</v>
      </c>
      <c r="I790" t="s">
        <v>69</v>
      </c>
      <c r="J790">
        <v>6353</v>
      </c>
      <c r="K790" s="27" t="s">
        <v>3547</v>
      </c>
    </row>
    <row r="791" spans="1:1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7">
        <v>45853</v>
      </c>
      <c r="G791" s="6" t="s">
        <v>1233</v>
      </c>
      <c r="H791" t="s">
        <v>3499</v>
      </c>
      <c r="I791" t="s">
        <v>237</v>
      </c>
      <c r="J791">
        <v>5044</v>
      </c>
      <c r="K791" s="27" t="s">
        <v>3547</v>
      </c>
    </row>
    <row r="792" spans="1:1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7">
        <v>45853</v>
      </c>
      <c r="G792" s="6" t="s">
        <v>1232</v>
      </c>
      <c r="H792" t="s">
        <v>3499</v>
      </c>
      <c r="I792" t="s">
        <v>28</v>
      </c>
      <c r="J792">
        <v>5231</v>
      </c>
      <c r="K792" s="27" t="s">
        <v>3547</v>
      </c>
    </row>
    <row r="793" spans="1:1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7">
        <v>45853</v>
      </c>
      <c r="G793" s="6" t="s">
        <v>1290</v>
      </c>
      <c r="H793" t="s">
        <v>8</v>
      </c>
      <c r="I793" t="s">
        <v>948</v>
      </c>
      <c r="J793">
        <v>6375</v>
      </c>
      <c r="K793" s="27" t="s">
        <v>3548</v>
      </c>
    </row>
    <row r="794" spans="1:1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7">
        <v>45854</v>
      </c>
      <c r="G794" s="6" t="s">
        <v>1234</v>
      </c>
      <c r="H794" t="s">
        <v>3499</v>
      </c>
      <c r="I794" t="s">
        <v>10</v>
      </c>
      <c r="J794">
        <v>2807</v>
      </c>
      <c r="K794" s="27" t="s">
        <v>3547</v>
      </c>
    </row>
    <row r="795" spans="1:1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7">
        <v>45857</v>
      </c>
      <c r="G795" s="6" t="s">
        <v>1235</v>
      </c>
      <c r="H795" t="s">
        <v>3501</v>
      </c>
      <c r="I795" t="s">
        <v>251</v>
      </c>
      <c r="J795">
        <v>5266</v>
      </c>
      <c r="K795" s="27" t="s">
        <v>3547</v>
      </c>
    </row>
    <row r="796" spans="1:1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7">
        <v>45859</v>
      </c>
      <c r="G796" s="15" t="s">
        <v>1236</v>
      </c>
      <c r="H796" t="s">
        <v>3500</v>
      </c>
      <c r="I796" t="s">
        <v>111</v>
      </c>
      <c r="J796">
        <v>5767</v>
      </c>
      <c r="K796" s="27" t="s">
        <v>3547</v>
      </c>
    </row>
    <row r="797" spans="1:1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7">
        <v>45861</v>
      </c>
      <c r="G797" s="6" t="s">
        <v>1240</v>
      </c>
      <c r="H797" t="s">
        <v>3535</v>
      </c>
      <c r="I797" t="s">
        <v>267</v>
      </c>
      <c r="J797">
        <v>6323</v>
      </c>
      <c r="K797" s="27" t="s">
        <v>3547</v>
      </c>
    </row>
    <row r="798" spans="1:1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7">
        <v>45861</v>
      </c>
      <c r="G798" s="6" t="s">
        <v>1239</v>
      </c>
      <c r="H798" t="s">
        <v>3501</v>
      </c>
      <c r="I798" t="s">
        <v>113</v>
      </c>
      <c r="J798">
        <v>5260</v>
      </c>
      <c r="K798" s="27" t="s">
        <v>3547</v>
      </c>
    </row>
    <row r="799" spans="1:1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7">
        <v>45861</v>
      </c>
      <c r="G799" s="6" t="s">
        <v>1237</v>
      </c>
      <c r="H799" t="s">
        <v>3501</v>
      </c>
      <c r="I799" t="s">
        <v>1238</v>
      </c>
      <c r="J799">
        <v>5046</v>
      </c>
      <c r="K799" s="27" t="s">
        <v>3547</v>
      </c>
    </row>
    <row r="800" spans="1:1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7">
        <v>45862</v>
      </c>
      <c r="G800" s="6" t="s">
        <v>1241</v>
      </c>
      <c r="H800" t="s">
        <v>3535</v>
      </c>
      <c r="I800" t="s">
        <v>233</v>
      </c>
      <c r="J800">
        <v>6331</v>
      </c>
      <c r="K800" s="27" t="s">
        <v>3547</v>
      </c>
    </row>
    <row r="801" spans="1:1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7">
        <v>45862</v>
      </c>
      <c r="G801" s="6" t="s">
        <v>1242</v>
      </c>
      <c r="H801" t="s">
        <v>3500</v>
      </c>
      <c r="I801" t="s">
        <v>16</v>
      </c>
      <c r="J801">
        <v>5933</v>
      </c>
      <c r="K801" s="27" t="s">
        <v>3547</v>
      </c>
    </row>
    <row r="802" spans="1:1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7">
        <v>45862</v>
      </c>
      <c r="G802" s="6" t="s">
        <v>1303</v>
      </c>
      <c r="H802" t="s">
        <v>3500</v>
      </c>
      <c r="I802" t="s">
        <v>16</v>
      </c>
      <c r="J802">
        <v>5924</v>
      </c>
      <c r="K802" s="27" t="s">
        <v>3548</v>
      </c>
    </row>
    <row r="803" spans="1:1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7">
        <v>45863</v>
      </c>
      <c r="G803" s="6" t="s">
        <v>1243</v>
      </c>
      <c r="H803" t="s">
        <v>3499</v>
      </c>
      <c r="I803" t="s">
        <v>203</v>
      </c>
      <c r="J803">
        <v>5041</v>
      </c>
      <c r="K803" s="27" t="s">
        <v>3547</v>
      </c>
    </row>
    <row r="804" spans="1:1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7">
        <v>45863</v>
      </c>
      <c r="G804" s="6" t="s">
        <v>1289</v>
      </c>
      <c r="H804" t="s">
        <v>8</v>
      </c>
      <c r="I804" t="s">
        <v>654</v>
      </c>
      <c r="J804">
        <v>6359</v>
      </c>
      <c r="K804" s="27" t="s">
        <v>3548</v>
      </c>
    </row>
    <row r="805" spans="1:1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7">
        <v>45864</v>
      </c>
      <c r="G805" s="6" t="s">
        <v>1288</v>
      </c>
      <c r="H805" t="s">
        <v>3500</v>
      </c>
      <c r="I805" t="s">
        <v>108</v>
      </c>
      <c r="J805">
        <v>5767</v>
      </c>
      <c r="K805" s="27" t="s">
        <v>3548</v>
      </c>
    </row>
    <row r="806" spans="1:1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7">
        <v>45866</v>
      </c>
      <c r="G806" s="6" t="s">
        <v>1245</v>
      </c>
      <c r="H806" t="s">
        <v>3501</v>
      </c>
      <c r="I806" t="s">
        <v>19</v>
      </c>
      <c r="J806">
        <v>2195</v>
      </c>
      <c r="K806" s="27" t="s">
        <v>3547</v>
      </c>
    </row>
    <row r="807" spans="1:1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7">
        <v>45866</v>
      </c>
      <c r="G807" s="6" t="s">
        <v>1244</v>
      </c>
      <c r="H807" t="s">
        <v>3501</v>
      </c>
      <c r="I807" t="s">
        <v>265</v>
      </c>
      <c r="J807">
        <v>2192</v>
      </c>
      <c r="K807" s="27" t="s">
        <v>3547</v>
      </c>
    </row>
    <row r="808" spans="1:1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7">
        <v>45867</v>
      </c>
      <c r="G808" s="6" t="s">
        <v>1284</v>
      </c>
      <c r="H808" t="s">
        <v>8</v>
      </c>
      <c r="I808" t="s">
        <v>133</v>
      </c>
      <c r="J808">
        <v>6325</v>
      </c>
      <c r="K808" s="27" t="s">
        <v>3548</v>
      </c>
    </row>
    <row r="809" spans="1:1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1247</v>
      </c>
      <c r="D809" t="s">
        <v>1248</v>
      </c>
      <c r="E809" t="s">
        <v>76</v>
      </c>
      <c r="F809" s="7">
        <v>45867</v>
      </c>
      <c r="G809" s="15" t="s">
        <v>1249</v>
      </c>
      <c r="H809" t="s">
        <v>3500</v>
      </c>
      <c r="I809" t="s">
        <v>16</v>
      </c>
      <c r="J809">
        <v>5923</v>
      </c>
      <c r="K809" s="27" t="s">
        <v>3547</v>
      </c>
    </row>
    <row r="810" spans="1:1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7">
        <v>45867</v>
      </c>
      <c r="G810" s="15" t="s">
        <v>1246</v>
      </c>
      <c r="H810" t="s">
        <v>3501</v>
      </c>
      <c r="I810" t="s">
        <v>141</v>
      </c>
      <c r="J810">
        <v>5271</v>
      </c>
      <c r="K810" s="27" t="s">
        <v>3547</v>
      </c>
    </row>
    <row r="811" spans="1:1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7">
        <v>45868</v>
      </c>
      <c r="G811" s="6" t="s">
        <v>1308</v>
      </c>
      <c r="H811" t="s">
        <v>8</v>
      </c>
      <c r="I811" t="s">
        <v>1309</v>
      </c>
      <c r="J811">
        <v>6337</v>
      </c>
      <c r="K811" s="27" t="s">
        <v>3548</v>
      </c>
    </row>
    <row r="812" spans="1:1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7">
        <v>45869</v>
      </c>
      <c r="G812" s="5" t="s">
        <v>3609</v>
      </c>
      <c r="H812" t="s">
        <v>3501</v>
      </c>
      <c r="I812" t="s">
        <v>500</v>
      </c>
      <c r="J812">
        <v>5042</v>
      </c>
      <c r="K812" s="27" t="s">
        <v>3547</v>
      </c>
    </row>
    <row r="813" spans="1:1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7">
        <v>45871</v>
      </c>
      <c r="G813" s="6" t="s">
        <v>1250</v>
      </c>
      <c r="H813" t="s">
        <v>3500</v>
      </c>
      <c r="I813" t="s">
        <v>25</v>
      </c>
      <c r="J813">
        <v>5915</v>
      </c>
      <c r="K813" s="27" t="s">
        <v>3547</v>
      </c>
    </row>
    <row r="814" spans="1:1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7">
        <v>45872</v>
      </c>
      <c r="G814" s="6" t="s">
        <v>1251</v>
      </c>
      <c r="H814" t="s">
        <v>3499</v>
      </c>
      <c r="I814" t="s">
        <v>209</v>
      </c>
      <c r="J814">
        <v>2190</v>
      </c>
      <c r="K814" s="27" t="s">
        <v>3547</v>
      </c>
    </row>
    <row r="815" spans="1:1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7">
        <v>45874</v>
      </c>
      <c r="G815" s="15" t="s">
        <v>1321</v>
      </c>
      <c r="H815" t="s">
        <v>3499</v>
      </c>
      <c r="I815" t="s">
        <v>51</v>
      </c>
      <c r="J815">
        <v>5042</v>
      </c>
      <c r="K815" s="27" t="s">
        <v>3548</v>
      </c>
    </row>
    <row r="816" spans="1:1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7">
        <v>45874</v>
      </c>
      <c r="G816" s="15" t="s">
        <v>1253</v>
      </c>
      <c r="H816" t="s">
        <v>3536</v>
      </c>
      <c r="I816" t="s">
        <v>10</v>
      </c>
      <c r="J816">
        <v>6372</v>
      </c>
      <c r="K816" s="27" t="s">
        <v>3547</v>
      </c>
    </row>
    <row r="817" spans="1:1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7">
        <v>45874</v>
      </c>
      <c r="G817" s="15" t="s">
        <v>1252</v>
      </c>
      <c r="H817" t="s">
        <v>3501</v>
      </c>
      <c r="I817" t="s">
        <v>19</v>
      </c>
      <c r="J817">
        <v>2200</v>
      </c>
      <c r="K817" s="27" t="s">
        <v>3547</v>
      </c>
    </row>
    <row r="818" spans="1:1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7">
        <v>45876</v>
      </c>
      <c r="G818" s="15" t="s">
        <v>1255</v>
      </c>
      <c r="H818" t="s">
        <v>3501</v>
      </c>
      <c r="I818" t="s">
        <v>34</v>
      </c>
      <c r="J818">
        <v>5053</v>
      </c>
      <c r="K818" s="27" t="s">
        <v>3547</v>
      </c>
    </row>
    <row r="819" spans="1:1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7">
        <v>45876</v>
      </c>
      <c r="G819" s="15" t="s">
        <v>1254</v>
      </c>
      <c r="H819" t="s">
        <v>3500</v>
      </c>
      <c r="I819" t="s">
        <v>54</v>
      </c>
      <c r="J819">
        <v>5923</v>
      </c>
      <c r="K819" s="27" t="s">
        <v>3547</v>
      </c>
    </row>
    <row r="820" spans="1:1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7">
        <v>45878</v>
      </c>
      <c r="G820" s="6" t="s">
        <v>1256</v>
      </c>
      <c r="H820" t="s">
        <v>3501</v>
      </c>
      <c r="I820" t="s">
        <v>289</v>
      </c>
      <c r="J820">
        <v>2194</v>
      </c>
      <c r="K820" s="27" t="s">
        <v>3547</v>
      </c>
    </row>
    <row r="821" spans="1:1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7">
        <v>45879</v>
      </c>
      <c r="G821" s="15" t="s">
        <v>1257</v>
      </c>
      <c r="H821" t="s">
        <v>3535</v>
      </c>
      <c r="I821" t="s">
        <v>5</v>
      </c>
      <c r="J821">
        <v>6321</v>
      </c>
      <c r="K821" s="27" t="s">
        <v>3547</v>
      </c>
    </row>
    <row r="822" spans="1:1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7">
        <v>45883</v>
      </c>
      <c r="G822" s="5" t="s">
        <v>1258</v>
      </c>
      <c r="H822" t="s">
        <v>3499</v>
      </c>
      <c r="I822" t="s">
        <v>19</v>
      </c>
      <c r="J822">
        <v>5266</v>
      </c>
      <c r="K822" s="27" t="s">
        <v>3547</v>
      </c>
    </row>
    <row r="823" spans="1:1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3">
        <v>45883</v>
      </c>
      <c r="G823" s="15" t="s">
        <v>1287</v>
      </c>
      <c r="H823" t="s">
        <v>3500</v>
      </c>
      <c r="I823" t="s">
        <v>10</v>
      </c>
      <c r="J823">
        <v>5927</v>
      </c>
      <c r="K823" s="27" t="s">
        <v>3548</v>
      </c>
    </row>
    <row r="824" spans="1:1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7">
        <v>45884</v>
      </c>
      <c r="G824" s="15" t="s">
        <v>1259</v>
      </c>
      <c r="H824" t="s">
        <v>3500</v>
      </c>
      <c r="I824" t="s">
        <v>243</v>
      </c>
      <c r="J824">
        <v>5912</v>
      </c>
      <c r="K824" t="s">
        <v>3547</v>
      </c>
    </row>
    <row r="825" spans="1:1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7">
        <v>45887</v>
      </c>
      <c r="G825" s="5" t="s">
        <v>1261</v>
      </c>
      <c r="H825" t="s">
        <v>3535</v>
      </c>
      <c r="I825" t="s">
        <v>235</v>
      </c>
      <c r="J825">
        <v>6315</v>
      </c>
      <c r="K825" s="27" t="s">
        <v>3547</v>
      </c>
    </row>
    <row r="826" spans="1:1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7">
        <v>45890</v>
      </c>
      <c r="G826" s="5" t="s">
        <v>1260</v>
      </c>
      <c r="H826" t="s">
        <v>3499</v>
      </c>
      <c r="I826" t="s">
        <v>123</v>
      </c>
      <c r="J826">
        <v>5233</v>
      </c>
      <c r="K826" t="s">
        <v>3547</v>
      </c>
    </row>
    <row r="827" spans="1:1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7">
        <v>45890</v>
      </c>
      <c r="G827" s="5" t="s">
        <v>1296</v>
      </c>
      <c r="H827" t="s">
        <v>3501</v>
      </c>
      <c r="I827" t="s">
        <v>523</v>
      </c>
      <c r="J827">
        <v>5239</v>
      </c>
      <c r="K827" s="27" t="s">
        <v>3548</v>
      </c>
    </row>
    <row r="828" spans="1:1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7">
        <v>45891</v>
      </c>
      <c r="G828" s="5" t="s">
        <v>1324</v>
      </c>
      <c r="H828" t="s">
        <v>8</v>
      </c>
      <c r="I828" t="s">
        <v>953</v>
      </c>
      <c r="J828">
        <v>6307</v>
      </c>
      <c r="K828" s="27" t="s">
        <v>3548</v>
      </c>
    </row>
    <row r="829" spans="1:1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7">
        <v>45891</v>
      </c>
      <c r="G829" s="5" t="s">
        <v>1266</v>
      </c>
      <c r="H829" t="s">
        <v>3501</v>
      </c>
      <c r="I829" t="s">
        <v>113</v>
      </c>
      <c r="J829">
        <v>5052</v>
      </c>
      <c r="K829" t="s">
        <v>3547</v>
      </c>
    </row>
    <row r="830" spans="1:1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7">
        <v>45891</v>
      </c>
      <c r="G830" s="6" t="s">
        <v>1265</v>
      </c>
      <c r="H830" t="s">
        <v>3501</v>
      </c>
      <c r="I830" t="s">
        <v>22</v>
      </c>
      <c r="J830">
        <v>5238</v>
      </c>
      <c r="K830" t="s">
        <v>3547</v>
      </c>
    </row>
    <row r="831" spans="1:1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1262</v>
      </c>
      <c r="D831" t="s">
        <v>1263</v>
      </c>
      <c r="E831" t="s">
        <v>76</v>
      </c>
      <c r="F831" s="7">
        <v>45891</v>
      </c>
      <c r="G831" s="15" t="s">
        <v>1264</v>
      </c>
      <c r="H831" t="s">
        <v>3500</v>
      </c>
      <c r="I831" t="s">
        <v>5</v>
      </c>
      <c r="J831">
        <v>5765</v>
      </c>
      <c r="K831" t="s">
        <v>3547</v>
      </c>
    </row>
    <row r="832" spans="1:1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7">
        <v>45892</v>
      </c>
      <c r="G832" s="5" t="s">
        <v>1267</v>
      </c>
      <c r="H832" t="s">
        <v>3501</v>
      </c>
      <c r="I832" t="s">
        <v>51</v>
      </c>
      <c r="J832">
        <v>5048</v>
      </c>
      <c r="K832" t="s">
        <v>3547</v>
      </c>
    </row>
    <row r="833" spans="1:1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7">
        <v>45894</v>
      </c>
      <c r="G833" s="5" t="s">
        <v>1268</v>
      </c>
      <c r="H833" t="s">
        <v>3500</v>
      </c>
      <c r="I833" t="s">
        <v>293</v>
      </c>
      <c r="J833">
        <v>8137</v>
      </c>
      <c r="K833" t="s">
        <v>3547</v>
      </c>
    </row>
    <row r="834" spans="1:1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7">
        <v>45895</v>
      </c>
      <c r="G834" s="5" t="s">
        <v>1269</v>
      </c>
      <c r="H834" t="s">
        <v>3535</v>
      </c>
      <c r="I834" t="s">
        <v>5</v>
      </c>
      <c r="J834">
        <v>6308</v>
      </c>
      <c r="K834" s="27" t="s">
        <v>3547</v>
      </c>
    </row>
    <row r="835" spans="1:1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7">
        <v>45897</v>
      </c>
      <c r="G835" s="5" t="s">
        <v>1270</v>
      </c>
      <c r="H835" t="s">
        <v>3499</v>
      </c>
      <c r="I835" t="s">
        <v>195</v>
      </c>
      <c r="J835">
        <v>5046</v>
      </c>
      <c r="K835" t="s">
        <v>3547</v>
      </c>
    </row>
    <row r="836" spans="1:1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7">
        <v>45897</v>
      </c>
      <c r="G836" s="5" t="s">
        <v>1271</v>
      </c>
      <c r="H836" t="s">
        <v>3535</v>
      </c>
      <c r="I836" t="s">
        <v>199</v>
      </c>
      <c r="J836">
        <v>6332</v>
      </c>
      <c r="K836" s="27" t="s">
        <v>3547</v>
      </c>
    </row>
    <row r="837" spans="1:1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7">
        <v>45898</v>
      </c>
      <c r="G837" s="5" t="s">
        <v>1273</v>
      </c>
      <c r="H837" t="s">
        <v>3501</v>
      </c>
      <c r="I837" t="s">
        <v>1274</v>
      </c>
      <c r="J837">
        <v>5327</v>
      </c>
      <c r="K837" t="s">
        <v>3547</v>
      </c>
    </row>
    <row r="838" spans="1:1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7">
        <v>45898</v>
      </c>
      <c r="G838" s="5" t="s">
        <v>1272</v>
      </c>
      <c r="H838" t="s">
        <v>3499</v>
      </c>
      <c r="I838" t="s">
        <v>5</v>
      </c>
      <c r="J838">
        <v>2193</v>
      </c>
      <c r="K838" t="s">
        <v>3547</v>
      </c>
    </row>
    <row r="839" spans="1:1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7">
        <v>45899</v>
      </c>
      <c r="G839" s="5" t="s">
        <v>1275</v>
      </c>
      <c r="H839" t="s">
        <v>3501</v>
      </c>
      <c r="I839" t="s">
        <v>546</v>
      </c>
      <c r="J839">
        <v>5044</v>
      </c>
      <c r="K839" t="s">
        <v>3547</v>
      </c>
    </row>
    <row r="840" spans="1:11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t="str">
        <f>VLOOKUP(bron[[#This Row],[personeelsnr]],'data hastus'!A:K,11,FALSE)</f>
        <v>Dominique De Clercq</v>
      </c>
      <c r="F840" s="7">
        <v>45901</v>
      </c>
      <c r="G840" s="5" t="s">
        <v>1325</v>
      </c>
      <c r="H840" t="s">
        <v>3500</v>
      </c>
      <c r="I840" t="s">
        <v>1326</v>
      </c>
      <c r="J840">
        <v>5938</v>
      </c>
      <c r="K840" t="s">
        <v>3547</v>
      </c>
    </row>
    <row r="841" spans="1:11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t="str">
        <f>VLOOKUP(bron[[#This Row],[personeelsnr]],'data hastus'!A:K,11,FALSE)</f>
        <v>Christoff Rotty</v>
      </c>
      <c r="F841" s="7">
        <v>45902</v>
      </c>
      <c r="G841" s="5" t="s">
        <v>3487</v>
      </c>
      <c r="H841" t="s">
        <v>3501</v>
      </c>
      <c r="I841" t="s">
        <v>100</v>
      </c>
      <c r="J841">
        <v>5263</v>
      </c>
      <c r="K841" t="s">
        <v>3547</v>
      </c>
    </row>
    <row r="842" spans="1:11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t="str">
        <f>VLOOKUP(bron[[#This Row],[personeelsnr]],'data hastus'!A:K,11,FALSE)</f>
        <v>Dominique De Clercq</v>
      </c>
      <c r="F842" s="7">
        <v>45902</v>
      </c>
      <c r="G842" s="5" t="s">
        <v>3487</v>
      </c>
      <c r="H842" t="s">
        <v>3501</v>
      </c>
      <c r="I842" t="s">
        <v>100</v>
      </c>
      <c r="J842">
        <v>5263</v>
      </c>
      <c r="K842" s="27" t="s">
        <v>3548</v>
      </c>
    </row>
    <row r="843" spans="1:11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t="str">
        <f>VLOOKUP(bron[[#This Row],[personeelsnr]],'data hastus'!A:K,11,FALSE)</f>
        <v>Christoff Rotty</v>
      </c>
      <c r="F843" s="7">
        <v>45902</v>
      </c>
      <c r="G843" s="5" t="s">
        <v>1327</v>
      </c>
      <c r="H843" t="s">
        <v>3501</v>
      </c>
      <c r="I843" t="s">
        <v>385</v>
      </c>
      <c r="J843">
        <v>5233</v>
      </c>
      <c r="K843" t="s">
        <v>3547</v>
      </c>
    </row>
    <row r="844" spans="1:11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t="str">
        <f>VLOOKUP(bron[[#This Row],[personeelsnr]],'data hastus'!A:K,11,FALSE)</f>
        <v>Dominique De Clercq</v>
      </c>
      <c r="F844" s="7">
        <v>45902</v>
      </c>
      <c r="G844" s="5" t="s">
        <v>3491</v>
      </c>
      <c r="H844" t="s">
        <v>3500</v>
      </c>
      <c r="I844" t="s">
        <v>3492</v>
      </c>
      <c r="J844">
        <v>550311</v>
      </c>
      <c r="K844" t="s">
        <v>3547</v>
      </c>
    </row>
    <row r="845" spans="1:11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t="str">
        <f>VLOOKUP(bron[[#This Row],[personeelsnr]],'data hastus'!A:K,11,FALSE)</f>
        <v>Els Vanhoe</v>
      </c>
      <c r="F845" s="7">
        <v>45903</v>
      </c>
      <c r="G845" s="5" t="s">
        <v>3484</v>
      </c>
      <c r="H845" t="s">
        <v>3499</v>
      </c>
      <c r="I845" t="s">
        <v>3485</v>
      </c>
      <c r="J845">
        <v>5324</v>
      </c>
      <c r="K845" t="s">
        <v>3547</v>
      </c>
    </row>
    <row r="846" spans="1:11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t="str">
        <f>VLOOKUP(bron[[#This Row],[personeelsnr]],'data hastus'!A:K,11,FALSE)</f>
        <v>Bart Van Der Beken</v>
      </c>
      <c r="F846" s="7">
        <v>45903</v>
      </c>
      <c r="G846" s="5" t="s">
        <v>3497</v>
      </c>
      <c r="H846" t="s">
        <v>3535</v>
      </c>
      <c r="I846" t="s">
        <v>3498</v>
      </c>
      <c r="J846">
        <v>6319</v>
      </c>
      <c r="K846" s="27" t="s">
        <v>3547</v>
      </c>
    </row>
    <row r="847" spans="1:11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t="str">
        <f>VLOOKUP(bron[[#This Row],[personeelsnr]],'data hastus'!A:K,11,FALSE)</f>
        <v>Kenneth De Rick</v>
      </c>
      <c r="F847" s="7">
        <v>45904</v>
      </c>
      <c r="G847" s="5" t="s">
        <v>3486</v>
      </c>
      <c r="H847" t="s">
        <v>3535</v>
      </c>
      <c r="I847" t="s">
        <v>5</v>
      </c>
      <c r="J847">
        <v>6316</v>
      </c>
      <c r="K847" s="27" t="s">
        <v>3547</v>
      </c>
    </row>
    <row r="848" spans="1:11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t="str">
        <f>VLOOKUP(bron[[#This Row],[personeelsnr]],'data hastus'!A:K,11,FALSE)</f>
        <v>Dominique De Clercq</v>
      </c>
      <c r="F848" s="7">
        <v>45904</v>
      </c>
      <c r="G848" s="5" t="s">
        <v>3488</v>
      </c>
      <c r="H848" t="s">
        <v>3500</v>
      </c>
      <c r="I848" t="s">
        <v>10</v>
      </c>
      <c r="J848">
        <v>2548</v>
      </c>
      <c r="K848" t="s">
        <v>3547</v>
      </c>
    </row>
    <row r="849" spans="1:11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t="str">
        <f>VLOOKUP(bron[[#This Row],[personeelsnr]],'data hastus'!A:K,11,FALSE)</f>
        <v>Christoff Rotty</v>
      </c>
      <c r="F849" s="7">
        <v>45905</v>
      </c>
      <c r="G849" s="5" t="s">
        <v>3489</v>
      </c>
      <c r="H849" t="s">
        <v>3500</v>
      </c>
      <c r="I849" t="s">
        <v>3490</v>
      </c>
      <c r="J849">
        <v>5931</v>
      </c>
      <c r="K849" t="s">
        <v>3547</v>
      </c>
    </row>
    <row r="850" spans="1:11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t="str">
        <f>VLOOKUP(bron[[#This Row],[personeelsnr]],'data hastus'!A:K,11,FALSE)</f>
        <v>Dominique De Clercq</v>
      </c>
      <c r="F850" s="7">
        <v>45907</v>
      </c>
      <c r="G850" s="6" t="s">
        <v>3534</v>
      </c>
      <c r="H850" t="s">
        <v>3501</v>
      </c>
      <c r="I850" t="s">
        <v>13</v>
      </c>
      <c r="J850">
        <v>5259</v>
      </c>
      <c r="K850" t="s">
        <v>3547</v>
      </c>
    </row>
    <row r="851" spans="1:11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t="str">
        <f>VLOOKUP(bron[[#This Row],[personeelsnr]],'data hastus'!A:K,11,FALSE)</f>
        <v>Bart Van Der Beken</v>
      </c>
      <c r="F851" s="7">
        <v>45909</v>
      </c>
      <c r="G851" s="5" t="s">
        <v>3493</v>
      </c>
      <c r="H851" t="s">
        <v>3535</v>
      </c>
      <c r="I851" t="s">
        <v>75</v>
      </c>
      <c r="J851">
        <v>6331</v>
      </c>
      <c r="K851" s="27" t="s">
        <v>3547</v>
      </c>
    </row>
    <row r="852" spans="1:11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t="str">
        <f>VLOOKUP(bron[[#This Row],[personeelsnr]],'data hastus'!A:K,11,FALSE)</f>
        <v>Els Vanhoe</v>
      </c>
      <c r="F852" s="7">
        <v>45909</v>
      </c>
      <c r="G852" s="5" t="s">
        <v>3494</v>
      </c>
      <c r="H852" t="s">
        <v>3499</v>
      </c>
      <c r="I852" t="s">
        <v>119</v>
      </c>
      <c r="J852">
        <v>5042</v>
      </c>
      <c r="K852" t="s">
        <v>3547</v>
      </c>
    </row>
    <row r="853" spans="1:11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t="str">
        <f>VLOOKUP(bron[[#This Row],[personeelsnr]],'data hastus'!A:K,11,FALSE)</f>
        <v>Christoff Rotty</v>
      </c>
      <c r="F853" s="7">
        <v>45909</v>
      </c>
      <c r="G853" s="5" t="s">
        <v>3544</v>
      </c>
      <c r="H853" t="s">
        <v>3500</v>
      </c>
      <c r="I853" t="s">
        <v>3545</v>
      </c>
      <c r="J853">
        <v>4678</v>
      </c>
      <c r="K853" s="27" t="s">
        <v>3547</v>
      </c>
    </row>
    <row r="854" spans="1:11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t="str">
        <f>VLOOKUP(bron[[#This Row],[personeelsnr]],'data hastus'!A:K,11,FALSE)</f>
        <v>Bart Van Der Beken</v>
      </c>
      <c r="F854" s="7">
        <v>45910</v>
      </c>
      <c r="G854" s="15" t="s">
        <v>3495</v>
      </c>
      <c r="H854" t="s">
        <v>3536</v>
      </c>
      <c r="I854" t="s">
        <v>3496</v>
      </c>
      <c r="J854">
        <v>6369</v>
      </c>
      <c r="K854" s="27" t="s">
        <v>3547</v>
      </c>
    </row>
    <row r="855" spans="1:11" x14ac:dyDescent="0.25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t="str">
        <f>VLOOKUP(bron[[#This Row],[personeelsnr]],'data hastus'!A:K,11,FALSE)</f>
        <v>Els Vanhoe</v>
      </c>
      <c r="F855" s="7">
        <v>45912</v>
      </c>
      <c r="G855" s="5" t="s">
        <v>3550</v>
      </c>
      <c r="H855" t="s">
        <v>3501</v>
      </c>
      <c r="I855" t="s">
        <v>48</v>
      </c>
      <c r="J855">
        <v>5265</v>
      </c>
      <c r="K855" s="27" t="s">
        <v>3547</v>
      </c>
    </row>
    <row r="856" spans="1:11" x14ac:dyDescent="0.25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t="str">
        <f>VLOOKUP(bron[[#This Row],[personeelsnr]],'data hastus'!A:K,11,FALSE)</f>
        <v>Dominique De Clercq</v>
      </c>
      <c r="F856" s="7">
        <v>45912</v>
      </c>
      <c r="G856" s="5" t="s">
        <v>3555</v>
      </c>
      <c r="H856" t="s">
        <v>3501</v>
      </c>
      <c r="I856" t="s">
        <v>100</v>
      </c>
      <c r="J856">
        <v>2193</v>
      </c>
      <c r="K856" s="27" t="s">
        <v>3547</v>
      </c>
    </row>
    <row r="857" spans="1:11" x14ac:dyDescent="0.25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t="str">
        <f>VLOOKUP(bron[[#This Row],[personeelsnr]],'data hastus'!A:K,11,FALSE)</f>
        <v>Steven Storm</v>
      </c>
      <c r="F857" s="7">
        <v>45914</v>
      </c>
      <c r="G857" s="5" t="s">
        <v>3537</v>
      </c>
      <c r="H857" t="s">
        <v>3536</v>
      </c>
      <c r="I857" t="s">
        <v>3538</v>
      </c>
      <c r="J857">
        <v>6374</v>
      </c>
      <c r="K857" s="27" t="s">
        <v>3548</v>
      </c>
    </row>
    <row r="858" spans="1:11" x14ac:dyDescent="0.25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t="str">
        <f>VLOOKUP(bron[[#This Row],[personeelsnr]],'data hastus'!A:K,11,FALSE)</f>
        <v>Lucie Vande Velde</v>
      </c>
      <c r="F858" s="7">
        <v>45915</v>
      </c>
      <c r="G858" s="5" t="s">
        <v>3539</v>
      </c>
      <c r="H858" t="s">
        <v>3499</v>
      </c>
      <c r="I858" t="s">
        <v>25</v>
      </c>
      <c r="J858">
        <v>5237</v>
      </c>
      <c r="K858" t="s">
        <v>3547</v>
      </c>
    </row>
    <row r="859" spans="1:11" x14ac:dyDescent="0.25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t="str">
        <f>VLOOKUP(bron[[#This Row],[personeelsnr]],'data hastus'!A:K,11,FALSE)</f>
        <v>Els Dewulf</v>
      </c>
      <c r="F859" s="7">
        <v>45915</v>
      </c>
      <c r="G859" s="5" t="s">
        <v>3541</v>
      </c>
      <c r="H859" t="s">
        <v>3500</v>
      </c>
      <c r="I859" t="s">
        <v>51</v>
      </c>
      <c r="J859">
        <v>5763</v>
      </c>
      <c r="K859" t="s">
        <v>3547</v>
      </c>
    </row>
    <row r="860" spans="1:11" x14ac:dyDescent="0.25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t="str">
        <f>VLOOKUP(bron[[#This Row],[personeelsnr]],'data hastus'!A:K,11,FALSE)</f>
        <v>Steven Storm</v>
      </c>
      <c r="F860" s="7">
        <v>45915</v>
      </c>
      <c r="G860" s="5" t="s">
        <v>3540</v>
      </c>
      <c r="H860" t="s">
        <v>3500</v>
      </c>
      <c r="I860" t="s">
        <v>3538</v>
      </c>
      <c r="J860">
        <v>5488</v>
      </c>
      <c r="K860" t="s">
        <v>3547</v>
      </c>
    </row>
    <row r="861" spans="1:11" x14ac:dyDescent="0.25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t="str">
        <f>VLOOKUP(bron[[#This Row],[personeelsnr]],'data hastus'!A:K,11,FALSE)</f>
        <v>Christoff Rotty</v>
      </c>
      <c r="F861" s="7">
        <v>45916</v>
      </c>
      <c r="G861" s="5" t="s">
        <v>3543</v>
      </c>
      <c r="H861" t="s">
        <v>3535</v>
      </c>
      <c r="I861" t="s">
        <v>1300</v>
      </c>
      <c r="J861">
        <v>6334</v>
      </c>
      <c r="K861" t="s">
        <v>3548</v>
      </c>
    </row>
    <row r="862" spans="1:11" x14ac:dyDescent="0.25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t="str">
        <f>VLOOKUP(bron[[#This Row],[personeelsnr]],'data hastus'!A:K,11,FALSE)</f>
        <v>Kenneth De Rick</v>
      </c>
      <c r="F862" s="7">
        <v>45917</v>
      </c>
      <c r="G862" s="5" t="s">
        <v>3551</v>
      </c>
      <c r="H862" t="s">
        <v>3500</v>
      </c>
      <c r="I862" t="s">
        <v>3552</v>
      </c>
      <c r="J862">
        <v>5913</v>
      </c>
      <c r="K862" s="27" t="s">
        <v>3547</v>
      </c>
    </row>
    <row r="863" spans="1:11" x14ac:dyDescent="0.25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t="str">
        <f>VLOOKUP(bron[[#This Row],[personeelsnr]],'data hastus'!A:K,11,FALSE)</f>
        <v>Christoff Rotty</v>
      </c>
      <c r="F863" s="7">
        <v>45917</v>
      </c>
      <c r="G863" s="5" t="s">
        <v>3613</v>
      </c>
      <c r="H863" t="s">
        <v>3500</v>
      </c>
      <c r="I863" t="s">
        <v>28</v>
      </c>
      <c r="J863">
        <v>5488</v>
      </c>
      <c r="K863" s="27" t="s">
        <v>3547</v>
      </c>
    </row>
    <row r="864" spans="1:11" x14ac:dyDescent="0.25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t="str">
        <f>VLOOKUP(bron[[#This Row],[personeelsnr]],'data hastus'!A:K,11,FALSE)</f>
        <v>Els Dewulf</v>
      </c>
      <c r="F864" s="7">
        <v>45919</v>
      </c>
      <c r="G864" s="5" t="s">
        <v>3612</v>
      </c>
      <c r="H864" t="s">
        <v>3500</v>
      </c>
      <c r="I864" t="s">
        <v>521</v>
      </c>
      <c r="J864">
        <v>5488</v>
      </c>
      <c r="K864" s="27" t="s">
        <v>3548</v>
      </c>
    </row>
    <row r="865" spans="1:11" x14ac:dyDescent="0.25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t="str">
        <f>VLOOKUP(bron[[#This Row],[personeelsnr]],'data hastus'!A:K,11,FALSE)</f>
        <v>Kenneth De Rick</v>
      </c>
      <c r="F865" s="7">
        <v>45919</v>
      </c>
      <c r="G865" s="5" t="s">
        <v>3617</v>
      </c>
      <c r="H865" t="s">
        <v>3500</v>
      </c>
      <c r="I865" t="s">
        <v>84</v>
      </c>
      <c r="J865">
        <v>5923</v>
      </c>
      <c r="K865" s="27" t="s">
        <v>3547</v>
      </c>
    </row>
    <row r="866" spans="1:11" x14ac:dyDescent="0.25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t="str">
        <f>VLOOKUP(bron[[#This Row],[personeelsnr]],'data hastus'!A:K,11,FALSE)</f>
        <v>Christoff Rotty</v>
      </c>
      <c r="F866" s="7">
        <v>45922</v>
      </c>
      <c r="G866" s="5" t="s">
        <v>3614</v>
      </c>
      <c r="H866" t="s">
        <v>3500</v>
      </c>
      <c r="I866" t="s">
        <v>3615</v>
      </c>
      <c r="J866">
        <v>2047</v>
      </c>
      <c r="K866" s="27" t="s">
        <v>3547</v>
      </c>
    </row>
    <row r="867" spans="1:11" x14ac:dyDescent="0.25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t="str">
        <f>VLOOKUP(bron[[#This Row],[personeelsnr]],'data hastus'!A:K,11,FALSE)</f>
        <v>Dominique De Clercq</v>
      </c>
      <c r="F867" s="7">
        <v>45922</v>
      </c>
      <c r="G867" s="5" t="s">
        <v>3616</v>
      </c>
      <c r="H867" t="s">
        <v>3536</v>
      </c>
      <c r="I867" t="s">
        <v>5</v>
      </c>
      <c r="J867">
        <v>6375</v>
      </c>
      <c r="K867" s="27" t="s">
        <v>3547</v>
      </c>
    </row>
    <row r="868" spans="1:11" x14ac:dyDescent="0.25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t="str">
        <f>VLOOKUP(bron[[#This Row],[personeelsnr]],'data hastus'!A:K,11,FALSE)</f>
        <v>Dominique De Clercq</v>
      </c>
      <c r="F868" s="7">
        <v>45922</v>
      </c>
      <c r="G868" s="5" t="s">
        <v>3618</v>
      </c>
      <c r="H868" t="s">
        <v>3501</v>
      </c>
      <c r="I868" t="s">
        <v>3619</v>
      </c>
      <c r="J868">
        <v>5225</v>
      </c>
      <c r="K868" s="27" t="s">
        <v>3620</v>
      </c>
    </row>
    <row r="869" spans="1:11" x14ac:dyDescent="0.25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t="str">
        <f>VLOOKUP(bron[[#This Row],[personeelsnr]],'data hastus'!A:K,11,FALSE)</f>
        <v>Christoff Rotty</v>
      </c>
      <c r="F869" s="7">
        <v>45923</v>
      </c>
      <c r="G869" s="5" t="s">
        <v>3621</v>
      </c>
      <c r="H869" t="s">
        <v>3500</v>
      </c>
      <c r="I869" t="s">
        <v>40</v>
      </c>
      <c r="J869">
        <v>2047</v>
      </c>
      <c r="K869" s="27" t="s">
        <v>3547</v>
      </c>
    </row>
    <row r="870" spans="1:11" x14ac:dyDescent="0.25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t="str">
        <f>VLOOKUP(bron[[#This Row],[personeelsnr]],'data hastus'!A:K,11,FALSE)</f>
        <v>Dominique De Clercq</v>
      </c>
      <c r="F870" s="7">
        <v>45923</v>
      </c>
      <c r="G870" s="5" t="s">
        <v>3623</v>
      </c>
      <c r="H870" t="s">
        <v>3535</v>
      </c>
      <c r="I870" t="s">
        <v>75</v>
      </c>
      <c r="J870">
        <v>6328</v>
      </c>
      <c r="K870" s="27" t="s">
        <v>3548</v>
      </c>
    </row>
    <row r="871" spans="1:11" x14ac:dyDescent="0.25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t="str">
        <f>VLOOKUP(bron[[#This Row],[personeelsnr]],'data hastus'!A:K,11,FALSE)</f>
        <v>Christoff Rotty</v>
      </c>
      <c r="F871" s="7">
        <v>45924</v>
      </c>
      <c r="G871" s="5" t="s">
        <v>3622</v>
      </c>
      <c r="H871" t="s">
        <v>3500</v>
      </c>
      <c r="I871" t="s">
        <v>3615</v>
      </c>
      <c r="J871">
        <v>2085</v>
      </c>
      <c r="K871" s="27" t="s">
        <v>3547</v>
      </c>
    </row>
    <row r="872" spans="1:11" x14ac:dyDescent="0.25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t="str">
        <f>VLOOKUP(bron[[#This Row],[personeelsnr]],'data hastus'!A:K,11,FALSE)</f>
        <v>Kenneth De Rick</v>
      </c>
      <c r="F872" s="7">
        <v>45924</v>
      </c>
      <c r="G872" s="5" t="s">
        <v>3624</v>
      </c>
      <c r="H872" t="s">
        <v>3500</v>
      </c>
      <c r="I872" t="s">
        <v>3625</v>
      </c>
      <c r="J872">
        <v>5922</v>
      </c>
      <c r="K872" s="27" t="s">
        <v>3548</v>
      </c>
    </row>
    <row r="873" spans="1:11" x14ac:dyDescent="0.25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t="str">
        <f>VLOOKUP(bron[[#This Row],[personeelsnr]],'data hastus'!A:K,11,FALSE)</f>
        <v>Bart Van Der Beken</v>
      </c>
      <c r="F873" s="7">
        <v>45925</v>
      </c>
      <c r="G873" s="5" t="s">
        <v>3626</v>
      </c>
      <c r="H873" t="s">
        <v>3500</v>
      </c>
      <c r="I873" t="s">
        <v>1311</v>
      </c>
      <c r="J873">
        <v>5938</v>
      </c>
      <c r="K873" s="27" t="s">
        <v>3548</v>
      </c>
    </row>
    <row r="874" spans="1:11" x14ac:dyDescent="0.25">
      <c r="B874" t="e">
        <f>_xlfn.CONCAT(bron[[#This Row],[personeelsnr]]," ",bron[[#This Row],[achternaam]]," ",bron[[#This Row],[voornaam]])</f>
        <v>#N/A</v>
      </c>
      <c r="C874" t="e">
        <f>VLOOKUP(bron[[#This Row],[personeelsnr]],'data hastus'!$A:$C,2,0)</f>
        <v>#N/A</v>
      </c>
      <c r="D874" t="e">
        <f>VLOOKUP(bron[[#This Row],[personeelsnr]],'data hastus'!$A:$C,3,0)</f>
        <v>#N/A</v>
      </c>
      <c r="E874" t="e">
        <f>VLOOKUP(bron[[#This Row],[personeelsnr]],'data hastus'!A:K,11,FALSE)</f>
        <v>#N/A</v>
      </c>
    </row>
    <row r="875" spans="1:11" x14ac:dyDescent="0.25">
      <c r="B875" t="e">
        <f>_xlfn.CONCAT(bron[[#This Row],[personeelsnr]]," ",bron[[#This Row],[achternaam]]," ",bron[[#This Row],[voornaam]])</f>
        <v>#N/A</v>
      </c>
      <c r="C875" t="e">
        <f>VLOOKUP(bron[[#This Row],[personeelsnr]],'data hastus'!$A:$C,2,0)</f>
        <v>#N/A</v>
      </c>
      <c r="D875" t="e">
        <f>VLOOKUP(bron[[#This Row],[personeelsnr]],'data hastus'!$A:$C,3,0)</f>
        <v>#N/A</v>
      </c>
      <c r="E875" t="e">
        <f>VLOOKUP(bron[[#This Row],[personeelsnr]],'data hastus'!A:K,11,FALSE)</f>
        <v>#N/A</v>
      </c>
    </row>
    <row r="876" spans="1:11" x14ac:dyDescent="0.25">
      <c r="B876" t="e">
        <f>_xlfn.CONCAT(bron[[#This Row],[personeelsnr]]," ",bron[[#This Row],[achternaam]]," ",bron[[#This Row],[voornaam]])</f>
        <v>#N/A</v>
      </c>
      <c r="C876" t="e">
        <f>VLOOKUP(bron[[#This Row],[personeelsnr]],'data hastus'!$A:$C,2,0)</f>
        <v>#N/A</v>
      </c>
      <c r="D876" t="e">
        <f>VLOOKUP(bron[[#This Row],[personeelsnr]],'data hastus'!$A:$C,3,0)</f>
        <v>#N/A</v>
      </c>
      <c r="E876" t="e">
        <f>VLOOKUP(bron[[#This Row],[personeelsnr]],'data hastus'!A:K,11,FALSE)</f>
        <v>#N/A</v>
      </c>
    </row>
    <row r="877" spans="1:11" x14ac:dyDescent="0.25">
      <c r="B877" t="e">
        <f>_xlfn.CONCAT(bron[[#This Row],[personeelsnr]]," ",bron[[#This Row],[achternaam]]," ",bron[[#This Row],[voornaam]])</f>
        <v>#N/A</v>
      </c>
      <c r="C877" t="e">
        <f>VLOOKUP(bron[[#This Row],[personeelsnr]],'data hastus'!$A:$C,2,0)</f>
        <v>#N/A</v>
      </c>
      <c r="D877" t="e">
        <f>VLOOKUP(bron[[#This Row],[personeelsnr]],'data hastus'!$A:$C,3,0)</f>
        <v>#N/A</v>
      </c>
      <c r="E877" t="e">
        <f>VLOOKUP(bron[[#This Row],[personeelsnr]],'data hastus'!A:K,11,FALSE)</f>
        <v>#N/A</v>
      </c>
    </row>
    <row r="878" spans="1:11" x14ac:dyDescent="0.25">
      <c r="B878" t="e">
        <f>_xlfn.CONCAT(bron[[#This Row],[personeelsnr]]," ",bron[[#This Row],[achternaam]]," ",bron[[#This Row],[voornaam]])</f>
        <v>#N/A</v>
      </c>
      <c r="C878" t="e">
        <f>VLOOKUP(bron[[#This Row],[personeelsnr]],'data hastus'!$A:$C,2,0)</f>
        <v>#N/A</v>
      </c>
      <c r="D878" t="e">
        <f>VLOOKUP(bron[[#This Row],[personeelsnr]],'data hastus'!$A:$C,3,0)</f>
        <v>#N/A</v>
      </c>
      <c r="E878" t="e">
        <f>VLOOKUP(bron[[#This Row],[personeelsnr]],'data hastus'!A:K,11,FALSE)</f>
        <v>#N/A</v>
      </c>
    </row>
    <row r="879" spans="1:11" x14ac:dyDescent="0.25">
      <c r="B879" t="e">
        <f>_xlfn.CONCAT(bron[[#This Row],[personeelsnr]]," ",bron[[#This Row],[achternaam]]," ",bron[[#This Row],[voornaam]])</f>
        <v>#N/A</v>
      </c>
      <c r="C879" t="e">
        <f>VLOOKUP(bron[[#This Row],[personeelsnr]],'data hastus'!$A:$C,2,0)</f>
        <v>#N/A</v>
      </c>
      <c r="D879" t="e">
        <f>VLOOKUP(bron[[#This Row],[personeelsnr]],'data hastus'!$A:$C,3,0)</f>
        <v>#N/A</v>
      </c>
      <c r="E879" t="e">
        <f>VLOOKUP(bron[[#This Row],[personeelsnr]],'data hastus'!A:K,11,FALSE)</f>
        <v>#N/A</v>
      </c>
    </row>
    <row r="880" spans="1:11" x14ac:dyDescent="0.25">
      <c r="B880" t="e">
        <f>_xlfn.CONCAT(bron[[#This Row],[personeelsnr]]," ",bron[[#This Row],[achternaam]]," ",bron[[#This Row],[voornaam]])</f>
        <v>#N/A</v>
      </c>
      <c r="C880" t="e">
        <f>VLOOKUP(bron[[#This Row],[personeelsnr]],'data hastus'!$A:$C,2,0)</f>
        <v>#N/A</v>
      </c>
      <c r="D880" t="e">
        <f>VLOOKUP(bron[[#This Row],[personeelsnr]],'data hastus'!$A:$C,3,0)</f>
        <v>#N/A</v>
      </c>
      <c r="E880" t="e">
        <f>VLOOKUP(bron[[#This Row],[personeelsnr]],'data hastus'!A:K,11,FALSE)</f>
        <v>#N/A</v>
      </c>
    </row>
    <row r="881" spans="2:5" x14ac:dyDescent="0.25">
      <c r="B881" t="e">
        <f>_xlfn.CONCAT(bron[[#This Row],[personeelsnr]]," ",bron[[#This Row],[achternaam]]," ",bron[[#This Row],[voornaam]])</f>
        <v>#N/A</v>
      </c>
      <c r="C881" t="e">
        <f>VLOOKUP(bron[[#This Row],[personeelsnr]],'data hastus'!$A:$C,2,0)</f>
        <v>#N/A</v>
      </c>
      <c r="D881" t="e">
        <f>VLOOKUP(bron[[#This Row],[personeelsnr]],'data hastus'!$A:$C,3,0)</f>
        <v>#N/A</v>
      </c>
      <c r="E881" t="e">
        <f>VLOOKUP(bron[[#This Row],[personeelsnr]],'data hastus'!A:K,11,FALSE)</f>
        <v>#N/A</v>
      </c>
    </row>
    <row r="882" spans="2:5" x14ac:dyDescent="0.25">
      <c r="B882" t="e">
        <f>_xlfn.CONCAT(bron[[#This Row],[personeelsnr]]," ",bron[[#This Row],[achternaam]]," ",bron[[#This Row],[voornaam]])</f>
        <v>#N/A</v>
      </c>
      <c r="C882" t="e">
        <f>VLOOKUP(bron[[#This Row],[personeelsnr]],'data hastus'!$A:$C,2,0)</f>
        <v>#N/A</v>
      </c>
      <c r="D882" t="e">
        <f>VLOOKUP(bron[[#This Row],[personeelsnr]],'data hastus'!$A:$C,3,0)</f>
        <v>#N/A</v>
      </c>
      <c r="E882" t="e">
        <f>VLOOKUP(bron[[#This Row],[personeelsnr]],'data hastus'!A:K,11,FALSE)</f>
        <v>#N/A</v>
      </c>
    </row>
    <row r="883" spans="2:5" x14ac:dyDescent="0.25">
      <c r="B883" t="e">
        <f>_xlfn.CONCAT(bron[[#This Row],[personeelsnr]]," ",bron[[#This Row],[achternaam]]," ",bron[[#This Row],[voornaam]])</f>
        <v>#N/A</v>
      </c>
      <c r="C883" t="e">
        <f>VLOOKUP(bron[[#This Row],[personeelsnr]],'data hastus'!$A:$C,2,0)</f>
        <v>#N/A</v>
      </c>
      <c r="D883" t="e">
        <f>VLOOKUP(bron[[#This Row],[personeelsnr]],'data hastus'!$A:$C,3,0)</f>
        <v>#N/A</v>
      </c>
      <c r="E883" t="e">
        <f>VLOOKUP(bron[[#This Row],[personeelsnr]],'data hastus'!A:K,11,FALSE)</f>
        <v>#N/A</v>
      </c>
    </row>
    <row r="884" spans="2:5" x14ac:dyDescent="0.25">
      <c r="B884" t="e">
        <f>_xlfn.CONCAT(bron[[#This Row],[personeelsnr]]," ",bron[[#This Row],[achternaam]]," ",bron[[#This Row],[voornaam]])</f>
        <v>#N/A</v>
      </c>
      <c r="C884" t="e">
        <f>VLOOKUP(bron[[#This Row],[personeelsnr]],'data hastus'!$A:$C,2,0)</f>
        <v>#N/A</v>
      </c>
      <c r="D884" t="e">
        <f>VLOOKUP(bron[[#This Row],[personeelsnr]],'data hastus'!$A:$C,3,0)</f>
        <v>#N/A</v>
      </c>
      <c r="E884" t="e">
        <f>VLOOKUP(bron[[#This Row],[personeelsnr]],'data hastus'!A:K,11,FALSE)</f>
        <v>#N/A</v>
      </c>
    </row>
    <row r="885" spans="2:5" x14ac:dyDescent="0.25">
      <c r="B885" t="e">
        <f>_xlfn.CONCAT(bron[[#This Row],[personeelsnr]]," ",bron[[#This Row],[achternaam]]," ",bron[[#This Row],[voornaam]])</f>
        <v>#N/A</v>
      </c>
      <c r="C885" t="e">
        <f>VLOOKUP(bron[[#This Row],[personeelsnr]],'data hastus'!$A:$C,2,0)</f>
        <v>#N/A</v>
      </c>
      <c r="D885" t="e">
        <f>VLOOKUP(bron[[#This Row],[personeelsnr]],'data hastus'!$A:$C,3,0)</f>
        <v>#N/A</v>
      </c>
      <c r="E885" t="e">
        <f>VLOOKUP(bron[[#This Row],[personeelsnr]],'data hastus'!A:K,11,FALSE)</f>
        <v>#N/A</v>
      </c>
    </row>
    <row r="886" spans="2:5" x14ac:dyDescent="0.25">
      <c r="B886" t="e">
        <f>_xlfn.CONCAT(bron[[#This Row],[personeelsnr]]," ",bron[[#This Row],[achternaam]]," ",bron[[#This Row],[voornaam]])</f>
        <v>#N/A</v>
      </c>
      <c r="C886" t="e">
        <f>VLOOKUP(bron[[#This Row],[personeelsnr]],'data hastus'!$A:$C,2,0)</f>
        <v>#N/A</v>
      </c>
      <c r="D886" t="e">
        <f>VLOOKUP(bron[[#This Row],[personeelsnr]],'data hastus'!$A:$C,3,0)</f>
        <v>#N/A</v>
      </c>
      <c r="E886" t="e">
        <f>VLOOKUP(bron[[#This Row],[personeelsnr]],'data hastus'!A:K,11,FALSE)</f>
        <v>#N/A</v>
      </c>
    </row>
    <row r="887" spans="2:5" x14ac:dyDescent="0.25">
      <c r="B887" t="e">
        <f>_xlfn.CONCAT(bron[[#This Row],[personeelsnr]]," ",bron[[#This Row],[achternaam]]," ",bron[[#This Row],[voornaam]])</f>
        <v>#N/A</v>
      </c>
      <c r="C887" t="e">
        <f>VLOOKUP(bron[[#This Row],[personeelsnr]],'data hastus'!$A:$C,2,0)</f>
        <v>#N/A</v>
      </c>
      <c r="D887" t="e">
        <f>VLOOKUP(bron[[#This Row],[personeelsnr]],'data hastus'!$A:$C,3,0)</f>
        <v>#N/A</v>
      </c>
      <c r="E887" t="e">
        <f>VLOOKUP(bron[[#This Row],[personeelsnr]],'data hastus'!A:K,11,FALSE)</f>
        <v>#N/A</v>
      </c>
    </row>
    <row r="888" spans="2:5" x14ac:dyDescent="0.25">
      <c r="B888" t="e">
        <f>_xlfn.CONCAT(bron[[#This Row],[personeelsnr]]," ",bron[[#This Row],[achternaam]]," ",bron[[#This Row],[voornaam]])</f>
        <v>#N/A</v>
      </c>
      <c r="C888" t="e">
        <f>VLOOKUP(bron[[#This Row],[personeelsnr]],'data hastus'!$A:$C,2,0)</f>
        <v>#N/A</v>
      </c>
      <c r="D888" t="e">
        <f>VLOOKUP(bron[[#This Row],[personeelsnr]],'data hastus'!$A:$C,3,0)</f>
        <v>#N/A</v>
      </c>
      <c r="E888" t="e">
        <f>VLOOKUP(bron[[#This Row],[personeelsnr]],'data hastus'!A:K,11,FALSE)</f>
        <v>#N/A</v>
      </c>
    </row>
    <row r="889" spans="2:5" x14ac:dyDescent="0.25">
      <c r="B889" t="e">
        <f>_xlfn.CONCAT(bron[[#This Row],[personeelsnr]]," ",bron[[#This Row],[achternaam]]," ",bron[[#This Row],[voornaam]])</f>
        <v>#N/A</v>
      </c>
      <c r="C889" t="e">
        <f>VLOOKUP(bron[[#This Row],[personeelsnr]],'data hastus'!$A:$C,2,0)</f>
        <v>#N/A</v>
      </c>
      <c r="D889" t="e">
        <f>VLOOKUP(bron[[#This Row],[personeelsnr]],'data hastus'!$A:$C,3,0)</f>
        <v>#N/A</v>
      </c>
      <c r="E889" t="e">
        <f>VLOOKUP(bron[[#This Row],[personeelsnr]],'data hastus'!A:K,11,FALSE)</f>
        <v>#N/A</v>
      </c>
    </row>
    <row r="890" spans="2:5" x14ac:dyDescent="0.25">
      <c r="B890" t="e">
        <f>_xlfn.CONCAT(bron[[#This Row],[personeelsnr]]," ",bron[[#This Row],[achternaam]]," ",bron[[#This Row],[voornaam]])</f>
        <v>#N/A</v>
      </c>
      <c r="C890" t="e">
        <f>VLOOKUP(bron[[#This Row],[personeelsnr]],'data hastus'!$A:$C,2,0)</f>
        <v>#N/A</v>
      </c>
      <c r="D890" t="e">
        <f>VLOOKUP(bron[[#This Row],[personeelsnr]],'data hastus'!$A:$C,3,0)</f>
        <v>#N/A</v>
      </c>
      <c r="E890" t="e">
        <f>VLOOKUP(bron[[#This Row],[personeelsnr]],'data hastus'!A:K,11,FALSE)</f>
        <v>#N/A</v>
      </c>
    </row>
    <row r="891" spans="2:5" x14ac:dyDescent="0.25">
      <c r="B891" t="e">
        <f>_xlfn.CONCAT(bron[[#This Row],[personeelsnr]]," ",bron[[#This Row],[achternaam]]," ",bron[[#This Row],[voornaam]])</f>
        <v>#N/A</v>
      </c>
      <c r="C891" t="e">
        <f>VLOOKUP(bron[[#This Row],[personeelsnr]],'data hastus'!$A:$C,2,0)</f>
        <v>#N/A</v>
      </c>
      <c r="D891" t="e">
        <f>VLOOKUP(bron[[#This Row],[personeelsnr]],'data hastus'!$A:$C,3,0)</f>
        <v>#N/A</v>
      </c>
      <c r="E891" t="e">
        <f>VLOOKUP(bron[[#This Row],[personeelsnr]],'data hastus'!A:K,11,FALSE)</f>
        <v>#N/A</v>
      </c>
    </row>
    <row r="892" spans="2:5" x14ac:dyDescent="0.25">
      <c r="B892" t="e">
        <f>_xlfn.CONCAT(bron[[#This Row],[personeelsnr]]," ",bron[[#This Row],[achternaam]]," ",bron[[#This Row],[voornaam]])</f>
        <v>#N/A</v>
      </c>
      <c r="C892" t="e">
        <f>VLOOKUP(bron[[#This Row],[personeelsnr]],'data hastus'!$A:$C,2,0)</f>
        <v>#N/A</v>
      </c>
      <c r="D892" t="e">
        <f>VLOOKUP(bron[[#This Row],[personeelsnr]],'data hastus'!$A:$C,3,0)</f>
        <v>#N/A</v>
      </c>
      <c r="E892" t="e">
        <f>VLOOKUP(bron[[#This Row],[personeelsnr]],'data hastus'!A:K,11,FALSE)</f>
        <v>#N/A</v>
      </c>
    </row>
    <row r="893" spans="2:5" x14ac:dyDescent="0.25">
      <c r="B893" t="e">
        <f>_xlfn.CONCAT(bron[[#This Row],[personeelsnr]]," ",bron[[#This Row],[achternaam]]," ",bron[[#This Row],[voornaam]])</f>
        <v>#N/A</v>
      </c>
      <c r="C893" t="e">
        <f>VLOOKUP(bron[[#This Row],[personeelsnr]],'data hastus'!$A:$C,2,0)</f>
        <v>#N/A</v>
      </c>
      <c r="D893" t="e">
        <f>VLOOKUP(bron[[#This Row],[personeelsnr]],'data hastus'!$A:$C,3,0)</f>
        <v>#N/A</v>
      </c>
      <c r="E893" t="e">
        <f>VLOOKUP(bron[[#This Row],[personeelsnr]],'data hastus'!A:K,11,FALSE)</f>
        <v>#N/A</v>
      </c>
    </row>
    <row r="894" spans="2:5" x14ac:dyDescent="0.25">
      <c r="B894" t="e">
        <f>_xlfn.CONCAT(bron[[#This Row],[personeelsnr]]," ",bron[[#This Row],[achternaam]]," ",bron[[#This Row],[voornaam]])</f>
        <v>#N/A</v>
      </c>
      <c r="C894" t="e">
        <f>VLOOKUP(bron[[#This Row],[personeelsnr]],'data hastus'!$A:$C,2,0)</f>
        <v>#N/A</v>
      </c>
      <c r="D894" t="e">
        <f>VLOOKUP(bron[[#This Row],[personeelsnr]],'data hastus'!$A:$C,3,0)</f>
        <v>#N/A</v>
      </c>
      <c r="E894" t="e">
        <f>VLOOKUP(bron[[#This Row],[personeelsnr]],'data hastus'!A:K,11,FALSE)</f>
        <v>#N/A</v>
      </c>
    </row>
    <row r="895" spans="2:5" x14ac:dyDescent="0.25">
      <c r="B895" t="e">
        <f>_xlfn.CONCAT(bron[[#This Row],[personeelsnr]]," ",bron[[#This Row],[achternaam]]," ",bron[[#This Row],[voornaam]])</f>
        <v>#N/A</v>
      </c>
      <c r="C895" t="e">
        <f>VLOOKUP(bron[[#This Row],[personeelsnr]],'data hastus'!$A:$C,2,0)</f>
        <v>#N/A</v>
      </c>
      <c r="D895" t="e">
        <f>VLOOKUP(bron[[#This Row],[personeelsnr]],'data hastus'!$A:$C,3,0)</f>
        <v>#N/A</v>
      </c>
      <c r="E895" t="e">
        <f>VLOOKUP(bron[[#This Row],[personeelsnr]],'data hastus'!A:K,11,FALSE)</f>
        <v>#N/A</v>
      </c>
    </row>
    <row r="896" spans="2:5" x14ac:dyDescent="0.25">
      <c r="B896" t="e">
        <f>_xlfn.CONCAT(bron[[#This Row],[personeelsnr]]," ",bron[[#This Row],[achternaam]]," ",bron[[#This Row],[voornaam]])</f>
        <v>#N/A</v>
      </c>
      <c r="C896" t="e">
        <f>VLOOKUP(bron[[#This Row],[personeelsnr]],'data hastus'!$A:$C,2,0)</f>
        <v>#N/A</v>
      </c>
      <c r="D896" t="e">
        <f>VLOOKUP(bron[[#This Row],[personeelsnr]],'data hastus'!$A:$C,3,0)</f>
        <v>#N/A</v>
      </c>
      <c r="E896" t="e">
        <f>VLOOKUP(bron[[#This Row],[personeelsnr]],'data hastus'!A:K,11,FALSE)</f>
        <v>#N/A</v>
      </c>
    </row>
    <row r="897" spans="2:5" x14ac:dyDescent="0.25">
      <c r="B897" t="e">
        <f>_xlfn.CONCAT(bron[[#This Row],[personeelsnr]]," ",bron[[#This Row],[achternaam]]," ",bron[[#This Row],[voornaam]])</f>
        <v>#N/A</v>
      </c>
      <c r="C897" t="e">
        <f>VLOOKUP(bron[[#This Row],[personeelsnr]],'data hastus'!$A:$C,2,0)</f>
        <v>#N/A</v>
      </c>
      <c r="D897" t="e">
        <f>VLOOKUP(bron[[#This Row],[personeelsnr]],'data hastus'!$A:$C,3,0)</f>
        <v>#N/A</v>
      </c>
      <c r="E897" t="e">
        <f>VLOOKUP(bron[[#This Row],[personeelsnr]],'data hastus'!A:K,11,FALSE)</f>
        <v>#N/A</v>
      </c>
    </row>
    <row r="898" spans="2:5" x14ac:dyDescent="0.25">
      <c r="B898" t="e">
        <f>_xlfn.CONCAT(bron[[#This Row],[personeelsnr]]," ",bron[[#This Row],[achternaam]]," ",bron[[#This Row],[voornaam]])</f>
        <v>#N/A</v>
      </c>
      <c r="C898" t="e">
        <f>VLOOKUP(bron[[#This Row],[personeelsnr]],'data hastus'!$A:$C,2,0)</f>
        <v>#N/A</v>
      </c>
      <c r="D898" t="e">
        <f>VLOOKUP(bron[[#This Row],[personeelsnr]],'data hastus'!$A:$C,3,0)</f>
        <v>#N/A</v>
      </c>
      <c r="E898" t="e">
        <f>VLOOKUP(bron[[#This Row],[personeelsnr]],'data hastus'!A:K,11,FALSE)</f>
        <v>#N/A</v>
      </c>
    </row>
    <row r="899" spans="2:5" x14ac:dyDescent="0.25">
      <c r="B899" t="e">
        <f>_xlfn.CONCAT(bron[[#This Row],[personeelsnr]]," ",bron[[#This Row],[achternaam]]," ",bron[[#This Row],[voornaam]])</f>
        <v>#N/A</v>
      </c>
      <c r="C899" t="e">
        <f>VLOOKUP(bron[[#This Row],[personeelsnr]],'data hastus'!$A:$C,2,0)</f>
        <v>#N/A</v>
      </c>
      <c r="D899" t="e">
        <f>VLOOKUP(bron[[#This Row],[personeelsnr]],'data hastus'!$A:$C,3,0)</f>
        <v>#N/A</v>
      </c>
      <c r="E899" t="e">
        <f>VLOOKUP(bron[[#This Row],[personeelsnr]],'data hastus'!A:K,11,FALSE)</f>
        <v>#N/A</v>
      </c>
    </row>
    <row r="900" spans="2:5" x14ac:dyDescent="0.25">
      <c r="B900" t="e">
        <f>_xlfn.CONCAT(bron[[#This Row],[personeelsnr]]," ",bron[[#This Row],[achternaam]]," ",bron[[#This Row],[voornaam]])</f>
        <v>#N/A</v>
      </c>
      <c r="C900" t="e">
        <f>VLOOKUP(bron[[#This Row],[personeelsnr]],'data hastus'!$A:$C,2,0)</f>
        <v>#N/A</v>
      </c>
      <c r="D900" t="e">
        <f>VLOOKUP(bron[[#This Row],[personeelsnr]],'data hastus'!$A:$C,3,0)</f>
        <v>#N/A</v>
      </c>
      <c r="E900" t="e">
        <f>VLOOKUP(bron[[#This Row],[personeelsnr]],'data hastus'!A:K,11,FALSE)</f>
        <v>#N/A</v>
      </c>
    </row>
    <row r="901" spans="2:5" x14ac:dyDescent="0.25">
      <c r="B901" t="e">
        <f>_xlfn.CONCAT(bron[[#This Row],[personeelsnr]]," ",bron[[#This Row],[achternaam]]," ",bron[[#This Row],[voornaam]])</f>
        <v>#N/A</v>
      </c>
      <c r="C901" t="e">
        <f>VLOOKUP(bron[[#This Row],[personeelsnr]],'data hastus'!$A:$C,2,0)</f>
        <v>#N/A</v>
      </c>
      <c r="D901" t="e">
        <f>VLOOKUP(bron[[#This Row],[personeelsnr]],'data hastus'!$A:$C,3,0)</f>
        <v>#N/A</v>
      </c>
      <c r="E901" t="e">
        <f>VLOOKUP(bron[[#This Row],[personeelsnr]],'data hastus'!A:K,11,FALSE)</f>
        <v>#N/A</v>
      </c>
    </row>
    <row r="902" spans="2:5" x14ac:dyDescent="0.25">
      <c r="B902" t="e">
        <f>_xlfn.CONCAT(bron[[#This Row],[personeelsnr]]," ",bron[[#This Row],[achternaam]]," ",bron[[#This Row],[voornaam]])</f>
        <v>#N/A</v>
      </c>
      <c r="C902" t="e">
        <f>VLOOKUP(bron[[#This Row],[personeelsnr]],'data hastus'!$A:$C,2,0)</f>
        <v>#N/A</v>
      </c>
      <c r="D902" t="e">
        <f>VLOOKUP(bron[[#This Row],[personeelsnr]],'data hastus'!$A:$C,3,0)</f>
        <v>#N/A</v>
      </c>
      <c r="E902" t="e">
        <f>VLOOKUP(bron[[#This Row],[personeelsnr]],'data hastus'!A:K,11,FALSE)</f>
        <v>#N/A</v>
      </c>
    </row>
    <row r="903" spans="2:5" x14ac:dyDescent="0.25">
      <c r="B903" t="e">
        <f>_xlfn.CONCAT(bron[[#This Row],[personeelsnr]]," ",bron[[#This Row],[achternaam]]," ",bron[[#This Row],[voornaam]])</f>
        <v>#N/A</v>
      </c>
      <c r="C903" t="e">
        <f>VLOOKUP(bron[[#This Row],[personeelsnr]],'data hastus'!$A:$C,2,0)</f>
        <v>#N/A</v>
      </c>
      <c r="D903" t="e">
        <f>VLOOKUP(bron[[#This Row],[personeelsnr]],'data hastus'!$A:$C,3,0)</f>
        <v>#N/A</v>
      </c>
      <c r="E903" t="e">
        <f>VLOOKUP(bron[[#This Row],[personeelsnr]],'data hastus'!A:K,11,FALSE)</f>
        <v>#N/A</v>
      </c>
    </row>
    <row r="904" spans="2:5" x14ac:dyDescent="0.25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t="e">
        <f>VLOOKUP(bron[[#This Row],[personeelsnr]],'data hastus'!A:K,11,FALSE)</f>
        <v>#N/A</v>
      </c>
    </row>
    <row r="905" spans="2:5" x14ac:dyDescent="0.25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t="e">
        <f>VLOOKUP(bron[[#This Row],[personeelsnr]],'data hastus'!A:K,11,FALSE)</f>
        <v>#N/A</v>
      </c>
    </row>
    <row r="906" spans="2:5" x14ac:dyDescent="0.25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t="e">
        <f>VLOOKUP(bron[[#This Row],[personeelsnr]],'data hastus'!A:K,11,FALSE)</f>
        <v>#N/A</v>
      </c>
    </row>
    <row r="907" spans="2:5" x14ac:dyDescent="0.25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t="e">
        <f>VLOOKUP(bron[[#This Row],[personeelsnr]],'data hastus'!A:K,11,FALSE)</f>
        <v>#N/A</v>
      </c>
    </row>
    <row r="908" spans="2:5" x14ac:dyDescent="0.25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t="e">
        <f>VLOOKUP(bron[[#This Row],[personeelsnr]],'data hastus'!A:K,11,FALSE)</f>
        <v>#N/A</v>
      </c>
    </row>
    <row r="909" spans="2:5" x14ac:dyDescent="0.25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t="e">
        <f>VLOOKUP(bron[[#This Row],[personeelsnr]],'data hastus'!A:K,11,FALSE)</f>
        <v>#N/A</v>
      </c>
    </row>
    <row r="910" spans="2:5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t="e">
        <f>VLOOKUP(bron[[#This Row],[personeelsnr]],'data hastus'!A:K,11,FALSE)</f>
        <v>#N/A</v>
      </c>
    </row>
  </sheetData>
  <sheetProtection sort="0" autoFilter="0"/>
  <phoneticPr fontId="1" type="noConversion"/>
  <hyperlinks>
    <hyperlink ref="G514" r:id="rId1" xr:uid="{069AB0F3-66D9-443A-A282-BECCE4BC15A4}"/>
    <hyperlink ref="G523" r:id="rId2" xr:uid="{266ED411-E9BA-4025-B809-BF681D6EF2C2}"/>
    <hyperlink ref="G539" r:id="rId3" display="../../../../../../../:b:/r/teams/CTM-OTGentStad/Shared Documents/General/EAF/CSI(nieuwe sharepoint) 2025/1. Januari/EAF 6337 Gent 17012025.pdf?csf=1&amp;web=1&amp;e=HIde3n" xr:uid="{B7A5B04D-2444-4A69-96EE-429FE1FAEFC1}"/>
    <hyperlink ref="G541" r:id="rId4" display="../../../../../../../:b:/r/teams/CTM-OTGentStad/Shared Documents/General/EAF/CSI(nieuwe sharepoint) 2025/1. Januari/EAF 6356 Gentbrugge 18012025.pdf?csf=1&amp;web=1&amp;e=mefvXc" xr:uid="{3B1FF491-C1E6-43FD-A0C3-057465EB5192}"/>
    <hyperlink ref="G530" r:id="rId5" display="../../../../../../../:b:/r/teams/CTM-OTGentStad/Shared Documents/General/EAF/CSI(nieuwe sharepoint) 2025/1. Januari/EAF 5263 Mariakerke 13012025.pdf?csf=1&amp;web=1&amp;e=qFf0hX" xr:uid="{1AF9CACF-A798-4483-851F-5828A099BE42}"/>
    <hyperlink ref="G520" r:id="rId6" display="../../../../../../../:b:/r/teams/CTM-OTGentStad/Shared Documents/General/EAF/CSI(nieuwe sharepoint) 2025/1. Januari/EAF 5047 Gent 03012025.pdf?csf=1&amp;web=1&amp;e=ycRhDE" xr:uid="{3AD54217-AB8C-48D0-9A63-05351EF31D35}"/>
    <hyperlink ref="G551" r:id="rId7" xr:uid="{758C2375-3764-4237-851D-A90FFF7D6AC8}"/>
    <hyperlink ref="G55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G564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G566" r:id="rId10" xr:uid="{F64E53A4-7C17-46F2-BB91-670CFE110D02}"/>
    <hyperlink ref="G585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G602" r:id="rId12" xr:uid="{E73AE997-AD9B-4405-90F0-3EFD6BA2309E}"/>
    <hyperlink ref="G587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G588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G600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G610" r:id="rId16" xr:uid="{7921045D-AAB1-4DF0-9E93-D83FFE86B6F5}"/>
    <hyperlink ref="G606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G556" r:id="rId18" xr:uid="{88F7C8C1-94D9-4DBB-821A-2AEB46042966}"/>
    <hyperlink ref="G779" r:id="rId19" display="../../../../../../:b:/r/teams/CTM-OTGentStad/Shared Documents/General/EAF/CSI(nieuwe sharepoint)2024/12. December/EAF 04122024 Ugur.pdf?csf=1&amp;web=1&amp;e=qdPAIb" xr:uid="{CB022626-A31F-436C-8A5F-3D6CF3501448}"/>
    <hyperlink ref="G63" r:id="rId20" display="../../../../../../:b:/r/teams/CTM-OTGentStad/Shared Documents/General/EAF/CSI(nieuwe sharepoint)2024/EAF  5229 Rabot 17022024.pdf?csf=1&amp;web=1&amp;e=QUxajH" xr:uid="{B4180AB7-A400-47AD-8C9B-C2EDF97A862F}"/>
    <hyperlink ref="G338" r:id="rId21" display="../../../../../../:b:/r/teams/CTM-OTGentStad/Shared Documents/General/EAF/CSI(nieuwe sharepoint)2024/EAF 2195 Gent 01092024.pdf?csf=1&amp;web=1&amp;e=25nO3B" xr:uid="{2E366246-A9E3-4E65-A21A-4C06D853A66B}"/>
    <hyperlink ref="G482" r:id="rId22" display="../../../../../../:b:/r/teams/CTM-OTGentStad/Shared Documents/General/EAF/CSI(nieuwe sharepoint)2024/EAF 2195 Gent 07122024.pdf?csf=1&amp;web=1&amp;e=MnfQ3B" xr:uid="{AABF485B-931E-422B-9A83-00A02D56D258}"/>
    <hyperlink ref="G392" r:id="rId23" display="../../../../../../:b:/r/teams/CTM-OTGentStad/Shared Documents/General/EAF/CSI(nieuwe sharepoint)2024/EAF 2195 Gent 08102024.pdf?csf=1&amp;web=1&amp;e=O9N5JS" xr:uid="{B4FB6BA7-97F5-49AC-9711-B0532DB4EA99}"/>
    <hyperlink ref="G512" r:id="rId24" display="../../../../../../:b:/r/teams/CTM-OTGentStad/Shared Documents/General/EAF/CSI(nieuwe sharepoint)2024/EAF 2195 Ledebergplein Ledeberg 30.12.2024.pdf?csf=1&amp;web=1&amp;e=GzZaFP" xr:uid="{2C42BA70-5FCB-4CE3-8EE5-3B286D160B8F}"/>
    <hyperlink ref="G325" r:id="rId25" display="../../../../../../:b:/r/teams/CTM-OTGentStad/Shared Documents/General/EAF/CSI(nieuwe sharepoint)2024/EAF 2196 Brusselsesteenweg Gentbrugge 19082024.pdf?csf=1&amp;web=1&amp;e=10X8vL" xr:uid="{A929ABE0-EC8A-48A6-B941-295E656B2572}"/>
    <hyperlink ref="G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G90" r:id="rId27" display="../../../../../../:b:/r/teams/CTM-OTGentStad/Shared Documents/General/EAF/CSI(nieuwe sharepoint)2024/EAF 2196 Gent 05032024.pdf?csf=1&amp;web=1&amp;e=EIJBgo" xr:uid="{90156A50-D0E9-44C9-A10D-40FA17C9B19A}"/>
    <hyperlink ref="G102" r:id="rId28" display="../../../../../../:b:/r/teams/CTM-OTGentStad/Shared Documents/General/EAF/CSI(nieuwe sharepoint)2024/EAF 2196 Gent 12032024.pdf?csf=1&amp;web=1&amp;e=cN6naC" xr:uid="{DB171F03-9BC8-4BA2-871D-5D25CDF42499}"/>
    <hyperlink ref="G79" r:id="rId29" display="../../../../../../:b:/r/teams/CTM-OTGentStad/Shared Documents/General/EAF/CSI(nieuwe sharepoint)2024/EAF 2196 Gent 29022024.pdf?csf=1&amp;web=1&amp;e=GQSZCM" xr:uid="{4A4D7A44-3347-41F0-8F10-650B8D3C2427}"/>
    <hyperlink ref="G38" r:id="rId30" display="../../../../../../:b:/r/teams/CTM-OTGentStad/Shared Documents/General/EAF/CSI(nieuwe sharepoint)2024/EAF 2196 Gentbrugge 31012024.pdf?csf=1&amp;web=1&amp;e=d1oG1t" xr:uid="{5B35D89C-A150-4C53-BE1F-F0A17C554A35}"/>
    <hyperlink ref="G448" r:id="rId31" display="../../../../../../:b:/r/teams/CTM-OTGentStad/Shared Documents/General/EAF/CSI(nieuwe sharepoint)2024/EAF 2197 Bevrijdingslaan Gent 14112024.pdf?csf=1&amp;web=1&amp;e=fb8Ldo" xr:uid="{E5F931FF-9695-4EE2-A837-A40CEAA8165F}"/>
    <hyperlink ref="G262" r:id="rId32" display="../../../../../../:b:/r/teams/CTM-OTGentStad/Shared Documents/General/EAF/CSI(nieuwe sharepoint)2024/EAF 2197 Blaisantvest Gent 25062024.pdf?csf=1&amp;web=1&amp;e=z1RwKQ" xr:uid="{6934A06B-9142-4FF9-96B3-1CE9E108BFF2}"/>
    <hyperlink ref="G120" r:id="rId33" display="../../../../../../:b:/r/teams/CTM-OTGentStad/Shared Documents/General/EAF/CSI(nieuwe sharepoint)2024/EAF 2198 Destelbergen 22032024.pdf?csf=1&amp;web=1&amp;e=yEPfdX" xr:uid="{FF751939-C669-4E18-83B0-79ACC08399F5}"/>
    <hyperlink ref="G68" r:id="rId34" display="../../../../../../:b:/r/teams/CTM-OTGentStad/Shared Documents/General/EAF/CSI(nieuwe sharepoint)2024/EAF 2198 Gent 20022024.pdf?csf=1&amp;web=1&amp;e=eSmhav" xr:uid="{CEC7951E-46AD-46F9-853A-CD9DF280D5B6}"/>
    <hyperlink ref="G376" r:id="rId35" display="../../../../../../:b:/r/teams/CTM-OTGentStad/Shared Documents/General/EAF/CSI(nieuwe sharepoint)2024/EAF 2198 Gent 23092024 Vandenhaute Linus.pdf?csf=1&amp;web=1&amp;e=E9UV3v" xr:uid="{83235E30-8E18-428A-B198-4D2411FF8DA8}"/>
    <hyperlink ref="G74" r:id="rId36" display="../../../../../../:b:/r/teams/CTM-OTGentStad/Shared Documents/General/EAF/CSI(nieuwe sharepoint)2024/EAF 2199 Brugsepoort 23022024.pdf?csf=1&amp;web=1&amp;e=ked6Ze" xr:uid="{EA83E9A5-19F8-4C77-A573-38986FEF4E07}"/>
    <hyperlink ref="G83" r:id="rId37" display="../../../../../../:b:/r/teams/CTM-OTGentStad/Shared Documents/General/EAF/CSI(nieuwe sharepoint)2024/EAF 2200 Brugsepoortstraat 01032024.pdf?csf=1&amp;web=1&amp;e=nwbPYd" xr:uid="{26370D2C-B489-4982-8CBB-61A5637FF203}"/>
    <hyperlink ref="G47" r:id="rId38" display="../../../../../../:b:/r/teams/CTM-OTGentStad/Shared Documents/General/EAF/CSI(nieuwe sharepoint)2024/EAF 2200 Gent 04022024.pdf?csf=1&amp;web=1&amp;e=iDFIyx" xr:uid="{4D149DE9-FFA3-4DC9-8BCC-D8244B34CF01}"/>
    <hyperlink ref="G264" r:id="rId39" display="../../../../../../:b:/r/teams/CTM-OTGentStad/Shared Documents/General/EAF/CSI(nieuwe sharepoint)2024/EAF 2200 Gent 26062024.pdf?csf=1&amp;web=1&amp;e=MDRG2e" xr:uid="{A71B7548-4994-4F69-85C3-56512F0913CF}"/>
    <hyperlink ref="G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G121" r:id="rId41" display="../../../../../../:b:/r/teams/CTM-OTGentStad/Shared Documents/General/EAF/CSI(nieuwe sharepoint)2024/EAF 2201 Gent 22032024.pdf?csf=1&amp;web=1&amp;e=Amq7wG" xr:uid="{236041F7-A030-4424-BDCA-F973BBBF56A7}"/>
    <hyperlink ref="G225" r:id="rId42" display="../../../../../../:b:/r/teams/CTM-OTGentStad/Shared Documents/General/EAF/CSI(nieuwe sharepoint)2024/EAF 2201 Gentbrugge 02062024.pdf?csf=1&amp;web=1&amp;e=6GZuMz" xr:uid="{B6F4A4D4-8294-4AE9-B922-F56A5EFC9386}"/>
    <hyperlink ref="G88" r:id="rId43" display="../../../../../../:b:/r/teams/CTM-OTGentStad/Shared Documents/General/EAF/CSI(nieuwe sharepoint)2024/EAF 2201 Korenmarkt 02032024.pdf?csf=1&amp;web=1&amp;e=OitAvJ" xr:uid="{661959CD-E91D-4539-B962-09A71C8F29B4}"/>
    <hyperlink ref="G315" r:id="rId44" display="../../../../../../:b:/r/teams/CTM-OTGentStad/Shared Documents/General/EAF/CSI(nieuwe sharepoint)2024/EAF 2202 Gent 03082024 36512.pdf?csf=1&amp;web=1&amp;e=kQ9UZP" xr:uid="{B77391D1-DA1D-4D60-8EA6-17A140CCD076}"/>
    <hyperlink ref="G139" r:id="rId45" display="../../../../../../:b:/r/teams/CTM-OTGentStad/Shared Documents/General/EAF/CSI(nieuwe sharepoint)2024/EAF 2202 Kleine Schuurstraat 04042024.pdf?csf=1&amp;web=1&amp;e=dMVMY8" xr:uid="{A29AC82F-D61A-446C-9D0E-8E54827B0E90}"/>
    <hyperlink ref="G399" r:id="rId46" display="../../../../../../:b:/r/teams/CTM-OTGentStad/Shared Documents/General/EAF/CSI(nieuwe sharepoint)2024/EAF 2203 Sint-Gerolfstraat Drongen 12102024.pdf?csf=1&amp;web=1&amp;e=NC3rTr" xr:uid="{A17B3120-3DF3-41D6-AB40-AED0763029EF}"/>
    <hyperlink ref="G275" r:id="rId47" display="../../../../../../:b:/r/teams/CTM-OTGentStad/Shared Documents/General/EAF/CSI(nieuwe sharepoint)2024/EAF 2204 Gent 05072024.pdf?csf=1&amp;web=1&amp;e=dmUarL" xr:uid="{3EF9DC50-CEC5-4402-AC75-37D9A8ED455F}"/>
    <hyperlink ref="G119" r:id="rId48" display="../../../../../../:b:/r/teams/CTM-OTGentStad/Shared Documents/General/EAF/CSI(nieuwe sharepoint)2024/EAF 2204 Gent 21032024.pdf?csf=1&amp;web=1&amp;e=juWhWD" xr:uid="{6191E183-FDD5-4651-8942-BF8401BAA669}"/>
    <hyperlink ref="G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G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G187" r:id="rId51" display="../../../../../../:b:/r/teams/CTM-OTGentStad/Shared Documents/General/EAF/CSI(nieuwe sharepoint)2024/EAF 2205 Brugsepoort Gent 04052024.pdf?csf=1&amp;web=1&amp;e=BpqhvW" xr:uid="{4C0A9A84-6FF6-4C17-BADE-D62B43818262}"/>
    <hyperlink ref="G431" r:id="rId52" display="../../../../../../:b:/r/teams/CTM-OTGentStad/Shared Documents/General/EAF/CSI(nieuwe sharepoint)2024/EAF 2205 Gent 04112024.pdf?csf=1&amp;web=1&amp;e=aQ3br9" xr:uid="{E2CED5A5-87F3-4FBA-BA87-34468F28FF5A}"/>
    <hyperlink ref="G6" r:id="rId53" display="../../../../../../:b:/r/teams/CTM-OTGentStad/Shared Documents/General/EAF/CSI(nieuwe sharepoint)2024/EAF 2205 Gent 08012024.pdf?csf=1&amp;web=1&amp;e=ZSuauE" xr:uid="{A925E715-93A4-4D70-A1C6-0DB3E2A2151F}"/>
    <hyperlink ref="G401" r:id="rId54" display="../../../../../../:b:/r/teams/CTM-OTGentStad/Shared Documents/General/EAF/CSI(nieuwe sharepoint)2024/EAF 2205 Gent 14102024 Inge Dejonckheere.pdf?csf=1&amp;web=1&amp;e=wbghTc" xr:uid="{C8D9D8CE-0A44-4089-9652-A37D1E0B7558}"/>
    <hyperlink ref="G382" r:id="rId55" display="../../../../../../:b:/r/teams/CTM-OTGentStad/Shared Documents/General/EAF/CSI(nieuwe sharepoint)2024/EAF 2205 Gent 26092024 Hesters Sylvie.pdf?csf=1&amp;web=1&amp;e=Fqny5y" xr:uid="{67C47B24-095E-4B1B-9AA2-51A10E4838C3}"/>
    <hyperlink ref="G429" r:id="rId56" display="../../../../../../:b:/r/teams/CTM-OTGentStad/Shared Documents/General/EAF/CSI(nieuwe sharepoint)2024/EAF 2206 Drongen 02112024 Johan VDbulcke.pdf?csf=1&amp;web=1&amp;e=sr7PwO" xr:uid="{CAB5AA12-37DF-455F-8DDB-B786F3E09212}"/>
    <hyperlink ref="G98" r:id="rId57" display="../../../../../../:b:/r/teams/CTM-OTGentStad/Shared Documents/General/EAF/CSI(nieuwe sharepoint)2024/EAF 2207 Dampoort 08032024.pdf?csf=1&amp;web=1&amp;e=IQfrQ4" xr:uid="{C475BA45-8B6A-416F-8C57-5B92A11B8F61}"/>
    <hyperlink ref="G322" r:id="rId58" display="../../../../../../:b:/r/teams/CTM-OTGentStad/Shared Documents/General/EAF/CSI(nieuwe sharepoint)2024/EAF 2207 Dampoort 14082024.pdf?csf=1&amp;web=1&amp;e=uzPcCI" xr:uid="{5E5520F3-C982-46BF-BB96-F3D8F5185B42}"/>
    <hyperlink ref="G130" r:id="rId59" display="../../../../../../:b:/r/teams/CTM-OTGentStad/Shared Documents/General/EAF/CSI(nieuwe sharepoint)2024/EAF 2207 E17 26032024 De Bruyne Sonia.pdf?csf=1&amp;web=1&amp;e=10WiQd" xr:uid="{96A1398F-6FFA-43C9-9381-94D0549C5D53}"/>
    <hyperlink ref="G20" r:id="rId60" display="../../../../../../:b:/r/teams/CTM-OTGentStad/Shared Documents/General/EAF/CSI(nieuwe sharepoint)2024/EAF 2207 Gent 17012024.pdf?csf=1&amp;web=1&amp;e=9t4Fii" xr:uid="{213074A8-713D-4AE9-8A78-8D3C20C7A351}"/>
    <hyperlink ref="G261" r:id="rId61" display="../../../../../../:b:/r/teams/CTM-OTGentStad/Shared Documents/General/EAF/CSI(nieuwe sharepoint)2024/EAF 2207 Gent 24062024.pdf?csf=1&amp;web=1&amp;e=ASeGvq" xr:uid="{69DEB2B3-50E4-484F-95F8-A420E882DF61}"/>
    <hyperlink ref="G302" r:id="rId62" display="../../../../../../:b:/r/teams/CTM-OTGentStad/Shared Documents/General/EAF/CSI(nieuwe sharepoint)2024/EAF 2207 Gent 25072024.pdf?csf=1&amp;web=1&amp;e=09gg6T" xr:uid="{C3F8E8C3-BFB5-436A-AB88-73315943B78D}"/>
    <hyperlink ref="G71" r:id="rId63" display="../../../../../../:b:/r/teams/CTM-OTGentStad/Shared Documents/General/EAF/CSI(nieuwe sharepoint)2024/EAF 2207 Gent Kortrijksesteenweg 22012024.pdf?csf=1&amp;web=1&amp;e=CH2kKv" xr:uid="{FE2EE9EB-4CE8-4842-8BE1-78C267F62279}"/>
    <hyperlink ref="G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G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G206" r:id="rId66" display="../../../../../../:b:/r/teams/CTM-OTGentStad/Shared Documents/General/EAF/CSI(nieuwe sharepoint)2024/EAF 2207 Kortrijksesteenweg Gent 17052024.pdf?csf=1&amp;web=1&amp;e=cIeR9O" xr:uid="{CF711121-5465-40C6-B061-740F82036EA3}"/>
    <hyperlink ref="G418" r:id="rId67" display="../../../../../../:b:/r/teams/CTM-OTGentStad/Shared Documents/General/EAF/CSI(nieuwe sharepoint)2024/EAF 2207 Oostakker 24102024  Roos Hugo.pdf?csf=1&amp;web=1&amp;e=DGpjp2" xr:uid="{D8489008-6264-465B-A460-8F474A8CA382}"/>
    <hyperlink ref="G373" r:id="rId68" display="../../../../../../:b:/r/teams/CTM-OTGentStad/Shared Documents/General/EAF/CSI(nieuwe sharepoint)2024/EAF 2207 Oostakker Dorp 19092024.pdf?csf=1&amp;web=1&amp;e=UWS1Pk" xr:uid="{573952F3-DBE9-4F5C-BE85-6D20ED351E83}"/>
    <hyperlink ref="G39" r:id="rId69" display="../../../../../../:b:/r/teams/CTM-OTGentStad/Shared Documents/General/EAF/CSI(nieuwe sharepoint)2024/EAF 2208 Blaisantvest 31012024.pdf?csf=1&amp;web=1&amp;e=66eMgm" xr:uid="{EDF0B086-4096-4499-9B2B-4D49CB489BA3}"/>
    <hyperlink ref="G434" r:id="rId70" display="../../../../../../:b:/r/teams/CTM-OTGentStad/Shared Documents/General/EAF/CSI(nieuwe sharepoint)2024/EAF 2208 Gent 05112024.pdf?csf=1&amp;web=1&amp;e=TI1GO7" xr:uid="{346D789A-339B-4958-87E1-6561ADAC1E10}"/>
    <hyperlink ref="G207" r:id="rId71" display="../../../../../../:b:/r/teams/CTM-OTGentStad/Shared Documents/General/EAF/CSI(nieuwe sharepoint)2024/EAF 2208 Gent 21052024.pdf?csf=1&amp;web=1&amp;e=T5k9Cx" xr:uid="{0B392919-7127-4459-9ACF-ED20404FB329}"/>
    <hyperlink ref="G306" r:id="rId72" display="../../../../../../:b:/r/teams/CTM-OTGentStad/Shared Documents/General/EAF/CSI(nieuwe sharepoint)2024/EAF 2208 Gent 29072024.pdf?csf=1&amp;web=1&amp;e=VcIP6k" xr:uid="{15DA83F1-50C2-4FAE-A901-DFA2789FE9B1}"/>
    <hyperlink ref="G326" r:id="rId73" display="../../../../../../:b:/r/teams/CTM-OTGentStad/Shared Documents/General/EAF/CSI(nieuwe sharepoint)2024/EAF 2208 stelplaats E-17 19.08.2024.pdf?csf=1&amp;web=1&amp;e=GtdNiU" xr:uid="{A801C6CB-CD13-4E40-93D0-C0E4A18B8037}"/>
    <hyperlink ref="G435" r:id="rId74" display="../../../../../../:b:/r/teams/CTM-OTGentStad/Shared Documents/General/EAF/CSI(nieuwe sharepoint)2024/EAF 2546 Gent 06112024.pdf?csf=1&amp;web=1&amp;e=cWMjpe" xr:uid="{477A62E0-78FE-44F9-AA49-A022A9BC841C}"/>
    <hyperlink ref="G332" r:id="rId75" display="../../../../../../:b:/r/teams/CTM-OTGentStad/Shared Documents/General/EAF/CSI(nieuwe sharepoint)2024/EAF 2546 wondelgemstation 26082024 Mekdad Ali.pdf?csf=1&amp;web=1&amp;e=pgRgJ2" xr:uid="{B84A489A-797F-4AF9-8672-1F4731852169}"/>
    <hyperlink ref="G510" r:id="rId76" display="../../../../../../:b:/r/teams/CTM-OTGentStad/Shared Documents/General/EAF/CSI(nieuwe sharepoint)2024/EAF 2548 Gent 28122024.pdf?csf=1&amp;web=1&amp;e=zK5dZd" xr:uid="{85AE4104-460D-49C6-83E5-AB21C15D7CFB}"/>
    <hyperlink ref="G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G398" r:id="rId78" display="../../../../../../:b:/r/teams/CTM-OTGentStad/Shared Documents/General/EAF/CSI(nieuwe sharepoint)2024/EAF 2548 stelplaats Gentbrugge 11102024.pdf?csf=1&amp;web=1&amp;e=R0LOpr" xr:uid="{424A95DC-38A4-4725-BC44-292A55A71654}"/>
    <hyperlink ref="G407" r:id="rId79" display="../../../../../../:b:/r/teams/CTM-OTGentStad/Shared Documents/General/EAF/CSI(nieuwe sharepoint)2024/EAF 2548 Tolhuislaan 17.10.2024.pdf?csf=1&amp;web=1&amp;e=up7NZq" xr:uid="{024FAD3E-3E08-4BD7-96FF-042BACB13647}"/>
    <hyperlink ref="G99" r:id="rId80" display="../../../../../../:b:/r/teams/CTM-OTGentStad/Shared Documents/General/EAF/CSI(nieuwe sharepoint)2024/EAF 2549 08022024.pdf?csf=1&amp;web=1&amp;e=yX2pXM" xr:uid="{BD707E83-174D-4740-B201-A7E1164D28CB}"/>
    <hyperlink ref="G55" r:id="rId81" display="../../../../../../:b:/r/teams/CTM-OTGentStad/Shared Documents/General/EAF/CSI(nieuwe sharepoint)2024/EAF 2549 Gent 08022024.pdf?csf=1&amp;web=1&amp;e=nayJ8h" xr:uid="{F00FB837-15FF-4769-BE20-DDA656C3F864}"/>
    <hyperlink ref="G91" r:id="rId82" display="../../../../../../:b:/r/teams/CTM-OTGentStad/Shared Documents/General/EAF/CSI(nieuwe sharepoint)2024/EAF 4666 De Pintelaan 05032024 Duyck Kimberley.pdf?csf=1&amp;web=1&amp;e=4DKtbV" xr:uid="{C90AE292-F94C-4FD6-82F4-758F1A1A109F}"/>
    <hyperlink ref="G340" r:id="rId83" display="../../../../../../:b:/r/teams/CTM-OTGentStad/Shared Documents/General/EAF/CSI(nieuwe sharepoint)2024/EAF 4666 Ottergemsesteenweg Gent 03092024.pdf?csf=1&amp;web=1&amp;e=s9Ij6m" xr:uid="{18A50BDF-BD1A-4993-A899-0344F2719D8A}"/>
    <hyperlink ref="G156" r:id="rId84" display="../../../../../../:b:/r/teams/CTM-OTGentStad/Shared Documents/General/EAF/CSI(nieuwe sharepoint)2024/EAF 4678 Gent 17042024.pdf?csf=1&amp;web=1&amp;e=sIQOQu" xr:uid="{6F45FB09-66F6-48AD-8D10-14545D84E36D}"/>
    <hyperlink ref="G464" r:id="rId85" display="../../../../../../:b:/r/teams/CTM-OTGentStad/Shared Documents/General/EAF/CSI(nieuwe sharepoint)2024/EAF 4678 Gent 26112024.pdf?csf=1&amp;web=1&amp;e=WvmnW0" xr:uid="{3066308C-EEA5-4A4B-B15D-142BACA89E6D}"/>
    <hyperlink ref="G499" r:id="rId86" display="../../../../../../:b:/r/teams/CTM-OTGentStad/Shared Documents/General/EAF/CSI(nieuwe sharepoint)2024/EAF 5039 Oostakker 20122024.pdf?csf=1&amp;web=1&amp;e=GxSYyj" xr:uid="{11472B66-C184-4071-9D9C-93CA4F9AA4C6}"/>
    <hyperlink ref="G104" r:id="rId87" display="../../../../../../:b:/r/teams/CTM-OTGentStad/Shared Documents/General/EAF/CSI(nieuwe sharepoint)2024/EAF 5040 Dampoort 13032024.pdf?csf=1&amp;web=1&amp;e=D8AKad" xr:uid="{9EACD41D-3718-4C46-B381-8B0AF7E36345}"/>
    <hyperlink ref="G60" r:id="rId88" display="../../../../../../:b:/r/teams/CTM-OTGentStad/Shared Documents/General/EAF/CSI(nieuwe sharepoint)2024/EAF 5040 Gent 15022024.pdf?csf=1&amp;web=1&amp;e=RDY6Mt" xr:uid="{64E71FA1-8B7B-4BD8-AA4D-9543C132963C}"/>
    <hyperlink ref="G149" r:id="rId89" display="../../../../../../:b:/r/teams/CTM-OTGentStad/Shared Documents/General/EAF/CSI(nieuwe sharepoint)2024/EAF 5040 Heuvelpoort 11042024 Middernacht Andy.pdf?csf=1&amp;web=1&amp;e=uaT6ms" xr:uid="{83D9B1FB-3F77-4B46-B398-4DE0E3B08435}"/>
    <hyperlink ref="G251" r:id="rId90" display="../../../../../../:b:/r/teams/CTM-OTGentStad/Shared Documents/General/EAF/CSI(nieuwe sharepoint)2024/EAF 5040 Steendam Gent 15062024.pdf?csf=1&amp;web=1&amp;e=fGqMom" xr:uid="{824C5CEB-CF25-445F-8A81-F84E2C350AD0}"/>
    <hyperlink ref="G469" r:id="rId91" display="../../../../../../:b:/r/teams/CTM-OTGentStad/Shared Documents/General/EAF/CSI(nieuwe sharepoint)2024/EAF 5041 Dampoort 30112024 Sharon Cardon.pdf?csf=1&amp;web=1&amp;e=ekktSr" xr:uid="{0F57B737-8C6D-4B50-B78C-4873126A4414}"/>
    <hyperlink ref="G230" r:id="rId92" display="../../../../../../:b:/r/teams/CTM-OTGentStad/Shared Documents/General/EAF/CSI(nieuwe sharepoint)2024/EAf 5041 Gent 05062024.pdf?csf=1&amp;web=1&amp;e=JDP1Zg" xr:uid="{B6C0D64D-2E8C-4159-9362-2A8DF677A5FF}"/>
    <hyperlink ref="G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G421" r:id="rId94" display="../../../../../../:b:/r/teams/CTM-OTGentStad/Shared Documents/General/EAF/CSI(nieuwe sharepoint)2024/EAF 5042 Gent 25102024.pdf?csf=1&amp;web=1&amp;e=uJPXsP" xr:uid="{7E33B54D-BC54-4EC7-AA28-92C5A8378909}"/>
    <hyperlink ref="G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G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G100" r:id="rId97" display="../../../../../../:b:/r/teams/CTM-OTGentStad/Shared Documents/General/EAF/CSI(nieuwe sharepoint)2024/EAF 5043 GSP 08032024 De Bruyne Sonia.pdf?csf=1&amp;web=1&amp;e=dD8i4V" xr:uid="{6D4E50B6-16EA-4F70-B325-4301D2910128}"/>
    <hyperlink ref="G51" r:id="rId98" display="../../../../../../:b:/r/teams/CTM-OTGentStad/Shared Documents/General/EAF/CSI(nieuwe sharepoint)2024/EAF 5044 Gent 05022024.pdf?csf=1&amp;web=1&amp;e=yey2sa" xr:uid="{194BA9E2-5B87-4648-92FD-C91A6AA98F76}"/>
    <hyperlink ref="G42" r:id="rId99" display="../../../../../../:b:/r/teams/CTM-OTGentStad/Shared Documents/General/EAF/CSI(nieuwe sharepoint)2024/EAF 5044 Gent deel 1.pdf?csf=1&amp;web=1&amp;e=IZggyy" xr:uid="{37D11D34-718C-4238-AFE7-431E55E64F9C}"/>
    <hyperlink ref="G336" r:id="rId100" display="../../../../../../:b:/r/teams/CTM-OTGentStad/Shared Documents/General/EAF/CSI(nieuwe sharepoint)2024/EAF 5044 Oostakker 31082024.pdf?csf=1&amp;web=1&amp;e=j9uLxZ" xr:uid="{4E05077D-CD21-402C-B3C9-5E4314A8A454}"/>
    <hyperlink ref="G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G13" r:id="rId102" display="../../../../../../:b:/r/teams/CTM-OTGentStad/Shared Documents/General/EAF/CSI(nieuwe sharepoint)2024/EAF 5045 Gent 12012024.pdf?csf=1&amp;web=1&amp;e=ivd5RU" xr:uid="{3A22C16C-607A-4FC2-8A8D-24743345E1B8}"/>
    <hyperlink ref="G495" r:id="rId103" display="../../../../../../:b:/r/teams/CTM-OTGentStad/Shared Documents/General/EAF/CSI(nieuwe sharepoint)2024/EAF 5045 Gent 17122024.pdf?csf=1&amp;web=1&amp;e=kzrcYs" xr:uid="{564B8D95-A97B-4623-99E6-3B4192928165}"/>
    <hyperlink ref="G76" r:id="rId104" display="../../../../../../:b:/r/teams/CTM-OTGentStad/Shared Documents/General/EAF/CSI(nieuwe sharepoint)2024/EAF 5045 Gent 28022024.pdf?csf=1&amp;web=1&amp;e=wvDOGb" xr:uid="{369E236B-8E52-4428-85B7-91A323A63F6D}"/>
    <hyperlink ref="G32" r:id="rId105" display="../../../../../../:b:/r/teams/CTM-OTGentStad/Shared Documents/General/EAF/CSI(nieuwe sharepoint)2024/EAF 5046 Oostakker 25012024.pdf?csf=1&amp;web=1&amp;e=vOY63e" xr:uid="{6E74240E-2337-46C7-B8D4-CC8E54D01985}"/>
    <hyperlink ref="G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G273" r:id="rId107" display="../../../../../../:b:/r/teams/CTM-OTGentStad/Shared Documents/General/EAF/CSI(nieuwe sharepoint)2024/EAF 5047 Gent Sint-Pietersstation 04072024.pdf?csf=1&amp;web=1&amp;e=w3uplh" xr:uid="{DFFC8348-AD0F-4A2C-B31D-AC83FF60E3B2}"/>
    <hyperlink ref="G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G8" r:id="rId109" display="../../../../../../:b:/r/teams/CTM-OTGentStad/Shared Documents/General/EAF/CSI(nieuwe sharepoint)2024/EAF 5048 Brugsepoort 10012024.pdf?csf=1&amp;web=1&amp;e=efMJXy" xr:uid="{339F33FE-F791-408B-AE55-8342C40CB9F9}"/>
    <hyperlink ref="G462" r:id="rId110" display="../../../../../../:b:/r/teams/CTM-OTGentStad/Shared Documents/General/EAF/CSI(nieuwe sharepoint)2024/EAF 5048 Gent 23112024.pdf?csf=1&amp;web=1&amp;e=0ID7Th" xr:uid="{FE567F82-C048-49E2-938A-504FF18DC235}"/>
    <hyperlink ref="G141" r:id="rId111" display="../../../../../../:b:/r/teams/CTM-OTGentStad/Shared Documents/General/EAF/CSI(nieuwe sharepoint)2024/EAF 5048 Trollyloods Gentburgge 27042024.pdf?csf=1&amp;web=1&amp;e=l7s9op" xr:uid="{07E718B1-7EC4-4B38-B197-07A5B95843C2}"/>
    <hyperlink ref="G33" r:id="rId112" display="../../../../../../:b:/r/teams/CTM-OTGentStad/Shared Documents/General/EAF/CSI(nieuwe sharepoint)2024/EAF 5048 Zwijnaarde 25012024.pdf?csf=1&amp;web=1&amp;e=4uelUO" xr:uid="{89B485B8-75D3-4E72-AC08-A30631C9FE67}"/>
    <hyperlink ref="G289" r:id="rId113" display="../../../../../../:b:/r/teams/CTM-OTGentStad/Shared Documents/General/EAF/CSI(nieuwe sharepoint)2024/EAF 5049 Gent 13072024.pdf?csf=1&amp;web=1&amp;e=SsboXc" xr:uid="{4ADFF32A-5B91-4408-BBB8-BC8D8127379E}"/>
    <hyperlink ref="G10" r:id="rId114" display="../../../../../../:b:/r/teams/CTM-OTGentStad/Shared Documents/General/EAF/CSI(nieuwe sharepoint)2024/EAF 5049 Opgeeistlaan 11012024.pdf?csf=1&amp;web=1&amp;e=upU8ce" xr:uid="{970A9D7E-1DAC-4B35-B1D7-404FBB2700E6}"/>
    <hyperlink ref="G470" r:id="rId115" display="../../../../../../:b:/r/teams/CTM-OTGentStad/Shared Documents/General/EAF/CSI(nieuwe sharepoint)2024/EAF 5049 Trolleyloods Gentbrugge 30112024.pdf?csf=1&amp;web=1&amp;e=DDkLJB" xr:uid="{6E36E6AD-37BB-4F07-83C9-F80A39F38CF6}"/>
    <hyperlink ref="G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G242" r:id="rId117" display="../../../../../../:b:/r/teams/CTM-OTGentStad/Shared Documents/General/EAF/CSI(nieuwe sharepoint)2024/EAF 5051 Gent 11062024.pdf?csf=1&amp;web=1&amp;e=lridOg" xr:uid="{F8C16BEA-33A4-43A1-8C9F-79DC2D51A4B3}"/>
    <hyperlink ref="G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G341" r:id="rId119" display="../../../../../../:b:/r/teams/CTM-OTGentStad/Shared Documents/General/EAF/CSI(nieuwe sharepoint)2024/EAF 5052 Gent 03092024.pdf?csf=1&amp;web=1&amp;e=j6GWuh" xr:uid="{684C05EF-CC93-4893-9326-FB1FC46BB253}"/>
    <hyperlink ref="G218" r:id="rId120" display="../../../../../../:b:/r/teams/CTM-OTGentStad/Shared Documents/General/EAF/CSI(nieuwe sharepoint)2024/EAF 5052 Gent 28052024.pdf?csf=1&amp;web=1&amp;e=wMFLOS" xr:uid="{5791140D-0988-44F6-A08D-F3FF696C698A}"/>
    <hyperlink ref="G378" r:id="rId121" display="../../../../../../:b:/r/teams/CTM-OTGentStad/Shared Documents/General/EAF/CSI(nieuwe sharepoint)2024/EAF 5052 Voskenslaan 24092024.pdf?csf=1&amp;web=1&amp;e=vLM2rs" xr:uid="{C48F1089-E222-47D9-AEBD-654E6EE58E73}"/>
    <hyperlink ref="G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G142" r:id="rId123" display="../../../../../../:b:/r/teams/CTM-OTGentStad/Shared Documents/General/EAF/CSI(nieuwe sharepoint)2024/EAF 5053 Gent 07042024.pdf?csf=1&amp;web=1&amp;e=RjO14u" xr:uid="{DC6550E3-99CC-4FC8-A081-BB5F1C15BBF0}"/>
    <hyperlink ref="G305" r:id="rId124" display="../../../../../../:b:/r/teams/CTM-OTGentStad/Shared Documents/General/EAF/CSI(nieuwe sharepoint)2024/EAF 5053 Gent 27072024.pdf?csf=1&amp;web=1&amp;e=OiWWi6" xr:uid="{1282E241-D234-40F1-9C10-A3627664D753}"/>
    <hyperlink ref="G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G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G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G451" r:id="rId128" display="../../../../../../:b:/r/teams/CTM-OTGentStad/Shared Documents/General/EAF/CSI(nieuwe sharepoint)2024/EAF 5054 Gent 15112024.pdf?csf=1&amp;web=1&amp;e=20cD2D" xr:uid="{4C2A26BE-4D23-4B19-81DB-0FD1CB4EC899}"/>
    <hyperlink ref="G257" r:id="rId129" display="../../../../../../:b:/r/teams/CTM-OTGentStad/Shared Documents/General/EAF/CSI(nieuwe sharepoint)2024/EAF 5214 Gent 18062024.pdf?csf=1&amp;web=1&amp;e=ftFyER" xr:uid="{BEAA269B-10DF-4C60-A7E2-BA717F0C7BDF}"/>
    <hyperlink ref="G237" r:id="rId130" display="../../../../../../:b:/r/teams/CTM-OTGentStad/Shared Documents/General/EAF/CSI(nieuwe sharepoint)2024/EAF 5214 Gentbrugge 10062024.pdf?csf=1&amp;web=1&amp;e=ZkRs3H" xr:uid="{0EA5F3C5-3AF6-4C69-94EC-7F11B6A9E5D2}"/>
    <hyperlink ref="G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G143" r:id="rId132" display="../../../../../../:b:/r/teams/CTM-OTGentStad/Shared Documents/General/EAF/CSI(nieuwe sharepoint)2024/EAF 5219 Gent 07042024.pdf?csf=1&amp;web=1&amp;e=m4ESW6" xr:uid="{142430E9-C7DA-40A3-B64D-58AF211C0695}"/>
    <hyperlink ref="G162" r:id="rId133" display="../../../../../../:b:/r/teams/CTM-OTGentStad/Shared Documents/General/EAF/CSI(nieuwe sharepoint)2024/EAF 5229 Gent 19042024.pdf?csf=1&amp;web=1&amp;e=AhHiqm" xr:uid="{1B1C376D-E6C9-4990-BC36-F202F63CCD48}"/>
    <hyperlink ref="G415" r:id="rId134" display="../../../../../../:b:/r/teams/CTM-OTGentStad/Shared Documents/General/EAF/CSI(nieuwe sharepoint)2024/EAF 5229 Gent 23102024.pdf?csf=1&amp;web=1&amp;e=ESKx5N" xr:uid="{F16DA9F8-02C0-4D52-8B77-7B79EA874012}"/>
    <hyperlink ref="G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G77" r:id="rId136" display="../../../../../../:b:/r/teams/CTM-OTGentStad/Shared Documents/General/EAF/CSI(nieuwe sharepoint)2024/EAF 5230 Gent 28022024.pdf?csf=1&amp;web=1&amp;e=yDFaaM" xr:uid="{EC5A4AFA-661A-49EB-B968-2F1F560586E1}"/>
    <hyperlink ref="G493" r:id="rId137" display="../../../../../../:b:/r/teams/CTM-OTGentStad/Shared Documents/General/EAF/CSI(nieuwe sharepoint)2024/EAF 5230 Sint-Amandsberg  16122024.pdf?csf=1&amp;web=1&amp;e=ph7Ndy" xr:uid="{36E1F487-1A61-4764-8AF0-FBEC7960DDA7}"/>
    <hyperlink ref="G37" r:id="rId138" display="../../../../../../:b:/r/teams/CTM-OTGentStad/Shared Documents/General/EAF/CSI(nieuwe sharepoint)2024/EAF 5232 Gent 30012024.pdf?csf=1&amp;web=1&amp;e=rgbBDo" xr:uid="{872A0446-8C50-44C9-8112-444475A3004F}"/>
    <hyperlink ref="G351" r:id="rId139" display="../../../../../../:b:/r/teams/CTM-OTGentStad/Shared Documents/General/EAF/CSI(nieuwe sharepoint)2024/EAF 5233 Drongen 06092024.pdf?csf=1&amp;web=1&amp;e=GIoRc2" xr:uid="{F42AA0C2-BCEC-47BE-9D36-0777A3E629D3}"/>
    <hyperlink ref="G400" r:id="rId140" display="../../../../../../:b:/r/teams/CTM-OTGentStad/Shared Documents/General/EAF/CSI(nieuwe sharepoint)2024/EAF 5233 E17 13102024 Sahin Orhan.pdf?csf=1&amp;web=1&amp;e=LqDC9n" xr:uid="{4CE8DE9A-BE9D-4BAA-B603-1850CFBED817}"/>
    <hyperlink ref="G84" r:id="rId141" display="../../../../../../:b:/r/teams/CTM-OTGentStad/Shared Documents/General/EAF/CSI(nieuwe sharepoint)2024/EAF 5233 Drongsesteenweg 01032024.pdf?csf=1&amp;web=1&amp;e=f0bLD0" xr:uid="{15240598-88FB-48CB-AD07-399E0612C37E}"/>
    <hyperlink ref="G75" r:id="rId142" display="../../../../../../:b:/r/teams/CTM-OTGentStad/Shared Documents/General/EAF/CSI(nieuwe sharepoint)2024/EAF 5233 Wondelgem 27022024.pdf?csf=1&amp;web=1&amp;e=VUObQu" xr:uid="{CC06F139-05E8-4789-85CF-6148D0544C8C}"/>
    <hyperlink ref="G110" r:id="rId143" display="../../../../../../:b:/r/teams/CTM-OTGentStad/Shared Documents/General/EAF/CSI(nieuwe sharepoint)2024/EAF 5235 Gent 18032024.pdf?csf=1&amp;web=1&amp;e=aqQ2Fu" xr:uid="{FC818F25-B6C8-4218-8689-0C16F729D7E9}"/>
    <hyperlink ref="G80" r:id="rId144" display="../../../../../../:b:/r/teams/CTM-OTGentStad/Shared Documents/General/EAF/CSI(nieuwe sharepoint)2024/EAF 5235 Kouter Gent 29022024.pdf?csf=1&amp;web=1&amp;e=mb4LtY" xr:uid="{C6246465-6C1C-4B83-A73E-8D938327AD59}"/>
    <hyperlink ref="G144" r:id="rId145" display="../../../../../../:b:/r/teams/CTM-OTGentStad/Shared Documents/General/EAF/CSI(nieuwe sharepoint)2024/EAF 5236 Gent 08042024.pdf?csf=1&amp;web=1&amp;e=9TBxOY" xr:uid="{92F197F1-E1C8-4380-9DD3-E15ABF138817}"/>
    <hyperlink ref="G53" r:id="rId146" display="../../../../../../:b:/r/teams/CTM-OTGentStad/Shared Documents/General/EAF/CSI(nieuwe sharepoint)2024/EAF 5237 Begijnhoflaan 07022024.pdf?csf=1&amp;web=1&amp;e=uBdiuT" xr:uid="{57FEEE40-B95E-4D18-8CAC-5B696997F569}"/>
    <hyperlink ref="G147" r:id="rId147" display="../../../../../../:b:/r/teams/CTM-OTGentStad/Shared Documents/General/EAF/CSI(nieuwe sharepoint)2024/EAF 5237 Gent 09042024.pdf?csf=1&amp;web=1&amp;e=LzaWuc" xr:uid="{22BA3454-9282-42BF-9442-46E48BA1BBF5}"/>
    <hyperlink ref="G491" r:id="rId148" display="../../../../../../:b:/r/teams/CTM-OTGentStad/Shared Documents/General/EAF/CSI(nieuwe sharepoint)2024/EAF 5237 Nieuwe Wandeling Gent 14122024.pdf?csf=1&amp;web=1&amp;e=2ZG3Tn" xr:uid="{D898A5F8-8ED0-483E-902A-B9513D0393B9}"/>
    <hyperlink ref="G145" r:id="rId149" display="../../../../../../:b:/r/teams/CTM-OTGentStad/Shared Documents/General/EAF/CSI(nieuwe sharepoint)2024/EAF 5238 Brugsepoort Gent 08042024.pdf?csf=1&amp;web=1&amp;e=IkZZS2" xr:uid="{107AA107-4FF8-45A1-9801-901570F66CF6}"/>
    <hyperlink ref="G226" r:id="rId150" display="../../../../../../:b:/r/teams/CTM-OTGentStad/Shared Documents/General/EAF/CSI(nieuwe sharepoint)2024/EAF 5238 Dampoortstraat 02062024.pdf?csf=1&amp;web=1&amp;e=KplfVG" xr:uid="{82C3C673-B106-4861-A164-5A196C83972E}"/>
    <hyperlink ref="G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G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G385" r:id="rId153" display="../../../../../../:b:/r/teams/CTM-OTGentStad/Shared Documents/General/EAF/CSI(nieuwe sharepoint)2024/EAF 5239 Dampoort Gent 28092024.pdf?csf=1&amp;web=1&amp;e=2ecVKf" xr:uid="{0F88B24E-E58A-404B-B81A-4AB15657A82B}"/>
    <hyperlink ref="G364" r:id="rId154" display="../../../../../../:b:/r/teams/CTM-OTGentStad/Shared Documents/General/EAF/CSI(nieuwe sharepoint)2024/EAF 5239 Gent 39929 Staneva mariyana 14092024.pdf?csf=1&amp;web=1&amp;e=hMWWGb" xr:uid="{686A188A-2DA7-4B83-B913-C23137E77163}"/>
    <hyperlink ref="G151" r:id="rId155" display="../../../../../../:b:/r/teams/CTM-OTGentStad/Shared Documents/General/EAF/CSI(nieuwe sharepoint)2024/EAF 5239 Gent Brugsepoortstraat 12042024.pdf?csf=1&amp;web=1&amp;e=kfYcDQ" xr:uid="{F101ABC3-319B-4F1C-B964-417DC607D610}"/>
    <hyperlink ref="G487" r:id="rId156" display="../../../../../../:b:/r/teams/CTM-OTGentStad/Shared Documents/General/EAF/CSI(nieuwe sharepoint)2024/EAF 5239 Ledeberg 12122024.pdf?csf=1&amp;web=1&amp;e=mdSGoo" xr:uid="{76C035DD-FA0C-4F7C-BC9E-47B244C46548}"/>
    <hyperlink ref="G343" r:id="rId157" display="../../../../../../:b:/r/teams/CTM-OTGentStad/Shared Documents/General/EAF/CSI(nieuwe sharepoint)2024/EAF 5240 Gent 03092024 Atilla Ayidil.pdf?csf=1&amp;web=1&amp;e=g4RcZR" xr:uid="{57BF8AC5-1EE1-48FF-9540-37C9F9E77AF5}"/>
    <hyperlink ref="G111" r:id="rId158" display="../../../../../../:b:/r/teams/CTM-OTGentStad/Shared Documents/General/EAF/CSI(nieuwe sharepoint)2024/EAF 5240 Gent 18032024.pdf?csf=1&amp;web=1&amp;e=6Fvho6" xr:uid="{9D5E120C-A866-44ED-B6DF-EB9789082281}"/>
    <hyperlink ref="G463" r:id="rId159" display="../../../../../../:b:/r/teams/CTM-OTGentStad/Shared Documents/General/EAF/CSI(nieuwe sharepoint)2024/EAF 5240 Gent 23112024.pdf?csf=1&amp;web=1&amp;e=xHFfD7" xr:uid="{B534E512-FB1C-4BFD-AFFE-60C50F72B9EB}"/>
    <hyperlink ref="G409" r:id="rId160" display="../../../../../../:b:/r/teams/CTM-OTGentStad/Shared Documents/General/EAF/CSI(nieuwe sharepoint)2024/EAF 5240 Hoogstraat Gent 19.10.2024.pdf?csf=1&amp;web=1&amp;e=iYJzsc" xr:uid="{46AC0B2D-F923-4170-8924-0C6990A9508E}"/>
    <hyperlink ref="G160" r:id="rId161" display="../../../../../../:b:/r/teams/CTM-OTGentStad/Shared Documents/General/EAF/CSI(nieuwe sharepoint)2024/EAF 5240 Koning Albertlaan Gent 18012024.pdf?csf=1&amp;web=1&amp;e=GwvnVk" xr:uid="{E96BA914-631F-4DD1-A2CD-235512895942}"/>
    <hyperlink ref="G367" r:id="rId162" display="../../../../../../:b:/r/teams/CTM-OTGentStad/Shared Documents/General/EAF/CSI(nieuwe sharepoint)2024/EAF 5240 Nieuwe Wandeling Gent 15092024.pdf?csf=1&amp;web=1&amp;e=ybJXsr" xr:uid="{82DF405D-D5D8-4B78-AE31-0D254885B5F9}"/>
    <hyperlink ref="G299" r:id="rId163" display="../../../../../../:b:/r/teams/CTM-OTGentStad/Shared Documents/General/EAF/CSI(nieuwe sharepoint)2024/EAF 5240 Nieuwebosstraat 52 Gent 24.07.2024.pdf?csf=1&amp;web=1&amp;e=rSy4pR" xr:uid="{A981F4A2-09BD-461A-AFB7-CC5C884FD674}"/>
    <hyperlink ref="G300" r:id="rId164" display="../../../../../../:b:/r/teams/CTM-OTGentStad/Shared Documents/General/EAF/CSI(nieuwe sharepoint)2024/EAF 5240 Sint Amandsberg 24012024.pdf?csf=1&amp;web=1&amp;e=zHuKrP" xr:uid="{11DA0475-1561-428F-9D96-D3A3BCB37EED}"/>
    <hyperlink ref="G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G173" r:id="rId166" display="../../../../../../:b:/r/teams/CTM-OTGentStad/Shared Documents/General/EAF/CSI(nieuwe sharepoint)2024/EAF 5241 Gent Neermeerkaai 24042024.pdf?csf=1&amp;web=1&amp;e=hXwGLz" xr:uid="{DD19F197-679B-47C0-BE93-1D3BA9C723E8}"/>
    <hyperlink ref="G478" r:id="rId167" display="../../../../../../:b:/r/teams/CTM-OTGentStad/Shared Documents/General/EAF/CSI(nieuwe sharepoint)2024/EAF 5241 Gentbrugge 04122024.pdf?csf=1&amp;web=1&amp;e=f5ThUQ" xr:uid="{7D310F5C-0361-4788-B63B-2A829813B77A}"/>
    <hyperlink ref="G410" r:id="rId168" display="../../../../../../:b:/r/teams/CTM-OTGentStad/Shared Documents/General/EAF/CSI(nieuwe sharepoint)2024/EAF 5258 Rooigemlaan Gent  19.10.2024.pdf?csf=1&amp;web=1&amp;e=wNw2xP" xr:uid="{629E6FBD-E70C-4299-B41D-38B33769A026}"/>
    <hyperlink ref="G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G35" r:id="rId170" display="../../../../../../:b:/r/teams/CTM-OTGentStad/Shared Documents/General/EAF/CSI(nieuwe sharepoint)2024/EAF 5260 Gent 28012024.pdf?csf=1&amp;web=1&amp;e=5Sz9tz" xr:uid="{6EE06DA0-3107-4B76-B2A6-5B362B5D2DA6}"/>
    <hyperlink ref="G313" r:id="rId171" display="../../../../../../:b:/r/teams/CTM-OTGentStad/Shared Documents/General/EAF/CSI(nieuwe sharepoint)2024/EAF 5260 Gentbrugge 02082024.pdf?csf=1&amp;web=1&amp;e=LndmuV" xr:uid="{090568B8-35D5-41F6-AD4C-F6D3F5D2F30C}"/>
    <hyperlink ref="G208" r:id="rId172" display="../../../../../../:b:/r/teams/CTM-OTGentStad/Shared Documents/General/EAF/CSI(nieuwe sharepoint)2024/EAF 5260 Gentbrugge 21052024.pdf?csf=1&amp;web=1&amp;e=WUdDW0" xr:uid="{DA041EFD-D168-4AFF-8423-558D7A8198CD}"/>
    <hyperlink ref="G430" r:id="rId173" display="../../../../../../:b:/r/teams/CTM-OTGentStad/Shared Documents/General/EAF/CSI(nieuwe sharepoint)2024/EAF 5260 Groeningewijk Gentbrugge 02112024.pdf?csf=1&amp;web=1&amp;e=PFNT1e" xr:uid="{B67A3E86-BD7D-432F-ABA0-61F4041E7D9A}"/>
    <hyperlink ref="G452" r:id="rId174" display="../../../../../../:b:/r/teams/CTM-OTGentStad/Shared Documents/General/EAF/CSI(nieuwe sharepoint)2024/EAF 5260 Hoogstraat Gent 17072024.pdf?csf=1&amp;web=1&amp;e=0DYXJ9" xr:uid="{80D2D0B5-01F0-4FB6-9CC9-EC959F6F1C09}"/>
    <hyperlink ref="G483" r:id="rId175" display="../../../../../../:b:/r/teams/CTM-OTGentStad/Shared Documents/General/EAF/CSI(nieuwe sharepoint)2024/EAF 5261 Brugsepoort Gent 09122024.pdf?csf=1&amp;web=1&amp;e=2klFr2" xr:uid="{F7B4B502-E0D9-4986-AE5D-2F347AE41E9A}"/>
    <hyperlink ref="G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G43" r:id="rId177" display="../../../../../../:b:/r/teams/CTM-OTGentStad/Shared Documents/General/EAF/CSI(nieuwe sharepoint)2024/EAF 5261 Gent 02022024.pdf?csf=1&amp;web=1&amp;e=KQ3nxn" xr:uid="{0751FBF0-F200-4ED5-B5F1-0D2822456AF1}"/>
    <hyperlink ref="G348" r:id="rId178" display="../../../../../../:b:/r/teams/CTM-OTGentStad/Shared Documents/General/EAF/CSI(nieuwe sharepoint)2024/EAF 5261 Groeningewijk Gentbrugge 05092024.pdf?csf=1&amp;web=1&amp;e=Tu5tpk" xr:uid="{D1A4051F-D2BC-4C0C-81AE-1A3883EDE667}"/>
    <hyperlink ref="G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G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G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G36" r:id="rId182" display="../../../../../../:b:/r/teams/CTM-OTGentStad/Shared Documents/General/EAF/CSI(nieuwe sharepoint)2024/EAF 5264 Gent 29012024.pdf?csf=1&amp;web=1&amp;e=pIPNJC" xr:uid="{3DF5E2C2-BF06-4246-87EB-CE2FE8673AF8}"/>
    <hyperlink ref="G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G25" r:id="rId184" display="../../../../../../:b:/r/teams/CTM-OTGentStad/Shared Documents/General/EAF/CSI(nieuwe sharepoint)2024/EAF 5265 Drongen 20012024.pdf?csf=1&amp;web=1&amp;e=zjZNH1" xr:uid="{5D8CB038-766F-4079-A253-9B24F16A0648}"/>
    <hyperlink ref="G291" r:id="rId185" display="../../../../../../:b:/r/teams/CTM-OTGentStad/Shared Documents/General/EAF/CSI(nieuwe sharepoint)2024/EAF 5265 Gent 17072024.pdf?csf=1&amp;web=1&amp;e=OFkISe" xr:uid="{7A74395B-63C5-4519-8F7C-B43378ABA3A3}"/>
    <hyperlink ref="G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G238" r:id="rId187" display="../../../../../../:b:/r/teams/CTM-OTGentStad/Shared Documents/General/EAF/CSI(nieuwe sharepoint)2024/EAF 5266 Gent Dampoort 10062024.pdf?csf=1&amp;web=1&amp;e=6j42Wr" xr:uid="{C50F2398-B4C7-4ECF-9CCB-0521DED21615}"/>
    <hyperlink ref="G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G215" r:id="rId189" display="../../../../../../:b:/r/teams/CTM-OTGentStad/Shared Documents/General/EAF/CSI(nieuwe sharepoint)2024/EAF 5267 Dampoort 24052024.pdf?csf=1&amp;web=1&amp;e=IKXRT1" xr:uid="{D8883898-C0C3-40CC-8905-74816792152C}"/>
    <hyperlink ref="G9" r:id="rId190" display="../../../../../../:b:/r/teams/CTM-OTGentStad/Shared Documents/General/EAF/CSI(nieuwe sharepoint)2024/EAF 5267 Gent 10012024.pdf?csf=1&amp;web=1&amp;e=bPITiu" xr:uid="{4E6F5EB9-1AFF-4587-AE4C-5DA7ACD6281E}"/>
    <hyperlink ref="G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G271" r:id="rId192" display="../../../../../../:b:/r/teams/CTM-OTGentStad/Shared Documents/General/EAF/CSI(nieuwe sharepoint)2024/EAF 5270 Afrit E17 op E40 08072024.pdf?csf=1&amp;web=1&amp;e=SC8SiN" xr:uid="{D601228B-287C-4D16-92E4-A755DDC32521}"/>
    <hyperlink ref="G113" r:id="rId193" display="../../../../../../:b:/r/teams/CTM-OTGentStad/Shared Documents/General/EAF/CSI(nieuwe sharepoint)2024/EAF 5272 Gent 19032024.pdf?csf=1&amp;web=1&amp;e=7WQ7o1" xr:uid="{B957B02F-263F-49B8-B2A8-F249018E5CEC}"/>
    <hyperlink ref="G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G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G81" r:id="rId196" display="../../../../../../:b:/r/teams/CTM-OTGentStad/Shared Documents/General/EAF/CSI(nieuwe sharepoint)2024/EAF 5273 Drongen 29022024.pdf?csf=1&amp;web=1&amp;e=Pwy5lm" xr:uid="{BB2EDCEC-E525-4266-A4C8-8AC6B34E4F60}"/>
    <hyperlink ref="G201" r:id="rId197" display="../../../../../../:b:/r/teams/CTM-OTGentStad/Shared Documents/General/EAF/CSI(nieuwe sharepoint)2024/EAF 5273 Gent 13052024.pdf?csf=1&amp;web=1&amp;e=bde5MQ" xr:uid="{5DB7283B-7F6F-424B-A9EA-972F12502937}"/>
    <hyperlink ref="G29" r:id="rId198" display="../../../../../../:b:/r/teams/CTM-OTGentStad/Shared Documents/General/EAF/CSI(nieuwe sharepoint)2024/EAF 5273 Gent 23012024.pdf?csf=1&amp;web=1&amp;e=zXlPrR" xr:uid="{59B18075-A3D7-40BB-8275-57AF7D3A7251}"/>
    <hyperlink ref="G357" r:id="rId199" display="../../../../../../:b:/r/teams/CTM-OTGentStad/Shared Documents/General/EAF/CSI(nieuwe sharepoint)2024/EAF 5273 Gentbrugge 08092024.pdf?csf=1&amp;web=1&amp;e=yFSCzw" xr:uid="{83123703-5206-4665-9670-638ED57D180D}"/>
    <hyperlink ref="G486" r:id="rId200" display="../../../../../../:b:/r/teams/CTM-OTGentStad/Shared Documents/General/EAF/CSI(nieuwe sharepoint)2024/EAF 5273 Hovernierstraat Ledeberg 10122024.pdf?csf=1&amp;web=1&amp;e=mVaACu" xr:uid="{B6D8AB26-89F9-4E1D-B7F7-2F14A228B65C}"/>
    <hyperlink ref="G269" r:id="rId201" display="../../../../../../:b:/r/teams/CTM-OTGentStad/Shared Documents/General/EAF/CSI(nieuwe sharepoint)2024/EAF 5273 Wondelgem 01072024.pdf?csf=1&amp;web=1&amp;e=l3AN29" xr:uid="{C6106ACC-3CEE-4584-BE4A-CB131F6D2EDC}"/>
    <hyperlink ref="G239" r:id="rId202" display="../../../../../../:b:/r/teams/CTM-OTGentStad/Shared Documents/General/EAF/CSI(nieuwe sharepoint)2024/EAF 5273 Wondelgem 10062024.pdf?csf=1&amp;web=1&amp;e=Dxn0VL" xr:uid="{F8200934-60BE-4DDA-8164-EBBE2852AF53}"/>
    <hyperlink ref="G488" r:id="rId203" display="../../../../../../:b:/r/teams/CTM-OTGentStad/Shared Documents/General/EAF/CSI(nieuwe sharepoint)2024/EAF 5276 Drongensesteenweg Gent 12122024.pdf?csf=1&amp;web=1&amp;e=ufckTu" xr:uid="{AFE55EA5-B19A-4EF5-95C8-E38FFA4E7FB3}"/>
    <hyperlink ref="G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G365" r:id="rId205" display="../../../../../../:b:/r/teams/CTM-OTGentStad/Shared Documents/General/EAF/CSI(nieuwe sharepoint)2024/EAF 5324 Martelaarslaan Gent 14.09.2024.pdf?csf=1&amp;web=1&amp;e=NMY58O" xr:uid="{80B084A7-BFFB-4BD7-B257-5656B6ABC759}"/>
    <hyperlink ref="G502" r:id="rId206" display="../../../../../../:b:/r/teams/CTM-OTGentStad/Shared Documents/General/EAF/CSI(nieuwe sharepoint)2024/EAF 5325 Drongen 21122024.pdf?csf=1&amp;web=1&amp;e=YQsH1N" xr:uid="{FE819C6A-CBB2-4A8F-A9CE-39A917EFC711}"/>
    <hyperlink ref="G62" r:id="rId207" display="../../../../../../:b:/r/teams/CTM-OTGentStad/Shared Documents/General/EAF/CSI(nieuwe sharepoint)2024/EAF 5326 Gent 16022024.pdf?csf=1&amp;web=1&amp;e=5ULpIl" xr:uid="{C39B2E04-3040-4444-8723-0242A8F29D67}"/>
    <hyperlink ref="G40" r:id="rId208" display="../../../../../../:b:/r/teams/CTM-OTGentStad/Shared Documents/General/EAF/CSI(nieuwe sharepoint)2024/EAF 5326 Gent 31012024.pdf?csf=1&amp;web=1&amp;e=i10RHa" xr:uid="{C3CA11C4-E758-484B-AAFA-71708436344D}"/>
    <hyperlink ref="G449" r:id="rId209" display="../../../../../../:b:/r/teams/CTM-OTGentStad/Shared Documents/General/EAF/CSI(nieuwe sharepoint)2024/EAF 5326 Gent 141122024.pdf?csf=1&amp;web=1&amp;e=yDV6ZW" xr:uid="{52138DDE-B010-4A88-A73C-8511E9CC5D84}"/>
    <hyperlink ref="G45" r:id="rId210" display="../../../../../../:b:/r/teams/CTM-OTGentStad/Shared Documents/General/EAF/CSI(nieuwe sharepoint)2024/EAF 5326 Gent Dampoort 03022024.pdf?csf=1&amp;web=1&amp;e=tGC44K" xr:uid="{0FA57C8A-55F0-49D0-8245-6DA39A492453}"/>
    <hyperlink ref="G223" r:id="rId211" display="../../../../../../:b:/r/teams/CTM-OTGentStad/Shared Documents/General/EAF/CSI(nieuwe sharepoint)2024/EAF 5326 Rooigemlaan Gent 30052024.pdf?csf=1&amp;web=1&amp;e=5AR7LW" xr:uid="{1F2AF07C-12EB-4380-BB14-F622D4D2E6B8}"/>
    <hyperlink ref="G231" r:id="rId212" display="../../../../../../:b:/r/teams/CTM-OTGentStad/Shared Documents/General/EAF/CSI(nieuwe sharepoint)2024/EAF 5327 05062024.pdf?csf=1&amp;web=1&amp;e=8mABkX" xr:uid="{71DB21F1-31E2-444E-85E3-7677E4B0468A}"/>
    <hyperlink ref="G197" r:id="rId213" display="../../../../../../:b:/r/teams/CTM-OTGentStad/Shared Documents/General/EAF/CSI(nieuwe sharepoint)2024/EAF 5327 Dampoort Gent 11052024.pdf?csf=1&amp;web=1&amp;e=2jmNbB" xr:uid="{214C7832-9A0B-4662-B595-1A5A7ED2DFB8}"/>
    <hyperlink ref="G103" r:id="rId214" display="../../../../../../:b:/r/teams/CTM-OTGentStad/Shared Documents/General/EAF/CSI(nieuwe sharepoint)2024/EAF 5327 Gent 12032024.pdf?csf=1&amp;web=1&amp;e=waZJbc" xr:uid="{4D4D7900-CDCB-460A-A010-9E850BDEE291}"/>
    <hyperlink ref="G235" r:id="rId215" display="../../../../../../:b:/r/teams/CTM-OTGentStad/Shared Documents/General/EAF/CSI(nieuwe sharepoint)2024/EAF 5327 Gent Fraterplein 07062024.pdf?csf=1&amp;web=1&amp;e=vVta9L" xr:uid="{3EC7782D-1782-4F70-8B1A-ABCDDD3BD6AC}"/>
    <hyperlink ref="G347" r:id="rId216" display="../../../../../../:b:/r/teams/CTM-OTGentStad/Shared Documents/General/EAF/CSI(nieuwe sharepoint)2024/EAF 5327 Ledeberg 04092024.pdf?csf=1&amp;web=1&amp;e=0wLizx" xr:uid="{6CEE7D51-D555-45A6-A445-463BC0E0D82D}"/>
    <hyperlink ref="G442" r:id="rId217" display="../../../../../../:b:/r/teams/CTM-OTGentStad/Shared Documents/General/EAF/CSI(nieuwe sharepoint)2024/EAF 5327 Morekstraat Wondelgem 09112024.pdf?csf=1&amp;web=1&amp;e=C5bi8b" xr:uid="{77D7CDF0-7819-4669-8E1C-541415AB7331}"/>
    <hyperlink ref="G26" r:id="rId218" display="../../../../../../:b:/r/teams/CTM-OTGentStad/Shared Documents/General/EAF/CSI(nieuwe sharepoint)2024/EAF 5327 Wondelgem 20012024.pdf?csf=1&amp;web=1&amp;e=iEEbE2" xr:uid="{D8EAF54B-EFB3-46A7-B40D-20A20504AB98}"/>
    <hyperlink ref="G344" r:id="rId219" display="../../../../../../:b:/r/teams/CTM-OTGentStad/Shared Documents/General/EAF/CSI(nieuwe sharepoint)2024/EAF 5328 Drieselstraat Gent 03.09.2024.pdf?csf=1&amp;web=1&amp;e=BvQsRY" xr:uid="{529A32D0-CADE-4CAD-80C4-675470E45984}"/>
    <hyperlink ref="G244" r:id="rId220" display="../../../../../../:b:/r/teams/CTM-OTGentStad/Shared Documents/General/EAF/CSI(nieuwe sharepoint)2024/EAF 5328 Gent 12062024.pdf?csf=1&amp;web=1&amp;e=P4QFUM" xr:uid="{D0E3AE83-0764-4CD3-9361-5B1D1A2632C8}"/>
    <hyperlink ref="G41" r:id="rId221" display="../../../../../../:b:/r/teams/CTM-OTGentStad/Shared Documents/General/EAF/CSI(nieuwe sharepoint)2024/EAF 5359 Mariakerke 31012024.pdf?csf=1&amp;web=1&amp;e=8iHQYj" xr:uid="{FE6B3864-717F-483B-84F6-CC3013C4BDB8}"/>
    <hyperlink ref="G265" r:id="rId222" display="../../../../../../:b:/r/teams/CTM-OTGentStad/Shared Documents/General/EAF/CSI(nieuwe sharepoint)2024/EAF 5359 Snellaertplein 26062024.pdf?csf=1&amp;web=1&amp;e=EWYDi9" xr:uid="{2AB4268C-F3F7-4044-AE1A-8A70B3A3B8C0}"/>
    <hyperlink ref="G506" r:id="rId223" display="../../../../../../:b:/r/teams/CTM-OTGentStad/Shared Documents/General/EAF/CSI(nieuwe sharepoint)2024/EAF 5360 Brugsesteenweg Gent 23122024.pdf?csf=1&amp;web=1&amp;e=blDlCj" xr:uid="{E091A8BA-883A-4B1D-9DD4-EB049555215A}"/>
    <hyperlink ref="G196" r:id="rId224" display="../../../../../../:b:/r/teams/CTM-OTGentStad/Shared Documents/General/EAF/CSI(nieuwe sharepoint)2024/EAF 5360 Gent 08052024.pdf?csf=1&amp;web=1&amp;e=3Q9fBi" xr:uid="{E39EDF1F-A898-4440-BF78-D7511308A975}"/>
    <hyperlink ref="G298" r:id="rId225" display="../../../../../../:b:/r/teams/CTM-OTGentStad/Shared Documents/General/EAF/CSI(nieuwe sharepoint)2024/EAF 5360 Gent 27032024.pdf?csf=1&amp;web=1&amp;e=aJuojI" xr:uid="{F77C63FF-9FE3-4196-8D70-5ACDF398E60E}"/>
    <hyperlink ref="G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G21" r:id="rId227" display="../../../../../../:b:/r/teams/CTM-OTGentStad/Shared Documents/General/EAF/CSI(nieuwe sharepoint)2024/EAF 5360 Hoogstraat Gent 17012024.pdf?csf=1&amp;web=1&amp;e=Dj3JtM" xr:uid="{CFB4E6F4-F0B8-4336-8AE7-5C28A756BDDE}"/>
    <hyperlink ref="G427" r:id="rId228" display="../../../../../../:b:/r/teams/CTM-OTGentStad/Shared Documents/General/EAF/CSI(nieuwe sharepoint)2024/EAF 5360 Nieuwe Wandeling Gent 30102024.pdf?csf=1&amp;web=1&amp;e=ddxbec" xr:uid="{1BBCCAD9-675C-47D7-99E7-3DF3B9BD3F25}"/>
    <hyperlink ref="G61" r:id="rId229" display="../../../../../../:b:/r/teams/CTM-OTGentStad/Shared Documents/General/EAF/CSI(nieuwe sharepoint)2024/EAF 5361 Gent 15022024.pdf?csf=1&amp;web=1&amp;e=kW90Jf" xr:uid="{1C53B007-E749-42F0-86CB-CAF5D1A3FD2D}"/>
    <hyperlink ref="G212" r:id="rId230" display="../../../../../../:b:/r/teams/CTM-OTGentStad/Shared Documents/General/EAF/CSI(nieuwe sharepoint)2024/EAF 5361 Gent 23052024.pdf?csf=1&amp;web=1&amp;e=esyHQm" xr:uid="{90C911D5-D98D-4DB6-B4AF-5B5A34837E8A}"/>
    <hyperlink ref="G272" r:id="rId231" display="../../../../../../:b:/r/teams/CTM-OTGentStad/Shared Documents/General/EAF/CSI(nieuwe sharepoint)2024/EAF 5361 Rabot 02072024.pdf?csf=1&amp;web=1&amp;e=EEwi0O" xr:uid="{35AE54F1-E757-4F2E-8CB7-F6A8416AC419}"/>
    <hyperlink ref="G34" r:id="rId232" display="../../../../../../:b:/r/teams/CTM-OTGentStad/Shared Documents/General/EAF/CSI(nieuwe sharepoint)2024/EAF 5365 Gent 26012024.pdf?csf=1&amp;web=1&amp;e=QN3O87" xr:uid="{435391C4-4389-4071-92C9-A93C6932EE1E}"/>
    <hyperlink ref="G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G233" r:id="rId234" display="../../../../../../:b:/r/teams/CTM-OTGentStad/Shared Documents/General/EAF/CSI(nieuwe sharepoint)2024/EAF 5367 Gent 06062024.pdf?csf=1&amp;web=1&amp;e=McAZGf" xr:uid="{8C2E3171-4D8E-4EDB-A828-2FCC0ABB6F5A}"/>
    <hyperlink ref="G413" r:id="rId235" display="../../../../../../:b:/r/teams/CTM-OTGentStad/Shared Documents/General/EAF/CSI(nieuwe sharepoint)2024/EAF 5367 Gent 22102024.pdf?csf=1&amp;web=1&amp;e=LVW3LL" xr:uid="{2BF9F1EC-295A-433E-BDDD-952C8C15BADB}"/>
    <hyperlink ref="G301" r:id="rId236" display="../../../../../../:b:/r/teams/CTM-OTGentStad/Shared Documents/General/EAF/CSI(nieuwe sharepoint)2024/EAF 5367 Gent 24072024.pdf?csf=1&amp;web=1&amp;e=ltsuHk" xr:uid="{E216F7A9-AF42-4982-BA22-C9E34FC263C7}"/>
    <hyperlink ref="G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G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G138" r:id="rId239" display="../../../../../../:b:/r/teams/CTM-OTGentStad/Shared Documents/General/EAF/CSI(nieuwe sharepoint)2024/EAF 5369 Gent 01042024.pdf?csf=1&amp;web=1&amp;e=xW5W74" xr:uid="{CC2F902B-0745-43EB-9123-B932862326AE}"/>
    <hyperlink ref="G44" r:id="rId240" display="../../../../../../:b:/r/teams/CTM-OTGentStad/Shared Documents/General/EAF/CSI(nieuwe sharepoint)2024/EAF 5369 Gent 02022024.pdf?csf=1&amp;web=1&amp;e=RwySmv" xr:uid="{9B9F6456-13C4-4144-A04B-9C11B22581F2}"/>
    <hyperlink ref="G358" r:id="rId241" display="../../../../../../:b:/r/teams/CTM-OTGentStad/Shared Documents/General/EAF/CSI(nieuwe sharepoint)2024/EAF 5369 Gent 09092024.pdf?csf=1&amp;web=1&amp;e=EKxThx" xr:uid="{BD0E99D5-6527-4A36-AC9C-FEAE888A9FC4}"/>
    <hyperlink ref="G268" r:id="rId242" display="../../../../../../:b:/r/teams/CTM-OTGentStad/Shared Documents/General/EAF/CSI(nieuwe sharepoint)2024/EAF 5369 GEnt 29062024.pdf?csf=1&amp;web=1&amp;e=5PTssr" xr:uid="{73AB86D2-9859-4FC4-9C68-95CB1B70A3FD}"/>
    <hyperlink ref="G109" r:id="rId243" display="../../../../../../:b:/r/teams/CTM-OTGentStad/Shared Documents/General/EAF/CSI(nieuwe sharepoint)2024/EAF 5372 Gent 14032024.pdf?csf=1&amp;web=1&amp;e=EtsYdB" xr:uid="{AE33083B-9039-4752-9D2A-FB363FAA767C}"/>
    <hyperlink ref="G163" r:id="rId244" display="../../../../../../:b:/r/teams/CTM-OTGentStad/Shared Documents/General/EAF/CSI(nieuwe sharepoint)2024/EAF 5372 Gent 19042024.pdf?csf=1&amp;web=1&amp;e=lGY92b" xr:uid="{2C5F34AB-2196-4289-8F4E-2E923D6E8426}"/>
    <hyperlink ref="G2" r:id="rId245" display="../../../../../../:b:/r/teams/CTM-OTGentStad/Shared Documents/General/EAF/CSI(nieuwe sharepoint)2024/EAF 5376 E17 05012024.pdf?csf=1&amp;web=1&amp;e=fDdhVf" xr:uid="{005C1CFD-602D-4819-8A76-5F1163DF83FA}"/>
    <hyperlink ref="G72" r:id="rId246" display="../../../../../../:b:/r/teams/CTM-OTGentStad/Shared Documents/General/EAF/CSI(nieuwe sharepoint)2024/EAF 5376 E17 22022024.pdf?csf=1&amp;web=1&amp;e=zECSLM" xr:uid="{6536CC7E-A956-4FD0-8134-39D8B145D6CE}"/>
    <hyperlink ref="G135" r:id="rId247" display="../../../../../../:b:/r/teams/CTM-OTGentStad/Shared Documents/General/EAF/CSI(nieuwe sharepoint)2024/EAF 5376 Gent 31032024.pdf?csf=1&amp;web=1&amp;e=0n8M7F" xr:uid="{08CDC4B2-77DF-4681-8441-9A23A12FC4F6}"/>
    <hyperlink ref="G46" r:id="rId248" display="../../../../../../:b:/r/teams/CTM-OTGentStad/Shared Documents/General/EAF/CSI(nieuwe sharepoint)2024/EAF 5376 Koremarkt 03022024.pdf?csf=1&amp;web=1&amp;e=kKCeod" xr:uid="{37235B0A-023F-452B-8A60-D385C160089E}"/>
    <hyperlink ref="G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G266" r:id="rId250" display="../../../../../../:b:/r/teams/CTM-OTGentStad/Shared Documents/General/EAF/CSI(nieuwe sharepoint)2024/EAF 5763 Gentbrugge 26062024.pdf?csf=1&amp;web=1&amp;e=dKWpID" xr:uid="{7C0B5AB5-2BDA-4B76-9635-FA18AC578BF9}"/>
    <hyperlink ref="G146" r:id="rId251" display="../../../../../../:b:/r/teams/CTM-OTGentStad/Shared Documents/General/EAF/CSI(nieuwe sharepoint)2024/EAF 5764 Driebeek 08042024.pdf?csf=1&amp;web=1&amp;e=kwxRyw" xr:uid="{20C56189-5D21-4CDC-BED0-4DD042CEC560}"/>
    <hyperlink ref="G247" r:id="rId252" display="../../../../../../:b:/r/teams/CTM-OTGentStad/Shared Documents/General/EAF/CSI(nieuwe sharepoint)2024/EAF 5764 Gent 13062024.pdf?csf=1&amp;web=1&amp;e=QFoHNP" xr:uid="{27BAF88A-1717-43EC-93B3-3E04D633A8E7}"/>
    <hyperlink ref="G270" r:id="rId253" display="../../../../../../:b:/r/teams/CTM-OTGentStad/Shared Documents/General/EAF/CSI(nieuwe sharepoint)2024/EAF 5764 Octrooiplein Gent 01.07.2024.pdf?csf=1&amp;web=1&amp;e=gH27G5" xr:uid="{F4285674-8BBE-4AD1-9935-E0EF1FBC3AA7}"/>
    <hyperlink ref="G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G372" r:id="rId255" display="../../../../../../:b:/r/teams/CTM-OTGentStad/Shared Documents/General/EAF/CSI(nieuwe sharepoint)2024/EAF 5765 Gent 17092024.pdf?csf=1&amp;web=1&amp;e=ZbypcB" xr:uid="{1AAE3371-A3CA-46BE-816D-D96A42DDE9E3}"/>
    <hyperlink ref="G496" r:id="rId256" display="../../../../../../:b:/r/teams/CTM-OTGentStad/Shared Documents/General/EAF/CSI(nieuwe sharepoint)2024/EAF 5765 Gent 18122024.pdf?csf=1&amp;web=1&amp;e=vfzKhd" xr:uid="{327B46C7-AAD7-471A-8396-8D7756505435}"/>
    <hyperlink ref="G177" r:id="rId257" display="../../../../../../:b:/r/teams/CTM-OTGentStad/Shared Documents/General/EAF/CSI(nieuwe sharepoint)2024/EAF 5765 Gent 29042024.pdf?csf=1&amp;web=1&amp;e=9TzZCx" xr:uid="{18973B25-B212-4678-AD92-A6F615B36F5A}"/>
    <hyperlink ref="G136" r:id="rId258" display="../../../../../../:b:/r/teams/CTM-OTGentStad/Shared Documents/General/EAF/CSI(nieuwe sharepoint)2024/EAF 5765 Gent 31032024.pdf?csf=1&amp;web=1&amp;e=fdRt8x" xr:uid="{803BFBBA-2094-40D2-B90F-9EBE110462E1}"/>
    <hyperlink ref="G94" r:id="rId259" display="../../../../../../:b:/r/teams/CTM-OTGentStad/Shared Documents/General/EAF/CSI(nieuwe sharepoint)2024/EAF 5765 Gentbrugge 05032024.pdf?csf=1&amp;web=1&amp;e=cyphOF" xr:uid="{973D6D55-1832-4460-85B8-8A83E5FDB087}"/>
    <hyperlink ref="G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G345" r:id="rId261" display="../../../../../../:b:/r/teams/CTM-OTGentStad/Shared Documents/General/EAF/CSI(nieuwe sharepoint)2024/EAF 5766 Lammerstraat 03092024.pdf?csf=1&amp;web=1&amp;e=cqwJ9W" xr:uid="{712897C0-61B2-4FE1-809A-169D35C65CF6}"/>
    <hyperlink ref="G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G171" r:id="rId263" display="../../../../../../:b:/r/teams/CTM-OTGentStad/Shared Documents/General/EAF/CSI(nieuwe sharepoint)2024/EAF 5767 Gent 23042024 De Wilde Jordy 39927.pdf?csf=1&amp;web=1&amp;e=hd0LZ6" xr:uid="{E1C472D4-0978-4058-8716-9E980588C5B2}"/>
    <hyperlink ref="G497" r:id="rId264" display="../../../../../../:b:/r/teams/CTM-OTGentStad/Shared Documents/General/EAF/CSI(nieuwe sharepoint)2024/EAF 5767 Steendam Gent 18.12.2024.pdf?csf=1&amp;web=1&amp;e=XVFDwI" xr:uid="{4C0DA69D-FB64-4C20-99EF-5CE38A0D6EAB}"/>
    <hyperlink ref="G17" r:id="rId265" display="../../../../../../:b:/r/teams/CTM-OTGentStad/Shared Documents/General/EAF/CSI(nieuwe sharepoint)2024/EAF 5768 GEnt 15012024.pdf?csf=1&amp;web=1&amp;e=8w2RoB" xr:uid="{07BE8381-0679-405D-844E-F0D06D086D29}"/>
    <hyperlink ref="G374" r:id="rId266" display="../../../../../../:b:/r/teams/CTM-OTGentStad/Shared Documents/General/EAF/CSI(nieuwe sharepoint)2024/EAF 5768 Gent 21092024.pdf?csf=1&amp;web=1&amp;e=SCccII" xr:uid="{38F70451-4885-4AEA-9191-B1C7D092F664}"/>
    <hyperlink ref="G419" r:id="rId267" display="../../../../../../:b:/r/teams/CTM-OTGentStad/Shared Documents/General/EAF/CSI(nieuwe sharepoint)2024/EAF 5768 Gent 24102024.pdf?csf=1&amp;web=1&amp;e=hZcqTA" xr:uid="{1DFD0E5D-10CA-43AE-925B-86362B8DCB75}"/>
    <hyperlink ref="G428" r:id="rId268" display="../../../../../../:b:/r/teams/CTM-OTGentStad/Shared Documents/General/EAF/CSI(nieuwe sharepoint)2024/EAF 5769 Gent Dampoort 30102024 De Keyzer Jan.pdf?csf=1&amp;web=1&amp;e=cTVgDR" xr:uid="{067B8925-433C-423F-AA38-A05B96551CC4}"/>
    <hyperlink ref="G467" r:id="rId269" display="../../../../../../:b:/r/teams/CTM-OTGentStad/Shared Documents/General/EAF/CSI(nieuwe sharepoint)2024/EAF 5770 E17 parking 1 29112024.pdf?csf=1&amp;web=1&amp;e=UHSFcC" xr:uid="{AADB0B12-94B1-4DF6-9962-733043F44C0C}"/>
    <hyperlink ref="G276" r:id="rId270" display="../../../../../../:b:/r/teams/CTM-OTGentStad/Shared Documents/General/EAF/CSI(nieuwe sharepoint)2024/EAF 5771 Gent 05072024.pdf?csf=1&amp;web=1&amp;e=BebpUR" xr:uid="{58B7D1DE-4BD4-41E7-9F47-DB7031F5B813}"/>
    <hyperlink ref="G445" r:id="rId271" display="../../../../../../:b:/r/teams/CTM-OTGentStad/Shared Documents/General/EAF/CSI(nieuwe sharepoint)2024/EAF 5771 Gent 12102024.pdf?csf=1&amp;web=1&amp;e=9avnHM" xr:uid="{F5FC9A9B-C2BF-4D7A-BA49-828CF424E979}"/>
    <hyperlink ref="G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G350" r:id="rId273" display="../../../../../../:b:/r/teams/CTM-OTGentStad/Shared Documents/General/EAF/CSI(nieuwe sharepoint)2024/EAF 5909 Gentbrugge 05092024.pdf?csf=1&amp;web=1&amp;e=VcfhqJ" xr:uid="{08479A51-23A3-4BD3-88B5-D6401B2D43AF}"/>
    <hyperlink ref="G303" r:id="rId274" display="../../../../../../:b:/r/teams/CTM-OTGentStad/Shared Documents/General/EAF/CSI(nieuwe sharepoint)2024/EAF 5910 Damport Octrooiplein 25.07.2024.pdf?csf=1&amp;web=1&amp;e=DdHFwD" xr:uid="{4909083A-4B6B-4CB8-8DF0-772D4147EF78}"/>
    <hyperlink ref="G89" r:id="rId275" display="../../../../../../:b:/r/teams/CTM-OTGentStad/Shared Documents/General/EAF/CSI(nieuwe sharepoint)2024/EAF 5910 Gent 02032024.pdf?csf=1&amp;web=1&amp;e=Hf67hC" xr:uid="{EEBB9E04-48FE-4172-841E-CE887FC37C64}"/>
    <hyperlink ref="G250" r:id="rId276" display="../../../../../../:b:/r/teams/CTM-OTGentStad/Shared Documents/General/EAF/CSI(nieuwe sharepoint)2024/EAF 5910 GEnt 14062024.pdf?csf=1&amp;web=1&amp;e=CTqTIp" xr:uid="{3650FCD1-99C6-4EF7-B335-AE48A35FE915}"/>
    <hyperlink ref="G380" r:id="rId277" display="../../../../../../:b:/r/teams/CTM-OTGentStad/Shared Documents/General/EAF/CSI(nieuwe sharepoint)2024/EAF 5910 Meulesteedsesteenweg 25092024.pdf?csf=1&amp;web=1&amp;e=7VEYr1" xr:uid="{8133B147-4223-47FD-8971-7A3B52D7AE85}"/>
    <hyperlink ref="G406" r:id="rId278" display="../../../../../../:b:/r/teams/CTM-OTGentStad/Shared Documents/General/EAF/CSI(nieuwe sharepoint)2024/EAF 5911 Gentbruggebrug Gent 15102024.pdf?csf=1&amp;web=1&amp;e=c6tEA9" xr:uid="{C376F98A-ECB4-4E78-85DD-D9B2768855FC}"/>
    <hyperlink ref="G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G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G245" r:id="rId281" display="../../../../../../:b:/r/teams/CTM-OTGentStad/Shared Documents/General/EAF/CSI(nieuwe sharepoint)2024/EAF 5913 Wondelgembrug 12062024.pdf?csf=1&amp;web=1&amp;e=Wyng8S" xr:uid="{101DE239-0092-4892-9E2E-A3C2273DB5A9}"/>
    <hyperlink ref="G498" r:id="rId282" display="../../../../../../:b:/r/teams/CTM-OTGentStad/Shared Documents/General/EAF/CSI(nieuwe sharepoint)2024/EAF 5914 Gent 19122024.pdf?csf=1&amp;web=1&amp;e=JvjLeO" xr:uid="{FE3D820A-6C1F-4BD2-8F06-5A3FA626E5F8}"/>
    <hyperlink ref="G508" r:id="rId283" display="../../../../../../:b:/r/teams/CTM-OTGentStad/Shared Documents/General/EAF/CSI(nieuwe sharepoint)2024/EAF 5914 Gent 26122024 Moez El Ouni.pdf?csf=1&amp;web=1&amp;e=3EZnf0" xr:uid="{FF8EE383-FF07-483C-BA5D-708925A62D77}"/>
    <hyperlink ref="G387" r:id="rId284" display="../../../../../../:b:/r/teams/CTM-OTGentStad/Shared Documents/General/EAF/CSI(nieuwe sharepoint)2024/EAF 5914 Melle 02102024.pdf?csf=1&amp;web=1&amp;e=hdlJ2K" xr:uid="{0940389D-3265-4D90-864D-CA05D7A6FFCB}"/>
    <hyperlink ref="G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G425" r:id="rId286" display="../../../../../../:b:/r/teams/CTM-OTGentStad/Shared Documents/General/EAF/CSI(nieuwe sharepoint)2024/EAF 5915 Kunstlaan Gent 28102024.pdf?csf=1&amp;web=1&amp;e=JWz3rt" xr:uid="{2B7BF50C-4818-4FBC-806B-F4CC40C05039}"/>
    <hyperlink ref="G335" r:id="rId287" display="../../../../../../:b:/r/teams/CTM-OTGentStad/Shared Documents/General/EAF/CSI(nieuwe sharepoint)2024/EAF 5915 Molenstraat 30082024.pdf?csf=1&amp;web=1&amp;e=xQJbsC" xr:uid="{AD059D9C-A997-4FB6-9B41-F7003B5BCB18}"/>
    <hyperlink ref="G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G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G393" r:id="rId290" display="../../../../../../:b:/r/teams/CTM-OTGentStad/Shared Documents/General/EAF/CSI(nieuwe sharepoint)2024/EAF 5917 Gent 08102024.pdf?csf=1&amp;web=1&amp;e=n328Pj" xr:uid="{2250E414-68BB-41B9-B24A-E931F0690BF5}"/>
    <hyperlink ref="G202" r:id="rId291" display="../../../../../../:b:/r/teams/CTM-OTGentStad/Shared Documents/General/EAF/CSI(nieuwe sharepoint)2024/EAF 5917 Gent 13052024 Beeckman Nico.pdf?csf=1&amp;web=1&amp;e=nwRTHL" xr:uid="{FE5660A0-21C9-4D89-B3C8-622461BFA2D6}"/>
    <hyperlink ref="G209" r:id="rId292" display="../../../../../../:b:/r/teams/CTM-OTGentStad/Shared Documents/General/EAF/CSI(nieuwe sharepoint)2024/EAF 5917 Gent 21052024 Eva Teetaert.pdf?csf=1&amp;web=1&amp;e=0yT36N" xr:uid="{439ADA6F-C138-4661-8173-1C54B6B36704}"/>
    <hyperlink ref="G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G28" r:id="rId294" display="../../../../../../:b:/r/teams/CTM-OTGentStad/Shared Documents/General/EAF/CSI(nieuwe sharepoint)2024/EAF 5917 Melle 22012024.pdf?csf=1&amp;web=1&amp;e=tFSEiQ" xr:uid="{55983FB4-DCF4-4F84-8D73-76577FEEC01B}"/>
    <hyperlink ref="G328" r:id="rId295" display="../../../../../../:b:/r/teams/CTM-OTGentStad/Shared Documents/General/EAF/CSI(nieuwe sharepoint)2024/EAF 5917 Steendam Gent 21082024.pdf?csf=1&amp;web=1&amp;e=0Ma29K" xr:uid="{9F08C87D-1EAD-467D-B6B1-E27AB5D6FC91}"/>
    <hyperlink ref="G105" r:id="rId296" display="../../../../../../:b:/r/teams/CTM-OTGentStad/Shared Documents/General/EAF/CSI(nieuwe sharepoint)2024/EAF 5917 Wondelgem 13032024.pdf?csf=1&amp;web=1&amp;e=1pWjWI" xr:uid="{6544B0D0-8D7A-44BC-9498-6A910CC5661F}"/>
    <hyperlink ref="G355" r:id="rId297" display="../../../../../../:b:/r/teams/CTM-OTGentStad/Shared Documents/General/EAF/CSI(nieuwe sharepoint)2024/EAF 5917 Wondelgem station 07.09.2024.pdf?csf=1&amp;web=1&amp;e=3grMCG" xr:uid="{EED29C3C-6C37-4E66-B085-D014173BFADE}"/>
    <hyperlink ref="G48" r:id="rId298" display="../../../../../../:b:/r/teams/CTM-OTGentStad/Shared Documents/General/EAF/CSI(nieuwe sharepoint)2024/EAF 5919 Gent 04022024.pdf?csf=1&amp;web=1&amp;e=zjN1rb" xr:uid="{380AAA65-2FC3-4AA6-9B0A-8976E57FB493}"/>
    <hyperlink ref="G59" r:id="rId299" display="../../../../../../:b:/r/teams/CTM-OTGentStad/Shared Documents/General/EAF/CSI(nieuwe sharepoint)2024/EAF 5919 Gent 14022024 tweede ongeval .pdf?csf=1&amp;web=1&amp;e=BPHK9f" xr:uid="{9E546354-829D-4198-9E01-E054793BAAA7}"/>
    <hyperlink ref="G402" r:id="rId300" display="../../../../../../:b:/r/teams/CTM-OTGentStad/Shared Documents/General/EAF/CSI(nieuwe sharepoint)2024/EAF 5919 Gent De Pintenlaan 14102024.pdf?csf=1&amp;web=1&amp;e=iepGKv" xr:uid="{1990CA22-D765-423A-95AE-DEAC88E1F45A}"/>
    <hyperlink ref="G192" r:id="rId301" display="../../../../../../:b:/r/teams/CTM-OTGentStad/Shared Documents/General/EAF/CSI(nieuwe sharepoint)2024/EAF 5920 Damvalleistraat Gent 06052024.pdf?csf=1&amp;web=1&amp;e=dneJfa" xr:uid="{ECBBB372-B7D1-4716-A359-3171751D06BD}"/>
    <hyperlink ref="G394" r:id="rId302" display="../../../../../../:b:/r/teams/CTM-OTGentStad/Shared Documents/General/EAF/CSI(nieuwe sharepoint)2024/EAF 5920 Gent 09102024.pdf?csf=1&amp;web=1&amp;e=zIQxX2" xr:uid="{CB1C74E1-55CB-4421-B533-F9A10F857D79}"/>
    <hyperlink ref="G22" r:id="rId303" display="../../../../../../:b:/r/teams/CTM-OTGentStad/Shared Documents/General/EAF/CSI(nieuwe sharepoint)2024/EAF 5920 Gent 17012024.pdf?csf=1&amp;web=1&amp;e=yXwX7o" xr:uid="{AA316053-562B-4340-8757-915539A7DB1E}"/>
    <hyperlink ref="G352" r:id="rId304" display="../../../../../../:b:/r/teams/CTM-OTGentStad/Shared Documents/General/EAF/CSI(nieuwe sharepoint)2024/EAF 5921 Gent 06092024.pdf?csf=1&amp;web=1&amp;e=ET4Ni6" xr:uid="{CC4D6F3C-CE49-4F27-8C8D-29F90B458AEF}"/>
    <hyperlink ref="G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G190" r:id="rId306" display="../../../../../../:b:/r/teams/CTM-OTGentStad/Shared Documents/General/EAF/CSI(nieuwe sharepoint)2024/EAF 5921 Gent Dampoort 05052024.pdf?csf=1&amp;web=1&amp;e=0Q22TJ" xr:uid="{33C9FB16-D534-4A4D-9272-3D3BF13BF988}"/>
    <hyperlink ref="G183" r:id="rId307" display="../../../../../../:b:/r/teams/CTM-OTGentStad/Shared Documents/General/EAF/CSI(nieuwe sharepoint)2024/EAF 5922 Gent 01052024.pdf?csf=1&amp;web=1&amp;e=NNTyTB" xr:uid="{1E69D9E9-CCB1-4FAA-8223-AF1ACBF055ED}"/>
    <hyperlink ref="G280" r:id="rId308" display="../../../../../../:b:/r/teams/CTM-OTGentStad/Shared Documents/General/EAF/CSI(nieuwe sharepoint)2024/EAF 5922 Gent 07072024.pdf?csf=1&amp;web=1&amp;e=9c2iFu" xr:uid="{765DFA5D-8691-4903-9649-1451146FFC14}"/>
    <hyperlink ref="G314" r:id="rId309" display="../../../../../../:b:/r/teams/CTM-OTGentStad/Shared Documents/General/EAF/CSI(nieuwe sharepoint)2024/EAF 5924 Dampoort Gent 02082024.pdf?csf=1&amp;web=1&amp;e=ogMhjI" xr:uid="{D6C3FB8E-0C36-444C-B34F-EE26360AE687}"/>
    <hyperlink ref="G346" r:id="rId310" display="../../../../../../:b:/r/teams/CTM-OTGentStad/Shared Documents/General/EAF/CSI(nieuwe sharepoint)2024/EAF 5924 Gent 03092024.pdf?csf=1&amp;web=1&amp;e=0iaMwL" xr:uid="{55390CE4-A4A6-4AF9-AABC-D1E13BA39F9C}"/>
    <hyperlink ref="G224" r:id="rId311" display="../../../../../../:b:/r/teams/CTM-OTGentStad/Shared Documents/General/EAF/CSI(nieuwe sharepoint)2024/EAF 5925 Gent 30052024 39907.pdf?csf=1&amp;web=1&amp;e=oYfmrK" xr:uid="{56C03297-5189-48BC-9F6C-EEC065D018FD}"/>
    <hyperlink ref="G337" r:id="rId312" display="../../../../../../:b:/r/teams/CTM-OTGentStad/Shared Documents/General/EAF/CSI(nieuwe sharepoint)2024/EAF 5925 Gent 31082024.pdf?csf=1&amp;web=1&amp;e=wcsOQa" xr:uid="{9AD9A43D-95A1-41EC-967A-10C4083175C1}"/>
    <hyperlink ref="G460" r:id="rId313" display="../../../../../../:b:/r/teams/CTM-OTGentStad/Shared Documents/General/EAF/CSI(nieuwe sharepoint)2024/EAF 5926 Gent Poel 22112024 De Bruyne Sonia.pdf?csf=1&amp;web=1&amp;e=y93dio" xr:uid="{A11B612B-E0AD-4E7D-95B5-753A496DC00D}"/>
    <hyperlink ref="G24" r:id="rId314" display="../../../../../../:b:/r/teams/CTM-OTGentStad/Shared Documents/General/EAF/CSI(nieuwe sharepoint)2024/EAF 5926 Gent Tolhuislaan 19012024.pdf?csf=1&amp;web=1&amp;e=iCmD1r" xr:uid="{44BA67B5-D7E5-47EC-A655-81A8C36C803C}"/>
    <hyperlink ref="G31" r:id="rId315" display="../../../../../../:b:/r/teams/CTM-OTGentStad/Shared Documents/General/EAF/CSI(nieuwe sharepoint)2024/EAF 5926 Gent Zuid 24012024.pdf?csf=1&amp;web=1&amp;e=3qd6T7" xr:uid="{50F303C2-A58C-41AD-86A7-06A092CD30D5}"/>
    <hyperlink ref="G286" r:id="rId316" display="../../../../../../:b:/r/teams/CTM-OTGentStad/Shared Documents/General/EAF/CSI(nieuwe sharepoint)2024/EAF 5927 Gent 11072024.pdf?csf=1&amp;web=1&amp;e=8LSfTn" xr:uid="{B76BA60D-E151-42EA-B4F2-0F8F6171032E}"/>
    <hyperlink ref="G152" r:id="rId317" display="../../../../../../:b:/r/teams/CTM-OTGentStad/Shared Documents/General/EAF/CSI(nieuwe sharepoint)2024/EAF 5927 Gent 12042024 Dejonckheere Els.pdf?csf=1&amp;web=1&amp;e=xdCvsi" xr:uid="{0922DD05-6000-4DB2-AC2E-E8FF2F2C1180}"/>
    <hyperlink ref="G70" r:id="rId318" display="../../../../../../:b:/r/teams/CTM-OTGentStad/Shared Documents/General/EAF/CSI(nieuwe sharepoint)2024/EAF 5927 Gent 21022024.pdf?csf=1&amp;web=1&amp;e=6VXNIn" xr:uid="{0BD34A3D-2A0A-491D-82A6-6F602912683B}"/>
    <hyperlink ref="G153" r:id="rId319" display="../../../../../../:b:/r/teams/CTM-OTGentStad/Shared Documents/General/EAF/CSI(nieuwe sharepoint)2024/EAF 5928 Gent 13042024.pdf?csf=1&amp;web=1&amp;e=4Pgjj7" xr:uid="{5E3796BC-F5D3-4FF1-8CED-2F96288725CC}"/>
    <hyperlink ref="G172" r:id="rId320" display="../../../../../../:b:/r/teams/CTM-OTGentStad/Shared Documents/General/EAF/CSI(nieuwe sharepoint)2024/EAF 5928 Gent 23042024.pdf?csf=1&amp;web=1&amp;e=GwaF1A" xr:uid="{92408512-A385-4C17-A25B-9E17ABCB0A06}"/>
    <hyperlink ref="G154" r:id="rId321" display="../../../../../../:b:/r/teams/CTM-OTGentStad/Shared Documents/General/EAF/CSI(nieuwe sharepoint)2024/EAF 5928 Tolhuislaan Gent 14042024.pdf?csf=1&amp;web=1&amp;e=9YTsKJ" xr:uid="{00ACAF27-11EB-4660-81DF-F3C9DC9C7F7F}"/>
    <hyperlink ref="G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G323" r:id="rId323" display="../../../../../../:b:/r/teams/CTM-OTGentStad/Shared Documents/General/EAF/CSI(nieuwe sharepoint)2024/EAF 5929 Muidebrug Gent 14.08.2024.pdf?csf=1&amp;web=1&amp;e=nFlISJ" xr:uid="{282136ED-7774-47F7-AACB-2644C0F23AFE}"/>
    <hyperlink ref="G316" r:id="rId324" display="../../../../../../:b:/r/teams/CTM-OTGentStad/Shared Documents/General/EAF/CSI(nieuwe sharepoint)2024/EAF 5929 Muidepoort Gent 03082024.pdf?csf=1&amp;web=1&amp;e=j8Sd4y" xr:uid="{21F1C4D7-829B-47F8-B5B0-B41BBD06C0BF}"/>
    <hyperlink ref="G310" r:id="rId325" display="../../../../../../:b:/r/teams/CTM-OTGentStad/Shared Documents/General/EAF/CSI(nieuwe sharepoint)2024/EAF 5930 Gent 30072024.pdf?csf=1&amp;web=1&amp;e=Qr6wuu" xr:uid="{29269ECB-F016-4131-B0C1-8029727B91BE}"/>
    <hyperlink ref="G446" r:id="rId326" display="../../../../../../:b:/r/teams/CTM-OTGentStad/Shared Documents/General/EAF/CSI(nieuwe sharepoint)2024/EAF 5931 Gent 13112024.pdf?csf=1&amp;web=1&amp;e=zRTGuL" xr:uid="{06653386-9903-4D3B-AE80-CBC00A2FADBA}"/>
    <hyperlink ref="G158" r:id="rId327" display="../../../../../../:b:/r/teams/CTM-OTGentStad/Shared Documents/General/EAF/CSI(nieuwe sharepoint)2024/EAF 5931 Gent 17042024.pdf?csf=1&amp;web=1&amp;e=ag8FSy" xr:uid="{6FB3FA81-75E1-4AD2-8324-21B7C5A83AEB}"/>
    <hyperlink ref="G334" r:id="rId328" display="../../../../../../:b:/r/teams/CTM-OTGentStad/Shared Documents/General/EAF/CSI(nieuwe sharepoint)2024/EAF 5931 Gent 29082024.pdf?csf=1&amp;web=1&amp;e=8QmiSg" xr:uid="{64B4B0E0-C95B-40F7-83CE-CDFEE271B186}"/>
    <hyperlink ref="G234" r:id="rId329" display="../../../../../../:b:/r/teams/CTM-OTGentStad/Shared Documents/General/EAF/CSI(nieuwe sharepoint)2024/EAF 5931 Zwijnaardsesteenweg Gent 06.07.2024.pdf?csf=1&amp;web=1&amp;e=ol0oua" xr:uid="{3625ECD0-05C3-46D8-B29F-845151CCAAAF}"/>
    <hyperlink ref="G408" r:id="rId330" display="../../../../../../:b:/r/teams/CTM-OTGentStad/Shared Documents/General/EAF/CSI(nieuwe sharepoint)2024/EAF 5932 Gent 18102024.pdf?csf=1&amp;web=1&amp;e=NS6bxW" xr:uid="{CF3D86AB-A65F-4981-BDA6-E5F6A1DD7391}"/>
    <hyperlink ref="G386" r:id="rId331" display="../../../../../../:b:/r/teams/CTM-OTGentStad/Shared Documents/General/EAF/CSI(nieuwe sharepoint)2024/EAF 5933 Gent 28092024.pdf?csf=1&amp;web=1&amp;e=0sjfhv" xr:uid="{5357BB62-3038-4E43-9E56-4FDAE63AE808}"/>
    <hyperlink ref="G260" r:id="rId332" display="../../../../../../:b:/r/teams/CTM-OTGentStad/Shared Documents/General/EAF/CSI(nieuwe sharepoint)2024/EAF 5933 Gentbrugge 22062024.pdf?csf=1&amp;web=1&amp;e=V5kETm" xr:uid="{B656E3CF-DEC0-41BF-84DC-E808F0B83EB2}"/>
    <hyperlink ref="G366" r:id="rId333" display="../../../../../../:b:/r/teams/CTM-OTGentStad/Shared Documents/General/EAF/CSI(nieuwe sharepoint)2024/EAF 5933 Gontrodestraat Melle 14092024.pdf?csf=1&amp;web=1&amp;e=BalgZb" xr:uid="{54298FDD-64A7-46E4-8DC7-5556002FA0BF}"/>
    <hyperlink ref="G297" r:id="rId334" display="../../../../../../:b:/r/teams/CTM-OTGentStad/Shared Documents/General/EAF/CSI(nieuwe sharepoint)2024/EAF 5933 Stelplaats Gentbrugge 20072024.pdf?csf=1&amp;web=1&amp;e=FamZBX" xr:uid="{5460B05F-7100-471C-9B6F-5AE4E5BCC0AC}"/>
    <hyperlink ref="G193" r:id="rId335" display="../../../../../../:b:/r/teams/CTM-OTGentStad/Shared Documents/General/EAF/CSI(nieuwe sharepoint)2024/EAF 5936 Dendermondsesteenweg 06052024.pdf?csf=1&amp;web=1&amp;e=YzKV0d" xr:uid="{1534D9D6-D0ED-4491-A6D0-9566B00139E8}"/>
    <hyperlink ref="G258" r:id="rId336" display="../../../../../../:b:/r/teams/CTM-OTGentStad/Shared Documents/General/EAF/CSI(nieuwe sharepoint)2024/EAF 5936 Gent 14062024.pdf?csf=1&amp;web=1&amp;e=QqcAsu" xr:uid="{90497A2E-4DCF-4F9E-BD8E-CFC8A3A09B05}"/>
    <hyperlink ref="G57" r:id="rId337" display="../../../../../../:b:/r/teams/CTM-OTGentStad/Shared Documents/General/EAF/CSI(nieuwe sharepoint)2024/EAF 5936 Gentburgge stelplaats 03022024.pdf?csf=1&amp;web=1&amp;e=Y7MjUI" xr:uid="{61793F77-1B06-4576-BCC9-8BB81898185C}"/>
    <hyperlink ref="G381" r:id="rId338" display="../../../../../../:b:/r/teams/CTM-OTGentStad/Shared Documents/General/EAF/CSI(nieuwe sharepoint)2024/EAF 5936 Melle 25092024.pdf?csf=1&amp;web=1&amp;e=ULi3T9" xr:uid="{F4B9E33F-6872-4684-A1E0-5C78217D8443}"/>
    <hyperlink ref="G30" r:id="rId339" display="../../../../../../:b:/r/teams/CTM-OTGentStad/Shared Documents/General/EAF/CSI(nieuwe sharepoint)2024/EAF 5937 Gent 23012024.pdf?csf=1&amp;web=1&amp;e=X16AxW" xr:uid="{7A4B0627-2498-406F-9332-575FC96F6463}"/>
    <hyperlink ref="G14" r:id="rId340" display="../../../../../../:b:/r/teams/CTM-OTGentStad/Shared Documents/General/EAF/CSI(nieuwe sharepoint)2024/EAF 5937 Gentburgge 12012024.pdf?csf=1&amp;web=1&amp;e=xKJ9hg" xr:uid="{5EE13D50-8CFB-4908-BBBF-D509DCE45810}"/>
    <hyperlink ref="G204" r:id="rId341" display="../../../../../../:b:/r/teams/CTM-OTGentStad/Shared Documents/General/EAF/CSI(nieuwe sharepoint)2024/EAF 5938 Muidepoort Gent 16052024.pdf?csf=1&amp;web=1&amp;e=b51H46" xr:uid="{D7735C0E-A6C5-482D-B8F9-A16192324B2F}"/>
    <hyperlink ref="G293" r:id="rId342" display="../../../../../../:b:/r/teams/CTM-OTGentStad/Shared Documents/General/EAF/CSI(nieuwe sharepoint)2024/EAF 6302 Gent Zuid 18072024.pdf?csf=1&amp;web=1&amp;e=UGRMUB" xr:uid="{BA867025-E333-493C-BFAA-3DB1F56F5548}"/>
    <hyperlink ref="G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G127" r:id="rId344" display="../../../../../../:b:/r/teams/CTM-OTGentStad/Shared Documents/General/EAF/CSI(nieuwe sharepoint)2024/EAF 6303 Gent 23032024.pdf?csf=1&amp;web=1&amp;e=NqglJb" xr:uid="{0639A3A5-82B9-4CE2-9A60-DC9944D19B85}"/>
    <hyperlink ref="G185" r:id="rId345" display="../../../../../../:b:/r/teams/CTM-OTGentStad/Shared Documents/General/EAF/CSI(nieuwe sharepoint)2024/EAF 6305 Gent 02052024 Demirarik Mustafa.pdf?csf=1&amp;web=1&amp;e=bxWzqb" xr:uid="{2B49E4D2-2154-4FBB-BB4D-A8BD4ED3A1E7}"/>
    <hyperlink ref="G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G319" r:id="rId347" display="../../../../../../:b:/r/teams/CTM-OTGentStad/Shared Documents/General/EAF/CSI(nieuwe sharepoint)2024/EAF 6309 Brusselsesteenweg 08082024.pdf?csf=1&amp;web=1&amp;e=MbY7iJ" xr:uid="{30865120-756D-4B8E-B1E3-58EF89660A22}"/>
    <hyperlink ref="G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G7" r:id="rId349" display="../../../../../../:b:/r/teams/CTM-OTGentStad/Shared Documents/General/EAF/CSI(nieuwe sharepoint)2024/EAF 6309 Gentbrugge 08012024.pdf?csf=1&amp;web=1&amp;e=uf1oeB" xr:uid="{525E4D21-DCA3-44E9-90F6-DC74AF5597A6}"/>
    <hyperlink ref="G411" r:id="rId350" display="../../../../../../:b:/r/teams/CTM-OTGentStad/Shared Documents/General/EAF/CSI(nieuwe sharepoint)2024/EAF 6309 Gentburgge 21102024.pdf?csf=1&amp;web=1&amp;e=HjOmRs" xr:uid="{733D9FB4-D4FE-486B-BEE6-5869E05D0C01}"/>
    <hyperlink ref="G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G461" r:id="rId352" display="../../../../../../:b:/r/teams/CTM-OTGentStad/Shared Documents/General/EAF/CSI(nieuwe sharepoint)2024/EAF 6310 Gent 22112024.pdf?csf=1&amp;web=1&amp;e=ycEeVa" xr:uid="{A76C89B6-F2FB-4788-B5F2-9F58711B2B2C}"/>
    <hyperlink ref="G333" r:id="rId353" display="../../../../../../:b:/r/teams/CTM-OTGentStad/Shared Documents/General/EAF/CSI(nieuwe sharepoint)2024/EAF 6312 Zwijnaardsesteenweg 26082024.pdf?csf=1&amp;web=1&amp;e=88t8ZY" xr:uid="{B7A50DF1-A7B5-4ECB-B9DB-D93CE410654F}"/>
    <hyperlink ref="G403" r:id="rId354" display="../../../../../../:b:/r/teams/CTM-OTGentStad/Shared Documents/General/EAF/CSI(nieuwe sharepoint)2024/EAF 6313 Albertlaan 14102024 Peter De Craene.pdf?csf=1&amp;web=1&amp;e=3ApSX0" xr:uid="{3DCD0A75-7D1F-463B-AB29-16E66DC3EA24}"/>
    <hyperlink ref="G503" r:id="rId355" display="../../../../../../:b:/r/teams/CTM-OTGentStad/Shared Documents/General/EAF/CSI(nieuwe sharepoint)2024/EAF 6314 Gent 21122024.pdf?csf=1&amp;web=1&amp;e=LZkx29" xr:uid="{87B08E6E-EED1-4A85-8D98-1F9AB20C58BC}"/>
    <hyperlink ref="G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G455" r:id="rId357" display="../../../../../../:b:/r/teams/CTM-OTGentStad/Shared Documents/General/EAF/CSI(nieuwe sharepoint)2024/EAF 6314 Gravensteen 19112024 Tom Vandaele_1.pdf?csf=1&amp;web=1&amp;e=RsaAUC" xr:uid="{4249E846-2CAB-40A1-98D1-C8AE0938E3B6}"/>
    <hyperlink ref="G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G456" r:id="rId359" display="../../../../../../:b:/r/teams/CTM-OTGentStad/Shared Documents/General/EAF/CSI(nieuwe sharepoint)2024/EAF 6314 Poperingestraat 19112024 Farhad.pdf?csf=1&amp;web=1&amp;e=rJdpKF" xr:uid="{63B4F5BC-68EE-4E81-A227-839704D6EA8E}"/>
    <hyperlink ref="G404" r:id="rId360" display="../../../../../../:b:/r/teams/CTM-OTGentStad/Shared Documents/General/EAF/CSI(nieuwe sharepoint)2024/EAF 6316 Gent 14102024.pdf?csf=1&amp;web=1&amp;e=fSTYhN" xr:uid="{FC7EC304-609B-44C8-9C81-332B140E78E5}"/>
    <hyperlink ref="G133" r:id="rId361" display="../../../../../../:b:/r/teams/CTM-OTGentStad/Shared Documents/General/EAF/CSI(nieuwe sharepoint)2024/EAF 6317 Wondelgem 29032024.pdf?csf=1&amp;web=1&amp;e=jVZc4e" xr:uid="{B443C951-8278-4C5F-A905-43C39B277335}"/>
    <hyperlink ref="G439" r:id="rId362" display="../../../../../../:b:/r/teams/CTM-OTGentStad/Shared Documents/General/EAF/CSI(nieuwe sharepoint)2024/EAF 6318 Gentbrugge 08112024.pdf?csf=1&amp;web=1&amp;e=mWDhW2" xr:uid="{F06534EA-26D0-4AFF-A844-C4E9F31500E7}"/>
    <hyperlink ref="G453" r:id="rId363" display="../../../../../../:b:/r/teams/CTM-OTGentStad/Shared Documents/General/EAF/CSI(nieuwe sharepoint)2024/EAF 6319 Gent 18112024.pdf?csf=1&amp;web=1&amp;e=Hfgwen" xr:uid="{B1108F83-47AC-412F-8BD7-FA1A1BD4F77D}"/>
    <hyperlink ref="G377" r:id="rId364" display="../../../../../../:b:/r/teams/CTM-OTGentStad/Shared Documents/General/EAF/CSI(nieuwe sharepoint)2024/EAF 6319 Gent 23092024.pdf?csf=1&amp;web=1&amp;e=NdgTcc" xr:uid="{1E544F17-152A-480E-9922-7EF0D976D6AE}"/>
    <hyperlink ref="G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G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G504" r:id="rId367" display="../../../../../../:b:/r/teams/CTM-OTGentStad/Shared Documents/General/EAF/CSI(nieuwe sharepoint)2024/EAF 6321 Gentbrugge 21122024.pdf?csf=1&amp;web=1&amp;e=iBNMu8" xr:uid="{9F2A07A0-3CD8-470A-A0B6-85F22C8A1348}"/>
    <hyperlink ref="G3" r:id="rId368" display="../../../../../../:b:/r/teams/CTM-OTGentStad/Shared Documents/General/EAF/CSI(nieuwe sharepoint)2024/EAF 6322 Hovenierstraat Ledeberg 05012024.pdf?csf=1&amp;web=1&amp;e=vFe7av" xr:uid="{BB3E34E9-5269-48D0-8DD7-F3AE231EF10A}"/>
    <hyperlink ref="G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G54" r:id="rId370" display="../../../../../../:b:/r/teams/CTM-OTGentStad/Shared Documents/General/EAF/CSI(nieuwe sharepoint)2024/EAF 6323 Wondelgem 07022024.pdf?csf=1&amp;web=1&amp;e=NW22ZG" xr:uid="{7D857CCE-D0A3-4835-83BE-DFB145D71BAB}"/>
    <hyperlink ref="G450" r:id="rId371" display="../../../../../../:b:/r/teams/CTM-OTGentStad/Shared Documents/General/EAF/CSI(nieuwe sharepoint)2024/EAF 6325 Keizerpoort Gent 14.11.2024.pdf?csf=1&amp;web=1&amp;e=riYYd0" xr:uid="{EC8D17A4-764E-4B90-B78E-CB0B2FBF6150}"/>
    <hyperlink ref="G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G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G15" r:id="rId374" display="../../../../../../:b:/r/teams/CTM-OTGentStad/Shared Documents/General/EAF/CSI(nieuwe sharepoint)2024/EAF 6326 De Pintelaan 12012024.pdf?csf=1&amp;web=1&amp;e=DiLIYF" xr:uid="{30C5537B-DF76-449B-AC74-16D031B3DBC2}"/>
    <hyperlink ref="G148" r:id="rId375" display="../../../../../../:b:/r/teams/CTM-OTGentStad/Shared Documents/General/EAF/CSI(nieuwe sharepoint)2024/EAF 6326 Gent 10042024.pdf?csf=1&amp;web=1&amp;e=hl7b1G" xr:uid="{917BDEDE-E12E-49F8-B7CC-225E0E245CA7}"/>
    <hyperlink ref="G66" r:id="rId376" display="../../../../../../:b:/r/teams/CTM-OTGentStad/Shared Documents/General/EAF/CSI(nieuwe sharepoint)2024/EAF 6326 Sint Pietersaalstraat 19022024.pdf?csf=1&amp;web=1&amp;e=aj7NBd" xr:uid="{998E2606-D56C-4CAF-B6B5-846A49B40D99}"/>
    <hyperlink ref="G287" r:id="rId377" display="../../../../../../:b:/r/teams/CTM-OTGentStad/Shared Documents/General/EAF/CSI(nieuwe sharepoint)2024/EAF 6326 UZ 11072024.pdf?csf=1&amp;web=1&amp;e=uQ73fs" xr:uid="{4DFACCFD-6E49-44CB-804E-3A588E664425}"/>
    <hyperlink ref="G353" r:id="rId378" display="../../../../../../:b:/r/teams/CTM-OTGentStad/Shared Documents/General/EAF/CSI(nieuwe sharepoint)2024/EAF 6329 Gent 06092024.pdf?csf=1&amp;web=1&amp;e=hKZZd2" xr:uid="{BEA1D943-D222-4A29-8414-78E95154D228}"/>
    <hyperlink ref="G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G294" r:id="rId380" display="../../../../../../:b:/r/teams/CTM-OTGentStad/Shared Documents/General/EAF/CSI(nieuwe sharepoint)2024/EAF 6331 GEnt 18072024.pdf?csf=1&amp;web=1&amp;e=icZnhB" xr:uid="{DAC7D166-F77E-45D2-BA6E-0EDFAAAE6F2E}"/>
    <hyperlink ref="G283" r:id="rId381" display="../../../../../../:b:/r/teams/CTM-OTGentStad/Shared Documents/General/EAF/CSI(nieuwe sharepoint)2024/EAF 6332 Brusselsestwg 10072024.pdf?csf=1&amp;web=1&amp;e=ikV0cR" xr:uid="{2BFE6322-0352-4E0A-B558-604FDF50EE2C}"/>
    <hyperlink ref="G200" r:id="rId382" display="../../../../../../:b:/r/teams/CTM-OTGentStad/Shared Documents/General/EAF/CSI(nieuwe sharepoint)2024/EAF 6332 Gent 12052024 De Craene Peter.pdf?csf=1&amp;web=1&amp;e=AlEJLc" xr:uid="{C6F93BF1-CEF8-4B71-BCD1-52741A12F9DA}"/>
    <hyperlink ref="G304" r:id="rId383" display="../../../../../../:b:/r/teams/CTM-OTGentStad/Shared Documents/General/EAF/CSI(nieuwe sharepoint)2024/EAF 6332 Gent 25072024.pdf?csf=1&amp;web=1&amp;e=AWDkxa" xr:uid="{857E009D-B9B3-40E4-B457-79F020177855}"/>
    <hyperlink ref="G134" r:id="rId384" display="../../../../../../:b:/r/teams/CTM-OTGentStad/Shared Documents/General/EAF/CSI(nieuwe sharepoint)2024/EAF 6332 Gent 29032024.pdf?csf=1&amp;web=1&amp;e=jLyfAV" xr:uid="{DAD38B99-063D-4E1F-BE77-354F71404BA1}"/>
    <hyperlink ref="G437" r:id="rId385" display="../../../../../../:b:/r/teams/CTM-OTGentStad/Shared Documents/General/EAF/CSI(nieuwe sharepoint)2024/EAF 6333 Gent 07112024.pdf?csf=1&amp;web=1&amp;e=5e4YGN" xr:uid="{7726DD93-2929-4233-895A-E43AA655FC0F}"/>
    <hyperlink ref="G324" r:id="rId386" display="../../../../../../:b:/r/teams/CTM-OTGentStad/Shared Documents/General/EAF/CSI(nieuwe sharepoint)2024/EAF 6333 Voormuid Gent 14082024.pdf?csf=1&amp;web=1&amp;e=RjPiIM" xr:uid="{B4FCE873-D337-4C22-B15A-FAECF4C8A635}"/>
    <hyperlink ref="G361" r:id="rId387" display="../../../../../../:b:/r/teams/CTM-OTGentStad/Shared Documents/General/EAF/CSI(nieuwe sharepoint)2024/EAF 6334 Gent 10092024.pdf?csf=1&amp;web=1&amp;e=ewvYgy" xr:uid="{4C5E3B26-5A2F-4889-8562-6C81711755FB}"/>
    <hyperlink ref="G222" r:id="rId388" display="../../../../../../:b:/r/teams/CTM-OTGentStad/Shared Documents/General/EAF/CSI(nieuwe sharepoint)2024/EAF 6335 Brusselsesteenweg 368 29052024.pdf?csf=1&amp;web=1&amp;e=khBiN8" xr:uid="{A2E10FE1-D461-40EF-AE84-44D9BA2F42E9}"/>
    <hyperlink ref="G412" r:id="rId389" display="../../../../../../:b:/r/teams/CTM-OTGentStad/Shared Documents/General/EAF/CSI(nieuwe sharepoint)2024/EAF 6335 Gent 21102024.pdf?csf=1&amp;web=1&amp;e=qaSvs7" xr:uid="{F4C7B592-0FCD-4185-A27F-BFD8452591D7}"/>
    <hyperlink ref="G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G471" r:id="rId391" display="../../../../../../:b:/r/teams/CTM-OTGentStad/Shared Documents/General/EAF/CSI(nieuwe sharepoint)2024/EAF 6337 Gent 30102024.pdf?csf=1&amp;web=1&amp;e=0H5Fe7" xr:uid="{395909A6-E752-4B32-833E-1A3EDC0D95CB}"/>
    <hyperlink ref="G475" r:id="rId392" display="../../../../../../:b:/r/teams/CTM-OTGentStad/Shared Documents/General/EAF/CSI(nieuwe sharepoint)2024/EAF 6339 Gent 02122024.pdf?csf=1&amp;web=1&amp;e=TkaVl7" xr:uid="{C6BCCA65-1B57-401C-BD0B-A7170E28E15F}"/>
    <hyperlink ref="G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G384" r:id="rId394" display="../../../../../../:b:/r/teams/CTM-OTGentStad/Shared Documents/General/EAF/CSI(nieuwe sharepoint)2024/EAF 6339 Ledebergstraat 27092024.pdf?csf=1&amp;web=1&amp;e=kydSaL" xr:uid="{F510BA36-EFD1-4D4C-B4BB-90EE088EB689}"/>
    <hyperlink ref="G178" r:id="rId395" display="../../../../../../:b:/r/teams/CTM-OTGentStad/Shared Documents/General/EAF/CSI(nieuwe sharepoint)2024/EAF 6340 29042024.pdf?csf=1&amp;web=1&amp;e=6rHAiu" xr:uid="{70E63A47-4FE8-4B21-9979-575A7C65C00F}"/>
    <hyperlink ref="G27" r:id="rId396" display="../../../../../../:b:/r/teams/CTM-OTGentStad/Shared Documents/General/EAF/CSI(nieuwe sharepoint)2024/EAF 6340 Gent 23012024.pdf?csf=1&amp;web=1&amp;e=Sfpg5s" xr:uid="{793C28E3-44A0-4688-8E48-D81820C81F32}"/>
    <hyperlink ref="G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G295" r:id="rId398" display="../../../../../../:b:/r/teams/CTM-OTGentStad/Shared Documents/General/EAF/CSI(nieuwe sharepoint)2024/EAF 6351 Ledeberg 18072024.pdf?csf=1&amp;web=1&amp;e=dqcane" xr:uid="{4BE29D71-7128-4FDF-B961-735ECB16382D}"/>
    <hyperlink ref="G277" r:id="rId399" display="../../../../../../:b:/r/teams/CTM-OTGentStad/Shared Documents/General/EAF/CSI(nieuwe sharepoint)2024/EAF 6352 Gent 05072024.pdf?csf=1&amp;web=1&amp;e=IJPdnl" xr:uid="{964BF070-EA30-467C-909A-EE78DF5F5AE9}"/>
    <hyperlink ref="G480" r:id="rId400" display="../../../../../../:b:/r/teams/CTM-OTGentStad/Shared Documents/General/EAF/CSI(nieuwe sharepoint)2024/EAF 6352 Expo Gent 06122024.pdf?csf=1&amp;web=1&amp;e=0vLPpf" xr:uid="{D5537093-4C8E-460F-90E4-87F103CE6ECA}"/>
    <hyperlink ref="G164" r:id="rId401" display="../../../../../../:b:/r/teams/CTM-OTGentStad/Shared Documents/General/EAF/CSI(nieuwe sharepoint)2024/EAF 6352 Jozef Vervaenestraat Gent 19042024.pdf?csf=1&amp;web=1&amp;e=yjnj8a" xr:uid="{9A2907EE-EFFA-44EC-80BA-DA299DCB106D}"/>
    <hyperlink ref="G296" r:id="rId402" display="../../../../../../:b:/r/teams/CTM-OTGentStad/Shared Documents/General/EAF/CSI(nieuwe sharepoint)2024/EAF 6352 Ledebergplein 19072024.pdf?csf=1&amp;web=1&amp;e=bkrs0Z" xr:uid="{ECA85887-3998-42C1-B84E-1F8CA9FC5A86}"/>
    <hyperlink ref="G443" r:id="rId403" display="../../../../../../:b:/r/teams/CTM-OTGentStad/Shared Documents/General/EAF/CSI(nieuwe sharepoint)2024/EAF 6352 Papegaaistraat 11112024 Tom Haerens.pdf?csf=1&amp;web=1&amp;e=eNdPga" xr:uid="{80E6BA8C-0F31-4091-832B-98A88738360F}"/>
    <hyperlink ref="G220" r:id="rId404" display="../../../../../../:b:/r/teams/CTM-OTGentStad/Shared Documents/General/EAF/CSI(nieuwe sharepoint)2024/EAF 6353 GEnt 28052024.pdf?csf=1&amp;web=1&amp;e=WGHqLp" xr:uid="{DB5A8078-51B2-4D7E-A0BE-B0788FB79736}"/>
    <hyperlink ref="G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G217" r:id="rId406" display="../../../../../../:b:/r/teams/CTM-OTGentStad/Shared Documents/General/EAF/CSI(nieuwe sharepoint)2024/EAF 6355 Gent 27052024.pdf?csf=1&amp;web=1&amp;e=1PDaCB" xr:uid="{86E0D265-D6E0-49B3-A838-FD978831EB27}"/>
    <hyperlink ref="G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G424" r:id="rId408" display="../../../../../../:b:/r/teams/CTM-OTGentStad/Shared Documents/General/EAF/CSI(nieuwe sharepoint)2024/EAF 6355 Ledeberg 26102024.pdf?csf=1&amp;web=1&amp;e=2AjqFD" xr:uid="{648569DD-27DD-4A2C-8AB2-A8ACCE0F024E}"/>
    <hyperlink ref="G459" r:id="rId409" display="../../../../../../:b:/r/teams/CTM-OTGentStad/Shared Documents/General/EAF/CSI(nieuwe sharepoint)2024/EAF 6355 Melle Leeuw 21112024 Illya Wulleput.pdf?csf=1&amp;web=1&amp;e=laBaH2" xr:uid="{5A738A92-C79F-4AA7-85FA-D51066A602CE}"/>
    <hyperlink ref="G440" r:id="rId410" display="../../../../../../:b:/r/teams/CTM-OTGentStad/Shared Documents/General/EAF/CSI(nieuwe sharepoint)2024/EAF 6356 Gent 08112024.pdf?csf=1&amp;web=1&amp;e=jkVkea" xr:uid="{B29D513A-1F56-492B-8793-7F02C753B210}"/>
    <hyperlink ref="G490" r:id="rId411" display="../../../../../../:b:/r/teams/CTM-OTGentStad/Shared Documents/General/EAF/CSI(nieuwe sharepoint)2024/EAF 6356 Gent 12122024.pdf?csf=1&amp;web=1&amp;e=J29EOj" xr:uid="{C9D844F2-BBA0-4348-B6B3-C714BC0DCE18}"/>
    <hyperlink ref="G73" r:id="rId412" display="../../../../../../:b:/r/teams/CTM-OTGentStad/Shared Documents/General/EAF/CSI(nieuwe sharepoint)2024/EAF 6356 Gent 22022024.pdf?csf=1&amp;web=1&amp;e=xcEsno" xr:uid="{73BC41EA-814F-4314-88D3-64636FB5A614}"/>
    <hyperlink ref="G50" r:id="rId413" display="../../../../../../:b:/r/teams/CTM-OTGentStad/Shared Documents/General/EAF/CSI(nieuwe sharepoint)2024/EAF 6357 Gent 04022024.pdf?csf=1&amp;web=1&amp;e=dVRwnl" xr:uid="{289A9B42-AE87-44F9-9E69-01BA23C01A15}"/>
    <hyperlink ref="G472" r:id="rId414" display="../../../../../../:b:/r/teams/CTM-OTGentStad/Shared Documents/General/EAF/CSI(nieuwe sharepoint)2024/EAF 6357 Gent 30112024.pdf?csf=1&amp;web=1&amp;e=SbnKoU" xr:uid="{D43EA783-EADF-4029-9063-50551BB9FA3B}"/>
    <hyperlink ref="G379" r:id="rId415" display="../../../../../../:b:/r/teams/CTM-OTGentStad/Shared Documents/General/EAF/CSI(nieuwe sharepoint)2024/EAF 6358 Gent 24092024.pdf?csf=1&amp;web=1&amp;e=duNjmM" xr:uid="{72AAD7C4-D07D-460D-A39A-C6B3AD2CAA4A}"/>
    <hyperlink ref="G307" r:id="rId416" display="../../../../../../:b:/r/teams/CTM-OTGentStad/Shared Documents/General/EAF/CSI(nieuwe sharepoint)2024/EAF 6359 Gent 29072024.pdf?csf=1&amp;web=1&amp;e=DqAMsF" xr:uid="{9425BE95-CF56-41B0-84E1-789EF748600C}"/>
    <hyperlink ref="G180" r:id="rId417" display="../../../../../../:b:/r/teams/CTM-OTGentStad/Shared Documents/General/EAF/CSI(nieuwe sharepoint)2024/EAF 6359 Gent 30042024.pdf?csf=1&amp;web=1&amp;e=12OFdg" xr:uid="{0530410E-A176-4D29-AA2B-FE87D8291D7A}"/>
    <hyperlink ref="G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G485" r:id="rId419" display="../../../../../../:b:/r/teams/CTM-OTGentStad/Shared Documents/General/EAF/CSI(nieuwe sharepoint)2024/EAF 6361 Gent 09122024.pdf?csf=1&amp;web=1&amp;e=pyBqjh" xr:uid="{25DF6A81-5D18-4CF7-8F3A-D9281FB56EFF}"/>
    <hyperlink ref="G505" r:id="rId420" display="../../../../../../:b:/r/teams/CTM-OTGentStad/Shared Documents/General/EAF/CSI(nieuwe sharepoint)2024/EAF 6362 Gent 21122024.pdf?csf=1&amp;web=1&amp;e=AwaCWK" xr:uid="{F57E973E-D2A5-4668-9304-58D9E1F27F41}"/>
    <hyperlink ref="G500" r:id="rId421" display="../../../../../../:b:/r/teams/CTM-OTGentStad/Shared Documents/General/EAF/CSI(nieuwe sharepoint)2024/EAF 6362 Zwijnaardsestwg 20122024.pdf?csf=1&amp;web=1&amp;e=WnxLdY" xr:uid="{CAFCF17D-6ABA-4AA9-868C-CC62A825CC4F}"/>
    <hyperlink ref="G339" r:id="rId422" display="../../../../../../:b:/r/teams/CTM-OTGentStad/Shared Documents/General/EAF/CSI(nieuwe sharepoint)2024/EAF 6363 Gent 01092024.pdf?csf=1&amp;web=1&amp;e=AfcvZh" xr:uid="{C4ADE72C-7CB8-4FA3-A64D-50E0897B1EE4}"/>
    <hyperlink ref="G414" r:id="rId423" display="../../../../../../:b:/r/teams/CTM-OTGentStad/Shared Documents/General/EAF/CSI(nieuwe sharepoint)2024/EAF 6363 Gent 22102024.pdf?csf=1&amp;web=1&amp;e=V8ZrbJ" xr:uid="{E092AEE2-4935-44B8-A3D9-F17B3BCD8B36}"/>
    <hyperlink ref="G228" r:id="rId424" display="../../../../../../:b:/r/teams/CTM-OTGentStad/Shared Documents/General/EAF/CSI(nieuwe sharepoint)2024/EAF 6365 Gent 04062024.pdf?csf=1&amp;web=1&amp;e=79tgOp" xr:uid="{E7D05D18-7F19-49CE-B50A-BE29F0765F46}"/>
    <hyperlink ref="G501" r:id="rId425" display="../../../../../../:b:/r/teams/CTM-OTGentStad/Shared Documents/General/EAF/CSI(nieuwe sharepoint)2024/EAF 6366 Gent 20122024.pdf?csf=1&amp;web=1&amp;e=UOkLqZ" xr:uid="{3E28AA93-BF6C-468E-8819-9F28F0DB812B}"/>
    <hyperlink ref="G175" r:id="rId426" display="../../../../../../:b:/r/teams/CTM-OTGentStad/Shared Documents/General/EAF/CSI(nieuwe sharepoint)2024/EAF 6367 Gent 28042024.pdf?csf=1&amp;web=1&amp;e=Olf5lK" xr:uid="{C6280804-1A70-4124-8349-5104C084F736}"/>
    <hyperlink ref="G116" r:id="rId427" display="../../../../../../:b:/r/teams/CTM-OTGentStad/Shared Documents/General/EAF/CSI(nieuwe sharepoint)2024/EAF 6367 Wondelgem 20032024.pdf?csf=1&amp;web=1&amp;e=MuJkpQ" xr:uid="{39517C9B-157D-4FBE-BFCB-1837F74C7BDF}"/>
    <hyperlink ref="G308" r:id="rId428" display="../../../../../../:b:/r/teams/CTM-OTGentStad/Shared Documents/General/EAF/CSI(nieuwe sharepoint)2024/EAF 6368 Gent Zuid 29072024.pdf?csf=1&amp;web=1&amp;e=Zxr26Z" xr:uid="{D76FCEC5-3950-4647-902F-A2A71F4D3CAD}"/>
    <hyperlink ref="G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G117" r:id="rId430" display="../../../../../../:b:/r/teams/CTM-OTGentStad/Shared Documents/General/EAF/CSI(nieuwe sharepoint)2024/EAF 6369 Frereobanlaan 20032024.pdf?csf=1&amp;web=1&amp;e=KpGF0y" xr:uid="{E880125D-E882-40CE-BFA9-261EC13BB1A2}"/>
    <hyperlink ref="G11" r:id="rId431" display="../../../../../../:b:/r/teams/CTM-OTGentStad/Shared Documents/General/EAF/CSI(nieuwe sharepoint)2024/EAF 6369 Gent 11012024.pdf?csf=1&amp;web=1&amp;e=0jbna4" xr:uid="{BB2FCDD8-7BF9-4A90-B2C3-9179BF304811}"/>
    <hyperlink ref="G327" r:id="rId432" display="../../../../../../:b:/r/teams/CTM-OTGentStad/Shared Documents/General/EAF/CSI(nieuwe sharepoint)2024/EAF 6369 GEnt 20082024.pdf?csf=1&amp;web=1&amp;e=2gt9e0" xr:uid="{C913052B-4AC8-4CB4-9800-7F48C6DA6EE2}"/>
    <hyperlink ref="G284" r:id="rId433" display="../../../../../../:b:/r/teams/CTM-OTGentStad/Shared Documents/General/EAF/CSI(nieuwe sharepoint)2024/EAF 6370 10072024.pdf?csf=1&amp;web=1&amp;e=IXVT46" xr:uid="{DAC5F022-7B26-491E-A5D5-A26A839035A6}"/>
    <hyperlink ref="G375" r:id="rId434" display="../../../../../../:b:/r/teams/CTM-OTGentStad/Shared Documents/General/EAF/CSI(nieuwe sharepoint)2024/EAF 6370 Gent 22092024.pdf?csf=1&amp;web=1&amp;e=hJK5yW" xr:uid="{CB0955F0-925E-47A9-BF3B-8043C4484C14}"/>
    <hyperlink ref="G107" r:id="rId435" display="../../../../../../:b:/r/teams/CTM-OTGentStad/Shared Documents/General/EAF/CSI(nieuwe sharepoint)2024/EAF 6370 Gentbrugge 13032024.pdf?csf=1&amp;web=1&amp;e=gdPnza" xr:uid="{CE4A6DFA-0076-4396-8BFE-E59292112C6C}"/>
    <hyperlink ref="G309" r:id="rId436" display="../../../../../../:b:/r/teams/CTM-OTGentStad/Shared Documents/General/EAF/CSI(nieuwe sharepoint)2024/EAF 6370 Gentbrugge 29072024.pdf?csf=1&amp;web=1&amp;e=HnIR3a" xr:uid="{29EBD292-F939-4B11-8112-B700ED16CB29}"/>
    <hyperlink ref="G82" r:id="rId437" display="../../../../../../:b:/r/teams/CTM-OTGentStad/Shared Documents/General/EAF/CSI(nieuwe sharepoint)2024/EAF 6371 Albertlaan 29022024.pdf?csf=1&amp;web=1&amp;e=GIi3rG" xr:uid="{AC898D38-F55A-41AC-AD57-4859435E7321}"/>
    <hyperlink ref="G371" r:id="rId438" display="../../../../../../:b:/r/teams/CTM-OTGentStad/Shared Documents/General/EAF/CSI(nieuwe sharepoint)2024/EAF 6371 Gent 16092024.pdf?csf=1&amp;web=1&amp;e=ewguSb" xr:uid="{3CBCA0D0-A218-48C2-A501-75B8657B3E28}"/>
    <hyperlink ref="G129" r:id="rId439" display="../../../../../../:b:/r/teams/CTM-OTGentStad/Shared Documents/General/EAF/CSI(nieuwe sharepoint)2024/EAF 6371 Gent 25032024.pdf?csf=1&amp;web=1&amp;e=ciQtpD" xr:uid="{65DFABA2-DD65-4675-94FD-C735D09A5759}"/>
    <hyperlink ref="G509" r:id="rId440" display="../../../../../../:b:/r/teams/CTM-OTGentStad/Shared Documents/General/EAF/CSI(nieuwe sharepoint)2024/EAF 6371 Gent 27122024.pdf?csf=1&amp;web=1&amp;e=AeDj5a" xr:uid="{610FE50D-2750-49CC-A0FF-AC4FEDC88217}"/>
    <hyperlink ref="G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G473" r:id="rId442" display="../../../../../../:b:/r/teams/CTM-OTGentStad/Shared Documents/General/EAF/CSI(nieuwe sharepoint)2024/EAF 6372 Albertbrug Gent 01122024.pdf?csf=1&amp;web=1&amp;e=phpnaA" xr:uid="{ECAEA2FE-18A4-4DFA-8C30-01992E38AB62}"/>
    <hyperlink ref="G181" r:id="rId443" display="../../../../../../:b:/r/teams/CTM-OTGentStad/Shared Documents/General/EAF/CSI(nieuwe sharepoint)2024/EAF 6372 Gent 30042024.pdf?csf=1&amp;web=1&amp;e=nkerhf" xr:uid="{777B68FD-B011-4AF6-89F2-2E2B920DC694}"/>
    <hyperlink ref="G395" r:id="rId444" display="../../../../../../:b:/r/teams/CTM-OTGentStad/Shared Documents/General/EAF/CSI(nieuwe sharepoint)2024/EAF 6372 Koning Albertlaan Gent 09102024.pdf?csf=1&amp;web=1&amp;e=61015Z" xr:uid="{98B7DCD0-B93C-4B77-8B4A-5C8E06EEFB6B}"/>
    <hyperlink ref="G165" r:id="rId445" display="../../../../../../:b:/r/teams/CTM-OTGentStad/Shared Documents/General/EAF/CSI(nieuwe sharepoint)2024/EAF 6373 Gent 19042024.pdf?csf=1&amp;web=1&amp;e=H4ZpLA" xr:uid="{5792624D-132E-45E5-AAA7-E0DF3816FA4E}"/>
    <hyperlink ref="G311" r:id="rId446" display="../../../../../../:b:/r/teams/CTM-OTGentStad/Shared Documents/General/EAF/CSI(nieuwe sharepoint)2024/EAF 6373 Gent 30072024.pdf?csf=1&amp;web=1&amp;e=KGwb1o" xr:uid="{DDEE70D9-BB3E-4C33-9C08-737BE714E2E3}"/>
    <hyperlink ref="G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G189" r:id="rId448" display="../../../../../../:b:/r/teams/CTM-OTGentStad/Shared Documents/General/EAF/CSI(nieuwe sharepoint)2024/EAF 6373 Hundelgelsesteenweg 04052024.pdf?csf=1&amp;web=1&amp;e=lPN2VH" xr:uid="{3F74D7CC-54AE-4F4E-933D-503B9A3D077F}"/>
    <hyperlink ref="G114" r:id="rId449" display="../../../../../../:b:/r/teams/CTM-OTGentStad/Shared Documents/General/EAF/CSI(nieuwe sharepoint)2024/EAF 6374 Gent 19032024 De Wit Bruno 25993.pdf?csf=1&amp;web=1&amp;e=y4BN3M" xr:uid="{14428031-B2E5-4596-91AF-05CE38BB7612}"/>
    <hyperlink ref="G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G122" r:id="rId451" display="../../../../../../:b:/r/teams/CTM-OTGentStad/Shared Documents/General/EAF/CSI(nieuwe sharepoint)2024/EAF 6376 Botermarkt 22032024.pdf?csf=1&amp;web=1&amp;e=6wV3c3" xr:uid="{930BF3F1-7F08-4AE0-91EC-154515589787}"/>
    <hyperlink ref="G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G232" r:id="rId453" display="../../../../../../:b:/r/teams/CTM-OTGentStad/Shared Documents/General/EAF/CSI(nieuwe sharepoint)2024/EAF 6376 Ledeberg 05062024.pdf?csf=1&amp;web=1&amp;e=aDsAGg" xr:uid="{0458FFD0-533C-4F25-B462-0370887D9AC7}"/>
    <hyperlink ref="G131" r:id="rId454" display="../../../../../../:b:/r/teams/CTM-OTGentStad/Shared Documents/General/EAF/CSI(nieuwe sharepoint)2024/EAF 6376 Ledeberg 28032024.pdf?csf=1&amp;web=1&amp;e=7mSJBA" xr:uid="{45CC5FA4-5D46-49CB-873A-9EAA6E7342C9}"/>
    <hyperlink ref="G712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G243" r:id="rId456" display="../../../../../../:b:/r/teams/CTM-OTGentStad/Shared Documents/General/EAF/CSI(nieuwe sharepoint)2024/EAF 8089 Zele 11062024.pdf?csf=1&amp;web=1&amp;e=A8knCw" xr:uid="{74ADF89B-FB9A-478A-A708-6F2758F29368}"/>
    <hyperlink ref="G124" r:id="rId457" display="../../../../../../:b:/r/teams/CTM-OTGentStad/Shared Documents/General/EAF/CSI(nieuwe sharepoint)2024/EAF 8101 Gent 22032024.pdf?csf=1&amp;web=1&amp;e=yVZUyo" xr:uid="{AF6D2838-6CEF-44B5-B8CF-E62811F7F14D}"/>
    <hyperlink ref="G494" r:id="rId458" display="../../../../../../:b:/r/teams/CTM-OTGentStad/Shared Documents/General/EAF/CSI(nieuwe sharepoint)2024/EAF 8104 Gent 1612204.pdf?csf=1&amp;web=1&amp;e=zXWqWn" xr:uid="{D5F85815-D275-4669-9A81-1B573C8CA4D1}"/>
    <hyperlink ref="G279" r:id="rId459" display="../../../../../../:b:/r/teams/CTM-OTGentStad/Shared Documents/General/EAF/CSI(nieuwe sharepoint)2024/EAF 50406 Gent 06022024.pdf?csf=1&amp;web=1&amp;e=aeXaW1" xr:uid="{B9E17875-7AD1-4728-9706-650D2B5BB61D}"/>
    <hyperlink ref="G23" r:id="rId460" display="../../../../../../:b:/r/teams/CTM-OTGentStad/Shared Documents/General/EAF/CSI(nieuwe sharepoint)2024/EAF 110965 Gent 18012024.pdf?csf=1&amp;web=1&amp;e=SDKJsz" xr:uid="{574FCB0B-0E13-4228-8E74-DD3EAC7E925D}"/>
    <hyperlink ref="G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G85" r:id="rId462" display="../../../../../../:b:/r/teams/CTM-OTGentStad/Shared Documents/General/EAF/CSI(nieuwe sharepoint)2024/EAF 112214 Gent 01032024.pdf?csf=1&amp;web=1&amp;e=B8Vkyk" xr:uid="{420DF9E7-24A9-42C5-A3CC-025FE477D9EE}"/>
    <hyperlink ref="G86" r:id="rId463" display="../../../../../../:b:/r/teams/CTM-OTGentStad/Shared Documents/General/EAF/CSI(nieuwe sharepoint)2024/EAF 112216 Gent Kouter 01032024.pdf?csf=1&amp;web=1&amp;e=JUmY5q" xr:uid="{896BE651-3B32-4438-9D39-4E75F56E757C}"/>
    <hyperlink ref="G240" r:id="rId464" display="../../../../../../:b:/r/teams/CTM-OTGentStad/Shared Documents/General/EAF/CSI(nieuwe sharepoint)2024/EAF 112223 Gent 10062024.pdf?csf=1&amp;web=1&amp;e=VeifI1" xr:uid="{85471258-6F2B-4F35-96AD-84F4E4EDAA6A}"/>
    <hyperlink ref="G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G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G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G211" r:id="rId468" display="../../../../../../:b:/r/teams/CTM-OTGentStad/Shared Documents/General/EAF/CSI(nieuwe sharepoint)2024/EAF 222478 Gent Tolhuislaan 22052024.pdf?csf=1&amp;web=1&amp;e=XXdD1J" xr:uid="{F749DB7C-C5BC-4F24-9D59-5A1715B1CA50}"/>
    <hyperlink ref="G396" r:id="rId469" display="../../../../../../:b:/r/teams/CTM-OTGentStad/Shared Documents/General/EAF/CSI(nieuwe sharepoint)2024/EAF 222478 Hovenierstraat Ledeberg 09102024.pdf?csf=1&amp;web=1&amp;e=sBN0vt" xr:uid="{1C6700C2-BAE1-440D-BD5B-10BD5143CC2D}"/>
    <hyperlink ref="G511" r:id="rId470" display="../../../../../../:b:/r/teams/CTM-OTGentStad/Shared Documents/General/EAF/CSI(nieuwe sharepoint)2024/EAF 281224 AB2548.pdf?csf=1&amp;web=1&amp;e=EOcWlR" xr:uid="{C406A5D1-07C4-451C-83C2-17F18254CB79}"/>
    <hyperlink ref="G388" r:id="rId471" display="../../../../../../:b:/r/teams/CTM-OTGentStad/Shared Documents/General/EAF/CSI(nieuwe sharepoint)2024/EAF 03102024 6313 Gent Mathyn Eid.pdf?csf=1&amp;web=1&amp;e=u3V4dq" xr:uid="{981D291F-2739-4555-801F-FCF2B89458A2}"/>
    <hyperlink ref="G477" r:id="rId472" display="../../../../../../:b:/r/teams/CTM-OTGentStad/Shared Documents/General/EAF/CSI(nieuwe sharepoint)2024/EAF 03122024 5324 Gent Dolly De Geyter.pdf?csf=1&amp;web=1&amp;e=hd5Fa8" xr:uid="{BA267C0E-84BC-4F4D-A11D-582410302377}"/>
    <hyperlink ref="G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G389" r:id="rId474" display="../../../../../../:b:/r/teams/CTM-OTGentStad/Shared Documents/General/EAF/CSI(nieuwe sharepoint)2024/EAF 04102024 6305 Gent Ghani Mozamil.pdf?csf=1&amp;web=1&amp;e=tGE5iz" xr:uid="{BFEF057C-B665-4057-B5BF-0621A30EF28E}"/>
    <hyperlink ref="G479" r:id="rId475" display="../../../../../../:b:/r/teams/CTM-OTGentStad/Shared Documents/General/EAF/CSI(nieuwe sharepoint)2024/EAF 04122024 Ugur.pdf?csf=1&amp;web=1&amp;e=qvL55j" xr:uid="{EE9184C3-AB06-4468-860F-DE8502679A2A}"/>
    <hyperlink ref="G140" r:id="rId476" display="../../../../../../:b:/r/teams/CTM-OTGentStad/Shared Documents/General/EAF/CSI(nieuwe sharepoint)2024/EAF 05042024 Gent 6368 Patrick Gevaert.pdf?csf=1&amp;web=1&amp;e=zUri78" xr:uid="{6BCE0DE1-F10B-4648-A4C2-05FABDD12A5F}"/>
    <hyperlink ref="G318" r:id="rId477" display="../../../../../../:b:/r/teams/CTM-OTGentStad/Shared Documents/General/EAF/CSI(nieuwe sharepoint)2024/EAF 05082024 5929 Gent Roien Stanikazi.pdf?csf=1&amp;web=1&amp;e=x9jUUW" xr:uid="{8511C604-572C-4419-98DA-B62188C4CB0A}"/>
    <hyperlink ref="G390" r:id="rId478" display="../../../../../../:b:/r/teams/CTM-OTGentStad/Shared Documents/General/EAF/CSI(nieuwe sharepoint)2024/EAF 05102024 6369 Gent Roland Hublau.pdf?csf=1&amp;web=1&amp;e=2uPju7" xr:uid="{4F3F3701-0F19-4669-A04F-F869340A9086}"/>
    <hyperlink ref="G52" r:id="rId479" display="../../../../../../:b:/r/teams/CTM-OTGentStad/Shared Documents/General/EAF/CSI(nieuwe sharepoint)2024/EAF 06022024 Toby Pelrene.pdf?csf=1&amp;web=1&amp;e=sbgowk" xr:uid="{236DF2AB-8B98-413B-A72A-17D302A08579}"/>
    <hyperlink ref="G481" r:id="rId480" display="../../../../../../:b:/r/teams/CTM-OTGentStad/Shared Documents/General/EAF/CSI(nieuwe sharepoint)2024/EAF 06122024 6305 Gent Kazim Demirkaya.pdf?csf=1&amp;web=1&amp;e=qggd4K" xr:uid="{1F3D32CF-AEDF-446A-8E94-97897A2945FC}"/>
    <hyperlink ref="G391" r:id="rId481" display="../../../../../../:b:/r/teams/CTM-OTGentStad/Shared Documents/General/EAF/CSI(nieuwe sharepoint)2024/EAF 07102024 5041 Gent Charlotte De Boever.pdf?csf=1&amp;web=1&amp;e=158LfQ" xr:uid="{36C06359-7657-4442-A021-2E964AA35234}"/>
    <hyperlink ref="G438" r:id="rId482" display="../../../../../../:b:/r/teams/CTM-OTGentStad/Shared Documents/General/EAF/CSI(nieuwe sharepoint)2024/EAF 7112024 5039 Zwijnaarde Eva Teetaert.pdf?csf=1&amp;web=1&amp;e=RKrwBS" xr:uid="{C48AC797-E50F-4354-A04D-6145474E0CDD}"/>
    <hyperlink ref="G281" r:id="rId483" display="../../../../../../:b:/r/teams/CTM-OTGentStad/Shared Documents/General/EAF/CSI(nieuwe sharepoint)2024/EAF 10122021 2197 Gent Roien Stanikazi.pdf?csf=1&amp;web=1&amp;e=yB3xOy" xr:uid="{8112D1BD-2BC7-4C09-AAD2-A75C9EE97328}"/>
    <hyperlink ref="G150" r:id="rId484" display="../../../../../../:b:/r/teams/CTM-OTGentStad/Shared Documents/General/EAF/CSI(nieuwe sharepoint)2024/EAF 11042024 6357 Gent Kenan Kocabas.pdf?csf=1&amp;web=1&amp;e=Tq4c5d" xr:uid="{2C046AD0-4325-4F35-919A-2777E2A40545}"/>
    <hyperlink ref="G198" r:id="rId485" display="../../../../../../:b:/r/teams/CTM-OTGentStad/Shared Documents/General/EAF/CSI(nieuwe sharepoint)2024/EAF 11052024 6338 Gent Tony Vandenbogaerde.pdf?csf=1&amp;web=1&amp;e=pCqePg" xr:uid="{B533B8E4-88A1-4ADB-A048-96292D9940CE}"/>
    <hyperlink ref="G246" r:id="rId486" display="../../../../../../:b:/r/teams/CTM-OTGentStad/Shared Documents/General/EAF/CSI(nieuwe sharepoint)2024/EAF 12062024 5376 Gent Jay Van Achte.pdf?csf=1&amp;web=1&amp;e=GUlnzr" xr:uid="{52056EBD-EC67-41DC-8C83-BACB1A5D45E2}"/>
    <hyperlink ref="G108" r:id="rId487" display="../../../../../../:b:/r/teams/CTM-OTGentStad/Shared Documents/General/EAF/CSI(nieuwe sharepoint)2024/EAF 13032024 4678 Gent Yasin Doolaege.pdf?csf=1&amp;web=1&amp;e=K5hLfj" xr:uid="{4C95F8C6-4400-4E06-BB67-BB8711DF34E7}"/>
    <hyperlink ref="G492" r:id="rId488" display="../../../../../../:b:/r/teams/CTM-OTGentStad/Shared Documents/General/EAF/CSI(nieuwe sharepoint)2024/EAF 15122024 6310 Gent Andy Vanden Daele.pdf?csf=1&amp;web=1&amp;e=L3K2pE" xr:uid="{BBF39C28-6443-401D-9DC4-52927F90B8EC}"/>
    <hyperlink ref="G159" r:id="rId489" display="../../../../../../:b:/r/teams/CTM-OTGentStad/Shared Documents/General/EAF/CSI(nieuwe sharepoint)2024/EAF 17042024 6311 Gent Philippe Pretel.pdf?csf=1&amp;web=1&amp;e=i96lXt" xr:uid="{34AFA34A-FDE0-4E8F-92C3-976F678ABFF5}"/>
    <hyperlink ref="G67" r:id="rId490" display="../../../../../../:b:/r/teams/CTM-OTGentStad/Shared Documents/General/EAF/CSI(nieuwe sharepoint)2024/EAF 19022024 6320 Gent Mathyn Eid.pdf?csf=1&amp;web=1&amp;e=sk3TED" xr:uid="{053CAE1D-0F2F-4F29-B550-C7DBC63E86B0}"/>
    <hyperlink ref="G167" r:id="rId491" display="../../../../../../:b:/r/teams/CTM-OTGentStad/Shared Documents/General/EAF/CSI(nieuwe sharepoint)2024/EAF 21042024 Gent 5915 Kenan Kocabas.pdf?csf=1&amp;web=1&amp;e=xL3d0i" xr:uid="{DD0F662B-74CA-4057-A404-70F2E36731E5}"/>
    <hyperlink ref="G259" r:id="rId492" display="../../../../../../:b:/r/teams/CTM-OTGentStad/Shared Documents/General/EAF/CSI(nieuwe sharepoint)2024/EAF 21062024 5369 Gent Roien Stanikazi.pdf?csf=1&amp;web=1&amp;e=WMdKJT" xr:uid="{66944DF1-46F9-4631-9E5D-953F0CCA42E4}"/>
    <hyperlink ref="G125" r:id="rId493" display="../../../../../../:b:/r/teams/CTM-OTGentStad/Shared Documents/General/EAF/CSI(nieuwe sharepoint)2024/EAF 22032024 6328 Gent Sabri Toumi.pdf?csf=1&amp;web=1&amp;e=5OfcMP" xr:uid="{2C114CC6-2B85-4C8F-A25A-71BEC31D32CA}"/>
    <hyperlink ref="G168" r:id="rId494" display="../../../../../../:b:/r/teams/CTM-OTGentStad/Shared Documents/General/EAF/CSI(nieuwe sharepoint)2024/EAF 22042024 Gent De Ridder Danny 21124.pdf?csf=1&amp;web=1&amp;e=kgfPA4" xr:uid="{957BCDAB-DD4F-43A2-9000-8CCFBD7019D8}"/>
    <hyperlink ref="G216" r:id="rId495" display="../../../../../../:b:/r/teams/CTM-OTGentStad/Shared Documents/General/EAF/CSI(nieuwe sharepoint)2024/EAF 24052024 2207 Gent Semih Dogan.pdf?csf=1&amp;web=1&amp;e=1u9yi0" xr:uid="{8B266A34-AE51-4345-86CF-51AB121A0557}"/>
    <hyperlink ref="G420" r:id="rId496" display="../../../../../../:b:/r/teams/CTM-OTGentStad/Shared Documents/General/EAF/CSI(nieuwe sharepoint)2024/EAF 24102024 5043 Gent Kenny Sturtewagen.pdf?csf=1&amp;web=1&amp;e=OnoJyT" xr:uid="{51758C7D-5E1F-4145-9F36-21162369CE6C}"/>
    <hyperlink ref="G263" r:id="rId497" display="../../../../../../:b:/r/teams/CTM-OTGentStad/Shared Documents/General/EAF/CSI(nieuwe sharepoint)2024/EAF 25062024 6329 Gent Heidi Limbourg.pdf?csf=1&amp;web=1&amp;e=dvoWLd" xr:uid="{1340D8AF-05CE-41FA-9B2F-90AF0F927549}"/>
    <hyperlink ref="G422" r:id="rId498" display="../../../../../../:b:/r/teams/CTM-OTGentStad/Shared Documents/General/EAF/CSI(nieuwe sharepoint)2024/EAF 25102024 5039 Gent Kenny Sturtewagen.pdf?csf=1&amp;web=1&amp;e=2Q7fgj" xr:uid="{148C6851-2BA3-49C5-8825-B3F5E86ECD23}"/>
    <hyperlink ref="G132" r:id="rId499" display="../../../../../../:b:/r/teams/CTM-OTGentStad/Shared Documents/General/EAF/CSI(nieuwe sharepoint)2024/EAF 28032024 6358 Gent Ghani Mozamil.pdf?csf=1&amp;web=1&amp;e=D9xLWc" xr:uid="{909F217B-1116-47C9-AA4F-26F0FA47D9EF}"/>
    <hyperlink ref="G137" r:id="rId500" display="../../../../../../:b:/r/teams/CTM-OTGentStad/Shared Documents/General/EAF/CSI(nieuwe sharepoint)2024/EAF 31032024 6376 Gent Tom Van Vliet.pdf?csf=1&amp;web=1&amp;e=GknYii" xr:uid="{16FC20DA-172C-4C1C-881A-DA86AB58500B}"/>
    <hyperlink ref="G95" r:id="rId501" display="../../../../../../:b:/r/teams/CTM-OTGentStad/Shared Documents/General/EAF/CSI(nieuwe sharepoint)2024/EAF Bremstraat Wondelgem AB 5922 05.03.2024.pdf?csf=1&amp;web=1&amp;e=fFCoEH" xr:uid="{7261214F-D54E-48DC-A263-FC2D186134B8}"/>
    <hyperlink ref="G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G18" r:id="rId503" display="../../../../../../:b:/r/teams/CTM-OTGentStad/Shared Documents/General/EAF/CSI(nieuwe sharepoint)2024/EAF Dendermondesteenweg 5767 15.01.2024.pdf?csf=1&amp;web=1&amp;e=IdIrgB" xr:uid="{C7125488-8147-467F-B360-DF903598A41E}"/>
    <hyperlink ref="G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G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G5" r:id="rId506" display="../../../../../../:b:/r/teams/CTM-OTGentStad/Shared Documents/General/EAF/CSI(nieuwe sharepoint)2024/EAF Gent 5367 06012024.pdf?csf=1&amp;web=1&amp;e=wquwTh" xr:uid="{DC1B9E94-D008-404E-B7CD-06B1F26DED52}"/>
    <hyperlink ref="G4" r:id="rId507" display="../../../../../../:b:/r/teams/CTM-OTGentStad/Shared Documents/General/EAF/CSI(nieuwe sharepoint)2024/EAF Gent 5935 05012024.pdf?csf=1&amp;web=1&amp;e=e6lTYz" xr:uid="{D3431BA8-4669-46F7-9248-ABF2DBDA760C}"/>
    <hyperlink ref="G354" r:id="rId508" display="../../../../../../:b:/r/teams/CTM-OTGentStad/Shared Documents/General/EAF/CSI(nieuwe sharepoint)2024/EAF Gent 06092024.pdf?csf=1&amp;web=1&amp;e=Mzhrwe" xr:uid="{C7C81001-A0E0-42A9-A30D-DCF3A6C8486F}"/>
    <hyperlink ref="G288" r:id="rId509" display="../../../../../../:b:/r/teams/CTM-OTGentStad/Shared Documents/General/EAF/CSI(nieuwe sharepoint)2024/EAF Gent 12012024.pdf?csf=1&amp;web=1&amp;e=yoeY89" xr:uid="{0894B335-DDD4-42AE-BDA0-21B9A030FCB8}"/>
    <hyperlink ref="G128" r:id="rId510" display="../../../../../../:b:/r/teams/CTM-OTGentStad/Shared Documents/General/EAF/CSI(nieuwe sharepoint)2024/EAF Gent 24032024 Mossa Toubadie.pdf?csf=1&amp;web=1&amp;e=wSavHQ" xr:uid="{97C646B3-D8D9-4F9D-9D3D-FE3E48168429}"/>
    <hyperlink ref="G182" r:id="rId511" display="../../../../../../:b:/r/teams/CTM-OTGentStad/Shared Documents/General/EAF/CSI(nieuwe sharepoint)2024/EAF Gent 30042024.pdf?csf=1&amp;web=1&amp;e=nvI6d5" xr:uid="{BA1B9E59-D26B-4AB9-B6F9-7B01DF65F991}"/>
    <hyperlink ref="G12" r:id="rId512" display="../../../../../../:b:/r/teams/CTM-OTGentStad/Shared Documents/General/EAF/CSI(nieuwe sharepoint)2024/EAF Gent Brugsepoort 5237 11.01.2024.pdf?csf=1&amp;web=1&amp;e=IlLTCE" xr:uid="{739AAB43-396F-4EC4-9366-3F181CA2253A}"/>
    <hyperlink ref="G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G436" r:id="rId514" display="../../../../../../:b:/r/teams/CTM-OTGentStad/Shared Documents/General/EAF/CSI(nieuwe sharepoint)2024/EAF Gent Sint Pieters 06012024.pdf?csf=1&amp;web=1&amp;e=cmcO9u" xr:uid="{177C61AC-E97F-4D5D-AF7B-6F9C6395041A}"/>
    <hyperlink ref="G16" r:id="rId515" display="../../../../../../:b:/r/teams/CTM-OTGentStad/Shared Documents/General/EAF/CSI(nieuwe sharepoint)2024/EAF Gent Sint-Pietersstation 2197 12.01.2024.pdf?csf=1&amp;web=1&amp;e=X6V4xH" xr:uid="{69889DB9-708D-4B53-A403-810B95AF23BE}"/>
    <hyperlink ref="G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G19" r:id="rId517" display="../../../../../../:b:/r/teams/CTM-OTGentStad/Shared Documents/General/EAF/CSI(nieuwe sharepoint)2024/EAF Gentsesteenweg Deinze 5042 15012024.pdf?csf=1&amp;web=1&amp;e=1e0liK" xr:uid="{76EA4AB3-8A74-416C-A729-989304C419B8}"/>
    <hyperlink ref="G87" r:id="rId518" display="../../../../../../:b:/r/teams/CTM-OTGentStad/Shared Documents/General/EAF/CSI(nieuwe sharepoint)2024/EAF Heerweg-Noord Zwijnaarde 6357 01.03.2024.pdf?csf=1&amp;web=1&amp;e=W1HcGk" xr:uid="{367F7CB3-0B66-4E21-98A7-D1C95ABF8B3F}"/>
    <hyperlink ref="G169" r:id="rId519" display="../../../../../../:b:/r/teams/CTM-OTGentStad/Shared Documents/General/EAF/CSI(nieuwe sharepoint)2024/EAF Koning Albertlaan Gent 2207 22.04.2024.pdf?csf=1&amp;web=1&amp;e=jni0A6" xr:uid="{DBE9064E-5762-422F-A673-CA86A99FD096}"/>
    <hyperlink ref="G155" r:id="rId520" display="../../../../../../:b:/r/teams/CTM-OTGentStad/Shared Documents/General/EAF/CSI(nieuwe sharepoint)2024/EAF Kouter Gent  5932 15.04.2024.pdf?csf=1&amp;web=1&amp;e=qfdIQv" xr:uid="{FF4FEF07-C2A0-4DEF-84FE-85A322B085BB}"/>
    <hyperlink ref="G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G126" r:id="rId522" display="../../../../../../:b:/r/teams/CTM-OTGentStad/Shared Documents/General/EAF/CSI(nieuwe sharepoint)2024/EAF Nazarethsesteenweg Deinze 5047 22.03.2024.pdf?csf=1&amp;web=1&amp;e=wWmwol" xr:uid="{52214B2E-6C4E-4D11-BA0B-E3F275200E4A}"/>
    <hyperlink ref="G118" r:id="rId523" display="../../../../../../:b:/r/teams/CTM-OTGentStad/Shared Documents/General/EAF/CSI(nieuwe sharepoint)2024/EAF Oktrooiplein Gent AB5233 20.03.2024.pdf?csf=1&amp;web=1&amp;e=84F5v2" xr:uid="{AD71EFBC-FA0D-460E-81FD-1B66350B22A9}"/>
    <hyperlink ref="G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G205" r:id="rId525" display="../../../../../../:b:/r/teams/CTM-OTGentStad/Shared Documents/General/EAF/CSI(nieuwe sharepoint)2024/EAF Segersplein Gent AB2205 16.05.2024.pdf?csf=1&amp;web=1&amp;e=wdPSqn" xr:uid="{AB5EDD5B-138F-4845-BD28-E1625D52C3BF}"/>
    <hyperlink ref="G285" r:id="rId526" display="../../../../../../:b:/r/teams/CTM-OTGentStad/Shared Documents/General/EAF/CSI(nieuwe sharepoint)2024/EAF Tolhuislaan 10072024.pdf?csf=1&amp;web=1&amp;e=mCYWQX" xr:uid="{C516BE93-805F-4415-8FCC-DDE9F785186E}"/>
    <hyperlink ref="G241" r:id="rId527" display="../../../../../../:b:/r/teams/CTM-OTGentStad/Shared Documents/General/EAF/CSI(nieuwe sharepoint)2024/EAF Tolhuislaan Gent AB 2204 10.06.2024.pdf?csf=1&amp;web=1&amp;e=oIGycL" xr:uid="{5D0F0C7F-856F-4DE7-A47A-B95A34EDA6C0}"/>
    <hyperlink ref="G213" r:id="rId528" display="../../../../../../:b:/r/teams/CTM-OTGentStad/Shared Documents/General/EAF/CSI(nieuwe sharepoint)2024/EAF Tolhuislaan Gent AB 5372 23.05.2024.pdf?csf=1&amp;web=1&amp;e=clu0yW" xr:uid="{A6127BC4-E878-47DB-9298-204D8EE6E258}"/>
    <hyperlink ref="G253" r:id="rId529" display="../../../../../../:b:/r/teams/CTM-OTGentStad/Shared Documents/General/EAF/CSI(nieuwe sharepoint)2024/EAF Tolhuislaan Gent AB 5917 15.06.2024.pdf?csf=1&amp;web=1&amp;e=fmyHcw" xr:uid="{6CEDA0A3-D1D1-4D22-8D39-0160865CFF4F}"/>
    <hyperlink ref="G249" r:id="rId530" display="../../../../../../:b:/r/teams/CTM-OTGentStad/Shared Documents/General/EAF/CSI(nieuwe sharepoint)2024/EAF Tolhuislaan Gent AB 222478 13.06.2024.pdf?csf=1&amp;web=1&amp;e=2tz8cF" xr:uid="{9122CEC9-72E5-450E-B445-C420372E7297}"/>
    <hyperlink ref="G174" r:id="rId531" display="../../../../../../:b:/r/teams/CTM-OTGentStad/Shared Documents/General/EAF/CSI(nieuwe sharepoint)2024/EAF Tolhuislaan Gent AB 614040 27.04.2024.pdf?csf=1&amp;web=1&amp;e=f2XmeF" xr:uid="{86F44152-7E08-4DD9-8AD6-405457EC6946}"/>
    <hyperlink ref="G58" r:id="rId532" display="../../../../../../:b:/r/teams/CTM-OTGentStad/Shared Documents/General/EAF/CSI(nieuwe sharepoint)2024/EAF Zwijnaardsesteenweg Gent 5926 13.02.2024.pdf?csf=1&amp;web=1&amp;e=Fa2o2I" xr:uid="{00F39016-44EF-4DC0-8DC0-1A062A0D109F}"/>
    <hyperlink ref="G814" r:id="rId533" xr:uid="{150DA4FD-1711-4867-B634-D05F4AEFF1A7}"/>
    <hyperlink ref="G559" r:id="rId534" xr:uid="{D4A9EBC2-7040-472D-9CD7-25E0CD73A803}"/>
    <hyperlink ref="G696" r:id="rId535" xr:uid="{863C6FA1-A756-4D70-AC71-51E5A76689C5}"/>
    <hyperlink ref="G542" r:id="rId536" xr:uid="{DACDB412-C833-4291-9C28-79BA532569AA}"/>
    <hyperlink ref="G544" r:id="rId537" xr:uid="{0B00DD93-46E6-429E-BC0E-941F7DDDCE2A}"/>
    <hyperlink ref="G518" r:id="rId538" xr:uid="{225EB26C-7772-460F-A73C-0F374D7AF285}"/>
    <hyperlink ref="G516" r:id="rId539" xr:uid="{BD0527B6-7BCC-4011-AFE4-A7A21EEA6DF1}"/>
    <hyperlink ref="G560" r:id="rId540" xr:uid="{C2CD05F9-E24E-4861-A589-1C820F320F9E}"/>
    <hyperlink ref="G519" r:id="rId541" xr:uid="{FE436817-0B4F-438C-A63D-C51B18F105A4}"/>
    <hyperlink ref="G554" r:id="rId542" xr:uid="{4A3BDEF3-14A7-45E2-8146-4BAA33388E54}"/>
    <hyperlink ref="G531" r:id="rId543" xr:uid="{56E8F87E-FC9C-4191-9A01-2285D988C8C0}"/>
    <hyperlink ref="G547" r:id="rId544" xr:uid="{3BF788E9-2462-4020-AC4B-A66BB6793883}"/>
    <hyperlink ref="G528" r:id="rId545" xr:uid="{67C81648-7A07-49F8-9510-14AC3651BFAC}"/>
    <hyperlink ref="G553" r:id="rId546" xr:uid="{D17842E8-28B7-4700-8F51-1BF6AAFEEDED}"/>
    <hyperlink ref="G817" r:id="rId547" xr:uid="{1D07BE5F-6D45-449E-A856-72ABC302C426}"/>
    <hyperlink ref="G816" r:id="rId548" xr:uid="{74CF06CF-A463-4FAA-9D33-6F2484FDFE16}"/>
    <hyperlink ref="G815" r:id="rId549" xr:uid="{4D2D47F3-D93E-4E06-A609-F6F31A503B9E}"/>
    <hyperlink ref="G820" r:id="rId550" xr:uid="{BB3ADF8B-2677-4058-AC30-13299C7C8573}"/>
    <hyperlink ref="G819" r:id="rId551" xr:uid="{F243989D-7F6A-4CAE-A35A-DDFC357040CB}"/>
    <hyperlink ref="G818" r:id="rId552" xr:uid="{E058195F-A560-43AD-B42C-D9F293BF83BE}"/>
    <hyperlink ref="G809" r:id="rId553" xr:uid="{E23FAE86-C71A-42EC-8B47-C80E9CF9E459}"/>
    <hyperlink ref="G810" r:id="rId554" xr:uid="{56031605-4B81-4A26-9C04-859AC6BC7199}"/>
    <hyperlink ref="G821" r:id="rId555" xr:uid="{37F3A534-9157-4431-A907-DA8F76A26E11}"/>
    <hyperlink ref="G796" r:id="rId556" xr:uid="{3B159F39-D1EE-4FFE-B00F-CD5A30667FFD}"/>
    <hyperlink ref="G524" r:id="rId557" xr:uid="{D0BD2ED7-E6F8-44FF-AA5C-9C16A6C1804B}"/>
    <hyperlink ref="G517" r:id="rId558" xr:uid="{F33A1740-8EB8-4025-8F53-80BACD691CA6}"/>
    <hyperlink ref="G557" r:id="rId559" xr:uid="{9D95C12D-8E65-4229-9718-A51321D9D94F}"/>
    <hyperlink ref="G555" r:id="rId560" xr:uid="{E4224694-117F-4F4F-9BF7-195BE73397D9}"/>
    <hyperlink ref="G545" r:id="rId561" xr:uid="{C8F55B2D-0BB9-4A25-9B22-6ED11D2439AC}"/>
    <hyperlink ref="G558" r:id="rId562" xr:uid="{086A88D0-A6B0-4F2C-A4EA-1445ED053D6B}"/>
    <hyperlink ref="G549" r:id="rId563" xr:uid="{C251BE52-D64A-40F3-8DC1-707966587D02}"/>
    <hyperlink ref="G550" r:id="rId564" xr:uid="{C7F96931-1F41-4392-BB45-AB92C7E8FFD7}"/>
    <hyperlink ref="G540" r:id="rId565" xr:uid="{730C7AE1-7643-4719-8632-C64D319771B0}"/>
    <hyperlink ref="G546" r:id="rId566" xr:uid="{D2369495-C800-435E-BFFA-8E9093A0F80C}"/>
    <hyperlink ref="G537" r:id="rId567" xr:uid="{0008102A-7EB8-4F37-BAC1-D6E4CC390730}"/>
    <hyperlink ref="G543" r:id="rId568" xr:uid="{351AB9DA-E3BE-4B59-ACEA-9324F3745699}"/>
    <hyperlink ref="G548" r:id="rId569" xr:uid="{899603D8-6E8D-4C79-924A-93406B78EE6B}"/>
    <hyperlink ref="G535" r:id="rId570" xr:uid="{A9F5798F-300C-4BC1-A1B4-06B6054503B7}"/>
    <hyperlink ref="G534" r:id="rId571" xr:uid="{81401BA5-C27E-4D6E-A3BE-13A3DE7927D3}"/>
    <hyperlink ref="G538" r:id="rId572" xr:uid="{8B0F07D6-AE8A-451D-8D1C-41E66AA0B123}"/>
    <hyperlink ref="G532" r:id="rId573" xr:uid="{F8D24394-978E-485C-8512-376B34C9D206}"/>
    <hyperlink ref="G536" r:id="rId574" xr:uid="{75BDEF6D-E245-4089-9D06-E52A0E0E795D}"/>
    <hyperlink ref="G533" r:id="rId575" xr:uid="{E465F374-DB36-41EF-9408-9AAAF868BAFE}"/>
    <hyperlink ref="G525" r:id="rId576" xr:uid="{3DE33E38-BC69-43E7-A2F4-FF3992FBB1C9}"/>
    <hyperlink ref="G526" r:id="rId577" xr:uid="{FC00D559-9EF1-4F91-AD31-31D9EA911704}"/>
    <hyperlink ref="G529" r:id="rId578" xr:uid="{C7205737-9829-4547-A889-2926DD023738}"/>
    <hyperlink ref="G527" r:id="rId579" xr:uid="{58642315-5AF4-42F7-BEE7-55CBCF1C9245}"/>
    <hyperlink ref="G522" r:id="rId580" xr:uid="{9F8B2670-1D8E-490C-BA83-01C7BEF546C6}"/>
    <hyperlink ref="G515" r:id="rId581" xr:uid="{82C47FF0-C30B-4A63-B16D-8D26943A680A}"/>
    <hyperlink ref="G575" r:id="rId582" xr:uid="{2EDE9429-F341-4878-AB9F-AF725DA96FB3}"/>
    <hyperlink ref="G584" r:id="rId583" xr:uid="{D0A8B0FF-DF89-4F65-839E-1E68205C5FFF}"/>
    <hyperlink ref="G601" r:id="rId584" xr:uid="{2E040C5D-D095-44E3-B108-B706873F4965}"/>
    <hyperlink ref="G593" r:id="rId585" xr:uid="{C380338D-B4EB-403F-8201-FF24A466E0AE}"/>
    <hyperlink ref="G562" r:id="rId586" xr:uid="{898BACA9-0B24-4041-83A0-D0979000C0A0}"/>
    <hyperlink ref="G581" r:id="rId587" xr:uid="{F35FBE87-2C1F-4A44-AB97-02EB30AC6E6E}"/>
    <hyperlink ref="G578" r:id="rId588" xr:uid="{4D737CE6-73A6-4025-8559-A716C852BB95}"/>
    <hyperlink ref="G571" r:id="rId589" xr:uid="{0FC9E311-23DD-4419-B96B-98BEF4FED6F2}"/>
    <hyperlink ref="G563" r:id="rId590" xr:uid="{CD2DBC0B-1260-46CE-84BB-78105AC98D90}"/>
    <hyperlink ref="G569" r:id="rId591" xr:uid="{E3AA322B-9412-406B-8DCF-EA1782F3C537}"/>
    <hyperlink ref="G597" r:id="rId592" xr:uid="{145D5B93-B022-4AA5-BCE0-1F27B283997C}"/>
    <hyperlink ref="G599" r:id="rId593" xr:uid="{EC15FBBC-3DD8-418C-B6A0-2A05877526FA}"/>
    <hyperlink ref="G586" r:id="rId594" xr:uid="{F9FC5F25-4055-4C41-B010-4340642B1532}"/>
    <hyperlink ref="G591" r:id="rId595" xr:uid="{EC00F961-65B6-466B-B885-D48582405F11}"/>
    <hyperlink ref="G590" r:id="rId596" xr:uid="{07F0B742-6CE5-4373-91E8-D4D1692F9DC3}"/>
    <hyperlink ref="G607" r:id="rId597" xr:uid="{7FA0A5F5-AA81-4888-A3D8-56C51C832365}"/>
    <hyperlink ref="G589" r:id="rId598" xr:uid="{AB21B84C-4547-4A3C-BB78-3A25340BB2F7}"/>
    <hyperlink ref="G594" r:id="rId599" xr:uid="{39217EE0-75C0-4402-B10E-A014D4704D80}"/>
    <hyperlink ref="G605" r:id="rId600" xr:uid="{83E41EC9-3241-447D-B3D2-B8BBE514E846}"/>
    <hyperlink ref="G583" r:id="rId601" xr:uid="{9B7CC6C0-DE32-42AF-A032-A7DE6B20A49A}"/>
    <hyperlink ref="G570" r:id="rId602" xr:uid="{0B1560EE-DF6A-4F3C-95E1-15E330022847}"/>
    <hyperlink ref="G565" r:id="rId603" xr:uid="{516D4D8A-BCD6-4BD2-A762-62154B283621}"/>
    <hyperlink ref="G568" r:id="rId604" xr:uid="{8DC45460-FF99-4B45-B29A-DF778ECF6172}"/>
    <hyperlink ref="G574" r:id="rId605" xr:uid="{1BC6803B-76CD-4B8F-B5A4-9C3613CBA4F2}"/>
    <hyperlink ref="G580" r:id="rId606" xr:uid="{A4B53BAE-D44A-4347-A973-54F4E0FF678D}"/>
    <hyperlink ref="G579" r:id="rId607" xr:uid="{9688A2CA-6817-402E-BB11-1FFE0CE3D72A}"/>
    <hyperlink ref="G596" r:id="rId608" xr:uid="{CDAA5689-B753-4C35-9F3B-F46334AA0D28}"/>
    <hyperlink ref="G582" r:id="rId609" xr:uid="{3DAC90A6-8D42-4FEE-AF74-97C01BD7600E}"/>
    <hyperlink ref="G577" r:id="rId610" xr:uid="{E1DB103D-F090-4258-8E3B-055683FCD7B4}"/>
    <hyperlink ref="G603" r:id="rId611" xr:uid="{3D1FAB95-5B8B-4634-B0B4-7DB8CC60FFB8}"/>
    <hyperlink ref="G561" r:id="rId612" xr:uid="{043D990C-2F93-4782-B504-B8CA72F45A43}"/>
    <hyperlink ref="G608" r:id="rId613" xr:uid="{1F54DB39-AE2C-4D07-A41A-12435C3E02CE}"/>
    <hyperlink ref="G598" r:id="rId614" xr:uid="{89D6702A-34CC-4980-B10A-5BA92B354176}"/>
    <hyperlink ref="G576" r:id="rId615" xr:uid="{77330D35-BD0B-4CB7-9F5A-65D536231B32}"/>
    <hyperlink ref="G609" r:id="rId616" xr:uid="{478E4DD9-50AE-4E56-8AAD-BF7B5CB410CD}"/>
    <hyperlink ref="G572" r:id="rId617" xr:uid="{95E8979D-9B42-4992-8BAF-3E4668DFB37A}"/>
    <hyperlink ref="G604" r:id="rId618" xr:uid="{A5A32A1E-3517-41A7-94F5-1E7E58CB0021}"/>
    <hyperlink ref="G567" r:id="rId619" xr:uid="{10324561-F0B5-4F2C-A30E-0CCC67F69554}"/>
    <hyperlink ref="G592" r:id="rId620" xr:uid="{5F8DF6C1-8BAD-4816-B651-79AB4DC08D38}"/>
    <hyperlink ref="G573" r:id="rId621" xr:uid="{B935B8C7-66A1-48FB-97B5-581A072674C9}"/>
    <hyperlink ref="G631" r:id="rId622" xr:uid="{96DD215D-8D77-42B5-87FD-AAD46745E6CE}"/>
    <hyperlink ref="G614" r:id="rId623" xr:uid="{25E3891C-A841-4FAD-8848-83BCDA07B07D}"/>
    <hyperlink ref="G642" r:id="rId624" xr:uid="{6B2453B4-DE64-4299-98A6-04B583A216BE}"/>
    <hyperlink ref="G635" r:id="rId625" xr:uid="{ABB49E0F-D960-4CBD-9512-B12078CCF062}"/>
    <hyperlink ref="G639" r:id="rId626" xr:uid="{310C0FCD-B925-4842-B943-ECA2DEB634D8}"/>
    <hyperlink ref="G646" r:id="rId627" xr:uid="{DF068475-DB5A-4B55-AC50-4551B49647A5}"/>
    <hyperlink ref="G634" r:id="rId628" xr:uid="{96287227-49F7-4F9C-AB86-3F9606F24C0C}"/>
    <hyperlink ref="G640" r:id="rId629" xr:uid="{56BCDB2C-7703-45F5-A312-C5E893E4471F}"/>
    <hyperlink ref="G644" r:id="rId630" xr:uid="{DB7207BC-37CA-486F-B566-C1D2EEC1D98C}"/>
    <hyperlink ref="G627" r:id="rId631" xr:uid="{EB1DE0E7-525B-41A5-B65D-E4EFDD71FA50}"/>
    <hyperlink ref="G628" r:id="rId632" xr:uid="{9EC01C6F-6C00-4ADD-9130-4C36DFCB9779}"/>
    <hyperlink ref="G650" r:id="rId633" xr:uid="{93F4F107-6055-4000-B994-82766AC2F8B3}"/>
    <hyperlink ref="G645" r:id="rId634" xr:uid="{7CF19AB4-E4D1-4E84-8F6B-D30EEFAB42E5}"/>
    <hyperlink ref="G626" r:id="rId635" xr:uid="{AD2BAD26-D2CD-4C3C-A625-0421ABE6776E}"/>
    <hyperlink ref="G636" r:id="rId636" xr:uid="{AB528683-13E1-43EF-9397-0F1EA0A95500}"/>
    <hyperlink ref="G620" r:id="rId637" xr:uid="{63D05921-89F2-42B2-8802-476070CE7486}"/>
    <hyperlink ref="G629" r:id="rId638" xr:uid="{7511178A-2DAB-45C1-B7D5-E5AB38820A3D}"/>
    <hyperlink ref="G651" r:id="rId639" xr:uid="{3A3EB255-474E-47F0-A53A-051803ED74C0}"/>
    <hyperlink ref="G647" r:id="rId640" xr:uid="{768F261D-495B-41EC-B1C0-677BBCBABEC5}"/>
    <hyperlink ref="G643" r:id="rId641" xr:uid="{CC1D23EA-2FA4-475A-B130-CAFDD977883C}"/>
    <hyperlink ref="G633" r:id="rId642" xr:uid="{4532DF16-2F25-4398-A9D2-C64BCAC2623A}"/>
    <hyperlink ref="G638" r:id="rId643" xr:uid="{DBF3EEA2-E5BA-4578-9529-31D42BC09EE8}"/>
    <hyperlink ref="G622" r:id="rId644" xr:uid="{6DBCD5CC-7915-4AD2-ACB7-9AF638A8D476}"/>
    <hyperlink ref="G637" r:id="rId645" xr:uid="{ABEA59BF-FF44-4925-AA21-B49F73E586F9}"/>
    <hyperlink ref="G649" r:id="rId646" xr:uid="{6ADC597C-C276-4C62-8E82-A4969ACC73EF}"/>
    <hyperlink ref="G630" r:id="rId647" xr:uid="{2FBBADAF-55DB-491E-AD6E-CBCBA567C379}"/>
    <hyperlink ref="G632" r:id="rId648" xr:uid="{FC933634-D1AA-401F-9EC8-E2A2DA5B1806}"/>
    <hyperlink ref="G648" r:id="rId649" xr:uid="{B0C3DC5B-76AF-4980-9ED1-806AF6657A94}"/>
    <hyperlink ref="G613" r:id="rId650" xr:uid="{26A56EE1-DB69-411D-ACCF-185580542394}"/>
    <hyperlink ref="G641" r:id="rId651" xr:uid="{CCE2BD31-28A5-4D0E-89EE-5DB37DEC1506}"/>
    <hyperlink ref="G611" r:id="rId652" xr:uid="{D422ED3F-5E9D-4F5A-A8B1-B5ED221AA5CB}"/>
    <hyperlink ref="G612" r:id="rId653" xr:uid="{1EEB36FB-467C-4173-9337-6930BD20E5BF}"/>
    <hyperlink ref="G616" r:id="rId654" xr:uid="{4A86C2AA-47F9-4BF7-8520-E38A909DD226}"/>
    <hyperlink ref="G615" r:id="rId655" xr:uid="{80485985-F15E-473A-982F-1696C89487EF}"/>
    <hyperlink ref="G621" r:id="rId656" xr:uid="{C011010E-C6E0-4E9F-8C53-F07785B63047}"/>
    <hyperlink ref="G618" r:id="rId657" xr:uid="{083F9CE9-FB70-4A23-968F-174CB60F5F3C}"/>
    <hyperlink ref="G619" r:id="rId658" xr:uid="{5DBEABD7-9276-4526-98A7-F5BD247071FC}"/>
    <hyperlink ref="G617" r:id="rId659" xr:uid="{9152E7DD-8182-4F52-B2D5-9C32E77A51E3}"/>
    <hyperlink ref="G623" r:id="rId660" xr:uid="{01D51050-FBEA-4B59-8B56-73F47A55F718}"/>
    <hyperlink ref="G624" r:id="rId661" xr:uid="{6E0D216D-F35E-408D-A4BA-9CB81B5BDEF6}"/>
    <hyperlink ref="G625" r:id="rId662" xr:uid="{B3851F33-F581-4CD5-B45F-70F07B9370B5}"/>
    <hyperlink ref="G657" r:id="rId663" xr:uid="{C2DA7E70-657B-451F-BE61-5753ED491960}"/>
    <hyperlink ref="G663" r:id="rId664" xr:uid="{E760B65F-D437-4A82-ADB0-CE57C56613BB}"/>
    <hyperlink ref="G677" r:id="rId665" xr:uid="{389D8CFC-6E96-47C9-95C2-6D0DC5FDC47F}"/>
    <hyperlink ref="G687" r:id="rId666" xr:uid="{D2F96A81-C7E3-4D73-A9D6-8A3776AEECF0}"/>
    <hyperlink ref="G656" r:id="rId667" xr:uid="{6A2967DA-72F6-4A66-BEB1-06B967D72FB9}"/>
    <hyperlink ref="G655" r:id="rId668" xr:uid="{F10DFD8F-A4E6-41F4-BE12-01AC9829729E}"/>
    <hyperlink ref="G690" r:id="rId669" xr:uid="{DCEB82AA-5B00-4B67-8A9B-4E25B22FF280}"/>
    <hyperlink ref="G654" r:id="rId670" xr:uid="{BB9AC7A1-5FDB-4793-9AA6-3BB716B0C417}"/>
    <hyperlink ref="G670" r:id="rId671" xr:uid="{4CBA8A86-B0FD-497B-A600-0A4526F783DB}"/>
    <hyperlink ref="G662" r:id="rId672" xr:uid="{D79D5AFE-C6AE-4FA5-A4C4-9789128877A0}"/>
    <hyperlink ref="G673" r:id="rId673" xr:uid="{87D82A19-8903-4915-BAF9-F10A723DAE7D}"/>
    <hyperlink ref="G661" r:id="rId674" xr:uid="{0726CA3F-D1B7-4365-8444-071E08AB4843}"/>
    <hyperlink ref="G658" r:id="rId675" xr:uid="{4DABF424-4C2A-4687-9B10-293A0FA9CC8F}"/>
    <hyperlink ref="G669" r:id="rId676" xr:uid="{708E88D7-B2D1-4C38-9F56-2D3CEA54003B}"/>
    <hyperlink ref="G689" r:id="rId677" xr:uid="{4D1CA8F5-6233-474B-A545-0E94FA4DC8F3}"/>
    <hyperlink ref="G679" r:id="rId678" xr:uid="{14267202-C2D0-4352-8EB8-846DAF2A0233}"/>
    <hyperlink ref="G675" r:id="rId679" xr:uid="{648D6711-B4FB-49BE-91E9-C9B8326515D3}"/>
    <hyperlink ref="G694" r:id="rId680" xr:uid="{A1731FAA-3015-41C5-8D89-A3BC6FF922C1}"/>
    <hyperlink ref="G684" r:id="rId681" xr:uid="{FB514E15-C32B-496E-B7E0-17F9FFE4F17A}"/>
    <hyperlink ref="G676" r:id="rId682" xr:uid="{5808F782-76C6-429E-96A0-A064A37AB21C}"/>
    <hyperlink ref="G678" r:id="rId683" xr:uid="{0959C9E6-7835-43BF-8547-BF481EE80D5F}"/>
    <hyperlink ref="G688" r:id="rId684" xr:uid="{E52DBEBD-5887-4E06-947D-8EBE36982A82}"/>
    <hyperlink ref="G685" r:id="rId685" xr:uid="{BEDB739D-737F-46F1-8D57-3FC8CC982198}"/>
    <hyperlink ref="G672" r:id="rId686" xr:uid="{2C8D7F5E-0E75-41BC-BBB4-A9211236EFFC}"/>
    <hyperlink ref="G660" r:id="rId687" xr:uid="{F99B1E7C-2349-405E-AA64-6967C432A75C}"/>
    <hyperlink ref="G682" r:id="rId688" xr:uid="{7C2A0286-1324-4403-B4DD-361A1DE5D0D9}"/>
    <hyperlink ref="G693" r:id="rId689" xr:uid="{A843F00B-7BAC-4217-9322-AFAA44197BF0}"/>
    <hyperlink ref="G652" r:id="rId690" xr:uid="{7B9D040B-C241-4309-A54F-21F4A2598A78}"/>
    <hyperlink ref="G653" r:id="rId691" xr:uid="{D015F0C9-969C-41A7-B05D-E8B186DD2A94}"/>
    <hyperlink ref="G667" r:id="rId692" xr:uid="{3C13EDDC-696D-4A5F-8A9E-BF272DB24513}"/>
    <hyperlink ref="G674" r:id="rId693" xr:uid="{E34F6C64-B60F-4F48-B4F1-8F9AACEBD075}"/>
    <hyperlink ref="G671" r:id="rId694" xr:uid="{220AA725-B3A5-4243-828D-E1C53155A150}"/>
    <hyperlink ref="G691" r:id="rId695" xr:uid="{BD4E9079-B973-4420-B1FD-4BF6FB1C7BE3}"/>
    <hyperlink ref="G686" r:id="rId696" xr:uid="{9B75B6EB-4972-47F4-A52E-FEF937B469CF}"/>
    <hyperlink ref="G665" r:id="rId697" xr:uid="{B58AB238-8D14-4EBC-B9DB-4A28D670C5DE}"/>
    <hyperlink ref="G680" r:id="rId698" xr:uid="{5173BAAC-F800-464C-B1AE-88F401557E13}"/>
    <hyperlink ref="G683" r:id="rId699" xr:uid="{484C4C1C-5CCC-486B-A82C-68FA2983E0DC}"/>
    <hyperlink ref="G659" r:id="rId700" xr:uid="{103C09BE-ED5D-4747-B5EA-48E902C6140F}"/>
    <hyperlink ref="G664" r:id="rId701" xr:uid="{251288C3-BF64-4860-9A54-41802A975EDB}"/>
    <hyperlink ref="G666" r:id="rId702" xr:uid="{FAF8B960-BFE9-4FB4-9CC7-36E0BE491390}"/>
    <hyperlink ref="G668" r:id="rId703" xr:uid="{6949557C-A40F-49B7-BB27-5E184F540F37}"/>
    <hyperlink ref="G681" r:id="rId704" xr:uid="{BA558B59-A969-4F15-8D2F-64FA1E58F79D}"/>
    <hyperlink ref="G692" r:id="rId705" xr:uid="{6D11B92B-7522-488B-A553-08C77073F8DF}"/>
    <hyperlink ref="G718" r:id="rId706" xr:uid="{A432BF3B-B956-4B79-A609-35525C4FFC9D}"/>
    <hyperlink ref="G722" r:id="rId707" xr:uid="{B09855AE-7B80-4B3A-911C-960610B88F94}"/>
    <hyperlink ref="G726" r:id="rId708" xr:uid="{EB8F3410-4B22-4544-A2C6-9E83C2900923}"/>
    <hyperlink ref="G724" r:id="rId709" xr:uid="{03AA8935-8534-457F-8190-65FC4AD3BB0D}"/>
    <hyperlink ref="G714" r:id="rId710" xr:uid="{F4EFC8AC-0CB9-4AD7-92FA-021D8A8DC863}"/>
    <hyperlink ref="G723" r:id="rId711" xr:uid="{593C82B9-E6E1-4283-9A5A-1601224BACAE}"/>
    <hyperlink ref="G721" r:id="rId712" xr:uid="{A0977BE1-A651-41F4-AE35-711937967CEF}"/>
    <hyperlink ref="G710" r:id="rId713" xr:uid="{F49DB4A0-BC81-4A06-9A32-5C72DB73A3BA}"/>
    <hyperlink ref="G717" r:id="rId714" xr:uid="{1FA4F1A2-C68C-43F7-B1C4-BA99F25F26CE}"/>
    <hyperlink ref="G720" r:id="rId715" xr:uid="{3AAD246B-25BE-4D96-817A-D6CB2F311E44}"/>
    <hyperlink ref="G715" r:id="rId716" xr:uid="{18B2D28D-956E-4BA4-AFA1-1B87456A0A2C}"/>
    <hyperlink ref="G716" r:id="rId717" xr:uid="{B22F530F-E864-4C38-8989-BD6CCCFFE2C2}"/>
    <hyperlink ref="G713" r:id="rId718" xr:uid="{83DE97E8-FA36-495A-88E8-38CAC06F844C}"/>
    <hyperlink ref="G703" r:id="rId719" xr:uid="{5C67D965-A539-410D-A59A-D6AEF2A02C03}"/>
    <hyperlink ref="G711" r:id="rId720" xr:uid="{FC61B223-3866-4716-9F84-568EC3B46547}"/>
    <hyperlink ref="G706" r:id="rId721" xr:uid="{D85F952D-CB1B-44F4-B28A-6C3D09476CF2}"/>
    <hyperlink ref="G699" r:id="rId722" xr:uid="{5568D8F3-F32F-4736-A916-963C9CCB47FA}"/>
    <hyperlink ref="G695" r:id="rId723" xr:uid="{B723EA80-581E-475A-B68D-9A836974DD11}"/>
    <hyperlink ref="G709" r:id="rId724" xr:uid="{0F637775-FD3B-4C08-8D6F-C589BFDB9CC9}"/>
    <hyperlink ref="G707" r:id="rId725" xr:uid="{51B51EB8-64EF-476E-ACD4-48008568D921}"/>
    <hyperlink ref="G705" r:id="rId726" xr:uid="{6939651F-8743-40D7-8248-7C59BC326531}"/>
    <hyperlink ref="G704" r:id="rId727" xr:uid="{AE840088-FA86-44F9-8AEA-7685D8FC1882}"/>
    <hyperlink ref="G702" r:id="rId728" xr:uid="{F06FFB0D-5885-4D14-8AC6-016C02308BD6}"/>
    <hyperlink ref="G701" r:id="rId729" xr:uid="{34E44BC6-0C9A-468D-8837-FC115CC6C91C}"/>
    <hyperlink ref="G700" r:id="rId730" xr:uid="{0ED0DD59-3557-4D96-AA95-5DC7A645AE06}"/>
    <hyperlink ref="G698" r:id="rId731" xr:uid="{A2170097-8EAE-46AC-9251-EF553AB1A9D6}"/>
    <hyperlink ref="G697" r:id="rId732" xr:uid="{F8BF4E85-D8D9-47D4-AB8E-C87937357FA9}"/>
    <hyperlink ref="G745" r:id="rId733" xr:uid="{4CE98016-D7E6-4D5E-912E-DED4D44F20AD}"/>
    <hyperlink ref="G743" r:id="rId734" xr:uid="{9321BFD9-F8A8-4656-8410-61658A528AC5}"/>
    <hyperlink ref="G762" r:id="rId735" xr:uid="{A92F0936-5E6B-42FE-85E7-A4B061C5DAD3}"/>
    <hyperlink ref="G761" r:id="rId736" xr:uid="{6049A51A-F4DF-4E73-8440-DE6F40AEBDD9}"/>
    <hyperlink ref="G763" r:id="rId737" xr:uid="{7928FACB-A4C4-47AE-B295-577B8CBBB398}"/>
    <hyperlink ref="G732" r:id="rId738" xr:uid="{941EBDF1-E734-4E5A-AA48-F30D0B24F93C}"/>
    <hyperlink ref="G759" r:id="rId739" xr:uid="{574AA468-D84B-4155-9894-72B740EF0AB1}"/>
    <hyperlink ref="G728" r:id="rId740" xr:uid="{E57FF12C-76E0-4A86-99D4-5E1538E38ACD}"/>
    <hyperlink ref="G736" r:id="rId741" xr:uid="{7E75644F-64CB-4F63-924E-F8365E75C71A}"/>
    <hyperlink ref="G737" r:id="rId742" xr:uid="{973F95B8-C132-4D72-96F7-C5CD97AB7E19}"/>
    <hyperlink ref="G753" r:id="rId743" xr:uid="{4511E0E2-3308-42B9-8AB9-1E3204BB4AB9}"/>
    <hyperlink ref="G758" r:id="rId744" xr:uid="{5805C3DE-57A9-46D6-9F19-1050F00D1E46}"/>
    <hyperlink ref="G742" r:id="rId745" xr:uid="{DAF3293A-AB51-4EAB-94D6-99379936EE9A}"/>
    <hyperlink ref="G729" r:id="rId746" xr:uid="{0D2FAD1A-6FB7-42BC-ACD4-2ED17239737A}"/>
    <hyperlink ref="G751" r:id="rId747" xr:uid="{C97D0CF5-D880-48AA-976A-46B72F6366E2}"/>
    <hyperlink ref="G740" r:id="rId748" xr:uid="{5B139B7F-C169-4457-832F-2CDEE69FD825}"/>
    <hyperlink ref="G750" r:id="rId749" xr:uid="{03CEA0C4-C067-4D36-8EC4-BD674608B5EC}"/>
    <hyperlink ref="G756" r:id="rId750" xr:uid="{7F799986-DE7E-4CB4-9450-D1751467B184}"/>
    <hyperlink ref="G733" r:id="rId751" xr:uid="{2FEEE5DD-8A0F-48EB-80CD-BE2AF1317FD9}"/>
    <hyperlink ref="G752" r:id="rId752" xr:uid="{95504083-0ADC-4023-97B7-A22841E41A0A}"/>
    <hyperlink ref="G725" r:id="rId753" xr:uid="{B3527575-B430-444E-9B0B-A3C05BCAB247}"/>
    <hyperlink ref="G727" r:id="rId754" xr:uid="{6A58F34B-5E83-417C-AE7D-F5176857093F}"/>
    <hyperlink ref="G730" r:id="rId755" xr:uid="{A65CEF8A-32E1-43C3-A6EE-B0328385DBFC}"/>
    <hyperlink ref="G749" r:id="rId756" xr:uid="{2C6873D5-430D-4DDD-932E-93E40910B97B}"/>
    <hyperlink ref="G748" r:id="rId757" xr:uid="{FCD32162-3212-4E63-83FF-A086C4015E85}"/>
    <hyperlink ref="G735" r:id="rId758" xr:uid="{43EDAC8C-154F-4594-876F-3F9377E4C0C1}"/>
    <hyperlink ref="G739" r:id="rId759" xr:uid="{8D3EABC5-7EEB-4300-9EC6-7B98D5F8E029}"/>
    <hyperlink ref="G757" r:id="rId760" xr:uid="{E0BA6773-6967-4D97-A6D9-16414C9EBA75}"/>
    <hyperlink ref="G731" r:id="rId761" xr:uid="{373A757C-29EC-4205-A1DA-27EEA898D2E7}"/>
    <hyperlink ref="G747" r:id="rId762" xr:uid="{E74A0A93-7E76-4BC0-99FA-7A5BB8BD7138}"/>
    <hyperlink ref="G754" r:id="rId763" xr:uid="{F37985B0-E9F1-438A-82A1-42D19BFF8F90}"/>
    <hyperlink ref="G738" r:id="rId764" xr:uid="{DCE67A40-B91D-42D6-B85F-800E2487CF07}"/>
    <hyperlink ref="G741" r:id="rId765" xr:uid="{23CA3DFE-A440-4845-ADDC-E00CDDC2FAB8}"/>
    <hyperlink ref="G755" r:id="rId766" xr:uid="{DC114D74-FDA1-4A5B-99B3-1F704C9F9E88}"/>
    <hyperlink ref="G760" r:id="rId767" xr:uid="{5FB200BE-8F49-4D2F-AF1F-5BDC0C88CA57}"/>
    <hyperlink ref="G734" r:id="rId768" xr:uid="{E9488F98-417D-45F0-AF31-42083D111195}"/>
    <hyperlink ref="G744" r:id="rId769" xr:uid="{F330EFD7-79BD-46D0-80F4-426AC08554CF}"/>
    <hyperlink ref="G746" r:id="rId770" xr:uid="{11491747-2133-49D4-A272-44F6FF53D9C6}"/>
    <hyperlink ref="G797" r:id="rId771" xr:uid="{93FCF700-48E1-4AAB-8495-FC2999DF82EF}"/>
    <hyperlink ref="G799" r:id="rId772" xr:uid="{254E9E40-B563-406B-8450-9FF9E949AC8C}"/>
    <hyperlink ref="G804" r:id="rId773" xr:uid="{8C7050E5-1548-47AD-9816-9F8590927730}"/>
    <hyperlink ref="G811" r:id="rId774" xr:uid="{298E54A3-9DBF-4CA6-8BA6-31974C23228C}"/>
    <hyperlink ref="G808" r:id="rId775" xr:uid="{1562B673-8C26-4B21-ACFD-266C8A1777FD}"/>
    <hyperlink ref="G807" r:id="rId776" xr:uid="{ED1DD83C-6022-4BD4-8146-1AD33BD7F5AA}"/>
    <hyperlink ref="G795" r:id="rId777" xr:uid="{8DEB09DF-90D5-4C0F-84ED-2C9E5F524D87}"/>
    <hyperlink ref="G801" r:id="rId778" xr:uid="{FA5FD159-9EBA-4548-9418-76FA3AEF3C15}"/>
    <hyperlink ref="G802" r:id="rId779" xr:uid="{77FF1940-85B2-4158-80F6-DBA00A0D3F48}"/>
    <hyperlink ref="G805" r:id="rId780" xr:uid="{59EF7A79-E073-4066-A0E3-4FBC18F26DDD}"/>
    <hyperlink ref="G803" r:id="rId781" xr:uid="{754E2135-D332-4D17-85A1-DC7CD58911BE}"/>
    <hyperlink ref="G789" r:id="rId782" xr:uid="{88F06494-6D83-4A92-B776-4B6746B0CDAD}"/>
    <hyperlink ref="G794" r:id="rId783" xr:uid="{DFC68BEC-B39F-4AC2-9D00-AF674412F4D1}"/>
    <hyperlink ref="G800" r:id="rId784" xr:uid="{D39377EB-7E62-4F41-B32C-DD7C8FD9FD9A}"/>
    <hyperlink ref="G798" r:id="rId785" xr:uid="{9929740E-87D0-46BF-BF92-B7A6F0F75EB5}"/>
    <hyperlink ref="G791" r:id="rId786" xr:uid="{E123B967-6F80-47D3-AA99-5D00D58C1C7B}"/>
    <hyperlink ref="G793" r:id="rId787" xr:uid="{BD1736A6-FDDE-4E2B-AEC4-56B7A59A4D9B}"/>
    <hyperlink ref="G792" r:id="rId788" xr:uid="{2C5F8736-DD9A-4211-A2E6-04D793B952E2}"/>
    <hyperlink ref="G790" r:id="rId789" xr:uid="{CAA0EEB7-98AD-4175-978B-3481CD4B09A2}"/>
    <hyperlink ref="G787" r:id="rId790" xr:uid="{B994F345-9D6F-49FE-936F-A1FF870DA159}"/>
    <hyperlink ref="G788" r:id="rId791" xr:uid="{4E7BD72F-64F1-4161-94B3-40F3EAD4DF8D}"/>
    <hyperlink ref="G782" r:id="rId792" xr:uid="{42CE2B8A-4445-4D38-A19B-27E617E5355F}"/>
    <hyperlink ref="G781" r:id="rId793" xr:uid="{77672107-1074-4CC5-B773-C90D586B98DC}"/>
    <hyperlink ref="G780" r:id="rId794" xr:uid="{B8BBF23F-600D-4EA8-8F9E-4C020A484596}"/>
    <hyperlink ref="G785" r:id="rId795" xr:uid="{DF5118FE-DD0A-43D5-A04A-F1BB5EC966CB}"/>
    <hyperlink ref="G784" r:id="rId796" xr:uid="{80154DBC-66DF-4433-A9D0-087580B052BE}"/>
    <hyperlink ref="G783" r:id="rId797" xr:uid="{DA9F6E43-F97B-474A-85EE-108BF5C95D67}"/>
    <hyperlink ref="G776" r:id="rId798" xr:uid="{AD697AE6-4666-4389-B2B4-38726DB31C7C}"/>
    <hyperlink ref="G777" r:id="rId799" xr:uid="{436AFDD6-523C-43FE-9A08-ED579E166D7F}"/>
    <hyperlink ref="G775" r:id="rId800" xr:uid="{D71CB4A7-6A12-475B-B09C-97A19E5BF7E7}"/>
    <hyperlink ref="G778" r:id="rId801" xr:uid="{86BB9DC2-49BD-4EA6-88AF-16451F0EF0F2}"/>
    <hyperlink ref="G766" r:id="rId802" xr:uid="{FF4ED1A0-310A-4193-BF64-B647931B2430}"/>
    <hyperlink ref="G774" r:id="rId803" xr:uid="{5C6636C1-94D3-4505-AC39-65A67FE4CB32}"/>
    <hyperlink ref="G770" r:id="rId804" xr:uid="{BB7CE327-230E-48A5-8741-25B18189C503}"/>
    <hyperlink ref="G771" r:id="rId805" xr:uid="{DD89C437-E14C-48AB-B80E-F8AF986B6A7D}"/>
    <hyperlink ref="G772" r:id="rId806" xr:uid="{5E6E094E-D08D-41A9-9AD4-AB96C0D2D0E5}"/>
    <hyperlink ref="G773" r:id="rId807" xr:uid="{738BBA94-39E1-4EAD-85E3-D6FD30B5D2A2}"/>
    <hyperlink ref="G769" r:id="rId808" xr:uid="{366A0727-3127-49A7-8A3D-1CF9FEDBA2C5}"/>
    <hyperlink ref="G767" r:id="rId809" xr:uid="{36071FA3-ED9D-4C49-BBE1-80EA68977EF9}"/>
    <hyperlink ref="G768" r:id="rId810" xr:uid="{6E08855B-C243-4269-AE79-8EAC47FB9816}"/>
    <hyperlink ref="G765" r:id="rId811" xr:uid="{3F757C3A-AABB-46B0-A376-7F8782AED0B7}"/>
    <hyperlink ref="G813" r:id="rId812" xr:uid="{E6EBA1DA-3AD1-419D-8F5E-43BB39D94529}"/>
    <hyperlink ref="G764" r:id="rId813" xr:uid="{713D8C42-321D-4476-9086-F7A96074829F}"/>
    <hyperlink ref="G824" r:id="rId814" xr:uid="{C7E0C9F1-1B82-42AF-BD02-CB6701562797}"/>
    <hyperlink ref="G823" r:id="rId815" xr:uid="{C0FAEEAC-68E5-4E84-8EFB-8E0C90520D3D}"/>
    <hyperlink ref="G831" r:id="rId816" xr:uid="{F5EC6EE1-E791-4255-A36A-ED2CB561FB90}"/>
    <hyperlink ref="G85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0"/>
  <sheetViews>
    <sheetView topLeftCell="A17" workbookViewId="0">
      <selection activeCell="K32" sqref="K32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1328</v>
      </c>
      <c r="B1" t="s">
        <v>1329</v>
      </c>
      <c r="C1" t="s">
        <v>1330</v>
      </c>
    </row>
    <row r="2" spans="1:3" x14ac:dyDescent="0.25">
      <c r="A2">
        <v>29076</v>
      </c>
      <c r="B2" t="s">
        <v>1331</v>
      </c>
      <c r="C2" s="6" t="s">
        <v>1332</v>
      </c>
    </row>
    <row r="3" spans="1:3" x14ac:dyDescent="0.25">
      <c r="A3">
        <v>35348</v>
      </c>
      <c r="B3" t="s">
        <v>1333</v>
      </c>
      <c r="C3" s="6" t="s">
        <v>1334</v>
      </c>
    </row>
    <row r="4" spans="1:3" x14ac:dyDescent="0.25">
      <c r="A4">
        <v>10170</v>
      </c>
      <c r="B4" t="s">
        <v>1335</v>
      </c>
      <c r="C4" s="6" t="s">
        <v>1336</v>
      </c>
    </row>
    <row r="5" spans="1:3" x14ac:dyDescent="0.25">
      <c r="A5">
        <v>5579</v>
      </c>
      <c r="B5" t="s">
        <v>1337</v>
      </c>
      <c r="C5" s="6" t="s">
        <v>1338</v>
      </c>
    </row>
    <row r="6" spans="1:3" x14ac:dyDescent="0.25">
      <c r="A6">
        <v>4597</v>
      </c>
      <c r="B6" t="s">
        <v>1339</v>
      </c>
      <c r="C6" s="6" t="s">
        <v>1340</v>
      </c>
    </row>
    <row r="7" spans="1:3" x14ac:dyDescent="0.25">
      <c r="A7">
        <v>26268</v>
      </c>
      <c r="B7" t="s">
        <v>1341</v>
      </c>
      <c r="C7" s="6" t="s">
        <v>1342</v>
      </c>
    </row>
    <row r="8" spans="1:3" x14ac:dyDescent="0.25">
      <c r="A8">
        <v>23897</v>
      </c>
      <c r="B8" t="s">
        <v>1343</v>
      </c>
      <c r="C8" s="6" t="s">
        <v>1344</v>
      </c>
    </row>
    <row r="9" spans="1:3" x14ac:dyDescent="0.25">
      <c r="A9">
        <v>30456</v>
      </c>
      <c r="B9" t="s">
        <v>1345</v>
      </c>
      <c r="C9" s="6" t="s">
        <v>1346</v>
      </c>
    </row>
    <row r="10" spans="1:3" x14ac:dyDescent="0.25">
      <c r="A10">
        <v>7839</v>
      </c>
      <c r="B10" t="s">
        <v>1337</v>
      </c>
      <c r="C10" s="6" t="s">
        <v>1347</v>
      </c>
    </row>
    <row r="11" spans="1:3" x14ac:dyDescent="0.25">
      <c r="A11">
        <v>28740</v>
      </c>
      <c r="B11" t="s">
        <v>1348</v>
      </c>
      <c r="C11" s="6" t="s">
        <v>1349</v>
      </c>
    </row>
    <row r="12" spans="1:3" x14ac:dyDescent="0.25">
      <c r="A12">
        <v>32219</v>
      </c>
      <c r="B12" t="s">
        <v>1350</v>
      </c>
      <c r="C12" s="6" t="s">
        <v>1351</v>
      </c>
    </row>
    <row r="13" spans="1:3" x14ac:dyDescent="0.25">
      <c r="A13">
        <v>33531</v>
      </c>
      <c r="B13" t="s">
        <v>1352</v>
      </c>
      <c r="C13" s="6" t="s">
        <v>1353</v>
      </c>
    </row>
    <row r="14" spans="1:3" x14ac:dyDescent="0.25">
      <c r="A14">
        <v>10072</v>
      </c>
      <c r="B14" t="s">
        <v>1354</v>
      </c>
      <c r="C14" s="6" t="s">
        <v>1355</v>
      </c>
    </row>
    <row r="15" spans="1:3" x14ac:dyDescent="0.25">
      <c r="A15">
        <v>33429</v>
      </c>
      <c r="B15" t="s">
        <v>1356</v>
      </c>
      <c r="C15" s="6" t="s">
        <v>1357</v>
      </c>
    </row>
    <row r="16" spans="1:3" x14ac:dyDescent="0.25">
      <c r="A16">
        <v>15673</v>
      </c>
      <c r="B16" t="s">
        <v>1358</v>
      </c>
      <c r="C16" s="6" t="s">
        <v>1359</v>
      </c>
    </row>
    <row r="17" spans="1:3" x14ac:dyDescent="0.25">
      <c r="A17">
        <v>6046</v>
      </c>
      <c r="B17" t="s">
        <v>3502</v>
      </c>
      <c r="C17" s="6" t="s">
        <v>3503</v>
      </c>
    </row>
    <row r="18" spans="1:3" x14ac:dyDescent="0.25">
      <c r="A18">
        <v>4691</v>
      </c>
      <c r="B18" t="s">
        <v>1460</v>
      </c>
      <c r="C18" s="6" t="s">
        <v>3504</v>
      </c>
    </row>
    <row r="19" spans="1:3" x14ac:dyDescent="0.25">
      <c r="A19">
        <v>22812</v>
      </c>
      <c r="B19" t="s">
        <v>1558</v>
      </c>
      <c r="C19" s="6" t="s">
        <v>3505</v>
      </c>
    </row>
    <row r="20" spans="1:3" x14ac:dyDescent="0.25">
      <c r="A20">
        <v>25875</v>
      </c>
      <c r="B20" t="s">
        <v>3506</v>
      </c>
      <c r="C20" s="6" t="s">
        <v>3507</v>
      </c>
    </row>
    <row r="21" spans="1:3" x14ac:dyDescent="0.25">
      <c r="A21">
        <v>10905</v>
      </c>
      <c r="B21" t="s">
        <v>3508</v>
      </c>
      <c r="C21" s="6" t="s">
        <v>3509</v>
      </c>
    </row>
    <row r="22" spans="1:3" x14ac:dyDescent="0.25">
      <c r="A22">
        <v>17552</v>
      </c>
      <c r="B22" t="s">
        <v>3510</v>
      </c>
      <c r="C22" s="6" t="s">
        <v>3511</v>
      </c>
    </row>
    <row r="23" spans="1:3" x14ac:dyDescent="0.25">
      <c r="A23">
        <v>29544</v>
      </c>
      <c r="B23" t="s">
        <v>3512</v>
      </c>
      <c r="C23" s="6" t="s">
        <v>3513</v>
      </c>
    </row>
    <row r="24" spans="1:3" x14ac:dyDescent="0.25">
      <c r="A24">
        <v>14537</v>
      </c>
      <c r="B24" t="s">
        <v>3355</v>
      </c>
      <c r="C24" s="6" t="s">
        <v>3514</v>
      </c>
    </row>
    <row r="25" spans="1:3" x14ac:dyDescent="0.25">
      <c r="A25">
        <v>16707</v>
      </c>
      <c r="B25" t="s">
        <v>1460</v>
      </c>
      <c r="C25" s="6" t="s">
        <v>3515</v>
      </c>
    </row>
    <row r="26" spans="1:3" x14ac:dyDescent="0.25">
      <c r="A26">
        <v>7848</v>
      </c>
      <c r="B26" t="s">
        <v>2510</v>
      </c>
      <c r="C26" s="6" t="s">
        <v>3516</v>
      </c>
    </row>
    <row r="27" spans="1:3" x14ac:dyDescent="0.25">
      <c r="A27">
        <v>32710</v>
      </c>
      <c r="B27" t="s">
        <v>3023</v>
      </c>
      <c r="C27" s="6" t="s">
        <v>3517</v>
      </c>
    </row>
    <row r="28" spans="1:3" x14ac:dyDescent="0.25">
      <c r="A28">
        <v>20541</v>
      </c>
      <c r="B28" t="s">
        <v>1820</v>
      </c>
      <c r="C28" s="6" t="s">
        <v>3518</v>
      </c>
    </row>
    <row r="29" spans="1:3" x14ac:dyDescent="0.25">
      <c r="A29">
        <v>26202</v>
      </c>
      <c r="B29" t="s">
        <v>3519</v>
      </c>
      <c r="C29" s="6" t="s">
        <v>3520</v>
      </c>
    </row>
    <row r="30" spans="1:3" x14ac:dyDescent="0.25">
      <c r="A30">
        <v>27081</v>
      </c>
      <c r="B30" t="s">
        <v>3521</v>
      </c>
      <c r="C30" s="6" t="s">
        <v>3522</v>
      </c>
    </row>
    <row r="31" spans="1:3" x14ac:dyDescent="0.25">
      <c r="A31">
        <v>24577</v>
      </c>
      <c r="B31" t="s">
        <v>3523</v>
      </c>
      <c r="C31" s="6" t="s">
        <v>3524</v>
      </c>
    </row>
    <row r="32" spans="1:3" x14ac:dyDescent="0.25">
      <c r="A32">
        <v>29909</v>
      </c>
      <c r="B32" t="s">
        <v>3525</v>
      </c>
      <c r="C32" s="6" t="s">
        <v>3526</v>
      </c>
    </row>
    <row r="33" spans="1:3" x14ac:dyDescent="0.25">
      <c r="A33">
        <v>31154</v>
      </c>
      <c r="B33" t="s">
        <v>3527</v>
      </c>
      <c r="C33" s="6" t="s">
        <v>3528</v>
      </c>
    </row>
    <row r="34" spans="1:3" x14ac:dyDescent="0.25">
      <c r="A34">
        <v>4707</v>
      </c>
      <c r="B34" t="s">
        <v>1937</v>
      </c>
      <c r="C34" s="6" t="s">
        <v>3529</v>
      </c>
    </row>
    <row r="35" spans="1:3" x14ac:dyDescent="0.25">
      <c r="A35">
        <v>8538</v>
      </c>
      <c r="B35" t="s">
        <v>1919</v>
      </c>
      <c r="C35" s="6" t="s">
        <v>3530</v>
      </c>
    </row>
    <row r="36" spans="1:3" x14ac:dyDescent="0.25">
      <c r="A36">
        <v>27105</v>
      </c>
      <c r="B36" t="s">
        <v>3531</v>
      </c>
      <c r="C36" s="6" t="s">
        <v>3532</v>
      </c>
    </row>
    <row r="37" spans="1:3" x14ac:dyDescent="0.25">
      <c r="A37">
        <v>4692</v>
      </c>
      <c r="B37" t="s">
        <v>3023</v>
      </c>
      <c r="C37" s="6" t="s">
        <v>3533</v>
      </c>
    </row>
    <row r="38" spans="1:3" x14ac:dyDescent="0.25">
      <c r="A38">
        <v>90649</v>
      </c>
      <c r="B38" t="s">
        <v>2589</v>
      </c>
      <c r="C38" s="6" t="s">
        <v>3553</v>
      </c>
    </row>
    <row r="39" spans="1:3" x14ac:dyDescent="0.25">
      <c r="A39">
        <v>23079</v>
      </c>
      <c r="B39" t="s">
        <v>3531</v>
      </c>
      <c r="C39" s="6" t="s">
        <v>3554</v>
      </c>
    </row>
    <row r="40" spans="1:3" x14ac:dyDescent="0.25">
      <c r="A40">
        <v>40152</v>
      </c>
      <c r="B40" t="s">
        <v>3610</v>
      </c>
      <c r="C40" s="6" t="s">
        <v>3611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</hyperlinks>
  <pageMargins left="0.7" right="0.7" top="0.75" bottom="0.75" header="0.3" footer="0.3"/>
  <tableParts count="1">
    <tablePart r:id="rId3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1360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1361</v>
      </c>
      <c r="C4" t="s">
        <v>1362</v>
      </c>
      <c r="D4" t="s">
        <v>1362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1362</v>
      </c>
      <c r="D139" t="s">
        <v>1362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1362</v>
      </c>
      <c r="D156" t="s">
        <v>1362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1362</v>
      </c>
      <c r="D332" t="s">
        <v>1362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1055</v>
      </c>
      <c r="D336" t="s">
        <v>1056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1362</v>
      </c>
      <c r="D371" t="s">
        <v>1362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986</v>
      </c>
      <c r="D391" t="s">
        <v>987</v>
      </c>
      <c r="E391" t="s">
        <v>1363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1364</v>
      </c>
      <c r="B1" t="s">
        <v>1365</v>
      </c>
      <c r="C1" t="s">
        <v>1366</v>
      </c>
      <c r="D1" t="s">
        <v>1367</v>
      </c>
      <c r="E1" t="s">
        <v>1368</v>
      </c>
      <c r="F1" t="s">
        <v>1369</v>
      </c>
      <c r="G1" t="s">
        <v>1370</v>
      </c>
      <c r="H1" t="s">
        <v>1371</v>
      </c>
      <c r="I1" t="s">
        <v>1372</v>
      </c>
      <c r="J1" t="s">
        <v>1373</v>
      </c>
      <c r="K1" t="s">
        <v>1374</v>
      </c>
      <c r="L1" t="s">
        <v>1375</v>
      </c>
      <c r="M1" t="s">
        <v>1376</v>
      </c>
      <c r="N1" t="s">
        <v>1377</v>
      </c>
      <c r="O1" t="s">
        <v>1378</v>
      </c>
      <c r="P1" t="s">
        <v>1379</v>
      </c>
      <c r="Q1" t="s">
        <v>1380</v>
      </c>
      <c r="R1" t="s">
        <v>1381</v>
      </c>
      <c r="S1" t="s">
        <v>1382</v>
      </c>
      <c r="T1" t="s">
        <v>1383</v>
      </c>
    </row>
    <row r="2" spans="1:20" x14ac:dyDescent="0.25">
      <c r="A2">
        <v>9979</v>
      </c>
      <c r="B2" t="s">
        <v>1464</v>
      </c>
      <c r="C2" t="s">
        <v>1460</v>
      </c>
      <c r="D2" s="3">
        <v>28053</v>
      </c>
      <c r="E2" t="s">
        <v>1386</v>
      </c>
      <c r="F2">
        <v>222</v>
      </c>
      <c r="G2" s="3">
        <v>35796</v>
      </c>
      <c r="H2" t="s">
        <v>1465</v>
      </c>
      <c r="J2" t="s">
        <v>1466</v>
      </c>
      <c r="K2" t="s">
        <v>55</v>
      </c>
      <c r="L2" s="3">
        <v>72686</v>
      </c>
      <c r="M2" s="3">
        <v>46434</v>
      </c>
      <c r="N2" t="s">
        <v>1467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2405</v>
      </c>
      <c r="C3" t="s">
        <v>2939</v>
      </c>
      <c r="D3" s="3">
        <v>23784</v>
      </c>
      <c r="E3" t="s">
        <v>1386</v>
      </c>
      <c r="F3">
        <v>192</v>
      </c>
      <c r="G3" s="3">
        <v>35723</v>
      </c>
      <c r="H3" t="s">
        <v>2940</v>
      </c>
      <c r="J3" t="s">
        <v>1492</v>
      </c>
      <c r="K3" t="s">
        <v>67</v>
      </c>
      <c r="L3" s="3">
        <v>72686</v>
      </c>
      <c r="M3" s="3">
        <v>46236</v>
      </c>
      <c r="N3" t="s">
        <v>2941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3009</v>
      </c>
      <c r="C4" t="s">
        <v>3010</v>
      </c>
      <c r="D4" s="3">
        <v>26311</v>
      </c>
      <c r="E4" t="s">
        <v>1386</v>
      </c>
      <c r="F4">
        <v>608</v>
      </c>
      <c r="G4" s="3">
        <v>35667</v>
      </c>
      <c r="H4" t="s">
        <v>3011</v>
      </c>
      <c r="J4" t="s">
        <v>1687</v>
      </c>
      <c r="K4" t="s">
        <v>64</v>
      </c>
      <c r="L4" s="3">
        <v>47558</v>
      </c>
      <c r="M4" s="3">
        <v>46369</v>
      </c>
      <c r="N4" t="s">
        <v>3012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986</v>
      </c>
      <c r="C5" t="s">
        <v>1832</v>
      </c>
      <c r="D5" s="3">
        <v>26119</v>
      </c>
      <c r="E5" t="s">
        <v>1386</v>
      </c>
      <c r="F5">
        <v>180</v>
      </c>
      <c r="G5" s="3">
        <v>35513</v>
      </c>
      <c r="I5">
        <v>93572444</v>
      </c>
      <c r="J5" t="s">
        <v>1492</v>
      </c>
      <c r="K5" t="s">
        <v>67</v>
      </c>
      <c r="L5" s="3">
        <v>72686</v>
      </c>
      <c r="M5" s="3">
        <v>46834</v>
      </c>
      <c r="N5" t="s">
        <v>1833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3099</v>
      </c>
      <c r="C6" t="s">
        <v>3100</v>
      </c>
      <c r="D6" s="3">
        <v>24694</v>
      </c>
      <c r="E6" t="s">
        <v>1386</v>
      </c>
      <c r="F6">
        <v>398</v>
      </c>
      <c r="G6" s="3">
        <v>35478</v>
      </c>
      <c r="H6" t="s">
        <v>3101</v>
      </c>
      <c r="J6" t="s">
        <v>1687</v>
      </c>
      <c r="K6" t="s">
        <v>58</v>
      </c>
      <c r="L6" s="3">
        <v>72686</v>
      </c>
      <c r="M6" s="3">
        <v>46194</v>
      </c>
      <c r="N6" t="s">
        <v>3102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3062</v>
      </c>
      <c r="C7" t="s">
        <v>3063</v>
      </c>
      <c r="D7" s="3">
        <v>26633</v>
      </c>
      <c r="E7" t="s">
        <v>1386</v>
      </c>
      <c r="F7">
        <v>382</v>
      </c>
      <c r="G7" s="3">
        <v>35478</v>
      </c>
      <c r="H7" t="s">
        <v>3064</v>
      </c>
      <c r="J7" t="s">
        <v>1560</v>
      </c>
      <c r="K7" t="s">
        <v>64</v>
      </c>
      <c r="L7" s="3">
        <v>45955</v>
      </c>
      <c r="M7" s="3">
        <v>46273</v>
      </c>
      <c r="N7" t="s">
        <v>3065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2303</v>
      </c>
      <c r="C8" t="s">
        <v>2304</v>
      </c>
      <c r="D8" s="3">
        <v>23172</v>
      </c>
      <c r="E8" t="s">
        <v>1386</v>
      </c>
      <c r="F8">
        <v>429</v>
      </c>
      <c r="G8" s="3">
        <v>35394</v>
      </c>
      <c r="H8" t="s">
        <v>2305</v>
      </c>
      <c r="J8" t="s">
        <v>1707</v>
      </c>
      <c r="K8" t="s">
        <v>64</v>
      </c>
      <c r="L8" s="3">
        <v>46000</v>
      </c>
      <c r="M8" s="3">
        <v>46019</v>
      </c>
      <c r="N8" t="s">
        <v>2306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3095</v>
      </c>
      <c r="C9" t="s">
        <v>3096</v>
      </c>
      <c r="D9" s="3">
        <v>27910</v>
      </c>
      <c r="E9" t="s">
        <v>1386</v>
      </c>
      <c r="F9">
        <v>466</v>
      </c>
      <c r="G9" s="3">
        <v>35338</v>
      </c>
      <c r="H9" t="s">
        <v>3097</v>
      </c>
      <c r="I9">
        <v>93244163</v>
      </c>
      <c r="J9" t="s">
        <v>1492</v>
      </c>
      <c r="K9" t="s">
        <v>55</v>
      </c>
      <c r="L9" s="3">
        <v>47614</v>
      </c>
      <c r="M9" s="3">
        <v>46820</v>
      </c>
      <c r="N9" t="s">
        <v>3098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3354</v>
      </c>
      <c r="C10" t="s">
        <v>3355</v>
      </c>
      <c r="D10" s="3">
        <v>27571</v>
      </c>
      <c r="E10" t="s">
        <v>1386</v>
      </c>
      <c r="F10">
        <v>2</v>
      </c>
      <c r="G10" s="3">
        <v>35303</v>
      </c>
      <c r="I10">
        <v>93568611</v>
      </c>
      <c r="J10" t="s">
        <v>1514</v>
      </c>
      <c r="K10" t="s">
        <v>73</v>
      </c>
      <c r="L10" s="3">
        <v>47576</v>
      </c>
      <c r="M10" s="3">
        <v>47573</v>
      </c>
      <c r="N10" t="s">
        <v>3356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3336</v>
      </c>
      <c r="C11" t="s">
        <v>3337</v>
      </c>
      <c r="D11" s="3">
        <v>26996</v>
      </c>
      <c r="E11" t="s">
        <v>1386</v>
      </c>
      <c r="F11">
        <v>71</v>
      </c>
      <c r="G11" s="3">
        <v>35219</v>
      </c>
      <c r="H11" t="s">
        <v>3338</v>
      </c>
      <c r="J11" t="s">
        <v>1514</v>
      </c>
      <c r="K11" t="s">
        <v>73</v>
      </c>
      <c r="L11" s="3">
        <v>45880</v>
      </c>
      <c r="M11" s="3">
        <v>46014</v>
      </c>
      <c r="N11" t="s">
        <v>3339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1740</v>
      </c>
      <c r="C12" t="s">
        <v>1741</v>
      </c>
      <c r="D12" s="3">
        <v>26380</v>
      </c>
      <c r="E12" t="s">
        <v>1386</v>
      </c>
      <c r="F12">
        <v>272</v>
      </c>
      <c r="G12" s="3">
        <v>35219</v>
      </c>
      <c r="J12" t="s">
        <v>1492</v>
      </c>
      <c r="K12" t="s">
        <v>67</v>
      </c>
      <c r="L12" s="3">
        <v>73050</v>
      </c>
      <c r="M12" s="3">
        <v>45909</v>
      </c>
      <c r="N12" t="s">
        <v>1742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2586</v>
      </c>
      <c r="C13" t="s">
        <v>2587</v>
      </c>
      <c r="D13" s="3">
        <v>25627</v>
      </c>
      <c r="E13" t="s">
        <v>1386</v>
      </c>
      <c r="F13">
        <v>508</v>
      </c>
      <c r="G13" s="3">
        <v>35219</v>
      </c>
      <c r="I13">
        <v>474276343</v>
      </c>
      <c r="J13" t="s">
        <v>1509</v>
      </c>
      <c r="K13" t="s">
        <v>58</v>
      </c>
      <c r="L13" s="3">
        <v>47566</v>
      </c>
      <c r="M13" s="3">
        <v>47561</v>
      </c>
      <c r="N13" t="s">
        <v>2588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1468</v>
      </c>
      <c r="C14" t="s">
        <v>1460</v>
      </c>
      <c r="D14" s="3">
        <v>25922</v>
      </c>
      <c r="E14" t="s">
        <v>1386</v>
      </c>
      <c r="F14">
        <v>473</v>
      </c>
      <c r="G14" s="3">
        <v>35177</v>
      </c>
      <c r="H14" t="s">
        <v>1469</v>
      </c>
      <c r="J14" t="s">
        <v>1470</v>
      </c>
      <c r="K14" t="s">
        <v>61</v>
      </c>
      <c r="L14" s="3">
        <v>47607</v>
      </c>
      <c r="M14" s="3">
        <v>47573</v>
      </c>
      <c r="N14" t="s">
        <v>1471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1849</v>
      </c>
      <c r="C15" t="s">
        <v>1850</v>
      </c>
      <c r="D15" s="3">
        <v>24555</v>
      </c>
      <c r="E15" t="s">
        <v>1641</v>
      </c>
      <c r="F15">
        <v>100</v>
      </c>
      <c r="G15" s="3">
        <v>35065</v>
      </c>
      <c r="H15" t="s">
        <v>1851</v>
      </c>
      <c r="J15" t="s">
        <v>1687</v>
      </c>
      <c r="K15" t="s">
        <v>52</v>
      </c>
      <c r="L15" s="3">
        <v>72686</v>
      </c>
      <c r="M15" s="3">
        <v>46146</v>
      </c>
      <c r="N15" t="s">
        <v>1852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1666</v>
      </c>
      <c r="C16" t="s">
        <v>1667</v>
      </c>
      <c r="D16" s="3">
        <v>25262</v>
      </c>
      <c r="E16" t="s">
        <v>1386</v>
      </c>
      <c r="F16">
        <v>164</v>
      </c>
      <c r="G16" s="3">
        <v>34932</v>
      </c>
      <c r="I16">
        <v>32496401543</v>
      </c>
      <c r="J16" t="s">
        <v>1440</v>
      </c>
      <c r="K16" t="s">
        <v>73</v>
      </c>
      <c r="L16" s="3">
        <v>73050</v>
      </c>
      <c r="M16" s="3">
        <v>47170</v>
      </c>
      <c r="N16" t="s">
        <v>1668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2358</v>
      </c>
      <c r="C17" t="s">
        <v>3053</v>
      </c>
      <c r="D17" s="3">
        <v>23497</v>
      </c>
      <c r="E17" t="s">
        <v>1386</v>
      </c>
      <c r="F17">
        <v>356</v>
      </c>
      <c r="G17" s="3">
        <v>34932</v>
      </c>
      <c r="I17">
        <v>93293469</v>
      </c>
      <c r="J17" t="s">
        <v>1505</v>
      </c>
      <c r="K17" t="s">
        <v>61</v>
      </c>
      <c r="L17" s="3">
        <v>47671</v>
      </c>
      <c r="M17" s="3">
        <v>47369</v>
      </c>
      <c r="N17" t="s">
        <v>3054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2823</v>
      </c>
      <c r="C18" t="s">
        <v>1333</v>
      </c>
      <c r="D18" s="3">
        <v>26956</v>
      </c>
      <c r="E18" t="s">
        <v>1386</v>
      </c>
      <c r="F18">
        <v>557</v>
      </c>
      <c r="G18" s="3">
        <v>34834</v>
      </c>
      <c r="H18" t="s">
        <v>2998</v>
      </c>
      <c r="J18" t="s">
        <v>1509</v>
      </c>
      <c r="K18" t="s">
        <v>55</v>
      </c>
      <c r="L18" s="3">
        <v>47702</v>
      </c>
      <c r="M18" s="3">
        <v>45993</v>
      </c>
      <c r="N18" t="s">
        <v>2999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1936</v>
      </c>
      <c r="C19" t="s">
        <v>1937</v>
      </c>
      <c r="D19" s="3">
        <v>23504</v>
      </c>
      <c r="E19" t="s">
        <v>1386</v>
      </c>
      <c r="F19">
        <v>289</v>
      </c>
      <c r="G19" s="3">
        <v>34078</v>
      </c>
      <c r="J19" t="s">
        <v>1560</v>
      </c>
      <c r="K19" t="s">
        <v>70</v>
      </c>
      <c r="L19" s="3">
        <v>72686</v>
      </c>
      <c r="M19" s="3">
        <v>46140</v>
      </c>
      <c r="N19" t="s">
        <v>1938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3022</v>
      </c>
      <c r="C20" t="s">
        <v>3023</v>
      </c>
      <c r="D20" s="3">
        <v>26147</v>
      </c>
      <c r="E20" t="s">
        <v>1386</v>
      </c>
      <c r="F20">
        <v>413</v>
      </c>
      <c r="G20" s="3">
        <v>34078</v>
      </c>
      <c r="H20" t="s">
        <v>3024</v>
      </c>
      <c r="J20" t="s">
        <v>1555</v>
      </c>
      <c r="K20" t="s">
        <v>64</v>
      </c>
      <c r="L20" s="3">
        <v>47594</v>
      </c>
      <c r="M20" s="3">
        <v>46497</v>
      </c>
      <c r="N20" t="s">
        <v>3025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1262</v>
      </c>
      <c r="C21" t="s">
        <v>3337</v>
      </c>
      <c r="D21" s="3">
        <v>20773</v>
      </c>
      <c r="E21" t="s">
        <v>1386</v>
      </c>
      <c r="F21">
        <v>628</v>
      </c>
      <c r="G21" s="3">
        <v>34008</v>
      </c>
      <c r="H21" t="s">
        <v>3340</v>
      </c>
      <c r="J21" t="s">
        <v>1523</v>
      </c>
      <c r="K21" t="s">
        <v>58</v>
      </c>
      <c r="L21" s="3">
        <v>47481</v>
      </c>
      <c r="M21" s="3">
        <v>47456</v>
      </c>
      <c r="N21" t="s">
        <v>3341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2002</v>
      </c>
      <c r="C22" t="s">
        <v>1999</v>
      </c>
      <c r="D22" s="3">
        <v>23986</v>
      </c>
      <c r="E22" t="s">
        <v>1386</v>
      </c>
      <c r="F22">
        <v>216</v>
      </c>
      <c r="G22" s="3">
        <v>33868</v>
      </c>
      <c r="H22" t="s">
        <v>2003</v>
      </c>
      <c r="I22">
        <v>93285775</v>
      </c>
      <c r="J22" t="s">
        <v>1560</v>
      </c>
      <c r="K22" t="s">
        <v>67</v>
      </c>
      <c r="L22" s="3">
        <v>72686</v>
      </c>
      <c r="M22" s="3">
        <v>72686</v>
      </c>
      <c r="N22" t="s">
        <v>2004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2912</v>
      </c>
      <c r="C23" t="s">
        <v>2913</v>
      </c>
      <c r="D23" s="3">
        <v>25610</v>
      </c>
      <c r="E23" t="s">
        <v>1386</v>
      </c>
      <c r="F23">
        <v>467</v>
      </c>
      <c r="G23" s="3">
        <v>33848</v>
      </c>
      <c r="H23" t="s">
        <v>2914</v>
      </c>
      <c r="J23" t="s">
        <v>1514</v>
      </c>
      <c r="K23" t="s">
        <v>73</v>
      </c>
      <c r="L23" s="3">
        <v>47698</v>
      </c>
      <c r="M23" s="3">
        <v>46152</v>
      </c>
      <c r="N23" t="s">
        <v>2915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3411</v>
      </c>
      <c r="C24" t="s">
        <v>3412</v>
      </c>
      <c r="D24" s="3">
        <v>23942</v>
      </c>
      <c r="E24" t="s">
        <v>1386</v>
      </c>
      <c r="F24">
        <v>193</v>
      </c>
      <c r="G24" s="3">
        <v>33819</v>
      </c>
      <c r="H24" t="s">
        <v>3413</v>
      </c>
      <c r="J24" t="s">
        <v>1514</v>
      </c>
      <c r="K24" t="s">
        <v>73</v>
      </c>
      <c r="L24" s="3">
        <v>47636</v>
      </c>
      <c r="M24" s="3">
        <v>46364</v>
      </c>
      <c r="N24" t="s">
        <v>3414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1789</v>
      </c>
      <c r="C25" t="s">
        <v>1790</v>
      </c>
      <c r="D25" s="3">
        <v>24961</v>
      </c>
      <c r="E25" t="s">
        <v>1386</v>
      </c>
      <c r="F25">
        <v>19</v>
      </c>
      <c r="G25" s="3">
        <v>33742</v>
      </c>
      <c r="H25" t="s">
        <v>1791</v>
      </c>
      <c r="J25" t="s">
        <v>1687</v>
      </c>
      <c r="K25" t="s">
        <v>73</v>
      </c>
      <c r="L25" s="3">
        <v>72686</v>
      </c>
      <c r="M25" s="3">
        <v>46308</v>
      </c>
      <c r="N25" t="s">
        <v>1792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2682</v>
      </c>
      <c r="C26" t="s">
        <v>2683</v>
      </c>
      <c r="D26" s="3">
        <v>25098</v>
      </c>
      <c r="E26" t="s">
        <v>1386</v>
      </c>
      <c r="F26">
        <v>189</v>
      </c>
      <c r="G26" s="3">
        <v>33707</v>
      </c>
      <c r="H26" t="s">
        <v>2684</v>
      </c>
      <c r="I26">
        <v>93848830</v>
      </c>
      <c r="J26" t="s">
        <v>1707</v>
      </c>
      <c r="K26" t="s">
        <v>64</v>
      </c>
      <c r="L26" s="3">
        <v>47705</v>
      </c>
      <c r="M26" s="3">
        <v>46318</v>
      </c>
      <c r="N26" t="s">
        <v>2685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1918</v>
      </c>
      <c r="C27" t="s">
        <v>1919</v>
      </c>
      <c r="D27" s="3">
        <v>24551</v>
      </c>
      <c r="E27" t="s">
        <v>1386</v>
      </c>
      <c r="F27">
        <v>386</v>
      </c>
      <c r="G27" s="3">
        <v>33609</v>
      </c>
      <c r="H27" t="s">
        <v>1920</v>
      </c>
      <c r="I27">
        <v>93572595</v>
      </c>
      <c r="J27" t="s">
        <v>1492</v>
      </c>
      <c r="K27" t="s">
        <v>67</v>
      </c>
      <c r="L27" s="3">
        <v>73050</v>
      </c>
      <c r="M27" s="3">
        <v>46853</v>
      </c>
      <c r="N27" t="s">
        <v>1921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1568</v>
      </c>
      <c r="C28" t="s">
        <v>1613</v>
      </c>
      <c r="D28" s="3">
        <v>24869</v>
      </c>
      <c r="E28" t="s">
        <v>1386</v>
      </c>
      <c r="F28">
        <v>331</v>
      </c>
      <c r="G28" s="3">
        <v>33546</v>
      </c>
      <c r="H28" t="s">
        <v>1614</v>
      </c>
      <c r="J28" t="s">
        <v>1492</v>
      </c>
      <c r="K28" t="s">
        <v>67</v>
      </c>
      <c r="L28" s="3">
        <v>72686</v>
      </c>
      <c r="M28" s="3">
        <v>46985</v>
      </c>
      <c r="N28" t="s">
        <v>1615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1967</v>
      </c>
      <c r="C29" t="s">
        <v>2517</v>
      </c>
      <c r="D29" s="3">
        <v>24420</v>
      </c>
      <c r="E29" t="s">
        <v>1386</v>
      </c>
      <c r="F29">
        <v>313</v>
      </c>
      <c r="G29" s="3">
        <v>33308</v>
      </c>
      <c r="H29" t="s">
        <v>2518</v>
      </c>
      <c r="I29">
        <v>92370122</v>
      </c>
      <c r="J29" t="s">
        <v>1505</v>
      </c>
      <c r="K29" t="s">
        <v>58</v>
      </c>
      <c r="L29" s="3">
        <v>47635</v>
      </c>
      <c r="M29" s="3">
        <v>46882</v>
      </c>
      <c r="N29" t="s">
        <v>2519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3248</v>
      </c>
      <c r="C30" t="s">
        <v>3249</v>
      </c>
      <c r="D30" s="3">
        <v>23694</v>
      </c>
      <c r="E30" t="s">
        <v>1386</v>
      </c>
      <c r="F30">
        <v>630</v>
      </c>
      <c r="G30" s="3">
        <v>33308</v>
      </c>
      <c r="H30" t="s">
        <v>3250</v>
      </c>
      <c r="I30">
        <v>92277204</v>
      </c>
      <c r="J30" t="s">
        <v>1509</v>
      </c>
      <c r="K30" t="s">
        <v>55</v>
      </c>
      <c r="L30" s="3">
        <v>47653</v>
      </c>
      <c r="M30" s="3">
        <v>46834</v>
      </c>
      <c r="N30" t="s">
        <v>3251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3284</v>
      </c>
      <c r="C31" t="s">
        <v>1358</v>
      </c>
      <c r="D31" s="3">
        <v>25160</v>
      </c>
      <c r="E31" t="s">
        <v>1386</v>
      </c>
      <c r="F31">
        <v>232</v>
      </c>
      <c r="G31" s="3">
        <v>33287</v>
      </c>
      <c r="H31" t="s">
        <v>3285</v>
      </c>
      <c r="J31" t="s">
        <v>1687</v>
      </c>
      <c r="K31" t="s">
        <v>73</v>
      </c>
      <c r="L31" s="3">
        <v>45952</v>
      </c>
      <c r="M31" s="3">
        <v>46665</v>
      </c>
      <c r="N31" t="s">
        <v>3286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1503</v>
      </c>
      <c r="C32" t="s">
        <v>1937</v>
      </c>
      <c r="D32" s="3">
        <v>24557</v>
      </c>
      <c r="E32" t="s">
        <v>1386</v>
      </c>
      <c r="F32">
        <v>649</v>
      </c>
      <c r="G32" s="3">
        <v>33287</v>
      </c>
      <c r="I32">
        <v>93300995</v>
      </c>
      <c r="J32" t="s">
        <v>1501</v>
      </c>
      <c r="K32" t="s">
        <v>64</v>
      </c>
      <c r="L32" s="3">
        <v>47672</v>
      </c>
      <c r="M32" s="3">
        <v>46665</v>
      </c>
      <c r="N32" t="s">
        <v>1939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2792</v>
      </c>
      <c r="C33" t="s">
        <v>2793</v>
      </c>
      <c r="D33" s="3">
        <v>22990</v>
      </c>
      <c r="E33" t="s">
        <v>1386</v>
      </c>
      <c r="F33">
        <v>368</v>
      </c>
      <c r="G33" s="3">
        <v>33098</v>
      </c>
      <c r="H33" t="s">
        <v>2794</v>
      </c>
      <c r="I33">
        <v>93290244</v>
      </c>
      <c r="J33" t="s">
        <v>1560</v>
      </c>
      <c r="K33" t="s">
        <v>70</v>
      </c>
      <c r="L33" s="3">
        <v>72686</v>
      </c>
      <c r="M33" s="3">
        <v>47046</v>
      </c>
      <c r="N33" t="s">
        <v>2795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1743</v>
      </c>
      <c r="C34" t="s">
        <v>1741</v>
      </c>
      <c r="D34" s="3">
        <v>25160</v>
      </c>
      <c r="E34" t="s">
        <v>1386</v>
      </c>
      <c r="F34">
        <v>210</v>
      </c>
      <c r="G34" s="3">
        <v>32951</v>
      </c>
      <c r="H34" t="s">
        <v>1744</v>
      </c>
      <c r="J34" t="s">
        <v>1707</v>
      </c>
      <c r="K34" t="s">
        <v>73</v>
      </c>
      <c r="L34" s="3">
        <v>47588</v>
      </c>
      <c r="M34" s="3">
        <v>46453</v>
      </c>
      <c r="N34" t="s">
        <v>1745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2932</v>
      </c>
      <c r="C35" t="s">
        <v>2933</v>
      </c>
      <c r="D35" s="3">
        <v>24539</v>
      </c>
      <c r="E35" t="s">
        <v>1386</v>
      </c>
      <c r="F35">
        <v>539</v>
      </c>
      <c r="G35" s="3">
        <v>32924</v>
      </c>
      <c r="H35" t="s">
        <v>2934</v>
      </c>
      <c r="J35" t="s">
        <v>1509</v>
      </c>
      <c r="K35" t="s">
        <v>55</v>
      </c>
      <c r="L35" s="3">
        <v>45943</v>
      </c>
      <c r="M35" s="3">
        <v>46637</v>
      </c>
      <c r="N35" t="s">
        <v>2935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1958</v>
      </c>
      <c r="C36" t="s">
        <v>2589</v>
      </c>
      <c r="D36" s="3">
        <v>24146</v>
      </c>
      <c r="E36" t="s">
        <v>1386</v>
      </c>
      <c r="F36">
        <v>509</v>
      </c>
      <c r="G36" s="3">
        <v>32797</v>
      </c>
      <c r="J36" t="s">
        <v>1509</v>
      </c>
      <c r="K36" t="s">
        <v>58</v>
      </c>
      <c r="L36" s="3">
        <v>47602</v>
      </c>
      <c r="M36" s="3">
        <v>46399</v>
      </c>
      <c r="N36" t="s">
        <v>2590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2569</v>
      </c>
      <c r="C37" t="s">
        <v>2570</v>
      </c>
      <c r="D37" s="3">
        <v>23029</v>
      </c>
      <c r="E37" t="s">
        <v>1386</v>
      </c>
      <c r="F37">
        <v>410</v>
      </c>
      <c r="G37" s="3">
        <v>32644</v>
      </c>
      <c r="H37" t="s">
        <v>2571</v>
      </c>
      <c r="J37" t="s">
        <v>1514</v>
      </c>
      <c r="K37" t="s">
        <v>73</v>
      </c>
      <c r="L37" s="3">
        <v>47573</v>
      </c>
      <c r="M37" s="3">
        <v>46306</v>
      </c>
      <c r="N37" t="s">
        <v>2572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2827</v>
      </c>
      <c r="C38" t="s">
        <v>2828</v>
      </c>
      <c r="D38" s="3">
        <v>24001</v>
      </c>
      <c r="E38" t="s">
        <v>1386</v>
      </c>
      <c r="F38">
        <v>16</v>
      </c>
      <c r="G38" s="3">
        <v>32489</v>
      </c>
      <c r="H38" t="s">
        <v>2829</v>
      </c>
      <c r="J38" t="s">
        <v>1707</v>
      </c>
      <c r="K38" t="s">
        <v>64</v>
      </c>
      <c r="L38" s="3">
        <v>47590</v>
      </c>
      <c r="M38" s="3">
        <v>46960</v>
      </c>
      <c r="N38" t="s">
        <v>2830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2975</v>
      </c>
      <c r="C39" t="s">
        <v>2976</v>
      </c>
      <c r="D39" s="3">
        <v>23958</v>
      </c>
      <c r="E39" t="s">
        <v>1386</v>
      </c>
      <c r="F39">
        <v>446</v>
      </c>
      <c r="G39" s="3">
        <v>32223</v>
      </c>
      <c r="H39" t="s">
        <v>2977</v>
      </c>
      <c r="I39">
        <v>93365628</v>
      </c>
      <c r="J39" t="s">
        <v>1514</v>
      </c>
      <c r="K39" t="s">
        <v>73</v>
      </c>
      <c r="L39" s="3">
        <v>46863</v>
      </c>
      <c r="M39" s="3">
        <v>46838</v>
      </c>
      <c r="N39" t="s">
        <v>2978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3556</v>
      </c>
      <c r="C40" t="s">
        <v>3557</v>
      </c>
      <c r="D40" s="3">
        <v>38253</v>
      </c>
      <c r="E40" t="s">
        <v>1386</v>
      </c>
      <c r="G40" s="3">
        <v>45918</v>
      </c>
      <c r="H40" t="s">
        <v>3558</v>
      </c>
      <c r="J40" t="s">
        <v>1843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1485</v>
      </c>
      <c r="C41" t="s">
        <v>2612</v>
      </c>
      <c r="D41" s="3">
        <v>36846</v>
      </c>
      <c r="E41" t="s">
        <v>1386</v>
      </c>
      <c r="G41" s="3">
        <v>45903</v>
      </c>
      <c r="H41" t="s">
        <v>3559</v>
      </c>
      <c r="J41" t="s">
        <v>1843</v>
      </c>
      <c r="K41" t="s">
        <v>61</v>
      </c>
      <c r="L41" s="3">
        <v>1</v>
      </c>
      <c r="M41" s="3">
        <v>1</v>
      </c>
      <c r="N41" t="s">
        <v>3560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3561</v>
      </c>
      <c r="C42" t="s">
        <v>3562</v>
      </c>
      <c r="D42" s="3">
        <v>30518</v>
      </c>
      <c r="E42" t="s">
        <v>1386</v>
      </c>
      <c r="G42" s="3">
        <v>45918</v>
      </c>
      <c r="H42" t="s">
        <v>3563</v>
      </c>
      <c r="J42" t="s">
        <v>1843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3431</v>
      </c>
      <c r="C43" t="s">
        <v>3564</v>
      </c>
      <c r="D43" s="3">
        <v>36642</v>
      </c>
      <c r="E43" t="s">
        <v>1386</v>
      </c>
      <c r="G43" s="3">
        <v>45903</v>
      </c>
      <c r="H43" t="s">
        <v>3565</v>
      </c>
      <c r="J43" t="s">
        <v>1843</v>
      </c>
      <c r="K43" t="s">
        <v>61</v>
      </c>
      <c r="L43" s="3">
        <v>1</v>
      </c>
      <c r="M43" s="3">
        <v>1</v>
      </c>
      <c r="N43" t="s">
        <v>3566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3567</v>
      </c>
      <c r="C44" t="s">
        <v>3446</v>
      </c>
      <c r="D44" s="3">
        <v>37782</v>
      </c>
      <c r="E44" t="s">
        <v>1386</v>
      </c>
      <c r="G44" s="3">
        <v>45903</v>
      </c>
      <c r="H44" t="s">
        <v>3568</v>
      </c>
      <c r="J44" t="s">
        <v>1843</v>
      </c>
      <c r="K44" t="s">
        <v>61</v>
      </c>
      <c r="L44" s="3">
        <v>1</v>
      </c>
      <c r="M44" s="3">
        <v>1</v>
      </c>
      <c r="N44" t="s">
        <v>3569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3570</v>
      </c>
      <c r="C45" t="s">
        <v>1670</v>
      </c>
      <c r="D45" s="3">
        <v>24857</v>
      </c>
      <c r="E45" t="s">
        <v>1386</v>
      </c>
      <c r="G45" s="3">
        <v>45903</v>
      </c>
      <c r="H45" t="s">
        <v>3571</v>
      </c>
      <c r="J45" t="s">
        <v>1843</v>
      </c>
      <c r="K45" t="s">
        <v>64</v>
      </c>
      <c r="L45" s="3">
        <v>1</v>
      </c>
      <c r="M45" s="3">
        <v>1</v>
      </c>
      <c r="N45" t="s">
        <v>3572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2014</v>
      </c>
      <c r="C46" t="s">
        <v>3573</v>
      </c>
      <c r="D46" s="3">
        <v>37215</v>
      </c>
      <c r="E46" t="s">
        <v>1386</v>
      </c>
      <c r="G46" s="3">
        <v>45903</v>
      </c>
      <c r="H46" t="s">
        <v>3574</v>
      </c>
      <c r="J46" t="s">
        <v>1843</v>
      </c>
      <c r="K46" t="s">
        <v>70</v>
      </c>
      <c r="L46" s="3">
        <v>1</v>
      </c>
      <c r="M46" s="3">
        <v>1</v>
      </c>
      <c r="N46" t="s">
        <v>3575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3576</v>
      </c>
      <c r="C47" t="s">
        <v>3577</v>
      </c>
      <c r="D47" s="3">
        <v>36604</v>
      </c>
      <c r="E47" t="s">
        <v>1386</v>
      </c>
      <c r="G47" s="3">
        <v>45889</v>
      </c>
      <c r="H47" t="s">
        <v>3578</v>
      </c>
      <c r="J47" t="s">
        <v>1843</v>
      </c>
      <c r="K47" t="s">
        <v>64</v>
      </c>
      <c r="L47" s="3">
        <v>1</v>
      </c>
      <c r="M47" s="3">
        <v>1</v>
      </c>
      <c r="N47" t="s">
        <v>3579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3580</v>
      </c>
      <c r="C48" t="s">
        <v>3581</v>
      </c>
      <c r="D48" s="3">
        <v>37251</v>
      </c>
      <c r="E48" t="s">
        <v>1386</v>
      </c>
      <c r="G48" s="3">
        <v>45903</v>
      </c>
      <c r="H48" t="s">
        <v>3582</v>
      </c>
      <c r="J48" t="s">
        <v>1394</v>
      </c>
      <c r="K48" t="s">
        <v>55</v>
      </c>
      <c r="L48" s="3">
        <v>1</v>
      </c>
      <c r="M48" s="3">
        <v>1</v>
      </c>
      <c r="N48" t="s">
        <v>3583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3584</v>
      </c>
      <c r="C49" t="s">
        <v>3585</v>
      </c>
      <c r="D49" s="3">
        <v>33465</v>
      </c>
      <c r="E49" t="s">
        <v>1386</v>
      </c>
      <c r="G49" s="3">
        <v>45889</v>
      </c>
      <c r="H49" t="s">
        <v>3586</v>
      </c>
      <c r="J49" t="s">
        <v>1394</v>
      </c>
      <c r="K49" t="s">
        <v>70</v>
      </c>
      <c r="L49" s="3">
        <v>1</v>
      </c>
      <c r="M49" s="3">
        <v>1</v>
      </c>
      <c r="N49" t="s">
        <v>3587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1840</v>
      </c>
      <c r="C50" t="s">
        <v>1841</v>
      </c>
      <c r="D50" s="3">
        <v>30767</v>
      </c>
      <c r="E50" t="s">
        <v>1386</v>
      </c>
      <c r="G50" s="3">
        <v>45870</v>
      </c>
      <c r="H50" t="s">
        <v>1842</v>
      </c>
      <c r="I50" t="s">
        <v>3588</v>
      </c>
      <c r="J50" t="s">
        <v>1843</v>
      </c>
      <c r="K50" t="s">
        <v>52</v>
      </c>
      <c r="L50" s="3">
        <v>46301</v>
      </c>
      <c r="M50" s="3">
        <v>47644</v>
      </c>
      <c r="N50" t="s">
        <v>1844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2527</v>
      </c>
      <c r="C51" t="s">
        <v>2528</v>
      </c>
      <c r="D51" s="3">
        <v>34251</v>
      </c>
      <c r="E51" t="s">
        <v>1386</v>
      </c>
      <c r="G51" s="3">
        <v>45874</v>
      </c>
      <c r="H51" t="s">
        <v>2529</v>
      </c>
      <c r="J51" t="s">
        <v>1399</v>
      </c>
      <c r="K51" t="s">
        <v>67</v>
      </c>
      <c r="L51" s="3">
        <v>47722</v>
      </c>
      <c r="M51" s="3">
        <v>47664</v>
      </c>
      <c r="N51" t="s">
        <v>2530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1689</v>
      </c>
      <c r="C52" t="s">
        <v>1690</v>
      </c>
      <c r="D52" s="3">
        <v>36894</v>
      </c>
      <c r="E52" t="s">
        <v>1386</v>
      </c>
      <c r="G52" s="3">
        <v>45874</v>
      </c>
      <c r="H52" t="s">
        <v>1691</v>
      </c>
      <c r="J52" t="s">
        <v>1399</v>
      </c>
      <c r="K52" t="s">
        <v>67</v>
      </c>
      <c r="L52" s="3">
        <v>47720</v>
      </c>
      <c r="M52" s="3">
        <v>47664</v>
      </c>
      <c r="N52" t="s">
        <v>1692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3589</v>
      </c>
      <c r="C53" t="s">
        <v>3590</v>
      </c>
      <c r="D53" s="3">
        <v>35367</v>
      </c>
      <c r="E53" t="s">
        <v>1386</v>
      </c>
      <c r="G53" s="3">
        <v>45889</v>
      </c>
      <c r="H53" t="s">
        <v>3591</v>
      </c>
      <c r="J53" t="s">
        <v>1394</v>
      </c>
      <c r="K53" t="s">
        <v>58</v>
      </c>
      <c r="L53" s="3">
        <v>1</v>
      </c>
      <c r="M53" s="3">
        <v>1</v>
      </c>
      <c r="N53" t="s">
        <v>3592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3593</v>
      </c>
      <c r="C54" t="s">
        <v>3594</v>
      </c>
      <c r="D54" s="3">
        <v>32154</v>
      </c>
      <c r="E54" t="s">
        <v>1386</v>
      </c>
      <c r="G54" s="3">
        <v>45889</v>
      </c>
      <c r="H54" t="s">
        <v>3595</v>
      </c>
      <c r="J54" t="s">
        <v>1394</v>
      </c>
      <c r="K54" t="s">
        <v>55</v>
      </c>
      <c r="L54" s="3">
        <v>1</v>
      </c>
      <c r="M54" s="3">
        <v>1</v>
      </c>
      <c r="N54" t="s">
        <v>3596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2181</v>
      </c>
      <c r="C55" t="s">
        <v>2182</v>
      </c>
      <c r="D55" s="3">
        <v>34485</v>
      </c>
      <c r="E55" t="s">
        <v>1386</v>
      </c>
      <c r="G55" s="3">
        <v>45868</v>
      </c>
      <c r="H55" t="s">
        <v>2183</v>
      </c>
      <c r="J55" t="s">
        <v>1394</v>
      </c>
      <c r="K55" t="s">
        <v>61</v>
      </c>
      <c r="L55" s="3">
        <v>47428</v>
      </c>
      <c r="M55" s="3">
        <v>47243</v>
      </c>
      <c r="N55" t="s">
        <v>2184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2979</v>
      </c>
      <c r="C56" t="s">
        <v>2980</v>
      </c>
      <c r="D56" s="3">
        <v>38832</v>
      </c>
      <c r="E56" t="s">
        <v>1386</v>
      </c>
      <c r="G56" s="3">
        <v>45860</v>
      </c>
      <c r="H56" t="s">
        <v>2981</v>
      </c>
      <c r="J56" t="s">
        <v>1394</v>
      </c>
      <c r="K56" t="s">
        <v>64</v>
      </c>
      <c r="L56" s="3">
        <v>47702</v>
      </c>
      <c r="M56" s="3">
        <v>47678</v>
      </c>
      <c r="N56" t="s">
        <v>2982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2634</v>
      </c>
      <c r="C57" t="s">
        <v>2635</v>
      </c>
      <c r="D57" s="3">
        <v>37799</v>
      </c>
      <c r="E57" t="s">
        <v>1386</v>
      </c>
      <c r="G57" s="3">
        <v>45860</v>
      </c>
      <c r="H57" t="s">
        <v>2636</v>
      </c>
      <c r="J57" t="s">
        <v>1394</v>
      </c>
      <c r="K57" t="s">
        <v>70</v>
      </c>
      <c r="L57" s="3">
        <v>47705</v>
      </c>
      <c r="M57" s="3">
        <v>47664</v>
      </c>
      <c r="N57" t="s">
        <v>2637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2022</v>
      </c>
      <c r="C58" t="s">
        <v>2023</v>
      </c>
      <c r="D58" s="3">
        <v>37796</v>
      </c>
      <c r="E58" t="s">
        <v>1386</v>
      </c>
      <c r="G58" s="3">
        <v>45853</v>
      </c>
      <c r="H58" t="s">
        <v>2024</v>
      </c>
      <c r="J58" t="s">
        <v>1394</v>
      </c>
      <c r="K58" t="s">
        <v>52</v>
      </c>
      <c r="L58" s="3">
        <v>1</v>
      </c>
      <c r="M58" s="3">
        <v>1</v>
      </c>
      <c r="N58" t="s">
        <v>2025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2520</v>
      </c>
      <c r="C59" t="s">
        <v>2521</v>
      </c>
      <c r="D59" s="3">
        <v>33500</v>
      </c>
      <c r="E59" t="s">
        <v>1386</v>
      </c>
      <c r="G59" s="3">
        <v>45854</v>
      </c>
      <c r="H59" t="s">
        <v>2522</v>
      </c>
      <c r="J59" t="s">
        <v>1394</v>
      </c>
      <c r="K59" t="s">
        <v>52</v>
      </c>
      <c r="L59" s="3">
        <v>46678</v>
      </c>
      <c r="M59" s="3">
        <v>46606</v>
      </c>
      <c r="N59" t="s">
        <v>2523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3373</v>
      </c>
      <c r="C60" t="s">
        <v>3374</v>
      </c>
      <c r="D60" s="3">
        <v>36225</v>
      </c>
      <c r="E60" t="s">
        <v>1386</v>
      </c>
      <c r="G60" s="3">
        <v>45840</v>
      </c>
      <c r="H60" t="s">
        <v>3375</v>
      </c>
      <c r="J60" t="s">
        <v>1394</v>
      </c>
      <c r="K60" t="s">
        <v>58</v>
      </c>
      <c r="L60" s="3">
        <v>47538</v>
      </c>
      <c r="M60" s="3">
        <v>47243</v>
      </c>
      <c r="N60" t="s">
        <v>3376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3395</v>
      </c>
      <c r="C61" t="s">
        <v>3396</v>
      </c>
      <c r="D61" s="3">
        <v>31325</v>
      </c>
      <c r="E61" t="s">
        <v>1386</v>
      </c>
      <c r="G61" s="3">
        <v>45831</v>
      </c>
      <c r="H61" t="s">
        <v>3397</v>
      </c>
      <c r="J61" t="s">
        <v>1394</v>
      </c>
      <c r="K61" t="s">
        <v>58</v>
      </c>
      <c r="L61" s="3">
        <v>47679</v>
      </c>
      <c r="M61" s="3">
        <v>47636</v>
      </c>
      <c r="N61" t="s">
        <v>3398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2460</v>
      </c>
      <c r="C62" t="s">
        <v>2461</v>
      </c>
      <c r="D62" s="3">
        <v>37670</v>
      </c>
      <c r="E62" t="s">
        <v>1386</v>
      </c>
      <c r="G62" s="3">
        <v>45814</v>
      </c>
      <c r="H62" t="s">
        <v>2462</v>
      </c>
      <c r="J62" t="s">
        <v>1394</v>
      </c>
      <c r="K62" t="s">
        <v>58</v>
      </c>
      <c r="L62" s="3">
        <v>47660</v>
      </c>
      <c r="M62" s="3">
        <v>47622</v>
      </c>
      <c r="N62" t="s">
        <v>2463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2185</v>
      </c>
      <c r="C63" t="s">
        <v>2182</v>
      </c>
      <c r="D63" s="3">
        <v>32049</v>
      </c>
      <c r="E63" t="s">
        <v>1386</v>
      </c>
      <c r="G63" s="3">
        <v>45845</v>
      </c>
      <c r="H63" t="s">
        <v>2186</v>
      </c>
      <c r="J63" t="s">
        <v>1394</v>
      </c>
      <c r="K63" t="s">
        <v>61</v>
      </c>
      <c r="L63" s="3">
        <v>47688</v>
      </c>
      <c r="M63" s="3">
        <v>47616</v>
      </c>
      <c r="N63" t="s">
        <v>2187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1472</v>
      </c>
      <c r="C64" t="s">
        <v>1460</v>
      </c>
      <c r="D64" s="3">
        <v>24230</v>
      </c>
      <c r="E64" t="s">
        <v>1386</v>
      </c>
      <c r="G64" s="3">
        <v>45831</v>
      </c>
      <c r="H64" t="s">
        <v>1473</v>
      </c>
      <c r="J64" t="s">
        <v>1394</v>
      </c>
      <c r="K64" t="s">
        <v>70</v>
      </c>
      <c r="L64" s="3">
        <v>47677</v>
      </c>
      <c r="M64" s="3">
        <v>47610</v>
      </c>
      <c r="N64" t="s">
        <v>1474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2765</v>
      </c>
      <c r="C65" t="s">
        <v>2766</v>
      </c>
      <c r="D65" s="3">
        <v>36537</v>
      </c>
      <c r="E65" t="s">
        <v>1386</v>
      </c>
      <c r="G65" s="3">
        <v>45798</v>
      </c>
      <c r="H65" t="s">
        <v>2767</v>
      </c>
      <c r="J65" t="s">
        <v>1394</v>
      </c>
      <c r="K65" t="s">
        <v>52</v>
      </c>
      <c r="L65" s="3">
        <v>47645</v>
      </c>
      <c r="M65" s="3">
        <v>47615</v>
      </c>
      <c r="N65" t="s">
        <v>2768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1800</v>
      </c>
      <c r="C66" t="s">
        <v>1801</v>
      </c>
      <c r="D66" s="3">
        <v>30683</v>
      </c>
      <c r="E66" t="s">
        <v>1386</v>
      </c>
      <c r="G66" s="3">
        <v>45831</v>
      </c>
      <c r="H66" t="s">
        <v>1802</v>
      </c>
      <c r="J66" t="s">
        <v>1394</v>
      </c>
      <c r="K66" t="s">
        <v>61</v>
      </c>
      <c r="L66" s="3">
        <v>47673</v>
      </c>
      <c r="M66" s="3">
        <v>47608</v>
      </c>
      <c r="N66" t="s">
        <v>1803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3214</v>
      </c>
      <c r="C67" t="s">
        <v>1341</v>
      </c>
      <c r="D67" s="3">
        <v>28560</v>
      </c>
      <c r="E67" t="s">
        <v>1386</v>
      </c>
      <c r="G67" s="3">
        <v>45831</v>
      </c>
      <c r="H67" t="s">
        <v>3215</v>
      </c>
      <c r="J67" t="s">
        <v>1394</v>
      </c>
      <c r="K67" t="s">
        <v>64</v>
      </c>
      <c r="L67" s="3">
        <v>47678</v>
      </c>
      <c r="M67" s="3">
        <v>47594</v>
      </c>
      <c r="N67" t="s">
        <v>3216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3266</v>
      </c>
      <c r="C68" t="s">
        <v>3267</v>
      </c>
      <c r="D68" s="3">
        <v>32479</v>
      </c>
      <c r="E68" t="s">
        <v>1386</v>
      </c>
      <c r="G68" s="3">
        <v>45831</v>
      </c>
      <c r="H68" t="s">
        <v>3268</v>
      </c>
      <c r="J68" t="s">
        <v>1394</v>
      </c>
      <c r="K68" t="s">
        <v>58</v>
      </c>
      <c r="L68" s="3">
        <v>47673</v>
      </c>
      <c r="M68" s="3">
        <v>47568</v>
      </c>
      <c r="N68" t="s">
        <v>3269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3188</v>
      </c>
      <c r="C69" t="s">
        <v>3189</v>
      </c>
      <c r="D69" s="3">
        <v>26143</v>
      </c>
      <c r="E69" t="s">
        <v>1386</v>
      </c>
      <c r="G69" s="3">
        <v>45814</v>
      </c>
      <c r="H69" t="s">
        <v>3190</v>
      </c>
      <c r="J69" t="s">
        <v>1394</v>
      </c>
      <c r="K69" t="s">
        <v>52</v>
      </c>
      <c r="L69" s="3">
        <v>47659</v>
      </c>
      <c r="M69" s="3">
        <v>47596</v>
      </c>
      <c r="N69" t="s">
        <v>3191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2698</v>
      </c>
      <c r="C70" t="s">
        <v>2699</v>
      </c>
      <c r="D70" s="3">
        <v>36357</v>
      </c>
      <c r="E70" t="s">
        <v>1386</v>
      </c>
      <c r="G70" s="3">
        <v>45798</v>
      </c>
      <c r="H70" t="s">
        <v>2700</v>
      </c>
      <c r="J70" t="s">
        <v>1394</v>
      </c>
      <c r="K70" t="s">
        <v>52</v>
      </c>
      <c r="L70" s="3">
        <v>47645</v>
      </c>
      <c r="M70" s="3">
        <v>47538</v>
      </c>
      <c r="N70" t="s">
        <v>2701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1447</v>
      </c>
      <c r="C71" t="s">
        <v>1448</v>
      </c>
      <c r="D71" s="3">
        <v>36390</v>
      </c>
      <c r="E71" t="s">
        <v>1386</v>
      </c>
      <c r="G71" s="3">
        <v>45798</v>
      </c>
      <c r="H71" t="s">
        <v>1449</v>
      </c>
      <c r="J71" t="s">
        <v>1394</v>
      </c>
      <c r="K71" t="s">
        <v>67</v>
      </c>
      <c r="L71" s="3">
        <v>47645</v>
      </c>
      <c r="M71" s="3">
        <v>46831</v>
      </c>
      <c r="N71" t="s">
        <v>1450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2174</v>
      </c>
      <c r="C72" t="s">
        <v>2175</v>
      </c>
      <c r="D72" s="3">
        <v>37565</v>
      </c>
      <c r="E72" t="s">
        <v>1386</v>
      </c>
      <c r="G72" s="3">
        <v>45783</v>
      </c>
      <c r="H72" t="s">
        <v>2176</v>
      </c>
      <c r="J72" t="s">
        <v>1394</v>
      </c>
      <c r="K72" t="s">
        <v>67</v>
      </c>
      <c r="L72" s="3">
        <v>47629</v>
      </c>
      <c r="M72" s="3">
        <v>47596</v>
      </c>
      <c r="N72" t="s">
        <v>2177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3464</v>
      </c>
      <c r="C73" t="s">
        <v>3465</v>
      </c>
      <c r="D73" s="3">
        <v>37792</v>
      </c>
      <c r="E73" t="s">
        <v>1386</v>
      </c>
      <c r="G73" s="3">
        <v>45783</v>
      </c>
      <c r="H73" t="s">
        <v>3466</v>
      </c>
      <c r="J73" t="s">
        <v>1394</v>
      </c>
      <c r="K73" t="s">
        <v>61</v>
      </c>
      <c r="L73" s="3">
        <v>47629</v>
      </c>
      <c r="M73" s="3">
        <v>47538</v>
      </c>
      <c r="N73" t="s">
        <v>3467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3597</v>
      </c>
      <c r="C74" t="s">
        <v>2082</v>
      </c>
      <c r="D74" s="3">
        <v>34724</v>
      </c>
      <c r="E74" t="s">
        <v>1386</v>
      </c>
      <c r="G74" s="3">
        <v>45763</v>
      </c>
      <c r="H74" t="s">
        <v>2083</v>
      </c>
      <c r="J74" t="s">
        <v>1394</v>
      </c>
      <c r="K74" t="s">
        <v>61</v>
      </c>
      <c r="L74" s="3">
        <v>47611</v>
      </c>
      <c r="M74" s="3">
        <v>47561</v>
      </c>
      <c r="N74" t="s">
        <v>2084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1922</v>
      </c>
      <c r="C75" t="s">
        <v>1919</v>
      </c>
      <c r="D75" s="3">
        <v>26073</v>
      </c>
      <c r="E75" t="s">
        <v>1386</v>
      </c>
      <c r="G75" s="3">
        <v>45749</v>
      </c>
      <c r="H75" t="s">
        <v>1923</v>
      </c>
      <c r="J75" t="s">
        <v>1394</v>
      </c>
      <c r="K75" t="s">
        <v>64</v>
      </c>
      <c r="L75" s="3">
        <v>47594</v>
      </c>
      <c r="M75" s="3">
        <v>47503</v>
      </c>
      <c r="N75" t="s">
        <v>1924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2148</v>
      </c>
      <c r="C76" t="s">
        <v>2895</v>
      </c>
      <c r="D76" s="3">
        <v>25405</v>
      </c>
      <c r="E76" t="s">
        <v>1386</v>
      </c>
      <c r="G76" s="3">
        <v>45735</v>
      </c>
      <c r="H76" t="s">
        <v>2896</v>
      </c>
      <c r="J76" t="s">
        <v>1394</v>
      </c>
      <c r="K76" t="s">
        <v>58</v>
      </c>
      <c r="L76" s="3">
        <v>47581</v>
      </c>
      <c r="M76" s="3">
        <v>46817</v>
      </c>
      <c r="N76" t="s">
        <v>2897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2490</v>
      </c>
      <c r="C77" t="s">
        <v>2491</v>
      </c>
      <c r="D77" s="3">
        <v>31471</v>
      </c>
      <c r="E77" t="s">
        <v>1386</v>
      </c>
      <c r="G77" s="3">
        <v>45783</v>
      </c>
      <c r="H77" t="s">
        <v>2492</v>
      </c>
      <c r="J77" t="s">
        <v>1394</v>
      </c>
      <c r="K77" t="s">
        <v>70</v>
      </c>
      <c r="L77" s="3">
        <v>47628</v>
      </c>
      <c r="M77" s="3">
        <v>47524</v>
      </c>
      <c r="N77" t="s">
        <v>2493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2702</v>
      </c>
      <c r="C78" t="s">
        <v>2703</v>
      </c>
      <c r="D78" s="3">
        <v>37767</v>
      </c>
      <c r="E78" t="s">
        <v>1386</v>
      </c>
      <c r="G78" s="3">
        <v>45735</v>
      </c>
      <c r="H78" t="s">
        <v>2704</v>
      </c>
      <c r="J78" t="s">
        <v>1394</v>
      </c>
      <c r="K78" t="s">
        <v>64</v>
      </c>
      <c r="L78" s="3">
        <v>47582</v>
      </c>
      <c r="M78" s="3">
        <v>47538</v>
      </c>
      <c r="N78" t="s">
        <v>2705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1777</v>
      </c>
      <c r="C79" t="s">
        <v>1778</v>
      </c>
      <c r="D79" s="3">
        <v>32357</v>
      </c>
      <c r="E79" t="s">
        <v>1386</v>
      </c>
      <c r="G79" s="3">
        <v>45783</v>
      </c>
      <c r="H79" t="s">
        <v>1779</v>
      </c>
      <c r="J79" t="s">
        <v>1394</v>
      </c>
      <c r="K79" t="s">
        <v>55</v>
      </c>
      <c r="L79" s="3">
        <v>47628</v>
      </c>
      <c r="M79" s="3">
        <v>47518</v>
      </c>
      <c r="N79" t="s">
        <v>1780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1815</v>
      </c>
      <c r="C80" t="s">
        <v>1816</v>
      </c>
      <c r="D80" s="3">
        <v>24767</v>
      </c>
      <c r="E80" t="s">
        <v>1386</v>
      </c>
      <c r="G80" s="3">
        <v>45720</v>
      </c>
      <c r="H80" t="s">
        <v>1817</v>
      </c>
      <c r="J80" t="s">
        <v>1394</v>
      </c>
      <c r="K80" t="s">
        <v>55</v>
      </c>
      <c r="L80" s="3">
        <v>47562</v>
      </c>
      <c r="M80" s="3">
        <v>47533</v>
      </c>
      <c r="N80" t="s">
        <v>1818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2018</v>
      </c>
      <c r="C81" t="s">
        <v>2019</v>
      </c>
      <c r="D81" s="3">
        <v>33204</v>
      </c>
      <c r="E81" t="s">
        <v>1386</v>
      </c>
      <c r="G81" s="3">
        <v>45770</v>
      </c>
      <c r="H81" t="s">
        <v>2020</v>
      </c>
      <c r="J81" t="s">
        <v>1394</v>
      </c>
      <c r="K81" t="s">
        <v>55</v>
      </c>
      <c r="L81" s="3">
        <v>47050</v>
      </c>
      <c r="M81" s="3">
        <v>47044</v>
      </c>
      <c r="N81" t="s">
        <v>2021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1406</v>
      </c>
      <c r="C82" t="s">
        <v>1407</v>
      </c>
      <c r="D82" s="3">
        <v>24023</v>
      </c>
      <c r="E82" t="s">
        <v>1386</v>
      </c>
      <c r="G82" s="3">
        <v>45749</v>
      </c>
      <c r="H82" t="s">
        <v>1408</v>
      </c>
      <c r="J82" t="s">
        <v>1394</v>
      </c>
      <c r="K82" t="s">
        <v>64</v>
      </c>
      <c r="L82" s="3">
        <v>47596</v>
      </c>
      <c r="M82" s="3">
        <v>47504</v>
      </c>
      <c r="N82" t="s">
        <v>1409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3217</v>
      </c>
      <c r="C83" t="s">
        <v>1341</v>
      </c>
      <c r="D83" s="3">
        <v>31677</v>
      </c>
      <c r="E83" t="s">
        <v>1386</v>
      </c>
      <c r="G83" s="3">
        <v>45735</v>
      </c>
      <c r="H83" t="s">
        <v>3218</v>
      </c>
      <c r="J83" t="s">
        <v>1928</v>
      </c>
      <c r="K83" t="s">
        <v>61</v>
      </c>
      <c r="L83" s="3">
        <v>47115</v>
      </c>
      <c r="M83" s="3">
        <v>47015</v>
      </c>
      <c r="N83" t="s">
        <v>3219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3272</v>
      </c>
      <c r="C84" t="s">
        <v>3273</v>
      </c>
      <c r="D84" s="3">
        <v>31115</v>
      </c>
      <c r="E84" t="s">
        <v>1386</v>
      </c>
      <c r="G84" s="3">
        <v>45720</v>
      </c>
      <c r="H84" t="s">
        <v>3274</v>
      </c>
      <c r="J84" t="s">
        <v>1394</v>
      </c>
      <c r="K84" t="s">
        <v>64</v>
      </c>
      <c r="L84" s="3">
        <v>1</v>
      </c>
      <c r="M84" s="3">
        <v>1</v>
      </c>
      <c r="N84" t="s">
        <v>3275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3313</v>
      </c>
      <c r="C85" t="s">
        <v>3314</v>
      </c>
      <c r="D85" s="3">
        <v>35076</v>
      </c>
      <c r="E85" t="s">
        <v>1386</v>
      </c>
      <c r="G85" s="3">
        <v>45720</v>
      </c>
      <c r="H85" t="s">
        <v>3315</v>
      </c>
      <c r="J85" t="s">
        <v>1394</v>
      </c>
      <c r="K85" t="s">
        <v>61</v>
      </c>
      <c r="L85" s="3">
        <v>47562</v>
      </c>
      <c r="M85" s="3">
        <v>47456</v>
      </c>
      <c r="N85" t="s">
        <v>3316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2030</v>
      </c>
      <c r="C86" t="s">
        <v>2031</v>
      </c>
      <c r="D86" s="3">
        <v>28837</v>
      </c>
      <c r="E86" t="s">
        <v>1386</v>
      </c>
      <c r="G86" s="3">
        <v>45735</v>
      </c>
      <c r="H86" t="s">
        <v>2032</v>
      </c>
      <c r="J86" t="s">
        <v>1394</v>
      </c>
      <c r="K86" t="s">
        <v>55</v>
      </c>
      <c r="L86" s="3">
        <v>47579</v>
      </c>
      <c r="M86" s="3">
        <v>47460</v>
      </c>
      <c r="N86" t="s">
        <v>2033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1597</v>
      </c>
      <c r="C87" t="s">
        <v>1598</v>
      </c>
      <c r="D87" s="3">
        <v>37981</v>
      </c>
      <c r="E87" t="s">
        <v>1386</v>
      </c>
      <c r="G87" s="3">
        <v>45677</v>
      </c>
      <c r="H87" t="s">
        <v>1599</v>
      </c>
      <c r="J87" t="s">
        <v>1394</v>
      </c>
      <c r="K87" t="s">
        <v>61</v>
      </c>
      <c r="L87" s="3">
        <v>47520</v>
      </c>
      <c r="M87" s="3">
        <v>47449</v>
      </c>
      <c r="N87" t="s">
        <v>1600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1547</v>
      </c>
      <c r="C88" t="s">
        <v>1544</v>
      </c>
      <c r="D88" s="3">
        <v>25272</v>
      </c>
      <c r="E88" t="s">
        <v>1386</v>
      </c>
      <c r="G88" s="3">
        <v>45663</v>
      </c>
      <c r="H88" t="s">
        <v>1548</v>
      </c>
      <c r="J88" t="s">
        <v>1394</v>
      </c>
      <c r="K88" t="s">
        <v>58</v>
      </c>
      <c r="L88" s="3">
        <v>47506</v>
      </c>
      <c r="M88" s="3">
        <v>47449</v>
      </c>
      <c r="N88" t="s">
        <v>1549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1895</v>
      </c>
      <c r="C89" t="s">
        <v>1217</v>
      </c>
      <c r="D89" s="3">
        <v>35947</v>
      </c>
      <c r="E89" t="s">
        <v>1386</v>
      </c>
      <c r="G89" s="3">
        <v>45692</v>
      </c>
      <c r="H89" t="s">
        <v>1896</v>
      </c>
      <c r="J89" t="s">
        <v>1394</v>
      </c>
      <c r="K89" t="s">
        <v>55</v>
      </c>
      <c r="L89" s="3">
        <v>47538</v>
      </c>
      <c r="M89" s="3">
        <v>47407</v>
      </c>
      <c r="N89" t="s">
        <v>1897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1590</v>
      </c>
      <c r="C90" t="s">
        <v>1591</v>
      </c>
      <c r="D90" s="3">
        <v>35443</v>
      </c>
      <c r="E90" t="s">
        <v>1386</v>
      </c>
      <c r="G90" s="3">
        <v>45673</v>
      </c>
      <c r="H90" t="s">
        <v>3598</v>
      </c>
      <c r="J90" t="s">
        <v>1394</v>
      </c>
      <c r="K90" t="s">
        <v>61</v>
      </c>
      <c r="L90" s="3">
        <v>47050</v>
      </c>
      <c r="M90" s="3">
        <v>46973</v>
      </c>
      <c r="N90" t="s">
        <v>1592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2557</v>
      </c>
      <c r="C91" t="s">
        <v>2558</v>
      </c>
      <c r="D91" s="3">
        <v>34983</v>
      </c>
      <c r="E91" t="s">
        <v>1386</v>
      </c>
      <c r="G91" s="3">
        <v>45663</v>
      </c>
      <c r="H91" t="s">
        <v>2559</v>
      </c>
      <c r="J91" t="s">
        <v>1394</v>
      </c>
      <c r="K91" t="s">
        <v>58</v>
      </c>
      <c r="L91" s="3">
        <v>46391</v>
      </c>
      <c r="M91" s="3">
        <v>46389</v>
      </c>
      <c r="N91" t="s">
        <v>2560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2060</v>
      </c>
      <c r="C92" t="s">
        <v>2061</v>
      </c>
      <c r="D92" s="3">
        <v>36719</v>
      </c>
      <c r="E92" t="s">
        <v>1386</v>
      </c>
      <c r="G92" s="3">
        <v>45618</v>
      </c>
      <c r="H92" t="s">
        <v>2062</v>
      </c>
      <c r="J92" t="s">
        <v>1394</v>
      </c>
      <c r="K92" t="s">
        <v>61</v>
      </c>
      <c r="L92" s="3">
        <v>47462</v>
      </c>
      <c r="M92" s="3">
        <v>47433</v>
      </c>
      <c r="N92" t="s">
        <v>2063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1451</v>
      </c>
      <c r="C93" t="s">
        <v>1452</v>
      </c>
      <c r="D93" s="3">
        <v>36623</v>
      </c>
      <c r="E93" t="s">
        <v>1386</v>
      </c>
      <c r="G93" s="3">
        <v>45663</v>
      </c>
      <c r="H93" t="s">
        <v>1453</v>
      </c>
      <c r="J93" t="s">
        <v>1394</v>
      </c>
      <c r="K93" t="s">
        <v>52</v>
      </c>
      <c r="L93" s="3">
        <v>47506</v>
      </c>
      <c r="M93" s="3">
        <v>47407</v>
      </c>
      <c r="N93" t="s">
        <v>1454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3287</v>
      </c>
      <c r="C94" t="s">
        <v>1358</v>
      </c>
      <c r="D94" s="3">
        <v>27424</v>
      </c>
      <c r="E94" t="s">
        <v>1386</v>
      </c>
      <c r="G94" s="3">
        <v>45603</v>
      </c>
      <c r="H94" t="s">
        <v>3288</v>
      </c>
      <c r="J94" t="s">
        <v>1394</v>
      </c>
      <c r="K94" t="s">
        <v>52</v>
      </c>
      <c r="L94" s="3">
        <v>47448</v>
      </c>
      <c r="M94" s="3">
        <v>47407</v>
      </c>
      <c r="N94" t="s">
        <v>3289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2603</v>
      </c>
      <c r="C95" t="s">
        <v>2604</v>
      </c>
      <c r="D95" s="3">
        <v>28323</v>
      </c>
      <c r="E95" t="s">
        <v>1386</v>
      </c>
      <c r="G95" s="3">
        <v>45603</v>
      </c>
      <c r="H95" t="s">
        <v>2605</v>
      </c>
      <c r="J95" t="s">
        <v>1394</v>
      </c>
      <c r="K95" t="s">
        <v>52</v>
      </c>
      <c r="L95" s="3">
        <v>47448</v>
      </c>
      <c r="M95" s="3">
        <v>47407</v>
      </c>
      <c r="N95" t="s">
        <v>2606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3026</v>
      </c>
      <c r="C96" t="s">
        <v>3023</v>
      </c>
      <c r="D96" s="3">
        <v>25087</v>
      </c>
      <c r="E96" t="s">
        <v>1386</v>
      </c>
      <c r="G96" s="3">
        <v>45616</v>
      </c>
      <c r="H96" t="s">
        <v>3027</v>
      </c>
      <c r="J96" t="s">
        <v>1394</v>
      </c>
      <c r="K96" t="s">
        <v>52</v>
      </c>
      <c r="L96" s="3">
        <v>46896</v>
      </c>
      <c r="M96" s="3">
        <v>46165</v>
      </c>
      <c r="N96" t="s">
        <v>3028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1717</v>
      </c>
      <c r="C97" t="s">
        <v>1718</v>
      </c>
      <c r="D97" s="3">
        <v>35419</v>
      </c>
      <c r="E97" t="s">
        <v>1386</v>
      </c>
      <c r="G97" s="3">
        <v>45618</v>
      </c>
      <c r="H97" t="s">
        <v>1719</v>
      </c>
      <c r="J97" t="s">
        <v>1394</v>
      </c>
      <c r="K97" t="s">
        <v>52</v>
      </c>
      <c r="L97" s="3">
        <v>47463</v>
      </c>
      <c r="M97" s="3">
        <v>47364</v>
      </c>
      <c r="N97" t="s">
        <v>1720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2994</v>
      </c>
      <c r="C98" t="s">
        <v>2995</v>
      </c>
      <c r="D98" s="3">
        <v>29089</v>
      </c>
      <c r="E98" t="s">
        <v>1386</v>
      </c>
      <c r="G98" s="3">
        <v>45574</v>
      </c>
      <c r="H98" t="s">
        <v>2996</v>
      </c>
      <c r="J98" t="s">
        <v>1394</v>
      </c>
      <c r="K98" t="s">
        <v>52</v>
      </c>
      <c r="L98" s="3">
        <v>47418</v>
      </c>
      <c r="M98" s="3">
        <v>47379</v>
      </c>
      <c r="N98" t="s">
        <v>2997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1619</v>
      </c>
      <c r="C99" t="s">
        <v>1620</v>
      </c>
      <c r="D99" s="3">
        <v>32903</v>
      </c>
      <c r="E99" t="s">
        <v>1386</v>
      </c>
      <c r="G99" s="3">
        <v>45603</v>
      </c>
      <c r="H99" t="s">
        <v>1621</v>
      </c>
      <c r="J99" t="s">
        <v>1394</v>
      </c>
      <c r="K99" t="s">
        <v>52</v>
      </c>
      <c r="L99" s="3">
        <v>47450</v>
      </c>
      <c r="M99" s="3">
        <v>47386</v>
      </c>
      <c r="N99" t="s">
        <v>1622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3321</v>
      </c>
      <c r="C100" t="s">
        <v>3322</v>
      </c>
      <c r="D100" s="3">
        <v>37647</v>
      </c>
      <c r="E100" t="s">
        <v>1386</v>
      </c>
      <c r="G100" s="3">
        <v>45588</v>
      </c>
      <c r="H100" t="s">
        <v>3323</v>
      </c>
      <c r="J100" t="s">
        <v>1394</v>
      </c>
      <c r="K100" t="s">
        <v>52</v>
      </c>
      <c r="L100" s="3">
        <v>47435</v>
      </c>
      <c r="M100" s="3">
        <v>47379</v>
      </c>
      <c r="N100" t="s">
        <v>3324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2350</v>
      </c>
      <c r="C101" t="s">
        <v>2351</v>
      </c>
      <c r="D101" s="3">
        <v>36725</v>
      </c>
      <c r="E101" t="s">
        <v>1386</v>
      </c>
      <c r="G101" s="3">
        <v>45559</v>
      </c>
      <c r="H101" t="s">
        <v>2352</v>
      </c>
      <c r="J101" t="s">
        <v>1394</v>
      </c>
      <c r="K101" t="s">
        <v>58</v>
      </c>
      <c r="L101" s="3">
        <v>47404</v>
      </c>
      <c r="M101" s="3">
        <v>47371</v>
      </c>
      <c r="N101" t="s">
        <v>2353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1420</v>
      </c>
      <c r="C102" t="s">
        <v>1421</v>
      </c>
      <c r="D102" s="3">
        <v>27187</v>
      </c>
      <c r="E102" t="s">
        <v>1386</v>
      </c>
      <c r="G102" s="3">
        <v>45574</v>
      </c>
      <c r="H102" t="s">
        <v>1422</v>
      </c>
      <c r="J102" t="s">
        <v>1394</v>
      </c>
      <c r="K102" t="s">
        <v>58</v>
      </c>
      <c r="L102" s="3">
        <v>47418</v>
      </c>
      <c r="M102" s="3">
        <v>47371</v>
      </c>
      <c r="N102" t="s">
        <v>1423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1864</v>
      </c>
      <c r="C103" t="s">
        <v>2224</v>
      </c>
      <c r="D103" s="3">
        <v>37138</v>
      </c>
      <c r="E103" t="s">
        <v>1386</v>
      </c>
      <c r="G103" s="3">
        <v>45544</v>
      </c>
      <c r="H103" t="s">
        <v>2225</v>
      </c>
      <c r="J103" t="s">
        <v>1394</v>
      </c>
      <c r="K103" t="s">
        <v>67</v>
      </c>
      <c r="L103" s="3">
        <v>47390</v>
      </c>
      <c r="M103" s="3">
        <v>47357</v>
      </c>
      <c r="N103" t="s">
        <v>2226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1729</v>
      </c>
      <c r="C104" t="s">
        <v>1730</v>
      </c>
      <c r="D104" s="3">
        <v>37866</v>
      </c>
      <c r="E104" t="s">
        <v>1386</v>
      </c>
      <c r="G104" s="3">
        <v>45530</v>
      </c>
      <c r="H104" t="s">
        <v>1731</v>
      </c>
      <c r="J104" t="s">
        <v>1394</v>
      </c>
      <c r="K104" t="s">
        <v>64</v>
      </c>
      <c r="L104" s="3">
        <v>47373</v>
      </c>
      <c r="M104" s="3">
        <v>47348</v>
      </c>
      <c r="N104" t="s">
        <v>1732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2088</v>
      </c>
      <c r="C105" t="s">
        <v>2089</v>
      </c>
      <c r="D105" s="3">
        <v>31961</v>
      </c>
      <c r="E105" t="s">
        <v>1386</v>
      </c>
      <c r="G105" s="3">
        <v>45530</v>
      </c>
      <c r="H105" t="s">
        <v>2090</v>
      </c>
      <c r="J105" t="s">
        <v>1394</v>
      </c>
      <c r="K105" t="s">
        <v>52</v>
      </c>
      <c r="L105" s="3">
        <v>47463</v>
      </c>
      <c r="M105" s="3">
        <v>46678</v>
      </c>
      <c r="N105" t="s">
        <v>2091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3255</v>
      </c>
      <c r="C106" t="s">
        <v>3256</v>
      </c>
      <c r="D106" s="3">
        <v>37705</v>
      </c>
      <c r="E106" t="s">
        <v>1386</v>
      </c>
      <c r="G106" s="3">
        <v>45530</v>
      </c>
      <c r="H106" t="s">
        <v>3257</v>
      </c>
      <c r="I106">
        <v>497579525</v>
      </c>
      <c r="J106" t="s">
        <v>1394</v>
      </c>
      <c r="K106" t="s">
        <v>52</v>
      </c>
      <c r="L106" s="3">
        <v>47372</v>
      </c>
      <c r="M106" s="3">
        <v>47303</v>
      </c>
      <c r="N106" t="s">
        <v>3258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3476</v>
      </c>
      <c r="C107" t="s">
        <v>3477</v>
      </c>
      <c r="D107" s="3">
        <v>29961</v>
      </c>
      <c r="E107" t="s">
        <v>1386</v>
      </c>
      <c r="G107" s="3">
        <v>45544</v>
      </c>
      <c r="H107" t="s">
        <v>3478</v>
      </c>
      <c r="J107" t="s">
        <v>1394</v>
      </c>
      <c r="K107" t="s">
        <v>58</v>
      </c>
      <c r="L107" s="3">
        <v>47391</v>
      </c>
      <c r="M107" s="3">
        <v>47294</v>
      </c>
      <c r="N107" t="s">
        <v>3479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1785</v>
      </c>
      <c r="C108" t="s">
        <v>1786</v>
      </c>
      <c r="D108" s="3">
        <v>31148</v>
      </c>
      <c r="E108" t="s">
        <v>1386</v>
      </c>
      <c r="G108" s="3">
        <v>45538</v>
      </c>
      <c r="H108" t="s">
        <v>1787</v>
      </c>
      <c r="J108" t="s">
        <v>1394</v>
      </c>
      <c r="K108" t="s">
        <v>64</v>
      </c>
      <c r="L108" s="3">
        <v>46847</v>
      </c>
      <c r="M108" s="3">
        <v>46684</v>
      </c>
      <c r="N108" t="s">
        <v>1788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1475</v>
      </c>
      <c r="C109" t="s">
        <v>1460</v>
      </c>
      <c r="D109" s="3">
        <v>27082</v>
      </c>
      <c r="E109" t="s">
        <v>1386</v>
      </c>
      <c r="G109" s="3">
        <v>45498</v>
      </c>
      <c r="H109" t="s">
        <v>1476</v>
      </c>
      <c r="J109" t="s">
        <v>1394</v>
      </c>
      <c r="K109" t="s">
        <v>64</v>
      </c>
      <c r="L109" s="3">
        <v>47342</v>
      </c>
      <c r="M109" s="3">
        <v>47303</v>
      </c>
      <c r="N109" t="s">
        <v>1477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2664</v>
      </c>
      <c r="C110" t="s">
        <v>2665</v>
      </c>
      <c r="D110" s="3">
        <v>33523</v>
      </c>
      <c r="E110" t="s">
        <v>1386</v>
      </c>
      <c r="G110" s="3">
        <v>45498</v>
      </c>
      <c r="H110" t="s">
        <v>3599</v>
      </c>
      <c r="J110" t="s">
        <v>1394</v>
      </c>
      <c r="K110" t="s">
        <v>55</v>
      </c>
      <c r="L110" s="3">
        <v>47342</v>
      </c>
      <c r="M110" s="3">
        <v>47594</v>
      </c>
      <c r="N110" t="s">
        <v>2666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1539</v>
      </c>
      <c r="C111" t="s">
        <v>1540</v>
      </c>
      <c r="D111" s="3">
        <v>34859</v>
      </c>
      <c r="E111" t="s">
        <v>1386</v>
      </c>
      <c r="G111" s="3">
        <v>45484</v>
      </c>
      <c r="H111" t="s">
        <v>1541</v>
      </c>
      <c r="J111" t="s">
        <v>1394</v>
      </c>
      <c r="K111" t="s">
        <v>55</v>
      </c>
      <c r="L111" s="3">
        <v>47329</v>
      </c>
      <c r="M111" s="3">
        <v>47300</v>
      </c>
      <c r="N111" t="s">
        <v>1542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1967</v>
      </c>
      <c r="C112" t="s">
        <v>2808</v>
      </c>
      <c r="D112" s="3">
        <v>36483</v>
      </c>
      <c r="E112" t="s">
        <v>1386</v>
      </c>
      <c r="G112" s="3">
        <v>45470</v>
      </c>
      <c r="H112" t="s">
        <v>2809</v>
      </c>
      <c r="J112" t="s">
        <v>1394</v>
      </c>
      <c r="K112" t="s">
        <v>58</v>
      </c>
      <c r="L112" s="3">
        <v>47314</v>
      </c>
      <c r="M112" s="3">
        <v>47314</v>
      </c>
      <c r="N112" t="s">
        <v>2810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2630</v>
      </c>
      <c r="C113" t="s">
        <v>2631</v>
      </c>
      <c r="D113" s="3">
        <v>34393</v>
      </c>
      <c r="E113" t="s">
        <v>1386</v>
      </c>
      <c r="G113" s="3">
        <v>45544</v>
      </c>
      <c r="H113" t="s">
        <v>2632</v>
      </c>
      <c r="J113" t="s">
        <v>1394</v>
      </c>
      <c r="K113" t="s">
        <v>70</v>
      </c>
      <c r="L113" s="3">
        <v>47390</v>
      </c>
      <c r="M113" s="3">
        <v>47267</v>
      </c>
      <c r="N113" t="s">
        <v>2633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3013</v>
      </c>
      <c r="C114" t="s">
        <v>3014</v>
      </c>
      <c r="D114" s="3">
        <v>34274</v>
      </c>
      <c r="E114" t="s">
        <v>1386</v>
      </c>
      <c r="G114" s="3">
        <v>45456</v>
      </c>
      <c r="H114" t="s">
        <v>3015</v>
      </c>
      <c r="J114" t="s">
        <v>1394</v>
      </c>
      <c r="K114" t="s">
        <v>73</v>
      </c>
      <c r="L114" s="3">
        <v>47300</v>
      </c>
      <c r="M114" s="3">
        <v>47272</v>
      </c>
      <c r="N114" t="s">
        <v>3016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2318</v>
      </c>
      <c r="C115" t="s">
        <v>2319</v>
      </c>
      <c r="D115" s="3">
        <v>27167</v>
      </c>
      <c r="E115" t="s">
        <v>1386</v>
      </c>
      <c r="G115" s="3">
        <v>45450</v>
      </c>
      <c r="H115" t="s">
        <v>2320</v>
      </c>
      <c r="J115" t="s">
        <v>1394</v>
      </c>
      <c r="K115" t="s">
        <v>52</v>
      </c>
      <c r="L115" s="3">
        <v>47286</v>
      </c>
      <c r="M115" s="3">
        <v>47267</v>
      </c>
      <c r="N115" t="s">
        <v>2321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2369</v>
      </c>
      <c r="C116" t="s">
        <v>2370</v>
      </c>
      <c r="D116" s="3">
        <v>31306</v>
      </c>
      <c r="E116" t="s">
        <v>1386</v>
      </c>
      <c r="G116" s="3">
        <v>45464</v>
      </c>
      <c r="H116" t="s">
        <v>2371</v>
      </c>
      <c r="J116" t="s">
        <v>1394</v>
      </c>
      <c r="K116" t="s">
        <v>55</v>
      </c>
      <c r="L116" s="3">
        <v>47300</v>
      </c>
      <c r="M116" s="3">
        <v>47243</v>
      </c>
      <c r="N116" t="s">
        <v>2372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3385</v>
      </c>
      <c r="C117" t="s">
        <v>3386</v>
      </c>
      <c r="D117" s="3">
        <v>31462</v>
      </c>
      <c r="E117" t="s">
        <v>1386</v>
      </c>
      <c r="G117" s="3">
        <v>45419</v>
      </c>
      <c r="H117" t="s">
        <v>3387</v>
      </c>
      <c r="J117" t="s">
        <v>1394</v>
      </c>
      <c r="K117" t="s">
        <v>73</v>
      </c>
      <c r="L117" s="3">
        <v>46281</v>
      </c>
      <c r="M117" s="3">
        <v>46244</v>
      </c>
      <c r="N117" t="s">
        <v>3388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2299</v>
      </c>
      <c r="C118" t="s">
        <v>2300</v>
      </c>
      <c r="D118" s="3">
        <v>36922</v>
      </c>
      <c r="E118" t="s">
        <v>1386</v>
      </c>
      <c r="G118" s="3">
        <v>45427</v>
      </c>
      <c r="H118" t="s">
        <v>2301</v>
      </c>
      <c r="J118" t="s">
        <v>1394</v>
      </c>
      <c r="K118" t="s">
        <v>61</v>
      </c>
      <c r="L118" s="3">
        <v>47273</v>
      </c>
      <c r="M118" s="3">
        <v>47230</v>
      </c>
      <c r="N118" t="s">
        <v>2302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3381</v>
      </c>
      <c r="C119" t="s">
        <v>3382</v>
      </c>
      <c r="D119" s="3">
        <v>36547</v>
      </c>
      <c r="E119" t="s">
        <v>1386</v>
      </c>
      <c r="G119" s="3">
        <v>45442</v>
      </c>
      <c r="H119" t="s">
        <v>3383</v>
      </c>
      <c r="J119" t="s">
        <v>1394</v>
      </c>
      <c r="K119" t="s">
        <v>55</v>
      </c>
      <c r="L119" s="3">
        <v>47286</v>
      </c>
      <c r="M119" s="3">
        <v>47222</v>
      </c>
      <c r="N119" t="s">
        <v>3384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2736</v>
      </c>
      <c r="C120" t="s">
        <v>2737</v>
      </c>
      <c r="D120" s="3">
        <v>29573</v>
      </c>
      <c r="E120" t="s">
        <v>1386</v>
      </c>
      <c r="G120" s="3">
        <v>45408</v>
      </c>
      <c r="H120" t="s">
        <v>2738</v>
      </c>
      <c r="J120" t="s">
        <v>1394</v>
      </c>
      <c r="K120" t="s">
        <v>70</v>
      </c>
      <c r="L120" s="3">
        <v>47258</v>
      </c>
      <c r="M120" s="3">
        <v>47225</v>
      </c>
      <c r="N120" t="s">
        <v>2739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1967</v>
      </c>
      <c r="C121" t="s">
        <v>2800</v>
      </c>
      <c r="D121" s="3">
        <v>34034</v>
      </c>
      <c r="E121" t="s">
        <v>1386</v>
      </c>
      <c r="G121" s="3">
        <v>45408</v>
      </c>
      <c r="H121" t="s">
        <v>2801</v>
      </c>
      <c r="J121" t="s">
        <v>1394</v>
      </c>
      <c r="K121" t="s">
        <v>70</v>
      </c>
      <c r="L121" s="3">
        <v>47253</v>
      </c>
      <c r="M121" s="3">
        <v>47225</v>
      </c>
      <c r="N121" t="s">
        <v>2802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2322</v>
      </c>
      <c r="C122" t="s">
        <v>2319</v>
      </c>
      <c r="D122" s="3">
        <v>37624</v>
      </c>
      <c r="E122" t="s">
        <v>1386</v>
      </c>
      <c r="G122" s="3">
        <v>45408</v>
      </c>
      <c r="H122" t="s">
        <v>2323</v>
      </c>
      <c r="J122" t="s">
        <v>1394</v>
      </c>
      <c r="K122" t="s">
        <v>55</v>
      </c>
      <c r="L122" s="3">
        <v>47245</v>
      </c>
      <c r="M122" s="3">
        <v>47225</v>
      </c>
      <c r="N122" t="s">
        <v>2324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1958</v>
      </c>
      <c r="C123" t="s">
        <v>1959</v>
      </c>
      <c r="D123" s="3">
        <v>20716</v>
      </c>
      <c r="E123" t="s">
        <v>1386</v>
      </c>
      <c r="G123" s="3">
        <v>45407</v>
      </c>
      <c r="H123" t="s">
        <v>1960</v>
      </c>
      <c r="J123" t="s">
        <v>1961</v>
      </c>
      <c r="K123" t="s">
        <v>73</v>
      </c>
      <c r="L123" s="3">
        <v>1</v>
      </c>
      <c r="M123" s="3">
        <v>1</v>
      </c>
      <c r="N123" t="s">
        <v>1962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2942</v>
      </c>
      <c r="C124" t="s">
        <v>2939</v>
      </c>
      <c r="D124" s="3">
        <v>20536</v>
      </c>
      <c r="E124" t="s">
        <v>1386</v>
      </c>
      <c r="G124" s="3">
        <v>45407</v>
      </c>
      <c r="J124" t="s">
        <v>1961</v>
      </c>
      <c r="K124" t="s">
        <v>73</v>
      </c>
      <c r="L124" s="3">
        <v>1</v>
      </c>
      <c r="M124" s="3">
        <v>1</v>
      </c>
      <c r="N124" t="s">
        <v>2943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2448</v>
      </c>
      <c r="C125" t="s">
        <v>2449</v>
      </c>
      <c r="D125" s="3">
        <v>37300</v>
      </c>
      <c r="E125" t="s">
        <v>1386</v>
      </c>
      <c r="G125" s="3">
        <v>45408</v>
      </c>
      <c r="H125" t="s">
        <v>2450</v>
      </c>
      <c r="J125" t="s">
        <v>1394</v>
      </c>
      <c r="K125" t="s">
        <v>67</v>
      </c>
      <c r="L125" s="3">
        <v>47259</v>
      </c>
      <c r="M125" s="3">
        <v>47216</v>
      </c>
      <c r="N125" t="s">
        <v>2451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2206</v>
      </c>
      <c r="C126" t="s">
        <v>2207</v>
      </c>
      <c r="D126" s="3">
        <v>28898</v>
      </c>
      <c r="E126" t="s">
        <v>1386</v>
      </c>
      <c r="G126" s="3">
        <v>45481</v>
      </c>
      <c r="H126" t="s">
        <v>2208</v>
      </c>
      <c r="J126" t="s">
        <v>1394</v>
      </c>
      <c r="K126" t="s">
        <v>52</v>
      </c>
      <c r="L126" s="3">
        <v>45959</v>
      </c>
      <c r="M126" s="3">
        <v>45923</v>
      </c>
      <c r="N126" t="s">
        <v>2209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2840</v>
      </c>
      <c r="C127" t="s">
        <v>2841</v>
      </c>
      <c r="D127" s="3">
        <v>25646</v>
      </c>
      <c r="E127" t="s">
        <v>1386</v>
      </c>
      <c r="G127" s="3">
        <v>45478</v>
      </c>
      <c r="H127" t="s">
        <v>2842</v>
      </c>
      <c r="J127" t="s">
        <v>1394</v>
      </c>
      <c r="K127" t="s">
        <v>52</v>
      </c>
      <c r="L127" s="3">
        <v>46733</v>
      </c>
      <c r="M127" s="3">
        <v>46040</v>
      </c>
      <c r="N127" t="s">
        <v>2843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2920</v>
      </c>
      <c r="C128" t="s">
        <v>2921</v>
      </c>
      <c r="D128" s="3">
        <v>35772</v>
      </c>
      <c r="E128" t="s">
        <v>1386</v>
      </c>
      <c r="G128" s="3">
        <v>45408</v>
      </c>
      <c r="H128" t="s">
        <v>2922</v>
      </c>
      <c r="J128" t="s">
        <v>1394</v>
      </c>
      <c r="K128" t="s">
        <v>52</v>
      </c>
      <c r="L128" s="3">
        <v>47258</v>
      </c>
      <c r="M128" s="3">
        <v>47204</v>
      </c>
      <c r="N128" t="s">
        <v>2923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3171</v>
      </c>
      <c r="C129" t="s">
        <v>1709</v>
      </c>
      <c r="D129" s="3">
        <v>28613</v>
      </c>
      <c r="E129" t="s">
        <v>1386</v>
      </c>
      <c r="G129" s="3">
        <v>45394</v>
      </c>
      <c r="H129" t="s">
        <v>3172</v>
      </c>
      <c r="J129" t="s">
        <v>1928</v>
      </c>
      <c r="K129" t="s">
        <v>64</v>
      </c>
      <c r="L129" s="3">
        <v>47239</v>
      </c>
      <c r="M129" s="3">
        <v>47201</v>
      </c>
      <c r="N129" t="s">
        <v>3173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3332</v>
      </c>
      <c r="C130" t="s">
        <v>3333</v>
      </c>
      <c r="D130" s="3">
        <v>33604</v>
      </c>
      <c r="E130" t="s">
        <v>1386</v>
      </c>
      <c r="G130" s="3">
        <v>45404</v>
      </c>
      <c r="H130" t="s">
        <v>3334</v>
      </c>
      <c r="J130" t="s">
        <v>1394</v>
      </c>
      <c r="K130" t="s">
        <v>61</v>
      </c>
      <c r="L130" s="3">
        <v>47504</v>
      </c>
      <c r="M130" s="3">
        <v>47498</v>
      </c>
      <c r="N130" t="s">
        <v>3335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2883</v>
      </c>
      <c r="C131" t="s">
        <v>2884</v>
      </c>
      <c r="D131" s="3">
        <v>30353</v>
      </c>
      <c r="E131" t="s">
        <v>1386</v>
      </c>
      <c r="G131" s="3">
        <v>45378</v>
      </c>
      <c r="H131" t="s">
        <v>2885</v>
      </c>
      <c r="J131" t="s">
        <v>1394</v>
      </c>
      <c r="K131" t="s">
        <v>61</v>
      </c>
      <c r="L131" s="3">
        <v>47229</v>
      </c>
      <c r="M131" s="3">
        <v>47167</v>
      </c>
      <c r="N131" t="s">
        <v>2886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1429</v>
      </c>
      <c r="C132" t="s">
        <v>1430</v>
      </c>
      <c r="D132" s="3">
        <v>35989</v>
      </c>
      <c r="E132" t="s">
        <v>1386</v>
      </c>
      <c r="G132" s="3">
        <v>45394</v>
      </c>
      <c r="H132" t="s">
        <v>1431</v>
      </c>
      <c r="J132" t="s">
        <v>1432</v>
      </c>
      <c r="K132" t="s">
        <v>61</v>
      </c>
      <c r="L132" s="3">
        <v>47239</v>
      </c>
      <c r="M132" s="3">
        <v>47143</v>
      </c>
      <c r="N132" t="s">
        <v>1433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2549</v>
      </c>
      <c r="C133" t="s">
        <v>2550</v>
      </c>
      <c r="D133" s="3">
        <v>32793</v>
      </c>
      <c r="E133" t="s">
        <v>1386</v>
      </c>
      <c r="G133" s="3">
        <v>45364</v>
      </c>
      <c r="H133" t="s">
        <v>2551</v>
      </c>
      <c r="J133" t="s">
        <v>1394</v>
      </c>
      <c r="K133" t="s">
        <v>61</v>
      </c>
      <c r="L133" s="3">
        <v>47224</v>
      </c>
      <c r="M133" s="3">
        <v>47167</v>
      </c>
      <c r="N133" t="s">
        <v>2552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3231</v>
      </c>
      <c r="C134" t="s">
        <v>3232</v>
      </c>
      <c r="D134" s="3">
        <v>35832</v>
      </c>
      <c r="E134" t="s">
        <v>1386</v>
      </c>
      <c r="G134" s="3">
        <v>45349</v>
      </c>
      <c r="H134" t="s">
        <v>3233</v>
      </c>
      <c r="J134" t="s">
        <v>1394</v>
      </c>
      <c r="K134" t="s">
        <v>52</v>
      </c>
      <c r="L134" s="3">
        <v>47194</v>
      </c>
      <c r="M134" s="3">
        <v>47168</v>
      </c>
      <c r="N134" t="s">
        <v>3234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1693</v>
      </c>
      <c r="C135" t="s">
        <v>1694</v>
      </c>
      <c r="D135" s="3">
        <v>35955</v>
      </c>
      <c r="E135" t="s">
        <v>1386</v>
      </c>
      <c r="G135" s="3">
        <v>45349</v>
      </c>
      <c r="H135" t="s">
        <v>1695</v>
      </c>
      <c r="J135" t="s">
        <v>1394</v>
      </c>
      <c r="K135" t="s">
        <v>52</v>
      </c>
      <c r="L135" s="3">
        <v>47194</v>
      </c>
      <c r="M135" s="3">
        <v>47161</v>
      </c>
      <c r="N135" t="s">
        <v>1696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3095</v>
      </c>
      <c r="C136" t="s">
        <v>3329</v>
      </c>
      <c r="D136" s="3">
        <v>37879</v>
      </c>
      <c r="E136" t="s">
        <v>1386</v>
      </c>
      <c r="G136" s="3">
        <v>45378</v>
      </c>
      <c r="H136" t="s">
        <v>3330</v>
      </c>
      <c r="J136" t="s">
        <v>1394</v>
      </c>
      <c r="K136" t="s">
        <v>52</v>
      </c>
      <c r="L136" s="3">
        <v>47224</v>
      </c>
      <c r="M136" s="3">
        <v>47150</v>
      </c>
      <c r="N136" t="s">
        <v>3331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2452</v>
      </c>
      <c r="C137" t="s">
        <v>2453</v>
      </c>
      <c r="D137" s="3">
        <v>33970</v>
      </c>
      <c r="E137" t="s">
        <v>1386</v>
      </c>
      <c r="G137" s="3">
        <v>45345</v>
      </c>
      <c r="H137" t="s">
        <v>2454</v>
      </c>
      <c r="J137" t="s">
        <v>1394</v>
      </c>
      <c r="K137" t="s">
        <v>52</v>
      </c>
      <c r="L137" s="3">
        <v>46719</v>
      </c>
      <c r="M137" s="3">
        <v>46616</v>
      </c>
      <c r="N137" t="s">
        <v>2455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2210</v>
      </c>
      <c r="C138" t="s">
        <v>2211</v>
      </c>
      <c r="D138" s="3">
        <v>33333</v>
      </c>
      <c r="E138" t="s">
        <v>1386</v>
      </c>
      <c r="G138" s="3">
        <v>45335</v>
      </c>
      <c r="H138" t="s">
        <v>2212</v>
      </c>
      <c r="J138" t="s">
        <v>1394</v>
      </c>
      <c r="K138" t="s">
        <v>61</v>
      </c>
      <c r="L138" s="3">
        <v>47181</v>
      </c>
      <c r="M138" s="3">
        <v>47143</v>
      </c>
      <c r="N138" t="s">
        <v>2213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1586</v>
      </c>
      <c r="C139" t="s">
        <v>1587</v>
      </c>
      <c r="D139" s="3">
        <v>37726</v>
      </c>
      <c r="E139" t="s">
        <v>1386</v>
      </c>
      <c r="G139" s="3">
        <v>45335</v>
      </c>
      <c r="H139" t="s">
        <v>1588</v>
      </c>
      <c r="J139" t="s">
        <v>1394</v>
      </c>
      <c r="K139" t="s">
        <v>61</v>
      </c>
      <c r="L139" s="3">
        <v>47181</v>
      </c>
      <c r="M139" s="3">
        <v>47139</v>
      </c>
      <c r="N139" t="s">
        <v>1589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1697</v>
      </c>
      <c r="C140" t="s">
        <v>1694</v>
      </c>
      <c r="D140" s="3">
        <v>34917</v>
      </c>
      <c r="E140" t="s">
        <v>1386</v>
      </c>
      <c r="G140" s="3">
        <v>45364</v>
      </c>
      <c r="H140" t="s">
        <v>1698</v>
      </c>
      <c r="J140" t="s">
        <v>1394</v>
      </c>
      <c r="K140" t="s">
        <v>52</v>
      </c>
      <c r="L140" s="3">
        <v>47210</v>
      </c>
      <c r="M140" s="3">
        <v>47141</v>
      </c>
      <c r="N140" t="s">
        <v>1699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1746</v>
      </c>
      <c r="C141" t="s">
        <v>1741</v>
      </c>
      <c r="D141" s="3">
        <v>26869</v>
      </c>
      <c r="E141" t="s">
        <v>1386</v>
      </c>
      <c r="G141" s="3">
        <v>45335</v>
      </c>
      <c r="H141" t="s">
        <v>1747</v>
      </c>
      <c r="I141">
        <v>93577730</v>
      </c>
      <c r="J141" t="s">
        <v>1394</v>
      </c>
      <c r="K141" t="s">
        <v>61</v>
      </c>
      <c r="L141" s="3">
        <v>47180</v>
      </c>
      <c r="M141" s="3">
        <v>47141</v>
      </c>
      <c r="N141" t="s">
        <v>1748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3184</v>
      </c>
      <c r="C142" t="s">
        <v>3185</v>
      </c>
      <c r="D142" s="3">
        <v>37636</v>
      </c>
      <c r="E142" t="s">
        <v>1386</v>
      </c>
      <c r="G142" s="3">
        <v>45321</v>
      </c>
      <c r="H142" t="s">
        <v>3186</v>
      </c>
      <c r="J142" t="s">
        <v>1394</v>
      </c>
      <c r="K142" t="s">
        <v>61</v>
      </c>
      <c r="L142" s="3">
        <v>47164</v>
      </c>
      <c r="M142" s="3">
        <v>47134</v>
      </c>
      <c r="N142" t="s">
        <v>3187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3377</v>
      </c>
      <c r="C143" t="s">
        <v>3378</v>
      </c>
      <c r="D143" s="3">
        <v>34746</v>
      </c>
      <c r="E143" t="s">
        <v>1386</v>
      </c>
      <c r="G143" s="3">
        <v>45321</v>
      </c>
      <c r="H143" t="s">
        <v>3379</v>
      </c>
      <c r="J143" t="s">
        <v>1394</v>
      </c>
      <c r="K143" t="s">
        <v>58</v>
      </c>
      <c r="L143" s="3">
        <v>47168</v>
      </c>
      <c r="M143" s="3">
        <v>47129</v>
      </c>
      <c r="N143" t="s">
        <v>3380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2056</v>
      </c>
      <c r="C144" t="s">
        <v>2057</v>
      </c>
      <c r="D144" s="3">
        <v>28723</v>
      </c>
      <c r="E144" t="s">
        <v>1386</v>
      </c>
      <c r="G144" s="3">
        <v>45364</v>
      </c>
      <c r="H144" t="s">
        <v>2058</v>
      </c>
      <c r="J144" t="s">
        <v>1394</v>
      </c>
      <c r="K144" t="s">
        <v>52</v>
      </c>
      <c r="L144" s="3">
        <v>47210</v>
      </c>
      <c r="M144" s="3">
        <v>47092</v>
      </c>
      <c r="N144" t="s">
        <v>2059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3109</v>
      </c>
      <c r="C145" t="s">
        <v>3259</v>
      </c>
      <c r="D145" s="3">
        <v>38314</v>
      </c>
      <c r="E145" t="s">
        <v>1386</v>
      </c>
      <c r="G145" s="3">
        <v>45307</v>
      </c>
      <c r="H145" t="s">
        <v>3260</v>
      </c>
      <c r="J145" t="s">
        <v>1394</v>
      </c>
      <c r="K145" t="s">
        <v>61</v>
      </c>
      <c r="L145" s="3">
        <v>47154</v>
      </c>
      <c r="M145" s="3">
        <v>47126</v>
      </c>
      <c r="N145" t="s">
        <v>3261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1925</v>
      </c>
      <c r="C146" t="s">
        <v>1926</v>
      </c>
      <c r="D146" s="3">
        <v>33365</v>
      </c>
      <c r="E146" t="s">
        <v>1386</v>
      </c>
      <c r="G146" s="3">
        <v>45307</v>
      </c>
      <c r="H146" t="s">
        <v>1927</v>
      </c>
      <c r="J146" t="s">
        <v>1394</v>
      </c>
      <c r="K146" t="s">
        <v>61</v>
      </c>
      <c r="L146" s="3">
        <v>47154</v>
      </c>
      <c r="M146" s="3">
        <v>47126</v>
      </c>
      <c r="N146" t="s">
        <v>1929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2325</v>
      </c>
      <c r="C147" t="s">
        <v>2319</v>
      </c>
      <c r="D147" s="3">
        <v>30468</v>
      </c>
      <c r="E147" t="s">
        <v>1386</v>
      </c>
      <c r="G147" s="3">
        <v>45321</v>
      </c>
      <c r="H147" t="s">
        <v>2326</v>
      </c>
      <c r="J147" t="s">
        <v>1394</v>
      </c>
      <c r="K147" t="s">
        <v>61</v>
      </c>
      <c r="L147" s="3">
        <v>47164</v>
      </c>
      <c r="M147" s="3">
        <v>47092</v>
      </c>
      <c r="N147" t="s">
        <v>2327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2338</v>
      </c>
      <c r="C148" t="s">
        <v>2339</v>
      </c>
      <c r="D148" s="3">
        <v>35670</v>
      </c>
      <c r="E148" t="s">
        <v>1386</v>
      </c>
      <c r="G148" s="3">
        <v>45321</v>
      </c>
      <c r="H148" t="s">
        <v>2340</v>
      </c>
      <c r="J148" t="s">
        <v>1394</v>
      </c>
      <c r="K148" t="s">
        <v>61</v>
      </c>
      <c r="L148" s="3">
        <v>47165</v>
      </c>
      <c r="M148" s="3">
        <v>47105</v>
      </c>
      <c r="N148" t="s">
        <v>2341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1902</v>
      </c>
      <c r="C149" t="s">
        <v>1903</v>
      </c>
      <c r="D149" s="3">
        <v>33604</v>
      </c>
      <c r="E149" t="s">
        <v>1386</v>
      </c>
      <c r="G149" s="3">
        <v>45307</v>
      </c>
      <c r="H149" t="s">
        <v>1904</v>
      </c>
      <c r="J149" t="s">
        <v>1394</v>
      </c>
      <c r="K149" t="s">
        <v>61</v>
      </c>
      <c r="L149" s="3">
        <v>47154</v>
      </c>
      <c r="M149" s="3">
        <v>47100</v>
      </c>
      <c r="N149" t="s">
        <v>1905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2276</v>
      </c>
      <c r="C150" t="s">
        <v>2277</v>
      </c>
      <c r="D150" s="3">
        <v>30553</v>
      </c>
      <c r="E150" t="s">
        <v>1386</v>
      </c>
      <c r="G150" s="3">
        <v>45299</v>
      </c>
      <c r="H150" t="s">
        <v>2278</v>
      </c>
      <c r="J150" t="s">
        <v>1394</v>
      </c>
      <c r="K150" t="s">
        <v>61</v>
      </c>
      <c r="L150" s="3">
        <v>46530</v>
      </c>
      <c r="M150" s="3">
        <v>45999</v>
      </c>
      <c r="N150" t="s">
        <v>2279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3600</v>
      </c>
      <c r="C151" t="s">
        <v>3446</v>
      </c>
      <c r="D151" s="3">
        <v>35796</v>
      </c>
      <c r="E151" t="s">
        <v>1386</v>
      </c>
      <c r="G151" s="3">
        <v>45293</v>
      </c>
      <c r="H151" t="s">
        <v>3601</v>
      </c>
      <c r="J151" t="s">
        <v>1843</v>
      </c>
      <c r="K151" t="s">
        <v>55</v>
      </c>
      <c r="L151" s="3">
        <v>47302</v>
      </c>
      <c r="M151" s="3">
        <v>47100</v>
      </c>
      <c r="N151" t="s">
        <v>3602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2553</v>
      </c>
      <c r="C152" t="s">
        <v>2554</v>
      </c>
      <c r="D152" s="3">
        <v>34161</v>
      </c>
      <c r="E152" t="s">
        <v>1386</v>
      </c>
      <c r="G152" s="3">
        <v>45307</v>
      </c>
      <c r="H152" t="s">
        <v>2555</v>
      </c>
      <c r="J152" t="s">
        <v>1394</v>
      </c>
      <c r="K152" t="s">
        <v>61</v>
      </c>
      <c r="L152" s="3">
        <v>47150</v>
      </c>
      <c r="M152" s="3">
        <v>47092</v>
      </c>
      <c r="N152" t="s">
        <v>2556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3223</v>
      </c>
      <c r="C153" t="s">
        <v>3224</v>
      </c>
      <c r="D153" s="3">
        <v>29982</v>
      </c>
      <c r="E153" t="s">
        <v>1386</v>
      </c>
      <c r="G153" s="3">
        <v>45299</v>
      </c>
      <c r="H153" t="s">
        <v>3225</v>
      </c>
      <c r="J153" t="s">
        <v>1394</v>
      </c>
      <c r="K153" t="s">
        <v>64</v>
      </c>
      <c r="L153" s="3">
        <v>47169</v>
      </c>
      <c r="M153" s="3">
        <v>47077</v>
      </c>
      <c r="N153" t="s">
        <v>3226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2653</v>
      </c>
      <c r="C154" t="s">
        <v>2654</v>
      </c>
      <c r="D154" s="3">
        <v>34727</v>
      </c>
      <c r="E154" t="s">
        <v>1386</v>
      </c>
      <c r="G154" s="3">
        <v>45307</v>
      </c>
      <c r="H154" t="s">
        <v>2655</v>
      </c>
      <c r="J154" t="s">
        <v>1394</v>
      </c>
      <c r="K154" t="s">
        <v>61</v>
      </c>
      <c r="L154" s="3">
        <v>46999</v>
      </c>
      <c r="M154" s="3">
        <v>46999</v>
      </c>
      <c r="N154" t="s">
        <v>2656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3272</v>
      </c>
      <c r="C155" t="s">
        <v>3461</v>
      </c>
      <c r="D155" s="3">
        <v>22796</v>
      </c>
      <c r="E155" t="s">
        <v>1386</v>
      </c>
      <c r="G155" s="3">
        <v>45315</v>
      </c>
      <c r="H155" t="s">
        <v>3462</v>
      </c>
      <c r="J155" t="s">
        <v>1394</v>
      </c>
      <c r="K155" t="s">
        <v>61</v>
      </c>
      <c r="L155" s="3">
        <v>46497</v>
      </c>
      <c r="M155" s="3">
        <v>46431</v>
      </c>
      <c r="N155" t="s">
        <v>3463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1860</v>
      </c>
      <c r="C156" t="s">
        <v>1861</v>
      </c>
      <c r="D156" s="3">
        <v>28307</v>
      </c>
      <c r="E156" t="s">
        <v>1386</v>
      </c>
      <c r="G156" s="3">
        <v>45293</v>
      </c>
      <c r="H156" t="s">
        <v>1862</v>
      </c>
      <c r="J156" t="s">
        <v>1394</v>
      </c>
      <c r="K156" t="s">
        <v>67</v>
      </c>
      <c r="L156" s="3">
        <v>47140</v>
      </c>
      <c r="M156" s="3">
        <v>47090</v>
      </c>
      <c r="N156" t="s">
        <v>1863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2494</v>
      </c>
      <c r="C157" t="s">
        <v>2491</v>
      </c>
      <c r="D157" s="3">
        <v>29906</v>
      </c>
      <c r="E157" t="s">
        <v>1386</v>
      </c>
      <c r="G157" s="3">
        <v>45264</v>
      </c>
      <c r="H157" t="s">
        <v>2495</v>
      </c>
      <c r="J157" t="s">
        <v>1394</v>
      </c>
      <c r="K157" t="s">
        <v>55</v>
      </c>
      <c r="L157" s="3">
        <v>47106</v>
      </c>
      <c r="M157" s="3">
        <v>47083</v>
      </c>
      <c r="N157" t="s">
        <v>2496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2960</v>
      </c>
      <c r="C158" t="s">
        <v>2961</v>
      </c>
      <c r="D158" s="3">
        <v>36686</v>
      </c>
      <c r="E158" t="s">
        <v>1386</v>
      </c>
      <c r="G158" s="3">
        <v>45264</v>
      </c>
      <c r="H158" t="s">
        <v>2962</v>
      </c>
      <c r="J158" t="s">
        <v>1394</v>
      </c>
      <c r="K158" t="s">
        <v>70</v>
      </c>
      <c r="L158" s="3">
        <v>47107</v>
      </c>
      <c r="M158" s="3">
        <v>47072</v>
      </c>
      <c r="N158" t="s">
        <v>2963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3276</v>
      </c>
      <c r="C159" t="s">
        <v>3277</v>
      </c>
      <c r="D159" s="3">
        <v>33698</v>
      </c>
      <c r="E159" t="s">
        <v>1386</v>
      </c>
      <c r="G159" s="3">
        <v>45264</v>
      </c>
      <c r="H159" t="s">
        <v>3278</v>
      </c>
      <c r="J159" t="s">
        <v>1394</v>
      </c>
      <c r="K159" t="s">
        <v>64</v>
      </c>
      <c r="L159" s="3">
        <v>47108</v>
      </c>
      <c r="M159" s="3">
        <v>47072</v>
      </c>
      <c r="N159" t="s">
        <v>3279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1485</v>
      </c>
      <c r="C160" t="s">
        <v>1486</v>
      </c>
      <c r="D160" s="3">
        <v>26488</v>
      </c>
      <c r="E160" t="s">
        <v>1386</v>
      </c>
      <c r="G160" s="3">
        <v>45264</v>
      </c>
      <c r="H160" t="s">
        <v>1487</v>
      </c>
      <c r="J160" t="s">
        <v>1394</v>
      </c>
      <c r="K160" t="s">
        <v>52</v>
      </c>
      <c r="L160" s="3">
        <v>47106</v>
      </c>
      <c r="M160" s="3">
        <v>47077</v>
      </c>
      <c r="N160" t="s">
        <v>1488</v>
      </c>
      <c r="O160" s="4">
        <v>1</v>
      </c>
      <c r="P160">
        <v>0</v>
      </c>
      <c r="Q160">
        <v>0</v>
      </c>
      <c r="R160" t="s">
        <v>1489</v>
      </c>
    </row>
    <row r="161" spans="1:17" x14ac:dyDescent="0.25">
      <c r="A161">
        <v>39831</v>
      </c>
      <c r="B161" t="s">
        <v>2128</v>
      </c>
      <c r="C161" t="s">
        <v>2129</v>
      </c>
      <c r="D161" s="3">
        <v>35158</v>
      </c>
      <c r="E161" t="s">
        <v>1386</v>
      </c>
      <c r="G161" s="3">
        <v>45264</v>
      </c>
      <c r="H161" t="s">
        <v>2130</v>
      </c>
      <c r="J161" t="s">
        <v>1394</v>
      </c>
      <c r="K161" t="s">
        <v>70</v>
      </c>
      <c r="L161" s="3">
        <v>47106</v>
      </c>
      <c r="M161" s="3">
        <v>47072</v>
      </c>
      <c r="N161" t="s">
        <v>2131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1700</v>
      </c>
      <c r="C162" t="s">
        <v>1701</v>
      </c>
      <c r="D162" s="3">
        <v>32321</v>
      </c>
      <c r="E162" t="s">
        <v>1386</v>
      </c>
      <c r="G162" s="3">
        <v>45264</v>
      </c>
      <c r="H162" t="s">
        <v>1702</v>
      </c>
      <c r="J162" t="s">
        <v>1394</v>
      </c>
      <c r="K162" t="s">
        <v>73</v>
      </c>
      <c r="L162" s="3">
        <v>47107</v>
      </c>
      <c r="M162" s="3">
        <v>47072</v>
      </c>
      <c r="N162" t="s">
        <v>1703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2140</v>
      </c>
      <c r="C163" t="s">
        <v>2141</v>
      </c>
      <c r="D163" s="3">
        <v>33855</v>
      </c>
      <c r="E163" t="s">
        <v>1386</v>
      </c>
      <c r="G163" s="3">
        <v>45250</v>
      </c>
      <c r="H163" t="s">
        <v>2142</v>
      </c>
      <c r="J163" t="s">
        <v>1394</v>
      </c>
      <c r="K163" t="s">
        <v>55</v>
      </c>
      <c r="L163" s="3">
        <v>47093</v>
      </c>
      <c r="M163" s="3">
        <v>47051</v>
      </c>
      <c r="N163" t="s">
        <v>2143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3302</v>
      </c>
      <c r="C164" t="s">
        <v>3303</v>
      </c>
      <c r="D164" s="3">
        <v>36347</v>
      </c>
      <c r="E164" t="s">
        <v>1386</v>
      </c>
      <c r="G164" s="3">
        <v>45250</v>
      </c>
      <c r="H164" t="s">
        <v>3304</v>
      </c>
      <c r="J164" t="s">
        <v>1394</v>
      </c>
      <c r="K164" t="s">
        <v>73</v>
      </c>
      <c r="L164" s="3">
        <v>47092</v>
      </c>
      <c r="M164" s="3">
        <v>47027</v>
      </c>
      <c r="N164" t="s">
        <v>3305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2649</v>
      </c>
      <c r="C165" t="s">
        <v>2650</v>
      </c>
      <c r="D165" s="3">
        <v>29587</v>
      </c>
      <c r="E165" t="s">
        <v>1386</v>
      </c>
      <c r="G165" s="3">
        <v>45313</v>
      </c>
      <c r="H165" t="s">
        <v>2651</v>
      </c>
      <c r="J165" t="s">
        <v>1394</v>
      </c>
      <c r="K165" t="s">
        <v>64</v>
      </c>
      <c r="L165" s="3">
        <v>47608</v>
      </c>
      <c r="M165" s="3">
        <v>47594</v>
      </c>
      <c r="N165" t="s">
        <v>2652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1055</v>
      </c>
      <c r="C166" t="s">
        <v>1217</v>
      </c>
      <c r="D166" s="3">
        <v>35461</v>
      </c>
      <c r="E166" t="s">
        <v>1386</v>
      </c>
      <c r="G166" s="3">
        <v>45236</v>
      </c>
      <c r="H166" t="s">
        <v>1898</v>
      </c>
      <c r="J166" t="s">
        <v>1394</v>
      </c>
      <c r="K166" t="s">
        <v>55</v>
      </c>
      <c r="L166" s="3">
        <v>47077</v>
      </c>
      <c r="M166" s="3">
        <v>47034</v>
      </c>
      <c r="N166" t="s">
        <v>1899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2582</v>
      </c>
      <c r="C167" t="s">
        <v>2583</v>
      </c>
      <c r="D167" s="3">
        <v>36222</v>
      </c>
      <c r="E167" t="s">
        <v>1386</v>
      </c>
      <c r="G167" s="3">
        <v>45222</v>
      </c>
      <c r="H167" t="s">
        <v>2584</v>
      </c>
      <c r="J167" t="s">
        <v>1394</v>
      </c>
      <c r="K167" t="s">
        <v>64</v>
      </c>
      <c r="L167" s="3">
        <v>47064</v>
      </c>
      <c r="M167" s="3">
        <v>47030</v>
      </c>
      <c r="N167" t="s">
        <v>2585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2740</v>
      </c>
      <c r="C168" t="s">
        <v>2741</v>
      </c>
      <c r="D168" s="3">
        <v>25391</v>
      </c>
      <c r="E168" t="s">
        <v>1386</v>
      </c>
      <c r="G168" s="3">
        <v>45236</v>
      </c>
      <c r="H168" t="s">
        <v>2742</v>
      </c>
      <c r="J168" t="s">
        <v>1394</v>
      </c>
      <c r="K168" t="s">
        <v>58</v>
      </c>
      <c r="L168" s="3">
        <v>47110</v>
      </c>
      <c r="M168" s="3">
        <v>47030</v>
      </c>
      <c r="N168" t="s">
        <v>2743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2803</v>
      </c>
      <c r="C169" t="s">
        <v>2800</v>
      </c>
      <c r="D169" s="3">
        <v>32368</v>
      </c>
      <c r="E169" t="s">
        <v>1386</v>
      </c>
      <c r="G169" s="3">
        <v>45222</v>
      </c>
      <c r="H169" t="s">
        <v>2804</v>
      </c>
      <c r="J169" t="s">
        <v>1394</v>
      </c>
      <c r="K169" t="s">
        <v>55</v>
      </c>
      <c r="L169" s="3">
        <v>47064</v>
      </c>
      <c r="M169" s="3">
        <v>47027</v>
      </c>
      <c r="N169" t="s">
        <v>2805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2373</v>
      </c>
      <c r="C170" t="s">
        <v>2374</v>
      </c>
      <c r="D170" s="3">
        <v>35555</v>
      </c>
      <c r="E170" t="s">
        <v>1386</v>
      </c>
      <c r="G170" s="3">
        <v>45222</v>
      </c>
      <c r="H170" t="s">
        <v>2375</v>
      </c>
      <c r="J170" t="s">
        <v>1394</v>
      </c>
      <c r="K170" t="s">
        <v>64</v>
      </c>
      <c r="L170" s="3">
        <v>47065</v>
      </c>
      <c r="M170" s="3">
        <v>47016</v>
      </c>
      <c r="N170" t="s">
        <v>2376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1629</v>
      </c>
      <c r="C171" t="s">
        <v>1630</v>
      </c>
      <c r="D171" s="3">
        <v>32321</v>
      </c>
      <c r="E171" t="s">
        <v>1386</v>
      </c>
      <c r="G171" s="3">
        <v>45208</v>
      </c>
      <c r="H171" t="s">
        <v>1631</v>
      </c>
      <c r="J171" t="s">
        <v>1394</v>
      </c>
      <c r="K171" t="s">
        <v>64</v>
      </c>
      <c r="L171" s="3">
        <v>47051</v>
      </c>
      <c r="M171" s="3">
        <v>47027</v>
      </c>
      <c r="N171" t="s">
        <v>1632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2444</v>
      </c>
      <c r="C172" t="s">
        <v>2445</v>
      </c>
      <c r="D172" s="3">
        <v>36852</v>
      </c>
      <c r="E172" t="s">
        <v>1386</v>
      </c>
      <c r="G172" s="3">
        <v>45236</v>
      </c>
      <c r="H172" t="s">
        <v>2446</v>
      </c>
      <c r="J172" t="s">
        <v>1394</v>
      </c>
      <c r="K172" t="s">
        <v>73</v>
      </c>
      <c r="L172" s="3">
        <v>47077</v>
      </c>
      <c r="M172" s="3">
        <v>47016</v>
      </c>
      <c r="N172" t="s">
        <v>2447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3280</v>
      </c>
      <c r="C173" t="s">
        <v>3281</v>
      </c>
      <c r="D173" s="3">
        <v>35615</v>
      </c>
      <c r="E173" t="s">
        <v>1386</v>
      </c>
      <c r="G173" s="3">
        <v>45208</v>
      </c>
      <c r="H173" t="s">
        <v>3282</v>
      </c>
      <c r="J173" t="s">
        <v>1394</v>
      </c>
      <c r="K173" t="s">
        <v>55</v>
      </c>
      <c r="L173" s="3">
        <v>47049</v>
      </c>
      <c r="M173" s="3">
        <v>47009</v>
      </c>
      <c r="N173" t="s">
        <v>3283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2377</v>
      </c>
      <c r="C174" t="s">
        <v>2378</v>
      </c>
      <c r="D174" s="3">
        <v>36481</v>
      </c>
      <c r="E174" t="s">
        <v>1386</v>
      </c>
      <c r="G174" s="3">
        <v>45194</v>
      </c>
      <c r="H174" t="s">
        <v>2379</v>
      </c>
      <c r="J174" t="s">
        <v>1432</v>
      </c>
      <c r="K174" t="s">
        <v>70</v>
      </c>
      <c r="L174" s="3">
        <v>47036</v>
      </c>
      <c r="M174" s="3">
        <v>47009</v>
      </c>
      <c r="N174" t="s">
        <v>2380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2660</v>
      </c>
      <c r="C175" t="s">
        <v>2661</v>
      </c>
      <c r="D175" s="3">
        <v>35965</v>
      </c>
      <c r="E175" t="s">
        <v>1386</v>
      </c>
      <c r="G175" s="3">
        <v>45222</v>
      </c>
      <c r="H175" t="s">
        <v>2662</v>
      </c>
      <c r="J175" t="s">
        <v>1394</v>
      </c>
      <c r="K175" t="s">
        <v>70</v>
      </c>
      <c r="L175" s="3">
        <v>47064</v>
      </c>
      <c r="M175" s="3">
        <v>47009</v>
      </c>
      <c r="N175" t="s">
        <v>2663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2983</v>
      </c>
      <c r="C176" t="s">
        <v>3177</v>
      </c>
      <c r="D176" s="3">
        <v>31519</v>
      </c>
      <c r="E176" t="s">
        <v>1386</v>
      </c>
      <c r="G176" s="3">
        <v>45208</v>
      </c>
      <c r="H176" t="s">
        <v>3178</v>
      </c>
      <c r="J176" t="s">
        <v>1394</v>
      </c>
      <c r="K176" t="s">
        <v>67</v>
      </c>
      <c r="L176" s="3">
        <v>47052</v>
      </c>
      <c r="M176" s="3">
        <v>46974</v>
      </c>
      <c r="N176" t="s">
        <v>3179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2037</v>
      </c>
      <c r="C177" t="s">
        <v>2038</v>
      </c>
      <c r="D177" s="3">
        <v>36632</v>
      </c>
      <c r="E177" t="s">
        <v>1386</v>
      </c>
      <c r="F177">
        <v>87</v>
      </c>
      <c r="G177" s="3">
        <v>45208</v>
      </c>
      <c r="H177" t="s">
        <v>2039</v>
      </c>
      <c r="J177" t="s">
        <v>1394</v>
      </c>
      <c r="K177" t="s">
        <v>61</v>
      </c>
      <c r="L177" s="3">
        <v>47049</v>
      </c>
      <c r="M177" s="3">
        <v>46981</v>
      </c>
      <c r="N177" t="s">
        <v>2040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1990</v>
      </c>
      <c r="C178" t="s">
        <v>1991</v>
      </c>
      <c r="D178" s="3">
        <v>23786</v>
      </c>
      <c r="E178" t="s">
        <v>1386</v>
      </c>
      <c r="G178" s="3">
        <v>45286</v>
      </c>
      <c r="H178" t="s">
        <v>1992</v>
      </c>
      <c r="J178" t="s">
        <v>1595</v>
      </c>
      <c r="K178" t="s">
        <v>61</v>
      </c>
      <c r="L178" s="3">
        <v>45934</v>
      </c>
      <c r="M178" s="3">
        <v>47621</v>
      </c>
      <c r="N178" t="s">
        <v>1993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1910</v>
      </c>
      <c r="C179" t="s">
        <v>1911</v>
      </c>
      <c r="D179" s="3">
        <v>32358</v>
      </c>
      <c r="E179" t="s">
        <v>1386</v>
      </c>
      <c r="G179" s="3">
        <v>45236</v>
      </c>
      <c r="H179" t="s">
        <v>1912</v>
      </c>
      <c r="J179" t="s">
        <v>1394</v>
      </c>
      <c r="K179" t="s">
        <v>61</v>
      </c>
      <c r="L179" s="3">
        <v>47077</v>
      </c>
      <c r="M179" s="3">
        <v>46981</v>
      </c>
      <c r="N179" t="s">
        <v>1913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2158</v>
      </c>
      <c r="C180" t="s">
        <v>2159</v>
      </c>
      <c r="D180" s="3">
        <v>31775</v>
      </c>
      <c r="E180" t="s">
        <v>1386</v>
      </c>
      <c r="F180">
        <v>28</v>
      </c>
      <c r="G180" s="3">
        <v>45194</v>
      </c>
      <c r="H180" t="s">
        <v>2160</v>
      </c>
      <c r="J180" t="s">
        <v>1394</v>
      </c>
      <c r="K180" t="s">
        <v>61</v>
      </c>
      <c r="L180" s="3">
        <v>47036</v>
      </c>
      <c r="M180" s="3">
        <v>46946</v>
      </c>
      <c r="N180" t="s">
        <v>2161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2591</v>
      </c>
      <c r="C181" t="s">
        <v>2592</v>
      </c>
      <c r="D181" s="3">
        <v>29195</v>
      </c>
      <c r="E181" t="s">
        <v>1386</v>
      </c>
      <c r="G181" s="3">
        <v>45124</v>
      </c>
      <c r="H181" t="s">
        <v>2593</v>
      </c>
      <c r="J181" t="s">
        <v>1394</v>
      </c>
      <c r="K181" t="s">
        <v>61</v>
      </c>
      <c r="L181" s="3">
        <v>47526</v>
      </c>
      <c r="M181" s="3">
        <v>47460</v>
      </c>
      <c r="N181" t="s">
        <v>2594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1451</v>
      </c>
      <c r="C182" t="s">
        <v>2612</v>
      </c>
      <c r="D182" s="3">
        <v>36104</v>
      </c>
      <c r="E182" t="s">
        <v>1386</v>
      </c>
      <c r="G182" s="3">
        <v>45173</v>
      </c>
      <c r="H182" t="s">
        <v>2613</v>
      </c>
      <c r="J182" t="s">
        <v>1394</v>
      </c>
      <c r="K182" t="s">
        <v>61</v>
      </c>
      <c r="L182" s="3">
        <v>47014</v>
      </c>
      <c r="M182" s="3">
        <v>46903</v>
      </c>
      <c r="N182" t="s">
        <v>2614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1503</v>
      </c>
      <c r="C183" t="s">
        <v>2304</v>
      </c>
      <c r="D183" s="3">
        <v>21648</v>
      </c>
      <c r="E183" t="s">
        <v>1386</v>
      </c>
      <c r="F183">
        <v>306</v>
      </c>
      <c r="G183" s="3">
        <v>29885</v>
      </c>
      <c r="H183" t="s">
        <v>2307</v>
      </c>
      <c r="I183">
        <v>93240876</v>
      </c>
      <c r="J183" t="s">
        <v>1523</v>
      </c>
      <c r="K183" t="s">
        <v>55</v>
      </c>
      <c r="L183" s="3">
        <v>72686</v>
      </c>
      <c r="M183" s="3">
        <v>46827</v>
      </c>
      <c r="N183" t="s">
        <v>2308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3389</v>
      </c>
      <c r="C184" t="s">
        <v>3386</v>
      </c>
      <c r="D184" s="3">
        <v>36822</v>
      </c>
      <c r="E184" t="s">
        <v>1386</v>
      </c>
      <c r="G184" s="3">
        <v>45103</v>
      </c>
      <c r="H184" t="s">
        <v>3390</v>
      </c>
      <c r="J184" t="s">
        <v>1394</v>
      </c>
      <c r="K184" t="s">
        <v>70</v>
      </c>
      <c r="L184" s="3">
        <v>46945</v>
      </c>
      <c r="M184" s="3">
        <v>46925</v>
      </c>
      <c r="N184" t="s">
        <v>3391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1434</v>
      </c>
      <c r="C185" t="s">
        <v>1435</v>
      </c>
      <c r="D185" s="3">
        <v>33938</v>
      </c>
      <c r="E185" t="s">
        <v>1386</v>
      </c>
      <c r="G185" s="3">
        <v>45097</v>
      </c>
      <c r="H185" t="s">
        <v>1436</v>
      </c>
      <c r="J185" t="s">
        <v>1394</v>
      </c>
      <c r="K185" t="s">
        <v>61</v>
      </c>
      <c r="L185" s="3">
        <v>46945</v>
      </c>
      <c r="M185" s="3">
        <v>46897</v>
      </c>
      <c r="N185" t="s">
        <v>1437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3369</v>
      </c>
      <c r="C186" t="s">
        <v>3370</v>
      </c>
      <c r="D186" s="3">
        <v>32148</v>
      </c>
      <c r="E186" t="s">
        <v>1386</v>
      </c>
      <c r="G186" s="3">
        <v>45103</v>
      </c>
      <c r="H186" t="s">
        <v>3371</v>
      </c>
      <c r="J186" t="s">
        <v>1394</v>
      </c>
      <c r="K186" t="s">
        <v>61</v>
      </c>
      <c r="L186" s="3">
        <v>46946</v>
      </c>
      <c r="M186" s="3">
        <v>46887</v>
      </c>
      <c r="N186" t="s">
        <v>3372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3402</v>
      </c>
      <c r="C187" t="s">
        <v>3403</v>
      </c>
      <c r="D187" s="3">
        <v>28674</v>
      </c>
      <c r="E187" t="s">
        <v>1386</v>
      </c>
      <c r="G187" s="3">
        <v>45090</v>
      </c>
      <c r="H187" t="s">
        <v>3404</v>
      </c>
      <c r="J187" t="s">
        <v>1394</v>
      </c>
      <c r="K187" t="s">
        <v>70</v>
      </c>
      <c r="L187" s="3">
        <v>46933</v>
      </c>
      <c r="M187" s="3">
        <v>46883</v>
      </c>
      <c r="N187" t="s">
        <v>3405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1796</v>
      </c>
      <c r="C188" t="s">
        <v>1797</v>
      </c>
      <c r="D188" s="3">
        <v>27446</v>
      </c>
      <c r="E188" t="s">
        <v>1386</v>
      </c>
      <c r="G188" s="3">
        <v>45166</v>
      </c>
      <c r="H188" t="s">
        <v>1798</v>
      </c>
      <c r="J188" t="s">
        <v>1394</v>
      </c>
      <c r="K188" t="s">
        <v>61</v>
      </c>
      <c r="L188" s="3">
        <v>47371</v>
      </c>
      <c r="M188" s="3">
        <v>47351</v>
      </c>
      <c r="N188" t="s">
        <v>1799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3430</v>
      </c>
      <c r="C189" t="s">
        <v>3431</v>
      </c>
      <c r="D189" s="3">
        <v>36995</v>
      </c>
      <c r="E189" t="s">
        <v>1386</v>
      </c>
      <c r="G189" s="3">
        <v>45076</v>
      </c>
      <c r="H189" t="s">
        <v>3603</v>
      </c>
      <c r="J189" t="s">
        <v>1394</v>
      </c>
      <c r="K189" t="s">
        <v>55</v>
      </c>
      <c r="L189" s="3">
        <v>46919</v>
      </c>
      <c r="M189" s="3">
        <v>46880</v>
      </c>
      <c r="N189" t="s">
        <v>3432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2100</v>
      </c>
      <c r="C190" t="s">
        <v>2101</v>
      </c>
      <c r="D190" s="3">
        <v>29763</v>
      </c>
      <c r="E190" t="s">
        <v>1386</v>
      </c>
      <c r="G190" s="3">
        <v>45076</v>
      </c>
      <c r="H190" t="s">
        <v>2102</v>
      </c>
      <c r="J190" t="s">
        <v>1394</v>
      </c>
      <c r="K190" t="s">
        <v>61</v>
      </c>
      <c r="L190" s="3">
        <v>47048</v>
      </c>
      <c r="M190" s="3">
        <v>46959</v>
      </c>
      <c r="N190" t="s">
        <v>2103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2497</v>
      </c>
      <c r="C191" t="s">
        <v>2491</v>
      </c>
      <c r="D191" s="3">
        <v>30913</v>
      </c>
      <c r="E191" t="s">
        <v>1386</v>
      </c>
      <c r="G191" s="3">
        <v>45061</v>
      </c>
      <c r="H191" t="s">
        <v>2498</v>
      </c>
      <c r="J191" t="s">
        <v>1505</v>
      </c>
      <c r="K191" t="s">
        <v>73</v>
      </c>
      <c r="L191" s="3">
        <v>46904</v>
      </c>
      <c r="M191" s="3">
        <v>46862</v>
      </c>
      <c r="N191" t="s">
        <v>2499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2397</v>
      </c>
      <c r="C192" t="s">
        <v>2398</v>
      </c>
      <c r="D192" s="3">
        <v>36757</v>
      </c>
      <c r="E192" t="s">
        <v>1386</v>
      </c>
      <c r="G192" s="3">
        <v>45076</v>
      </c>
      <c r="H192" t="s">
        <v>2399</v>
      </c>
      <c r="J192" t="s">
        <v>1432</v>
      </c>
      <c r="K192" t="s">
        <v>55</v>
      </c>
      <c r="L192" s="3">
        <v>46923</v>
      </c>
      <c r="M192" s="3">
        <v>46860</v>
      </c>
      <c r="N192" t="s">
        <v>2400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2777</v>
      </c>
      <c r="C193" t="s">
        <v>2778</v>
      </c>
      <c r="D193" s="3">
        <v>27937</v>
      </c>
      <c r="E193" t="s">
        <v>1386</v>
      </c>
      <c r="G193" s="3">
        <v>45076</v>
      </c>
      <c r="H193" t="s">
        <v>2779</v>
      </c>
      <c r="J193" t="s">
        <v>1394</v>
      </c>
      <c r="K193" t="s">
        <v>70</v>
      </c>
      <c r="L193" s="3">
        <v>46923</v>
      </c>
      <c r="M193" s="3">
        <v>46827</v>
      </c>
      <c r="N193" t="s">
        <v>2780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2769</v>
      </c>
      <c r="C194" t="s">
        <v>2770</v>
      </c>
      <c r="D194" s="3">
        <v>33351</v>
      </c>
      <c r="E194" t="s">
        <v>1386</v>
      </c>
      <c r="G194" s="3">
        <v>45061</v>
      </c>
      <c r="H194" t="s">
        <v>2771</v>
      </c>
      <c r="J194" t="s">
        <v>1394</v>
      </c>
      <c r="K194" t="s">
        <v>73</v>
      </c>
      <c r="L194" s="3">
        <v>46904</v>
      </c>
      <c r="M194" s="3">
        <v>46838</v>
      </c>
      <c r="N194" t="s">
        <v>2772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2916</v>
      </c>
      <c r="C195" t="s">
        <v>2917</v>
      </c>
      <c r="D195" s="3">
        <v>36438</v>
      </c>
      <c r="E195" t="s">
        <v>1386</v>
      </c>
      <c r="G195" s="3">
        <v>45040</v>
      </c>
      <c r="H195" t="s">
        <v>2918</v>
      </c>
      <c r="J195" t="s">
        <v>1394</v>
      </c>
      <c r="K195" t="s">
        <v>55</v>
      </c>
      <c r="L195" s="3">
        <v>46882</v>
      </c>
      <c r="M195" s="3">
        <v>46842</v>
      </c>
      <c r="N195" t="s">
        <v>2919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2615</v>
      </c>
      <c r="C196" t="s">
        <v>2612</v>
      </c>
      <c r="D196" s="3">
        <v>30718</v>
      </c>
      <c r="E196" t="s">
        <v>1386</v>
      </c>
      <c r="G196" s="3">
        <v>45090</v>
      </c>
      <c r="H196" t="s">
        <v>2616</v>
      </c>
      <c r="J196" t="s">
        <v>1404</v>
      </c>
      <c r="K196" t="s">
        <v>70</v>
      </c>
      <c r="L196" s="3">
        <v>46933</v>
      </c>
      <c r="M196" s="3">
        <v>46810</v>
      </c>
      <c r="N196" t="s">
        <v>2617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3180</v>
      </c>
      <c r="C197" t="s">
        <v>3181</v>
      </c>
      <c r="D197" s="3">
        <v>24130</v>
      </c>
      <c r="E197" t="s">
        <v>1386</v>
      </c>
      <c r="G197" s="3">
        <v>45027</v>
      </c>
      <c r="H197" t="s">
        <v>3182</v>
      </c>
      <c r="J197" t="s">
        <v>1394</v>
      </c>
      <c r="K197" t="s">
        <v>61</v>
      </c>
      <c r="L197" s="3">
        <v>46874</v>
      </c>
      <c r="M197" s="3">
        <v>46810</v>
      </c>
      <c r="N197" t="s">
        <v>3183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3342</v>
      </c>
      <c r="C198" t="s">
        <v>3343</v>
      </c>
      <c r="D198" s="3">
        <v>33360</v>
      </c>
      <c r="E198" t="s">
        <v>1386</v>
      </c>
      <c r="G198" s="3">
        <v>45027</v>
      </c>
      <c r="H198" t="s">
        <v>3344</v>
      </c>
      <c r="J198" t="s">
        <v>1394</v>
      </c>
      <c r="K198" t="s">
        <v>61</v>
      </c>
      <c r="L198" s="3">
        <v>46869</v>
      </c>
      <c r="M198" s="3">
        <v>46791</v>
      </c>
      <c r="N198" t="s">
        <v>3345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1763</v>
      </c>
      <c r="C199" t="s">
        <v>1764</v>
      </c>
      <c r="D199" s="3">
        <v>23866</v>
      </c>
      <c r="E199" t="s">
        <v>1386</v>
      </c>
      <c r="G199" s="3">
        <v>45062</v>
      </c>
      <c r="H199" t="s">
        <v>1765</v>
      </c>
      <c r="J199" t="s">
        <v>1394</v>
      </c>
      <c r="K199" t="s">
        <v>61</v>
      </c>
      <c r="L199" s="3">
        <v>46895</v>
      </c>
      <c r="M199" s="3">
        <v>47594</v>
      </c>
      <c r="N199" t="s">
        <v>1766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3480</v>
      </c>
      <c r="C200" t="s">
        <v>3481</v>
      </c>
      <c r="D200" s="3">
        <v>37281</v>
      </c>
      <c r="E200" t="s">
        <v>1386</v>
      </c>
      <c r="G200" s="3">
        <v>45012</v>
      </c>
      <c r="H200" t="s">
        <v>3482</v>
      </c>
      <c r="J200" t="s">
        <v>1394</v>
      </c>
      <c r="K200" t="s">
        <v>70</v>
      </c>
      <c r="L200" s="3">
        <v>46855</v>
      </c>
      <c r="M200" s="3">
        <v>46763</v>
      </c>
      <c r="N200" t="s">
        <v>3483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1713</v>
      </c>
      <c r="C201" t="s">
        <v>1714</v>
      </c>
      <c r="D201" s="3">
        <v>34749</v>
      </c>
      <c r="E201" t="s">
        <v>1386</v>
      </c>
      <c r="G201" s="3">
        <v>45027</v>
      </c>
      <c r="H201" t="s">
        <v>1715</v>
      </c>
      <c r="J201" t="s">
        <v>1445</v>
      </c>
      <c r="K201" t="s">
        <v>70</v>
      </c>
      <c r="L201" s="3">
        <v>46869</v>
      </c>
      <c r="M201" s="3">
        <v>46776</v>
      </c>
      <c r="N201" t="s">
        <v>1716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2136</v>
      </c>
      <c r="C202" t="s">
        <v>2137</v>
      </c>
      <c r="D202" s="3">
        <v>34795</v>
      </c>
      <c r="E202" t="s">
        <v>1386</v>
      </c>
      <c r="G202" s="3">
        <v>45027</v>
      </c>
      <c r="H202" t="s">
        <v>2138</v>
      </c>
      <c r="J202" t="s">
        <v>1394</v>
      </c>
      <c r="K202" t="s">
        <v>73</v>
      </c>
      <c r="L202" s="3">
        <v>46874</v>
      </c>
      <c r="M202" s="3">
        <v>46774</v>
      </c>
      <c r="N202" t="s">
        <v>2139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1391</v>
      </c>
      <c r="C203" t="s">
        <v>1392</v>
      </c>
      <c r="D203" s="3">
        <v>28536</v>
      </c>
      <c r="E203" t="s">
        <v>1386</v>
      </c>
      <c r="G203" s="3">
        <v>45012</v>
      </c>
      <c r="H203" t="s">
        <v>1393</v>
      </c>
      <c r="J203" t="s">
        <v>1394</v>
      </c>
      <c r="K203" t="s">
        <v>55</v>
      </c>
      <c r="L203" s="3">
        <v>46869</v>
      </c>
      <c r="M203" s="3">
        <v>46763</v>
      </c>
      <c r="N203" t="s">
        <v>1395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2252</v>
      </c>
      <c r="C204" t="s">
        <v>2253</v>
      </c>
      <c r="D204" s="3">
        <v>32105</v>
      </c>
      <c r="E204" t="s">
        <v>1386</v>
      </c>
      <c r="G204" s="3">
        <v>44970</v>
      </c>
      <c r="H204" t="s">
        <v>2254</v>
      </c>
      <c r="J204" t="s">
        <v>1394</v>
      </c>
      <c r="K204" t="s">
        <v>70</v>
      </c>
      <c r="L204" s="3">
        <v>46810</v>
      </c>
      <c r="M204" s="3">
        <v>46770</v>
      </c>
      <c r="N204" t="s">
        <v>2255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1770</v>
      </c>
      <c r="C205" t="s">
        <v>1771</v>
      </c>
      <c r="D205" s="3">
        <v>36424</v>
      </c>
      <c r="E205" t="s">
        <v>1386</v>
      </c>
      <c r="G205" s="3">
        <v>44998</v>
      </c>
      <c r="H205" t="s">
        <v>1772</v>
      </c>
      <c r="J205" t="s">
        <v>1394</v>
      </c>
      <c r="K205" t="s">
        <v>70</v>
      </c>
      <c r="L205" s="3">
        <v>46840</v>
      </c>
      <c r="M205" s="3">
        <v>46760</v>
      </c>
      <c r="N205" t="s">
        <v>1773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1623</v>
      </c>
      <c r="C206" t="s">
        <v>1624</v>
      </c>
      <c r="D206" s="3">
        <v>25028</v>
      </c>
      <c r="E206" t="s">
        <v>1386</v>
      </c>
      <c r="G206" s="3">
        <v>45035</v>
      </c>
      <c r="H206" t="s">
        <v>1625</v>
      </c>
      <c r="J206" t="s">
        <v>1394</v>
      </c>
      <c r="K206" t="s">
        <v>70</v>
      </c>
      <c r="L206" s="3">
        <v>47664</v>
      </c>
      <c r="M206" s="3">
        <v>46447</v>
      </c>
      <c r="N206" t="s">
        <v>1626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2314</v>
      </c>
      <c r="C207" t="s">
        <v>2315</v>
      </c>
      <c r="D207" s="3">
        <v>31437</v>
      </c>
      <c r="E207" t="s">
        <v>1386</v>
      </c>
      <c r="G207" s="3">
        <v>44984</v>
      </c>
      <c r="H207" t="s">
        <v>2316</v>
      </c>
      <c r="J207" t="s">
        <v>1399</v>
      </c>
      <c r="K207" t="s">
        <v>58</v>
      </c>
      <c r="L207" s="3">
        <v>46825</v>
      </c>
      <c r="M207" s="3">
        <v>46735</v>
      </c>
      <c r="N207" t="s">
        <v>2317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3439</v>
      </c>
      <c r="C208" t="s">
        <v>2022</v>
      </c>
      <c r="D208" s="3">
        <v>29593</v>
      </c>
      <c r="E208" t="s">
        <v>1386</v>
      </c>
      <c r="G208" s="3">
        <v>44970</v>
      </c>
      <c r="H208" t="s">
        <v>3440</v>
      </c>
      <c r="J208" t="s">
        <v>1399</v>
      </c>
      <c r="K208" t="s">
        <v>55</v>
      </c>
      <c r="L208" s="3">
        <v>46817</v>
      </c>
      <c r="M208" s="3">
        <v>46735</v>
      </c>
      <c r="N208" t="s">
        <v>3441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1623</v>
      </c>
      <c r="C209" t="s">
        <v>1733</v>
      </c>
      <c r="D209" s="3">
        <v>29647</v>
      </c>
      <c r="E209" t="s">
        <v>1386</v>
      </c>
      <c r="G209" s="3">
        <v>44984</v>
      </c>
      <c r="H209" t="s">
        <v>1734</v>
      </c>
      <c r="J209" t="s">
        <v>1501</v>
      </c>
      <c r="K209" t="s">
        <v>61</v>
      </c>
      <c r="L209" s="3">
        <v>46826</v>
      </c>
      <c r="M209" s="3">
        <v>46735</v>
      </c>
      <c r="N209" t="s">
        <v>1735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2638</v>
      </c>
      <c r="C210" t="s">
        <v>2639</v>
      </c>
      <c r="D210" s="3">
        <v>30245</v>
      </c>
      <c r="E210" t="s">
        <v>1386</v>
      </c>
      <c r="G210" s="3">
        <v>44956</v>
      </c>
      <c r="H210" t="s">
        <v>2640</v>
      </c>
      <c r="J210" t="s">
        <v>1394</v>
      </c>
      <c r="K210" t="s">
        <v>70</v>
      </c>
      <c r="L210" s="3">
        <v>46796</v>
      </c>
      <c r="M210" s="3">
        <v>46644</v>
      </c>
      <c r="N210" t="s">
        <v>2641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2773</v>
      </c>
      <c r="C211" t="s">
        <v>3055</v>
      </c>
      <c r="D211" s="3">
        <v>36732</v>
      </c>
      <c r="E211" t="s">
        <v>1386</v>
      </c>
      <c r="G211" s="3">
        <v>44970</v>
      </c>
      <c r="H211" t="s">
        <v>3056</v>
      </c>
      <c r="J211" t="s">
        <v>1394</v>
      </c>
      <c r="K211" t="s">
        <v>64</v>
      </c>
      <c r="L211" s="3">
        <v>46810</v>
      </c>
      <c r="M211" s="3">
        <v>46707</v>
      </c>
      <c r="N211" t="s">
        <v>3057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1972</v>
      </c>
      <c r="C212" t="s">
        <v>2503</v>
      </c>
      <c r="D212" s="3">
        <v>27197</v>
      </c>
      <c r="E212" t="s">
        <v>1386</v>
      </c>
      <c r="G212" s="3">
        <v>44942</v>
      </c>
      <c r="H212" t="s">
        <v>2504</v>
      </c>
      <c r="J212" t="s">
        <v>1432</v>
      </c>
      <c r="K212" t="s">
        <v>70</v>
      </c>
      <c r="L212" s="3">
        <v>46782</v>
      </c>
      <c r="M212" s="3">
        <v>46665</v>
      </c>
      <c r="N212" t="s">
        <v>2505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1601</v>
      </c>
      <c r="C213" t="s">
        <v>1602</v>
      </c>
      <c r="D213" s="3">
        <v>36662</v>
      </c>
      <c r="E213" t="s">
        <v>1386</v>
      </c>
      <c r="G213" s="3">
        <v>44886</v>
      </c>
      <c r="H213" t="s">
        <v>1603</v>
      </c>
      <c r="J213" t="s">
        <v>1432</v>
      </c>
      <c r="K213" t="s">
        <v>58</v>
      </c>
      <c r="L213" s="3">
        <v>46726</v>
      </c>
      <c r="M213" s="3">
        <v>46658</v>
      </c>
      <c r="N213" t="s">
        <v>1604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2728</v>
      </c>
      <c r="C214" t="s">
        <v>2729</v>
      </c>
      <c r="D214" s="3">
        <v>26731</v>
      </c>
      <c r="E214" t="s">
        <v>1386</v>
      </c>
      <c r="G214" s="3">
        <v>44893</v>
      </c>
      <c r="H214" t="s">
        <v>2730</v>
      </c>
      <c r="I214">
        <v>93280697</v>
      </c>
      <c r="J214" t="s">
        <v>1445</v>
      </c>
      <c r="K214" t="s">
        <v>64</v>
      </c>
      <c r="L214" s="3">
        <v>46734</v>
      </c>
      <c r="M214" s="3">
        <v>46616</v>
      </c>
      <c r="N214" t="s">
        <v>2731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2260</v>
      </c>
      <c r="C215" t="s">
        <v>2261</v>
      </c>
      <c r="D215" s="3">
        <v>27600</v>
      </c>
      <c r="E215" t="s">
        <v>1386</v>
      </c>
      <c r="G215" s="3">
        <v>44867</v>
      </c>
      <c r="H215" t="s">
        <v>2262</v>
      </c>
      <c r="J215" t="s">
        <v>1394</v>
      </c>
      <c r="K215" t="s">
        <v>61</v>
      </c>
      <c r="L215" s="3">
        <v>46831</v>
      </c>
      <c r="M215" s="3">
        <v>46084</v>
      </c>
      <c r="N215" t="s">
        <v>2263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2674</v>
      </c>
      <c r="C216" t="s">
        <v>2675</v>
      </c>
      <c r="D216" s="3">
        <v>36352</v>
      </c>
      <c r="E216" t="s">
        <v>1386</v>
      </c>
      <c r="G216" s="3">
        <v>44837</v>
      </c>
      <c r="H216" t="s">
        <v>2676</v>
      </c>
      <c r="J216" t="s">
        <v>1394</v>
      </c>
      <c r="K216" t="s">
        <v>55</v>
      </c>
      <c r="L216" s="3">
        <v>46678</v>
      </c>
      <c r="M216" s="3">
        <v>46552</v>
      </c>
      <c r="N216" t="s">
        <v>2677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3419</v>
      </c>
      <c r="C217" t="s">
        <v>1868</v>
      </c>
      <c r="D217" s="3">
        <v>32771</v>
      </c>
      <c r="E217" t="s">
        <v>1386</v>
      </c>
      <c r="G217" s="3">
        <v>44837</v>
      </c>
      <c r="H217" t="s">
        <v>3420</v>
      </c>
      <c r="J217" t="s">
        <v>1389</v>
      </c>
      <c r="K217" t="s">
        <v>73</v>
      </c>
      <c r="L217" s="3">
        <v>46683</v>
      </c>
      <c r="M217" s="3">
        <v>46565</v>
      </c>
      <c r="N217" t="s">
        <v>3421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3168</v>
      </c>
      <c r="C218" t="s">
        <v>3169</v>
      </c>
      <c r="D218" s="3">
        <v>22487</v>
      </c>
      <c r="E218" t="s">
        <v>1386</v>
      </c>
      <c r="G218" s="3">
        <v>44805</v>
      </c>
      <c r="J218" t="s">
        <v>1961</v>
      </c>
      <c r="K218" t="s">
        <v>67</v>
      </c>
      <c r="L218" s="3">
        <v>1</v>
      </c>
      <c r="M218" s="3">
        <v>45949</v>
      </c>
      <c r="N218" t="s">
        <v>3170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3139</v>
      </c>
      <c r="C219" t="s">
        <v>3140</v>
      </c>
      <c r="D219" s="3">
        <v>27961</v>
      </c>
      <c r="E219" t="s">
        <v>1386</v>
      </c>
      <c r="G219" s="3">
        <v>44837</v>
      </c>
      <c r="H219" t="s">
        <v>3141</v>
      </c>
      <c r="J219" t="s">
        <v>1470</v>
      </c>
      <c r="K219" t="s">
        <v>73</v>
      </c>
      <c r="L219" s="3">
        <v>46678</v>
      </c>
      <c r="M219" s="3">
        <v>46593</v>
      </c>
      <c r="N219" t="s">
        <v>3142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3192</v>
      </c>
      <c r="C220" t="s">
        <v>3189</v>
      </c>
      <c r="D220" s="3">
        <v>26858</v>
      </c>
      <c r="E220" t="s">
        <v>1386</v>
      </c>
      <c r="G220" s="3">
        <v>44809</v>
      </c>
      <c r="H220" t="s">
        <v>3193</v>
      </c>
      <c r="J220" t="s">
        <v>1928</v>
      </c>
      <c r="K220" t="s">
        <v>52</v>
      </c>
      <c r="L220" s="3">
        <v>46651</v>
      </c>
      <c r="M220" s="3">
        <v>46565</v>
      </c>
      <c r="N220" t="s">
        <v>3194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3399</v>
      </c>
      <c r="C221" t="s">
        <v>3396</v>
      </c>
      <c r="D221" s="3">
        <v>34889</v>
      </c>
      <c r="E221" t="s">
        <v>1386</v>
      </c>
      <c r="G221" s="3">
        <v>44837</v>
      </c>
      <c r="H221" t="s">
        <v>3400</v>
      </c>
      <c r="J221" t="s">
        <v>1445</v>
      </c>
      <c r="K221" t="s">
        <v>67</v>
      </c>
      <c r="L221" s="3">
        <v>46553</v>
      </c>
      <c r="M221" s="3">
        <v>46680</v>
      </c>
      <c r="N221" t="s">
        <v>3401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2214</v>
      </c>
      <c r="C222" t="s">
        <v>2211</v>
      </c>
      <c r="D222" s="3">
        <v>33185</v>
      </c>
      <c r="E222" t="s">
        <v>1386</v>
      </c>
      <c r="G222" s="3">
        <v>44823</v>
      </c>
      <c r="H222" t="s">
        <v>2215</v>
      </c>
      <c r="J222" t="s">
        <v>1445</v>
      </c>
      <c r="K222" t="s">
        <v>67</v>
      </c>
      <c r="L222" s="3">
        <v>46664</v>
      </c>
      <c r="M222" s="3">
        <v>46518</v>
      </c>
      <c r="N222" t="s">
        <v>2216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3407</v>
      </c>
      <c r="C223" t="s">
        <v>3408</v>
      </c>
      <c r="D223" s="3">
        <v>36493</v>
      </c>
      <c r="E223" t="s">
        <v>1386</v>
      </c>
      <c r="G223" s="3">
        <v>44809</v>
      </c>
      <c r="H223" t="s">
        <v>3409</v>
      </c>
      <c r="J223" t="s">
        <v>1394</v>
      </c>
      <c r="K223" t="s">
        <v>52</v>
      </c>
      <c r="L223" s="3">
        <v>46652</v>
      </c>
      <c r="M223" s="3">
        <v>46574</v>
      </c>
      <c r="N223" t="s">
        <v>3410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1565</v>
      </c>
      <c r="C224" t="s">
        <v>2470</v>
      </c>
      <c r="D224" s="3">
        <v>30433</v>
      </c>
      <c r="E224" t="s">
        <v>1386</v>
      </c>
      <c r="G224" s="3">
        <v>44809</v>
      </c>
      <c r="H224" t="s">
        <v>2471</v>
      </c>
      <c r="J224" t="s">
        <v>1394</v>
      </c>
      <c r="K224" t="s">
        <v>67</v>
      </c>
      <c r="L224" s="3">
        <v>46650</v>
      </c>
      <c r="M224" s="3">
        <v>46504</v>
      </c>
      <c r="N224" t="s">
        <v>2472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2104</v>
      </c>
      <c r="C225" t="s">
        <v>2101</v>
      </c>
      <c r="D225" s="3">
        <v>29946</v>
      </c>
      <c r="E225" t="s">
        <v>1386</v>
      </c>
      <c r="G225" s="3">
        <v>44795</v>
      </c>
      <c r="H225" t="s">
        <v>2105</v>
      </c>
      <c r="J225" t="s">
        <v>1389</v>
      </c>
      <c r="K225" t="s">
        <v>58</v>
      </c>
      <c r="L225" s="3">
        <v>46637</v>
      </c>
      <c r="M225" s="3">
        <v>46504</v>
      </c>
      <c r="N225" t="s">
        <v>2106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1700</v>
      </c>
      <c r="C226" t="s">
        <v>2500</v>
      </c>
      <c r="D226" s="3">
        <v>33202</v>
      </c>
      <c r="E226" t="s">
        <v>1386</v>
      </c>
      <c r="G226" s="3">
        <v>44790</v>
      </c>
      <c r="H226" t="s">
        <v>2501</v>
      </c>
      <c r="J226" t="s">
        <v>1394</v>
      </c>
      <c r="K226" t="s">
        <v>67</v>
      </c>
      <c r="L226" s="3">
        <v>46421</v>
      </c>
      <c r="M226" s="3">
        <v>46120</v>
      </c>
      <c r="N226" t="s">
        <v>2502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1819</v>
      </c>
      <c r="C227" t="s">
        <v>2874</v>
      </c>
      <c r="D227" s="3">
        <v>24576</v>
      </c>
      <c r="E227" t="s">
        <v>1386</v>
      </c>
      <c r="G227" s="3">
        <v>44753</v>
      </c>
      <c r="H227" t="s">
        <v>2875</v>
      </c>
      <c r="J227" t="s">
        <v>1389</v>
      </c>
      <c r="K227" t="s">
        <v>52</v>
      </c>
      <c r="L227" s="3">
        <v>46595</v>
      </c>
      <c r="M227" s="3">
        <v>46530</v>
      </c>
      <c r="N227" t="s">
        <v>2876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2335</v>
      </c>
      <c r="C228" t="s">
        <v>3165</v>
      </c>
      <c r="D228" s="3">
        <v>35863</v>
      </c>
      <c r="E228" t="s">
        <v>1386</v>
      </c>
      <c r="G228" s="3">
        <v>44739</v>
      </c>
      <c r="H228" t="s">
        <v>3166</v>
      </c>
      <c r="J228" t="s">
        <v>1394</v>
      </c>
      <c r="K228" t="s">
        <v>67</v>
      </c>
      <c r="L228" s="3">
        <v>46610</v>
      </c>
      <c r="M228" s="3">
        <v>46511</v>
      </c>
      <c r="N228" t="s">
        <v>3167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1637</v>
      </c>
      <c r="C229" t="s">
        <v>1335</v>
      </c>
      <c r="D229" s="3">
        <v>31215</v>
      </c>
      <c r="E229" t="s">
        <v>1386</v>
      </c>
      <c r="G229" s="3">
        <v>44719</v>
      </c>
      <c r="H229" t="s">
        <v>1638</v>
      </c>
      <c r="J229" t="s">
        <v>1445</v>
      </c>
      <c r="K229" t="s">
        <v>55</v>
      </c>
      <c r="L229" s="3">
        <v>46560</v>
      </c>
      <c r="M229" s="3">
        <v>46518</v>
      </c>
      <c r="N229" t="s">
        <v>1639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2983</v>
      </c>
      <c r="C230" t="s">
        <v>2980</v>
      </c>
      <c r="D230" s="3">
        <v>34406</v>
      </c>
      <c r="E230" t="s">
        <v>1386</v>
      </c>
      <c r="G230" s="3">
        <v>44704</v>
      </c>
      <c r="H230" t="s">
        <v>2984</v>
      </c>
      <c r="J230" t="s">
        <v>1394</v>
      </c>
      <c r="K230" t="s">
        <v>64</v>
      </c>
      <c r="L230" s="3">
        <v>46547</v>
      </c>
      <c r="M230" s="3">
        <v>46497</v>
      </c>
      <c r="N230" t="s">
        <v>2985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2076</v>
      </c>
      <c r="C231" t="s">
        <v>2073</v>
      </c>
      <c r="D231" s="3">
        <v>29705</v>
      </c>
      <c r="E231" t="s">
        <v>1386</v>
      </c>
      <c r="G231" s="3">
        <v>44704</v>
      </c>
      <c r="H231" t="s">
        <v>2077</v>
      </c>
      <c r="J231" t="s">
        <v>1445</v>
      </c>
      <c r="K231" t="s">
        <v>73</v>
      </c>
      <c r="L231" s="3">
        <v>46546</v>
      </c>
      <c r="M231" s="3">
        <v>46497</v>
      </c>
      <c r="N231" t="s">
        <v>2078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2092</v>
      </c>
      <c r="C232" t="s">
        <v>2093</v>
      </c>
      <c r="D232" s="3">
        <v>37200</v>
      </c>
      <c r="E232" t="s">
        <v>1386</v>
      </c>
      <c r="G232" s="3">
        <v>44683</v>
      </c>
      <c r="H232" t="s">
        <v>2094</v>
      </c>
      <c r="J232" t="s">
        <v>1394</v>
      </c>
      <c r="K232" t="s">
        <v>58</v>
      </c>
      <c r="L232" s="3">
        <v>46524</v>
      </c>
      <c r="M232" s="3">
        <v>46476</v>
      </c>
      <c r="N232" t="s">
        <v>2095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3235</v>
      </c>
      <c r="C233" t="s">
        <v>3236</v>
      </c>
      <c r="D233" s="3">
        <v>25212</v>
      </c>
      <c r="E233" t="s">
        <v>1386</v>
      </c>
      <c r="G233" s="3">
        <v>44683</v>
      </c>
      <c r="H233" t="s">
        <v>3237</v>
      </c>
      <c r="J233" t="s">
        <v>1394</v>
      </c>
      <c r="K233" t="s">
        <v>64</v>
      </c>
      <c r="L233" s="3">
        <v>46529</v>
      </c>
      <c r="M233" s="3">
        <v>46470</v>
      </c>
      <c r="N233" t="s">
        <v>3238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2761</v>
      </c>
      <c r="C234" t="s">
        <v>2762</v>
      </c>
      <c r="D234" s="3">
        <v>25000</v>
      </c>
      <c r="E234" t="s">
        <v>1386</v>
      </c>
      <c r="G234" s="3">
        <v>44683</v>
      </c>
      <c r="H234" t="s">
        <v>2763</v>
      </c>
      <c r="J234" t="s">
        <v>1394</v>
      </c>
      <c r="K234" t="s">
        <v>55</v>
      </c>
      <c r="L234" s="3">
        <v>46524</v>
      </c>
      <c r="M234" s="3">
        <v>46470</v>
      </c>
      <c r="N234" t="s">
        <v>2764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1804</v>
      </c>
      <c r="C235" t="s">
        <v>1805</v>
      </c>
      <c r="D235" s="3">
        <v>32284</v>
      </c>
      <c r="E235" t="s">
        <v>1386</v>
      </c>
      <c r="G235" s="3">
        <v>44670</v>
      </c>
      <c r="H235" t="s">
        <v>1806</v>
      </c>
      <c r="J235" t="s">
        <v>1427</v>
      </c>
      <c r="K235" t="s">
        <v>55</v>
      </c>
      <c r="L235" s="3">
        <v>46515</v>
      </c>
      <c r="M235" s="3">
        <v>46470</v>
      </c>
      <c r="N235" t="s">
        <v>1807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1481</v>
      </c>
      <c r="C236" t="s">
        <v>1482</v>
      </c>
      <c r="D236" s="3">
        <v>24877</v>
      </c>
      <c r="E236" t="s">
        <v>1386</v>
      </c>
      <c r="G236" s="3">
        <v>44700</v>
      </c>
      <c r="H236" t="s">
        <v>1483</v>
      </c>
      <c r="J236" t="s">
        <v>1389</v>
      </c>
      <c r="K236" t="s">
        <v>52</v>
      </c>
      <c r="L236" s="3">
        <v>46117</v>
      </c>
      <c r="M236" s="3">
        <v>46104</v>
      </c>
      <c r="N236" t="s">
        <v>1484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2107</v>
      </c>
      <c r="C237" t="s">
        <v>2101</v>
      </c>
      <c r="D237" s="3">
        <v>35810</v>
      </c>
      <c r="E237" t="s">
        <v>1386</v>
      </c>
      <c r="G237" s="3">
        <v>44655</v>
      </c>
      <c r="H237" t="s">
        <v>2108</v>
      </c>
      <c r="J237" t="s">
        <v>1394</v>
      </c>
      <c r="K237" t="s">
        <v>64</v>
      </c>
      <c r="L237" s="3">
        <v>46497</v>
      </c>
      <c r="M237" s="3">
        <v>46445</v>
      </c>
      <c r="N237" t="s">
        <v>2109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1876</v>
      </c>
      <c r="C238" t="s">
        <v>1877</v>
      </c>
      <c r="D238" s="3">
        <v>35891</v>
      </c>
      <c r="E238" t="s">
        <v>1386</v>
      </c>
      <c r="G238" s="3">
        <v>44655</v>
      </c>
      <c r="H238" t="s">
        <v>1878</v>
      </c>
      <c r="J238" t="s">
        <v>1394</v>
      </c>
      <c r="K238" t="s">
        <v>73</v>
      </c>
      <c r="L238" s="3">
        <v>46502</v>
      </c>
      <c r="M238" s="3">
        <v>46400</v>
      </c>
      <c r="N238" t="s">
        <v>1879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2235</v>
      </c>
      <c r="C239" t="s">
        <v>2236</v>
      </c>
      <c r="D239" s="3">
        <v>27618</v>
      </c>
      <c r="E239" t="s">
        <v>1386</v>
      </c>
      <c r="G239" s="3">
        <v>44704</v>
      </c>
      <c r="H239" t="s">
        <v>2237</v>
      </c>
      <c r="J239" t="s">
        <v>1399</v>
      </c>
      <c r="K239" t="s">
        <v>55</v>
      </c>
      <c r="L239" s="3">
        <v>46546</v>
      </c>
      <c r="M239" s="3">
        <v>46431</v>
      </c>
      <c r="N239" t="s">
        <v>2238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1424</v>
      </c>
      <c r="C240" t="s">
        <v>1425</v>
      </c>
      <c r="D240" s="3">
        <v>35872</v>
      </c>
      <c r="E240" t="s">
        <v>1386</v>
      </c>
      <c r="G240" s="3">
        <v>44599</v>
      </c>
      <c r="H240" t="s">
        <v>1426</v>
      </c>
      <c r="J240" t="s">
        <v>1427</v>
      </c>
      <c r="K240" t="s">
        <v>52</v>
      </c>
      <c r="L240" s="3">
        <v>46439</v>
      </c>
      <c r="M240" s="3">
        <v>46404</v>
      </c>
      <c r="N240" t="s">
        <v>1428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2365</v>
      </c>
      <c r="C241" t="s">
        <v>2366</v>
      </c>
      <c r="D241" s="3">
        <v>30517</v>
      </c>
      <c r="E241" t="s">
        <v>1386</v>
      </c>
      <c r="G241" s="3">
        <v>44599</v>
      </c>
      <c r="H241" t="s">
        <v>2367</v>
      </c>
      <c r="J241" t="s">
        <v>1394</v>
      </c>
      <c r="K241" t="s">
        <v>58</v>
      </c>
      <c r="L241" s="3">
        <v>46440</v>
      </c>
      <c r="M241" s="3">
        <v>46340</v>
      </c>
      <c r="N241" t="s">
        <v>2368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1884</v>
      </c>
      <c r="C242" t="s">
        <v>1885</v>
      </c>
      <c r="D242" s="3">
        <v>36729</v>
      </c>
      <c r="E242" t="s">
        <v>1386</v>
      </c>
      <c r="G242" s="3">
        <v>44585</v>
      </c>
      <c r="H242" t="s">
        <v>1886</v>
      </c>
      <c r="J242" t="s">
        <v>1404</v>
      </c>
      <c r="K242" t="s">
        <v>64</v>
      </c>
      <c r="L242" s="3">
        <v>46425</v>
      </c>
      <c r="M242" s="3">
        <v>46033</v>
      </c>
      <c r="N242" t="s">
        <v>1887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3220</v>
      </c>
      <c r="C243" t="s">
        <v>1341</v>
      </c>
      <c r="D243" s="3">
        <v>33397</v>
      </c>
      <c r="E243" t="s">
        <v>1386</v>
      </c>
      <c r="G243" s="3">
        <v>44613</v>
      </c>
      <c r="H243" t="s">
        <v>3221</v>
      </c>
      <c r="J243" t="s">
        <v>1427</v>
      </c>
      <c r="K243" t="s">
        <v>70</v>
      </c>
      <c r="L243" s="3">
        <v>46453</v>
      </c>
      <c r="M243" s="3">
        <v>46273</v>
      </c>
      <c r="N243" t="s">
        <v>3222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3000</v>
      </c>
      <c r="C244" t="s">
        <v>1333</v>
      </c>
      <c r="D244" s="3">
        <v>32283</v>
      </c>
      <c r="E244" t="s">
        <v>1386</v>
      </c>
      <c r="G244" s="3">
        <v>44599</v>
      </c>
      <c r="H244" t="s">
        <v>3001</v>
      </c>
      <c r="J244" t="s">
        <v>1394</v>
      </c>
      <c r="K244" t="s">
        <v>73</v>
      </c>
      <c r="L244" s="3">
        <v>46439</v>
      </c>
      <c r="M244" s="3">
        <v>46236</v>
      </c>
      <c r="N244" t="s">
        <v>3002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1669</v>
      </c>
      <c r="C245" t="s">
        <v>1670</v>
      </c>
      <c r="D245" s="3">
        <v>26618</v>
      </c>
      <c r="E245" t="s">
        <v>1386</v>
      </c>
      <c r="G245" s="3">
        <v>44664</v>
      </c>
      <c r="H245" t="s">
        <v>1671</v>
      </c>
      <c r="I245">
        <v>32477920791</v>
      </c>
      <c r="J245" t="s">
        <v>1394</v>
      </c>
      <c r="K245" t="s">
        <v>64</v>
      </c>
      <c r="L245" s="3">
        <v>47237</v>
      </c>
      <c r="M245" s="3">
        <v>47230</v>
      </c>
      <c r="N245" t="s">
        <v>1672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2796</v>
      </c>
      <c r="C246" t="s">
        <v>2797</v>
      </c>
      <c r="D246" s="3">
        <v>33504</v>
      </c>
      <c r="E246" t="s">
        <v>1386</v>
      </c>
      <c r="G246" s="3">
        <v>44641</v>
      </c>
      <c r="H246" t="s">
        <v>2798</v>
      </c>
      <c r="J246" t="s">
        <v>1399</v>
      </c>
      <c r="K246" t="s">
        <v>64</v>
      </c>
      <c r="L246" s="3">
        <v>46482</v>
      </c>
      <c r="M246" s="3">
        <v>46364</v>
      </c>
      <c r="N246" t="s">
        <v>2799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2144</v>
      </c>
      <c r="C247" t="s">
        <v>2145</v>
      </c>
      <c r="D247" s="3">
        <v>35029</v>
      </c>
      <c r="E247" t="s">
        <v>1386</v>
      </c>
      <c r="G247" s="3">
        <v>44571</v>
      </c>
      <c r="H247" t="s">
        <v>2146</v>
      </c>
      <c r="J247" t="s">
        <v>1470</v>
      </c>
      <c r="K247" t="s">
        <v>55</v>
      </c>
      <c r="L247" s="3">
        <v>46411</v>
      </c>
      <c r="M247" s="3">
        <v>46340</v>
      </c>
      <c r="N247" t="s">
        <v>2147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2924</v>
      </c>
      <c r="C248" t="s">
        <v>2925</v>
      </c>
      <c r="D248" s="3">
        <v>34746</v>
      </c>
      <c r="E248" t="s">
        <v>1386</v>
      </c>
      <c r="G248" s="3">
        <v>44599</v>
      </c>
      <c r="H248" t="s">
        <v>2926</v>
      </c>
      <c r="J248" t="s">
        <v>1394</v>
      </c>
      <c r="K248" t="s">
        <v>52</v>
      </c>
      <c r="L248" s="3">
        <v>46439</v>
      </c>
      <c r="M248" s="3">
        <v>46320</v>
      </c>
      <c r="N248" t="s">
        <v>2927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2231</v>
      </c>
      <c r="C249" t="s">
        <v>2232</v>
      </c>
      <c r="D249" s="3">
        <v>29117</v>
      </c>
      <c r="E249" t="s">
        <v>1386</v>
      </c>
      <c r="G249" s="3">
        <v>44585</v>
      </c>
      <c r="H249" t="s">
        <v>2233</v>
      </c>
      <c r="J249" t="s">
        <v>1399</v>
      </c>
      <c r="K249" t="s">
        <v>64</v>
      </c>
      <c r="L249" s="3">
        <v>46431</v>
      </c>
      <c r="M249" s="3">
        <v>46210</v>
      </c>
      <c r="N249" t="s">
        <v>2234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2309</v>
      </c>
      <c r="C250" t="s">
        <v>2304</v>
      </c>
      <c r="D250" s="3">
        <v>21595</v>
      </c>
      <c r="E250" t="s">
        <v>1386</v>
      </c>
      <c r="G250" s="3">
        <v>44440</v>
      </c>
      <c r="J250" t="s">
        <v>1961</v>
      </c>
      <c r="K250" t="s">
        <v>73</v>
      </c>
      <c r="L250" s="3">
        <v>45948</v>
      </c>
      <c r="M250" s="3">
        <v>45930</v>
      </c>
      <c r="N250" t="s">
        <v>2310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2178</v>
      </c>
      <c r="C251" t="s">
        <v>2175</v>
      </c>
      <c r="D251" s="3">
        <v>36488</v>
      </c>
      <c r="E251" t="s">
        <v>1386</v>
      </c>
      <c r="G251" s="3">
        <v>44480</v>
      </c>
      <c r="H251" t="s">
        <v>2179</v>
      </c>
      <c r="J251" t="s">
        <v>1432</v>
      </c>
      <c r="K251" t="s">
        <v>52</v>
      </c>
      <c r="L251" s="3">
        <v>47338</v>
      </c>
      <c r="M251" s="3">
        <v>47350</v>
      </c>
      <c r="N251" t="s">
        <v>2180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1930</v>
      </c>
      <c r="C252" t="s">
        <v>1926</v>
      </c>
      <c r="D252" s="3">
        <v>22295</v>
      </c>
      <c r="E252" t="s">
        <v>1386</v>
      </c>
      <c r="G252" s="3">
        <v>44473</v>
      </c>
      <c r="H252" t="s">
        <v>1931</v>
      </c>
      <c r="I252">
        <v>93720791</v>
      </c>
      <c r="J252" t="s">
        <v>1394</v>
      </c>
      <c r="K252" t="s">
        <v>67</v>
      </c>
      <c r="L252" s="3">
        <v>46300</v>
      </c>
      <c r="M252" s="3">
        <v>46236</v>
      </c>
      <c r="N252" t="s">
        <v>1932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3442</v>
      </c>
      <c r="C253" t="s">
        <v>3443</v>
      </c>
      <c r="D253" s="3">
        <v>36031</v>
      </c>
      <c r="E253" t="s">
        <v>1386</v>
      </c>
      <c r="G253" s="3">
        <v>44431</v>
      </c>
      <c r="H253" t="s">
        <v>3444</v>
      </c>
      <c r="J253" t="s">
        <v>1389</v>
      </c>
      <c r="K253" t="s">
        <v>52</v>
      </c>
      <c r="L253" s="3">
        <v>46277</v>
      </c>
      <c r="M253" s="3">
        <v>46175</v>
      </c>
      <c r="N253" t="s">
        <v>3445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2709</v>
      </c>
      <c r="C254" t="s">
        <v>2710</v>
      </c>
      <c r="D254" s="3">
        <v>34087</v>
      </c>
      <c r="E254" t="s">
        <v>1386</v>
      </c>
      <c r="G254" s="3">
        <v>44417</v>
      </c>
      <c r="H254" t="s">
        <v>2711</v>
      </c>
      <c r="J254" t="s">
        <v>1394</v>
      </c>
      <c r="K254" t="s">
        <v>64</v>
      </c>
      <c r="L254" s="3">
        <v>46257</v>
      </c>
      <c r="M254" s="3">
        <v>46147</v>
      </c>
      <c r="N254" t="s">
        <v>2712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3078</v>
      </c>
      <c r="C255" t="s">
        <v>2413</v>
      </c>
      <c r="D255" s="3">
        <v>28213</v>
      </c>
      <c r="E255" t="s">
        <v>1386</v>
      </c>
      <c r="G255" s="3">
        <v>44384</v>
      </c>
      <c r="H255" t="s">
        <v>3079</v>
      </c>
      <c r="J255" t="s">
        <v>1404</v>
      </c>
      <c r="K255" t="s">
        <v>70</v>
      </c>
      <c r="L255" s="3">
        <v>46162</v>
      </c>
      <c r="M255" s="3">
        <v>46162</v>
      </c>
      <c r="N255" t="s">
        <v>3080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2531</v>
      </c>
      <c r="C256" t="s">
        <v>2532</v>
      </c>
      <c r="D256" s="3">
        <v>35465</v>
      </c>
      <c r="E256" t="s">
        <v>1386</v>
      </c>
      <c r="G256" s="3">
        <v>44389</v>
      </c>
      <c r="H256" t="s">
        <v>2533</v>
      </c>
      <c r="J256" t="s">
        <v>1432</v>
      </c>
      <c r="K256" t="s">
        <v>70</v>
      </c>
      <c r="L256" s="3">
        <v>46230</v>
      </c>
      <c r="M256" s="3">
        <v>46126</v>
      </c>
      <c r="N256" t="s">
        <v>2534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1856</v>
      </c>
      <c r="C257" t="s">
        <v>1857</v>
      </c>
      <c r="D257" s="3">
        <v>30329</v>
      </c>
      <c r="E257" t="s">
        <v>1386</v>
      </c>
      <c r="G257" s="3">
        <v>44389</v>
      </c>
      <c r="H257" t="s">
        <v>1858</v>
      </c>
      <c r="J257" t="s">
        <v>1432</v>
      </c>
      <c r="K257" t="s">
        <v>64</v>
      </c>
      <c r="L257" s="3">
        <v>46293</v>
      </c>
      <c r="M257" s="3">
        <v>46260</v>
      </c>
      <c r="N257" t="s">
        <v>1859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2405</v>
      </c>
      <c r="C258" t="s">
        <v>2402</v>
      </c>
      <c r="D258" s="3">
        <v>24255</v>
      </c>
      <c r="E258" t="s">
        <v>1386</v>
      </c>
      <c r="G258" s="3">
        <v>44375</v>
      </c>
      <c r="H258" t="s">
        <v>2406</v>
      </c>
      <c r="I258">
        <v>3254255856</v>
      </c>
      <c r="J258" t="s">
        <v>1445</v>
      </c>
      <c r="K258" t="s">
        <v>52</v>
      </c>
      <c r="L258" s="3">
        <v>46208</v>
      </c>
      <c r="M258" s="3">
        <v>46138</v>
      </c>
      <c r="N258" t="s">
        <v>2407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2264</v>
      </c>
      <c r="C259" t="s">
        <v>2265</v>
      </c>
      <c r="D259" s="3">
        <v>27133</v>
      </c>
      <c r="E259" t="s">
        <v>1386</v>
      </c>
      <c r="G259" s="3">
        <v>44389</v>
      </c>
      <c r="H259" t="s">
        <v>2266</v>
      </c>
      <c r="I259" t="s">
        <v>2267</v>
      </c>
      <c r="J259" t="s">
        <v>1427</v>
      </c>
      <c r="K259" t="s">
        <v>70</v>
      </c>
      <c r="L259" s="3">
        <v>46231</v>
      </c>
      <c r="M259" s="3">
        <v>46140</v>
      </c>
      <c r="N259" t="s">
        <v>2268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1749</v>
      </c>
      <c r="C260" t="s">
        <v>1741</v>
      </c>
      <c r="D260" s="3">
        <v>27176</v>
      </c>
      <c r="E260" t="s">
        <v>1386</v>
      </c>
      <c r="G260" s="3">
        <v>44347</v>
      </c>
      <c r="H260" t="s">
        <v>1750</v>
      </c>
      <c r="J260" t="s">
        <v>1595</v>
      </c>
      <c r="K260" t="s">
        <v>64</v>
      </c>
      <c r="L260" s="3">
        <v>46188</v>
      </c>
      <c r="M260" s="3">
        <v>46145</v>
      </c>
      <c r="N260" t="s">
        <v>1751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1759</v>
      </c>
      <c r="C261" t="s">
        <v>1760</v>
      </c>
      <c r="D261" s="3">
        <v>35351</v>
      </c>
      <c r="E261" t="s">
        <v>1386</v>
      </c>
      <c r="G261" s="3">
        <v>44347</v>
      </c>
      <c r="H261" t="s">
        <v>1761</v>
      </c>
      <c r="J261" t="s">
        <v>1394</v>
      </c>
      <c r="K261" t="s">
        <v>73</v>
      </c>
      <c r="L261" s="3">
        <v>46189</v>
      </c>
      <c r="M261" s="3">
        <v>46133</v>
      </c>
      <c r="N261" t="s">
        <v>1762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1247</v>
      </c>
      <c r="C262" t="s">
        <v>1888</v>
      </c>
      <c r="D262" s="3">
        <v>35422</v>
      </c>
      <c r="E262" t="s">
        <v>1386</v>
      </c>
      <c r="G262" s="3">
        <v>44333</v>
      </c>
      <c r="H262" t="s">
        <v>1889</v>
      </c>
      <c r="J262" t="s">
        <v>1445</v>
      </c>
      <c r="K262" t="s">
        <v>64</v>
      </c>
      <c r="L262" s="3">
        <v>46174</v>
      </c>
      <c r="M262" s="3">
        <v>46124</v>
      </c>
      <c r="N262" t="s">
        <v>1890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3202</v>
      </c>
      <c r="C263" t="s">
        <v>3203</v>
      </c>
      <c r="D263" s="3">
        <v>36403</v>
      </c>
      <c r="E263" t="s">
        <v>1386</v>
      </c>
      <c r="G263" s="3">
        <v>44333</v>
      </c>
      <c r="H263" t="s">
        <v>3204</v>
      </c>
      <c r="J263" t="s">
        <v>1501</v>
      </c>
      <c r="K263" t="s">
        <v>67</v>
      </c>
      <c r="L263" s="3">
        <v>46174</v>
      </c>
      <c r="M263" s="3">
        <v>46124</v>
      </c>
      <c r="N263" t="s">
        <v>3205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1954</v>
      </c>
      <c r="C264" t="s">
        <v>1955</v>
      </c>
      <c r="D264" s="3">
        <v>25171</v>
      </c>
      <c r="E264" t="s">
        <v>1386</v>
      </c>
      <c r="G264" s="3">
        <v>44347</v>
      </c>
      <c r="H264" t="s">
        <v>1956</v>
      </c>
      <c r="J264" t="s">
        <v>1404</v>
      </c>
      <c r="K264" t="s">
        <v>67</v>
      </c>
      <c r="L264" s="3">
        <v>46190</v>
      </c>
      <c r="M264" s="3">
        <v>46119</v>
      </c>
      <c r="N264" t="s">
        <v>1957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1819</v>
      </c>
      <c r="C265" t="s">
        <v>1820</v>
      </c>
      <c r="D265" s="3">
        <v>35806</v>
      </c>
      <c r="E265" t="s">
        <v>1386</v>
      </c>
      <c r="G265" s="3">
        <v>44333</v>
      </c>
      <c r="H265" t="s">
        <v>1821</v>
      </c>
      <c r="I265" t="s">
        <v>1822</v>
      </c>
      <c r="J265" t="s">
        <v>1394</v>
      </c>
      <c r="K265" t="s">
        <v>64</v>
      </c>
      <c r="L265" s="3">
        <v>46174</v>
      </c>
      <c r="M265" s="3">
        <v>46097</v>
      </c>
      <c r="N265" t="s">
        <v>1823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3041</v>
      </c>
      <c r="C266" t="s">
        <v>3042</v>
      </c>
      <c r="D266" s="3">
        <v>30035</v>
      </c>
      <c r="E266" t="s">
        <v>1386</v>
      </c>
      <c r="G266" s="3">
        <v>44333</v>
      </c>
      <c r="H266" t="s">
        <v>3043</v>
      </c>
      <c r="J266" t="s">
        <v>1394</v>
      </c>
      <c r="K266" t="s">
        <v>61</v>
      </c>
      <c r="L266" s="3">
        <v>46174</v>
      </c>
      <c r="M266" s="3">
        <v>46004</v>
      </c>
      <c r="N266" t="s">
        <v>3044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3227</v>
      </c>
      <c r="C267" t="s">
        <v>3228</v>
      </c>
      <c r="D267" s="3">
        <v>26348</v>
      </c>
      <c r="E267" t="s">
        <v>1386</v>
      </c>
      <c r="G267" s="3">
        <v>44298</v>
      </c>
      <c r="H267" t="s">
        <v>3229</v>
      </c>
      <c r="J267" t="s">
        <v>1389</v>
      </c>
      <c r="K267" t="s">
        <v>55</v>
      </c>
      <c r="L267" s="3">
        <v>46138</v>
      </c>
      <c r="M267" s="3">
        <v>46097</v>
      </c>
      <c r="N267" t="s">
        <v>3230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2456</v>
      </c>
      <c r="C268" t="s">
        <v>2457</v>
      </c>
      <c r="D268" s="3">
        <v>31748</v>
      </c>
      <c r="E268" t="s">
        <v>1386</v>
      </c>
      <c r="G268" s="3">
        <v>44312</v>
      </c>
      <c r="H268" t="s">
        <v>2458</v>
      </c>
      <c r="J268" t="s">
        <v>1389</v>
      </c>
      <c r="K268" t="s">
        <v>64</v>
      </c>
      <c r="L268" s="3">
        <v>46152</v>
      </c>
      <c r="M268" s="3">
        <v>46897</v>
      </c>
      <c r="N268" t="s">
        <v>2459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1891</v>
      </c>
      <c r="C269" t="s">
        <v>1892</v>
      </c>
      <c r="D269" s="3">
        <v>33510</v>
      </c>
      <c r="E269" t="s">
        <v>1386</v>
      </c>
      <c r="G269" s="3">
        <v>44312</v>
      </c>
      <c r="H269" t="s">
        <v>1893</v>
      </c>
      <c r="J269" t="s">
        <v>1427</v>
      </c>
      <c r="K269" t="s">
        <v>73</v>
      </c>
      <c r="L269" s="3">
        <v>46152</v>
      </c>
      <c r="M269" s="3">
        <v>46084</v>
      </c>
      <c r="N269" t="s">
        <v>1894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3604</v>
      </c>
      <c r="C270" t="s">
        <v>3605</v>
      </c>
      <c r="D270" s="3">
        <v>36246</v>
      </c>
      <c r="E270" t="s">
        <v>1386</v>
      </c>
      <c r="G270" s="3">
        <v>44312</v>
      </c>
      <c r="H270" t="s">
        <v>3606</v>
      </c>
      <c r="J270" t="s">
        <v>1394</v>
      </c>
      <c r="K270" t="s">
        <v>58</v>
      </c>
      <c r="L270" s="3">
        <v>46152</v>
      </c>
      <c r="M270" s="3">
        <v>46090</v>
      </c>
      <c r="N270" t="s">
        <v>3607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3453</v>
      </c>
      <c r="C271" t="s">
        <v>3454</v>
      </c>
      <c r="D271" s="3">
        <v>32703</v>
      </c>
      <c r="E271" t="s">
        <v>1386</v>
      </c>
      <c r="G271" s="3">
        <v>44305</v>
      </c>
      <c r="H271" t="s">
        <v>3455</v>
      </c>
      <c r="J271" t="s">
        <v>1389</v>
      </c>
      <c r="K271" t="s">
        <v>55</v>
      </c>
      <c r="L271" s="3">
        <v>46138</v>
      </c>
      <c r="M271" s="3">
        <v>46090</v>
      </c>
      <c r="N271" t="s">
        <v>3456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2079</v>
      </c>
      <c r="C272" t="s">
        <v>2073</v>
      </c>
      <c r="D272" s="3">
        <v>27833</v>
      </c>
      <c r="E272" t="s">
        <v>1386</v>
      </c>
      <c r="G272" s="3">
        <v>44333</v>
      </c>
      <c r="H272" t="s">
        <v>2080</v>
      </c>
      <c r="J272" t="s">
        <v>1404</v>
      </c>
      <c r="K272" t="s">
        <v>58</v>
      </c>
      <c r="L272" s="3">
        <v>46175</v>
      </c>
      <c r="M272" s="3">
        <v>45936</v>
      </c>
      <c r="N272" t="s">
        <v>2081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2815</v>
      </c>
      <c r="C273" t="s">
        <v>2816</v>
      </c>
      <c r="D273" s="3">
        <v>22566</v>
      </c>
      <c r="E273" t="s">
        <v>1386</v>
      </c>
      <c r="G273" s="3">
        <v>44336</v>
      </c>
      <c r="H273" t="s">
        <v>2817</v>
      </c>
      <c r="J273" t="s">
        <v>1399</v>
      </c>
      <c r="K273" t="s">
        <v>73</v>
      </c>
      <c r="L273" s="3">
        <v>47576</v>
      </c>
      <c r="M273" s="3">
        <v>47547</v>
      </c>
      <c r="N273" t="s">
        <v>2818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2964</v>
      </c>
      <c r="C274" t="s">
        <v>2965</v>
      </c>
      <c r="D274" s="3">
        <v>36236</v>
      </c>
      <c r="E274" t="s">
        <v>1386</v>
      </c>
      <c r="G274" s="3">
        <v>44270</v>
      </c>
      <c r="H274" t="s">
        <v>2966</v>
      </c>
      <c r="J274" t="s">
        <v>1394</v>
      </c>
      <c r="K274" t="s">
        <v>70</v>
      </c>
      <c r="L274" s="3">
        <v>46112</v>
      </c>
      <c r="M274" s="3">
        <v>46064</v>
      </c>
      <c r="N274" t="s">
        <v>2967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2720</v>
      </c>
      <c r="C275" t="s">
        <v>2721</v>
      </c>
      <c r="D275" s="3">
        <v>35740</v>
      </c>
      <c r="E275" t="s">
        <v>1386</v>
      </c>
      <c r="G275" s="3">
        <v>44298</v>
      </c>
      <c r="H275" t="s">
        <v>2722</v>
      </c>
      <c r="I275">
        <v>471573703</v>
      </c>
      <c r="J275" t="s">
        <v>1394</v>
      </c>
      <c r="K275" t="s">
        <v>58</v>
      </c>
      <c r="L275" s="3">
        <v>46138</v>
      </c>
      <c r="M275" s="3">
        <v>45923</v>
      </c>
      <c r="N275" t="s">
        <v>2723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3112</v>
      </c>
      <c r="C276" t="s">
        <v>3113</v>
      </c>
      <c r="D276" s="3">
        <v>24304</v>
      </c>
      <c r="E276" t="s">
        <v>1386</v>
      </c>
      <c r="G276" s="3">
        <v>44284</v>
      </c>
      <c r="H276" t="s">
        <v>3114</v>
      </c>
      <c r="J276" t="s">
        <v>1595</v>
      </c>
      <c r="K276" t="s">
        <v>64</v>
      </c>
      <c r="L276" s="3">
        <v>46125</v>
      </c>
      <c r="M276" s="3">
        <v>45951</v>
      </c>
      <c r="N276" t="s">
        <v>3115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1940</v>
      </c>
      <c r="C277" t="s">
        <v>1937</v>
      </c>
      <c r="D277" s="3">
        <v>29706</v>
      </c>
      <c r="E277" t="s">
        <v>1386</v>
      </c>
      <c r="G277" s="3">
        <v>44284</v>
      </c>
      <c r="H277" t="s">
        <v>1941</v>
      </c>
      <c r="J277" t="s">
        <v>1501</v>
      </c>
      <c r="K277" t="s">
        <v>73</v>
      </c>
      <c r="L277" s="3">
        <v>46125</v>
      </c>
      <c r="M277" s="3">
        <v>45985</v>
      </c>
      <c r="N277" t="s">
        <v>1942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1654</v>
      </c>
      <c r="C278" t="s">
        <v>1655</v>
      </c>
      <c r="D278" s="3">
        <v>28212</v>
      </c>
      <c r="E278" t="s">
        <v>1386</v>
      </c>
      <c r="G278" s="3">
        <v>44284</v>
      </c>
      <c r="H278" t="s">
        <v>1656</v>
      </c>
      <c r="J278" t="s">
        <v>1427</v>
      </c>
      <c r="K278" t="s">
        <v>58</v>
      </c>
      <c r="L278" s="3">
        <v>46127</v>
      </c>
      <c r="M278" s="3">
        <v>45930</v>
      </c>
      <c r="N278" t="s">
        <v>1657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3262</v>
      </c>
      <c r="C279" t="s">
        <v>3263</v>
      </c>
      <c r="D279" s="3">
        <v>27839</v>
      </c>
      <c r="E279" t="s">
        <v>1641</v>
      </c>
      <c r="G279" s="3">
        <v>44270</v>
      </c>
      <c r="H279" t="s">
        <v>3264</v>
      </c>
      <c r="J279" t="s">
        <v>1501</v>
      </c>
      <c r="K279" t="s">
        <v>52</v>
      </c>
      <c r="L279" s="3">
        <v>46368</v>
      </c>
      <c r="M279" s="3">
        <v>46120</v>
      </c>
      <c r="N279" t="s">
        <v>3265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3325</v>
      </c>
      <c r="C280" t="s">
        <v>3326</v>
      </c>
      <c r="D280" s="3">
        <v>36109</v>
      </c>
      <c r="E280" t="s">
        <v>1386</v>
      </c>
      <c r="G280" s="3">
        <v>44256</v>
      </c>
      <c r="H280" t="s">
        <v>3327</v>
      </c>
      <c r="J280" t="s">
        <v>1394</v>
      </c>
      <c r="K280" t="s">
        <v>58</v>
      </c>
      <c r="L280" s="3">
        <v>46096</v>
      </c>
      <c r="M280" s="3">
        <v>45903</v>
      </c>
      <c r="N280" t="s">
        <v>3328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1503</v>
      </c>
      <c r="C281" t="s">
        <v>1624</v>
      </c>
      <c r="D281" s="3">
        <v>35578</v>
      </c>
      <c r="E281" t="s">
        <v>1386</v>
      </c>
      <c r="G281" s="3">
        <v>44214</v>
      </c>
      <c r="H281" t="s">
        <v>1627</v>
      </c>
      <c r="J281" t="s">
        <v>1595</v>
      </c>
      <c r="K281" t="s">
        <v>73</v>
      </c>
      <c r="L281" s="3">
        <v>46055</v>
      </c>
      <c r="M281" s="3">
        <v>45930</v>
      </c>
      <c r="N281" t="s">
        <v>1628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2848</v>
      </c>
      <c r="C282" t="s">
        <v>2849</v>
      </c>
      <c r="D282" s="3">
        <v>33168</v>
      </c>
      <c r="E282" t="s">
        <v>1386</v>
      </c>
      <c r="F282">
        <v>308</v>
      </c>
      <c r="G282" s="3">
        <v>44151</v>
      </c>
      <c r="H282" t="s">
        <v>2850</v>
      </c>
      <c r="J282" t="s">
        <v>1418</v>
      </c>
      <c r="K282" t="s">
        <v>73</v>
      </c>
      <c r="L282" s="3">
        <v>45992</v>
      </c>
      <c r="M282" s="3">
        <v>45915</v>
      </c>
      <c r="N282" t="s">
        <v>2851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1967</v>
      </c>
      <c r="C283" t="s">
        <v>1968</v>
      </c>
      <c r="D283" s="3">
        <v>23710</v>
      </c>
      <c r="E283" t="s">
        <v>1386</v>
      </c>
      <c r="F283">
        <v>224</v>
      </c>
      <c r="G283" s="3">
        <v>44123</v>
      </c>
      <c r="H283" t="s">
        <v>1969</v>
      </c>
      <c r="I283" t="s">
        <v>1970</v>
      </c>
      <c r="J283" t="s">
        <v>1399</v>
      </c>
      <c r="K283" t="s">
        <v>70</v>
      </c>
      <c r="L283" s="3">
        <v>47573</v>
      </c>
      <c r="M283" s="3">
        <v>47533</v>
      </c>
      <c r="N283" t="s">
        <v>1971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2674</v>
      </c>
      <c r="C284" t="s">
        <v>2706</v>
      </c>
      <c r="D284" s="3">
        <v>33856</v>
      </c>
      <c r="E284" t="s">
        <v>1386</v>
      </c>
      <c r="F284">
        <v>324</v>
      </c>
      <c r="G284" s="3">
        <v>44067</v>
      </c>
      <c r="H284" t="s">
        <v>2707</v>
      </c>
      <c r="J284" t="s">
        <v>1394</v>
      </c>
      <c r="K284" t="s">
        <v>70</v>
      </c>
      <c r="L284" s="3">
        <v>47699</v>
      </c>
      <c r="M284" s="3">
        <v>47594</v>
      </c>
      <c r="N284" t="s">
        <v>2708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1767</v>
      </c>
      <c r="C285" t="s">
        <v>1768</v>
      </c>
      <c r="D285" s="3">
        <v>24400</v>
      </c>
      <c r="E285" t="s">
        <v>1386</v>
      </c>
      <c r="F285">
        <v>393</v>
      </c>
      <c r="G285" s="3">
        <v>44075</v>
      </c>
      <c r="I285">
        <v>492421081</v>
      </c>
      <c r="J285" t="s">
        <v>1445</v>
      </c>
      <c r="K285" t="s">
        <v>58</v>
      </c>
      <c r="L285" s="3">
        <v>46905</v>
      </c>
      <c r="M285" s="3">
        <v>46853</v>
      </c>
      <c r="N285" t="s">
        <v>1769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1442</v>
      </c>
      <c r="C286" t="s">
        <v>1443</v>
      </c>
      <c r="D286" s="3">
        <v>31611</v>
      </c>
      <c r="E286" t="s">
        <v>1386</v>
      </c>
      <c r="F286">
        <v>355</v>
      </c>
      <c r="G286" s="3">
        <v>44070</v>
      </c>
      <c r="H286" t="s">
        <v>1444</v>
      </c>
      <c r="J286" t="s">
        <v>1445</v>
      </c>
      <c r="K286" t="s">
        <v>67</v>
      </c>
      <c r="L286" s="3">
        <v>46876</v>
      </c>
      <c r="M286" s="3">
        <v>46862</v>
      </c>
      <c r="N286" t="s">
        <v>1446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3143</v>
      </c>
      <c r="C287" t="s">
        <v>3144</v>
      </c>
      <c r="D287" s="3">
        <v>29006</v>
      </c>
      <c r="E287" t="s">
        <v>1386</v>
      </c>
      <c r="F287">
        <v>278</v>
      </c>
      <c r="G287" s="3">
        <v>44081</v>
      </c>
      <c r="H287" t="s">
        <v>3145</v>
      </c>
      <c r="J287" t="s">
        <v>1445</v>
      </c>
      <c r="K287" t="s">
        <v>55</v>
      </c>
      <c r="L287" s="3">
        <v>45922</v>
      </c>
      <c r="M287" s="3">
        <v>47407</v>
      </c>
      <c r="N287" t="s">
        <v>3146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1396</v>
      </c>
      <c r="C288" t="s">
        <v>1397</v>
      </c>
      <c r="D288" s="3">
        <v>27907</v>
      </c>
      <c r="E288" t="s">
        <v>1386</v>
      </c>
      <c r="F288">
        <v>414</v>
      </c>
      <c r="G288" s="3">
        <v>44067</v>
      </c>
      <c r="H288" t="s">
        <v>1398</v>
      </c>
      <c r="J288" t="s">
        <v>1399</v>
      </c>
      <c r="K288" t="s">
        <v>67</v>
      </c>
      <c r="L288" s="3">
        <v>47602</v>
      </c>
      <c r="M288" s="3">
        <v>47594</v>
      </c>
      <c r="N288" t="s">
        <v>1400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1455</v>
      </c>
      <c r="C289" t="s">
        <v>1456</v>
      </c>
      <c r="D289" s="3">
        <v>24328</v>
      </c>
      <c r="E289" t="s">
        <v>1386</v>
      </c>
      <c r="F289">
        <v>434</v>
      </c>
      <c r="G289" s="3">
        <v>44039</v>
      </c>
      <c r="H289" t="s">
        <v>1457</v>
      </c>
      <c r="J289" t="s">
        <v>1427</v>
      </c>
      <c r="K289" t="s">
        <v>52</v>
      </c>
      <c r="L289" s="3">
        <v>47533</v>
      </c>
      <c r="M289" s="3">
        <v>47517</v>
      </c>
      <c r="N289" t="s">
        <v>1458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2076</v>
      </c>
      <c r="C290" t="s">
        <v>2800</v>
      </c>
      <c r="D290" s="3">
        <v>33879</v>
      </c>
      <c r="E290" t="s">
        <v>1386</v>
      </c>
      <c r="F290">
        <v>435</v>
      </c>
      <c r="G290" s="3">
        <v>44039</v>
      </c>
      <c r="H290" t="s">
        <v>2806</v>
      </c>
      <c r="J290" t="s">
        <v>1399</v>
      </c>
      <c r="K290" t="s">
        <v>73</v>
      </c>
      <c r="L290" s="3">
        <v>47635</v>
      </c>
      <c r="M290" s="3">
        <v>47547</v>
      </c>
      <c r="N290" t="s">
        <v>2807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2328</v>
      </c>
      <c r="C291" t="s">
        <v>2319</v>
      </c>
      <c r="D291" s="3">
        <v>34121</v>
      </c>
      <c r="E291" t="s">
        <v>1386</v>
      </c>
      <c r="F291">
        <v>22</v>
      </c>
      <c r="G291" s="3">
        <v>44025</v>
      </c>
      <c r="H291" t="s">
        <v>2329</v>
      </c>
      <c r="J291" t="s">
        <v>1399</v>
      </c>
      <c r="K291" t="s">
        <v>64</v>
      </c>
      <c r="L291" s="3">
        <v>47554</v>
      </c>
      <c r="M291" s="3">
        <v>47547</v>
      </c>
      <c r="N291" t="s">
        <v>2330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2331</v>
      </c>
      <c r="C292" t="s">
        <v>2332</v>
      </c>
      <c r="D292" s="3">
        <v>29509</v>
      </c>
      <c r="E292" t="s">
        <v>1386</v>
      </c>
      <c r="F292">
        <v>260</v>
      </c>
      <c r="G292" s="3">
        <v>44039</v>
      </c>
      <c r="H292" t="s">
        <v>2333</v>
      </c>
      <c r="J292" t="s">
        <v>1445</v>
      </c>
      <c r="K292" t="s">
        <v>58</v>
      </c>
      <c r="L292" s="3">
        <v>47617</v>
      </c>
      <c r="M292" s="3">
        <v>47579</v>
      </c>
      <c r="N292" t="s">
        <v>2334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2295</v>
      </c>
      <c r="C293" t="s">
        <v>2296</v>
      </c>
      <c r="D293" s="3">
        <v>28007</v>
      </c>
      <c r="E293" t="s">
        <v>1386</v>
      </c>
      <c r="F293">
        <v>282</v>
      </c>
      <c r="G293" s="3">
        <v>44039</v>
      </c>
      <c r="H293" t="s">
        <v>2297</v>
      </c>
      <c r="J293" t="s">
        <v>1399</v>
      </c>
      <c r="K293" t="s">
        <v>73</v>
      </c>
      <c r="L293" s="3">
        <v>47568</v>
      </c>
      <c r="M293" s="3">
        <v>47561</v>
      </c>
      <c r="N293" t="s">
        <v>2298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1401</v>
      </c>
      <c r="C294" t="s">
        <v>1402</v>
      </c>
      <c r="D294" s="3">
        <v>35525</v>
      </c>
      <c r="E294" t="s">
        <v>1386</v>
      </c>
      <c r="F294">
        <v>452</v>
      </c>
      <c r="G294" s="3">
        <v>44025</v>
      </c>
      <c r="H294" t="s">
        <v>1403</v>
      </c>
      <c r="I294">
        <v>487773919</v>
      </c>
      <c r="J294" t="s">
        <v>1404</v>
      </c>
      <c r="K294" t="s">
        <v>58</v>
      </c>
      <c r="L294" s="3">
        <v>47610</v>
      </c>
      <c r="M294" s="3">
        <v>47609</v>
      </c>
      <c r="N294" t="s">
        <v>1405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3198</v>
      </c>
      <c r="C295" t="s">
        <v>3199</v>
      </c>
      <c r="D295" s="3">
        <v>35139</v>
      </c>
      <c r="E295" t="s">
        <v>1386</v>
      </c>
      <c r="F295">
        <v>10</v>
      </c>
      <c r="G295" s="3">
        <v>44025</v>
      </c>
      <c r="H295" t="s">
        <v>3200</v>
      </c>
      <c r="J295" t="s">
        <v>1399</v>
      </c>
      <c r="K295" t="s">
        <v>67</v>
      </c>
      <c r="L295" s="3">
        <v>47526</v>
      </c>
      <c r="M295" s="3">
        <v>47524</v>
      </c>
      <c r="N295" t="s">
        <v>3201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1752</v>
      </c>
      <c r="C296" t="s">
        <v>2858</v>
      </c>
      <c r="D296" s="3">
        <v>18345</v>
      </c>
      <c r="E296" t="s">
        <v>1386</v>
      </c>
      <c r="G296" s="3">
        <v>43993</v>
      </c>
      <c r="J296" t="s">
        <v>1961</v>
      </c>
      <c r="K296" t="s">
        <v>73</v>
      </c>
      <c r="L296" s="3">
        <v>47664</v>
      </c>
      <c r="M296" s="3">
        <v>46186</v>
      </c>
      <c r="N296" t="s">
        <v>2861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1562</v>
      </c>
      <c r="C297" t="s">
        <v>1558</v>
      </c>
      <c r="D297" s="3">
        <v>31006</v>
      </c>
      <c r="E297" t="s">
        <v>1386</v>
      </c>
      <c r="F297">
        <v>38</v>
      </c>
      <c r="G297" s="3">
        <v>44025</v>
      </c>
      <c r="H297" t="s">
        <v>1563</v>
      </c>
      <c r="J297" t="s">
        <v>1427</v>
      </c>
      <c r="K297" t="s">
        <v>52</v>
      </c>
      <c r="L297" s="3">
        <v>47610</v>
      </c>
      <c r="M297" s="3">
        <v>47547</v>
      </c>
      <c r="N297" t="s">
        <v>1564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2713</v>
      </c>
      <c r="C298" t="s">
        <v>2714</v>
      </c>
      <c r="D298" s="3">
        <v>30458</v>
      </c>
      <c r="E298" t="s">
        <v>1386</v>
      </c>
      <c r="F298">
        <v>400</v>
      </c>
      <c r="G298" s="3">
        <v>43997</v>
      </c>
      <c r="H298" t="s">
        <v>2715</v>
      </c>
      <c r="J298" t="s">
        <v>1432</v>
      </c>
      <c r="K298" t="s">
        <v>70</v>
      </c>
      <c r="L298" s="3">
        <v>47581</v>
      </c>
      <c r="M298" s="3">
        <v>47533</v>
      </c>
      <c r="N298" t="s">
        <v>2716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3306</v>
      </c>
      <c r="C299" t="s">
        <v>3307</v>
      </c>
      <c r="D299" s="3">
        <v>29155</v>
      </c>
      <c r="E299" t="s">
        <v>1386</v>
      </c>
      <c r="F299">
        <v>426</v>
      </c>
      <c r="G299" s="3">
        <v>44081</v>
      </c>
      <c r="H299" t="s">
        <v>3308</v>
      </c>
      <c r="J299" t="s">
        <v>1427</v>
      </c>
      <c r="K299" t="s">
        <v>52</v>
      </c>
      <c r="L299" s="3">
        <v>47435</v>
      </c>
      <c r="M299" s="3">
        <v>46646</v>
      </c>
      <c r="N299" t="s">
        <v>3309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3029</v>
      </c>
      <c r="C300" t="s">
        <v>3023</v>
      </c>
      <c r="D300" s="3">
        <v>22829</v>
      </c>
      <c r="E300" t="s">
        <v>1386</v>
      </c>
      <c r="F300">
        <v>28</v>
      </c>
      <c r="G300" s="3">
        <v>44011</v>
      </c>
      <c r="H300" t="s">
        <v>3030</v>
      </c>
      <c r="J300" t="s">
        <v>1399</v>
      </c>
      <c r="K300" t="s">
        <v>58</v>
      </c>
      <c r="L300" s="3">
        <v>47587</v>
      </c>
      <c r="M300" s="3">
        <v>47568</v>
      </c>
      <c r="N300" t="s">
        <v>3031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3066</v>
      </c>
      <c r="C301" t="s">
        <v>3063</v>
      </c>
      <c r="D301" s="3">
        <v>28965</v>
      </c>
      <c r="E301" t="s">
        <v>1386</v>
      </c>
      <c r="F301">
        <v>95</v>
      </c>
      <c r="G301" s="3">
        <v>44011</v>
      </c>
      <c r="H301" t="s">
        <v>3067</v>
      </c>
      <c r="I301">
        <v>0</v>
      </c>
      <c r="J301" t="s">
        <v>1418</v>
      </c>
      <c r="K301" t="s">
        <v>73</v>
      </c>
      <c r="L301" s="3">
        <v>47498</v>
      </c>
      <c r="M301" s="3">
        <v>47126</v>
      </c>
      <c r="N301" t="s">
        <v>3068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3206</v>
      </c>
      <c r="C302" t="s">
        <v>3207</v>
      </c>
      <c r="D302" s="3">
        <v>31067</v>
      </c>
      <c r="E302" t="s">
        <v>1386</v>
      </c>
      <c r="F302">
        <v>324</v>
      </c>
      <c r="G302" s="3">
        <v>44039</v>
      </c>
      <c r="H302" t="s">
        <v>3208</v>
      </c>
      <c r="J302" t="s">
        <v>1394</v>
      </c>
      <c r="K302" t="s">
        <v>67</v>
      </c>
      <c r="L302" s="3">
        <v>47393</v>
      </c>
      <c r="M302" s="3">
        <v>47351</v>
      </c>
      <c r="N302" t="s">
        <v>3209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3415</v>
      </c>
      <c r="C303" t="s">
        <v>3416</v>
      </c>
      <c r="D303" s="3">
        <v>30513</v>
      </c>
      <c r="E303" t="s">
        <v>1386</v>
      </c>
      <c r="F303">
        <v>387</v>
      </c>
      <c r="G303" s="3">
        <v>43984</v>
      </c>
      <c r="H303" t="s">
        <v>3417</v>
      </c>
      <c r="I303">
        <v>92567935</v>
      </c>
      <c r="J303" t="s">
        <v>1427</v>
      </c>
      <c r="K303" t="s">
        <v>73</v>
      </c>
      <c r="L303" s="3">
        <v>47450</v>
      </c>
      <c r="M303" s="3">
        <v>47441</v>
      </c>
      <c r="N303" t="s">
        <v>3418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2752</v>
      </c>
      <c r="C304" t="s">
        <v>2753</v>
      </c>
      <c r="D304" s="3">
        <v>28038</v>
      </c>
      <c r="E304" t="s">
        <v>1386</v>
      </c>
      <c r="F304">
        <v>335</v>
      </c>
      <c r="G304" s="3">
        <v>43980</v>
      </c>
      <c r="H304" t="s">
        <v>2754</v>
      </c>
      <c r="J304" t="s">
        <v>1595</v>
      </c>
      <c r="K304" t="s">
        <v>67</v>
      </c>
      <c r="L304" s="3">
        <v>73050</v>
      </c>
      <c r="M304" s="3">
        <v>47460</v>
      </c>
      <c r="N304" t="s">
        <v>2755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1498</v>
      </c>
      <c r="C305" t="s">
        <v>1774</v>
      </c>
      <c r="D305" s="3">
        <v>27962</v>
      </c>
      <c r="E305" t="s">
        <v>1386</v>
      </c>
      <c r="F305">
        <v>350</v>
      </c>
      <c r="G305" s="3">
        <v>43969</v>
      </c>
      <c r="H305" t="s">
        <v>1775</v>
      </c>
      <c r="J305" t="s">
        <v>1432</v>
      </c>
      <c r="K305" t="s">
        <v>58</v>
      </c>
      <c r="L305" s="3">
        <v>47485</v>
      </c>
      <c r="M305" s="3">
        <v>47441</v>
      </c>
      <c r="N305" t="s">
        <v>1776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2244</v>
      </c>
      <c r="C306" t="s">
        <v>2245</v>
      </c>
      <c r="D306" s="3">
        <v>33578</v>
      </c>
      <c r="E306" t="s">
        <v>1386</v>
      </c>
      <c r="F306">
        <v>114</v>
      </c>
      <c r="G306" s="3">
        <v>43944</v>
      </c>
      <c r="H306" t="s">
        <v>2246</v>
      </c>
      <c r="I306">
        <v>92788949</v>
      </c>
      <c r="J306" t="s">
        <v>1445</v>
      </c>
      <c r="K306" t="s">
        <v>58</v>
      </c>
      <c r="L306" s="3">
        <v>46384</v>
      </c>
      <c r="M306" s="3">
        <v>46378</v>
      </c>
      <c r="N306" t="s">
        <v>2247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1262</v>
      </c>
      <c r="C307" t="s">
        <v>2524</v>
      </c>
      <c r="D307" s="3">
        <v>25938</v>
      </c>
      <c r="E307" t="s">
        <v>1386</v>
      </c>
      <c r="F307">
        <v>160</v>
      </c>
      <c r="G307" s="3">
        <v>43906</v>
      </c>
      <c r="H307" t="s">
        <v>2525</v>
      </c>
      <c r="J307" t="s">
        <v>1445</v>
      </c>
      <c r="K307" t="s">
        <v>58</v>
      </c>
      <c r="L307" s="3">
        <v>47517</v>
      </c>
      <c r="M307" s="3">
        <v>47441</v>
      </c>
      <c r="N307" t="s">
        <v>2526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3425</v>
      </c>
      <c r="C308" t="s">
        <v>3426</v>
      </c>
      <c r="D308" s="3">
        <v>32543</v>
      </c>
      <c r="E308" t="s">
        <v>1386</v>
      </c>
      <c r="G308" s="3">
        <v>43906</v>
      </c>
      <c r="H308" t="s">
        <v>3427</v>
      </c>
      <c r="I308" t="s">
        <v>3428</v>
      </c>
      <c r="J308" t="s">
        <v>1399</v>
      </c>
      <c r="K308" t="s">
        <v>73</v>
      </c>
      <c r="L308" s="3">
        <v>47504</v>
      </c>
      <c r="M308" s="3">
        <v>47460</v>
      </c>
      <c r="N308" t="s">
        <v>3429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2227</v>
      </c>
      <c r="C309" t="s">
        <v>2228</v>
      </c>
      <c r="D309" s="3">
        <v>36459</v>
      </c>
      <c r="E309" t="s">
        <v>1386</v>
      </c>
      <c r="F309">
        <v>421</v>
      </c>
      <c r="G309" s="3">
        <v>43892</v>
      </c>
      <c r="H309" t="s">
        <v>2229</v>
      </c>
      <c r="J309" t="s">
        <v>1427</v>
      </c>
      <c r="K309" t="s">
        <v>73</v>
      </c>
      <c r="L309" s="3">
        <v>47611</v>
      </c>
      <c r="M309" s="3">
        <v>47441</v>
      </c>
      <c r="N309" t="s">
        <v>2230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2944</v>
      </c>
      <c r="C310" t="s">
        <v>2939</v>
      </c>
      <c r="D310" s="3">
        <v>19500</v>
      </c>
      <c r="E310" t="s">
        <v>1386</v>
      </c>
      <c r="G310" s="3">
        <v>43891</v>
      </c>
      <c r="H310" t="s">
        <v>2945</v>
      </c>
      <c r="J310" t="s">
        <v>1961</v>
      </c>
      <c r="K310" t="s">
        <v>73</v>
      </c>
      <c r="L310" s="3">
        <v>1</v>
      </c>
      <c r="M310" s="3">
        <v>1</v>
      </c>
      <c r="N310" t="s">
        <v>2946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3116</v>
      </c>
      <c r="C311" t="s">
        <v>3113</v>
      </c>
      <c r="D311" s="3">
        <v>32582</v>
      </c>
      <c r="E311" t="s">
        <v>1386</v>
      </c>
      <c r="F311">
        <v>480</v>
      </c>
      <c r="G311" s="3">
        <v>43878</v>
      </c>
      <c r="H311" t="s">
        <v>3117</v>
      </c>
      <c r="I311">
        <v>494132438</v>
      </c>
      <c r="J311" t="s">
        <v>1445</v>
      </c>
      <c r="K311" t="s">
        <v>70</v>
      </c>
      <c r="L311" s="3">
        <v>47461</v>
      </c>
      <c r="M311" s="3">
        <v>47460</v>
      </c>
      <c r="N311" t="s">
        <v>3118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3003</v>
      </c>
      <c r="C312" t="s">
        <v>1333</v>
      </c>
      <c r="D312" s="3">
        <v>26227</v>
      </c>
      <c r="E312" t="s">
        <v>1386</v>
      </c>
      <c r="F312">
        <v>311</v>
      </c>
      <c r="G312" s="3">
        <v>43864</v>
      </c>
      <c r="H312" t="s">
        <v>3004</v>
      </c>
      <c r="J312" t="s">
        <v>1399</v>
      </c>
      <c r="K312" t="s">
        <v>55</v>
      </c>
      <c r="L312" s="3">
        <v>47485</v>
      </c>
      <c r="M312" s="3">
        <v>47441</v>
      </c>
      <c r="N312" t="s">
        <v>3005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3449</v>
      </c>
      <c r="C313" t="s">
        <v>3450</v>
      </c>
      <c r="D313" s="3">
        <v>36273</v>
      </c>
      <c r="E313" t="s">
        <v>1386</v>
      </c>
      <c r="F313">
        <v>405</v>
      </c>
      <c r="G313" s="3">
        <v>43864</v>
      </c>
      <c r="H313" t="s">
        <v>3451</v>
      </c>
      <c r="J313" t="s">
        <v>1399</v>
      </c>
      <c r="K313" t="s">
        <v>58</v>
      </c>
      <c r="L313" s="3">
        <v>47470</v>
      </c>
      <c r="M313" s="3">
        <v>47460</v>
      </c>
      <c r="N313" t="s">
        <v>3452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1478</v>
      </c>
      <c r="C314" t="s">
        <v>1460</v>
      </c>
      <c r="D314" s="3">
        <v>25785</v>
      </c>
      <c r="E314" t="s">
        <v>1386</v>
      </c>
      <c r="F314">
        <v>465</v>
      </c>
      <c r="G314" s="3">
        <v>43892</v>
      </c>
      <c r="H314" t="s">
        <v>1479</v>
      </c>
      <c r="J314" t="s">
        <v>1394</v>
      </c>
      <c r="K314" t="s">
        <v>73</v>
      </c>
      <c r="L314" s="3">
        <v>47411</v>
      </c>
      <c r="M314" s="3">
        <v>47342</v>
      </c>
      <c r="N314" t="s">
        <v>1480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1828</v>
      </c>
      <c r="C315" t="s">
        <v>1829</v>
      </c>
      <c r="D315" s="3">
        <v>32327</v>
      </c>
      <c r="E315" t="s">
        <v>1386</v>
      </c>
      <c r="F315">
        <v>399</v>
      </c>
      <c r="G315" s="3">
        <v>43850</v>
      </c>
      <c r="H315" t="s">
        <v>1830</v>
      </c>
      <c r="J315" t="s">
        <v>1445</v>
      </c>
      <c r="K315" t="s">
        <v>67</v>
      </c>
      <c r="L315" s="3">
        <v>47434</v>
      </c>
      <c r="M315" s="3">
        <v>47377</v>
      </c>
      <c r="N315" t="s">
        <v>1831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1414</v>
      </c>
      <c r="C316" t="s">
        <v>1415</v>
      </c>
      <c r="D316" s="3">
        <v>30614</v>
      </c>
      <c r="E316" t="s">
        <v>1386</v>
      </c>
      <c r="F316">
        <v>469</v>
      </c>
      <c r="G316" s="3">
        <v>43906</v>
      </c>
      <c r="H316" t="s">
        <v>1416</v>
      </c>
      <c r="I316" t="s">
        <v>1417</v>
      </c>
      <c r="J316" t="s">
        <v>1418</v>
      </c>
      <c r="K316" t="s">
        <v>64</v>
      </c>
      <c r="L316" s="3">
        <v>47380</v>
      </c>
      <c r="M316" s="3">
        <v>47351</v>
      </c>
      <c r="N316" t="s">
        <v>1419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2110</v>
      </c>
      <c r="C317" t="s">
        <v>2101</v>
      </c>
      <c r="D317" s="3">
        <v>31020</v>
      </c>
      <c r="E317" t="s">
        <v>1386</v>
      </c>
      <c r="F317">
        <v>450</v>
      </c>
      <c r="G317" s="3">
        <v>43850</v>
      </c>
      <c r="H317" t="s">
        <v>2111</v>
      </c>
      <c r="J317" t="s">
        <v>1445</v>
      </c>
      <c r="K317" t="s">
        <v>55</v>
      </c>
      <c r="L317" s="3">
        <v>47239</v>
      </c>
      <c r="M317" s="3">
        <v>47237</v>
      </c>
      <c r="N317" t="s">
        <v>2112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1565</v>
      </c>
      <c r="C318" t="s">
        <v>1558</v>
      </c>
      <c r="D318" s="3">
        <v>31820</v>
      </c>
      <c r="E318" t="s">
        <v>1386</v>
      </c>
      <c r="F318">
        <v>365</v>
      </c>
      <c r="G318" s="3">
        <v>43808</v>
      </c>
      <c r="H318" t="s">
        <v>1566</v>
      </c>
      <c r="I318">
        <v>487367392</v>
      </c>
      <c r="K318" t="s">
        <v>55</v>
      </c>
      <c r="L318" s="3">
        <v>46251</v>
      </c>
      <c r="M318" s="3">
        <v>47413</v>
      </c>
      <c r="N318" t="s">
        <v>1567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2473</v>
      </c>
      <c r="C319" t="s">
        <v>2470</v>
      </c>
      <c r="D319" s="3">
        <v>34283</v>
      </c>
      <c r="E319" t="s">
        <v>1386</v>
      </c>
      <c r="F319">
        <v>158</v>
      </c>
      <c r="G319" s="3">
        <v>43781</v>
      </c>
      <c r="H319" t="s">
        <v>2474</v>
      </c>
      <c r="J319" t="s">
        <v>1427</v>
      </c>
      <c r="K319" t="s">
        <v>67</v>
      </c>
      <c r="L319" s="3">
        <v>47357</v>
      </c>
      <c r="M319" s="3">
        <v>47357</v>
      </c>
      <c r="N319" t="s">
        <v>2475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2690</v>
      </c>
      <c r="C320" t="s">
        <v>2691</v>
      </c>
      <c r="D320" s="3">
        <v>34663</v>
      </c>
      <c r="E320" t="s">
        <v>1386</v>
      </c>
      <c r="F320">
        <v>132</v>
      </c>
      <c r="G320" s="3">
        <v>43752</v>
      </c>
      <c r="H320" t="s">
        <v>2692</v>
      </c>
      <c r="I320">
        <v>498707898</v>
      </c>
      <c r="J320" t="s">
        <v>1595</v>
      </c>
      <c r="K320" t="s">
        <v>52</v>
      </c>
      <c r="L320" s="3">
        <v>47274</v>
      </c>
      <c r="M320" s="3">
        <v>47237</v>
      </c>
      <c r="N320" t="s">
        <v>2693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3045</v>
      </c>
      <c r="C321" t="s">
        <v>3046</v>
      </c>
      <c r="D321" s="3">
        <v>30411</v>
      </c>
      <c r="E321" t="s">
        <v>1386</v>
      </c>
      <c r="F321">
        <v>11</v>
      </c>
      <c r="G321" s="3">
        <v>43710</v>
      </c>
      <c r="H321" t="s">
        <v>3047</v>
      </c>
      <c r="I321">
        <v>468493588</v>
      </c>
      <c r="J321" t="s">
        <v>1404</v>
      </c>
      <c r="K321" t="s">
        <v>58</v>
      </c>
      <c r="L321" s="3">
        <v>47337</v>
      </c>
      <c r="M321" s="3">
        <v>47316</v>
      </c>
      <c r="N321" t="s">
        <v>3048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2538</v>
      </c>
      <c r="C322" t="s">
        <v>2539</v>
      </c>
      <c r="D322" s="3">
        <v>27707</v>
      </c>
      <c r="E322" t="s">
        <v>1386</v>
      </c>
      <c r="F322">
        <v>445</v>
      </c>
      <c r="G322" s="3">
        <v>43710</v>
      </c>
      <c r="H322" t="s">
        <v>2540</v>
      </c>
      <c r="I322">
        <v>32496141860</v>
      </c>
      <c r="J322" t="s">
        <v>1466</v>
      </c>
      <c r="K322" t="s">
        <v>64</v>
      </c>
      <c r="L322" s="3">
        <v>48784</v>
      </c>
      <c r="M322" s="3">
        <v>46892</v>
      </c>
      <c r="N322" t="s">
        <v>2541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2256</v>
      </c>
      <c r="C323" t="s">
        <v>2257</v>
      </c>
      <c r="D323" s="3">
        <v>30816</v>
      </c>
      <c r="E323" t="s">
        <v>1386</v>
      </c>
      <c r="G323" s="3">
        <v>43710</v>
      </c>
      <c r="H323" t="s">
        <v>2258</v>
      </c>
      <c r="J323" t="s">
        <v>1399</v>
      </c>
      <c r="K323" t="s">
        <v>67</v>
      </c>
      <c r="L323" s="3">
        <v>47267</v>
      </c>
      <c r="M323" s="3">
        <v>47216</v>
      </c>
      <c r="N323" t="s">
        <v>2259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2773</v>
      </c>
      <c r="C324" t="s">
        <v>2774</v>
      </c>
      <c r="D324" s="3">
        <v>34089</v>
      </c>
      <c r="E324" t="s">
        <v>1386</v>
      </c>
      <c r="F324">
        <v>351</v>
      </c>
      <c r="G324" s="3">
        <v>43710</v>
      </c>
      <c r="H324" t="s">
        <v>2775</v>
      </c>
      <c r="I324">
        <v>488372246</v>
      </c>
      <c r="J324" t="s">
        <v>1427</v>
      </c>
      <c r="K324" t="s">
        <v>67</v>
      </c>
      <c r="L324" s="3">
        <v>47281</v>
      </c>
      <c r="M324" s="3">
        <v>47267</v>
      </c>
      <c r="N324" t="s">
        <v>2776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2148</v>
      </c>
      <c r="C325" t="s">
        <v>2149</v>
      </c>
      <c r="D325" s="3">
        <v>31192</v>
      </c>
      <c r="E325" t="s">
        <v>1386</v>
      </c>
      <c r="F325">
        <v>385</v>
      </c>
      <c r="G325" s="3">
        <v>43724</v>
      </c>
      <c r="H325" t="s">
        <v>2150</v>
      </c>
      <c r="I325">
        <v>485827666</v>
      </c>
      <c r="J325" t="s">
        <v>1427</v>
      </c>
      <c r="K325" t="s">
        <v>67</v>
      </c>
      <c r="L325" s="3">
        <v>47280</v>
      </c>
      <c r="M325" s="3">
        <v>47216</v>
      </c>
      <c r="N325" t="s">
        <v>2151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1582</v>
      </c>
      <c r="C326" t="s">
        <v>1583</v>
      </c>
      <c r="D326" s="3">
        <v>34236</v>
      </c>
      <c r="E326" t="s">
        <v>1386</v>
      </c>
      <c r="F326">
        <v>103</v>
      </c>
      <c r="G326" s="3">
        <v>43669</v>
      </c>
      <c r="H326" t="s">
        <v>1584</v>
      </c>
      <c r="I326">
        <v>32478510138</v>
      </c>
      <c r="J326" t="s">
        <v>1399</v>
      </c>
      <c r="K326" t="s">
        <v>58</v>
      </c>
      <c r="L326" s="3">
        <v>47267</v>
      </c>
      <c r="M326" s="3">
        <v>47170</v>
      </c>
      <c r="N326" t="s">
        <v>1585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2464</v>
      </c>
      <c r="C327" t="s">
        <v>2461</v>
      </c>
      <c r="D327" s="3">
        <v>34969</v>
      </c>
      <c r="E327" t="s">
        <v>1386</v>
      </c>
      <c r="F327">
        <v>300</v>
      </c>
      <c r="G327" s="3">
        <v>43640</v>
      </c>
      <c r="H327" t="s">
        <v>2465</v>
      </c>
      <c r="I327">
        <v>494587601</v>
      </c>
      <c r="J327" t="s">
        <v>1470</v>
      </c>
      <c r="K327" t="s">
        <v>61</v>
      </c>
      <c r="L327" s="3">
        <v>47215</v>
      </c>
      <c r="M327" s="3">
        <v>47170</v>
      </c>
      <c r="N327" t="s">
        <v>2466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1568</v>
      </c>
      <c r="C328" t="s">
        <v>1558</v>
      </c>
      <c r="D328" s="3">
        <v>31359</v>
      </c>
      <c r="E328" t="s">
        <v>1386</v>
      </c>
      <c r="F328">
        <v>329</v>
      </c>
      <c r="G328" s="3">
        <v>43627</v>
      </c>
      <c r="H328" t="s">
        <v>1569</v>
      </c>
      <c r="I328">
        <v>495418640</v>
      </c>
      <c r="J328" t="s">
        <v>1470</v>
      </c>
      <c r="K328" t="s">
        <v>61</v>
      </c>
      <c r="L328" s="3">
        <v>47051</v>
      </c>
      <c r="M328" s="3">
        <v>47044</v>
      </c>
      <c r="N328" t="s">
        <v>1570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2132</v>
      </c>
      <c r="C329" t="s">
        <v>2133</v>
      </c>
      <c r="D329" s="3">
        <v>31149</v>
      </c>
      <c r="E329" t="s">
        <v>1386</v>
      </c>
      <c r="F329">
        <v>163</v>
      </c>
      <c r="G329" s="3">
        <v>43605</v>
      </c>
      <c r="H329" t="s">
        <v>2134</v>
      </c>
      <c r="J329" t="s">
        <v>1418</v>
      </c>
      <c r="K329" t="s">
        <v>64</v>
      </c>
      <c r="L329" s="3">
        <v>47162</v>
      </c>
      <c r="M329" s="3">
        <v>47126</v>
      </c>
      <c r="N329" t="s">
        <v>2135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1593</v>
      </c>
      <c r="C330" t="s">
        <v>1356</v>
      </c>
      <c r="D330" s="3">
        <v>30017</v>
      </c>
      <c r="E330" t="s">
        <v>1386</v>
      </c>
      <c r="F330">
        <v>215</v>
      </c>
      <c r="G330" s="3">
        <v>43605</v>
      </c>
      <c r="H330" t="s">
        <v>1594</v>
      </c>
      <c r="J330" t="s">
        <v>1595</v>
      </c>
      <c r="K330" t="s">
        <v>70</v>
      </c>
      <c r="L330" s="3">
        <v>47229</v>
      </c>
      <c r="M330" s="3">
        <v>47170</v>
      </c>
      <c r="N330" t="s">
        <v>1596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2811</v>
      </c>
      <c r="C331" t="s">
        <v>2812</v>
      </c>
      <c r="D331" s="3">
        <v>34310</v>
      </c>
      <c r="E331" t="s">
        <v>1386</v>
      </c>
      <c r="G331" s="3">
        <v>43605</v>
      </c>
      <c r="H331" t="s">
        <v>2813</v>
      </c>
      <c r="I331">
        <v>471897684</v>
      </c>
      <c r="J331" t="s">
        <v>1445</v>
      </c>
      <c r="K331" t="s">
        <v>64</v>
      </c>
      <c r="L331" s="3">
        <v>47202</v>
      </c>
      <c r="M331" s="3">
        <v>47170</v>
      </c>
      <c r="N331" t="s">
        <v>2814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2717</v>
      </c>
      <c r="C332" t="s">
        <v>2714</v>
      </c>
      <c r="D332" s="3">
        <v>24507</v>
      </c>
      <c r="E332" t="s">
        <v>1386</v>
      </c>
      <c r="F332">
        <v>220</v>
      </c>
      <c r="G332" s="3">
        <v>43556</v>
      </c>
      <c r="H332" t="s">
        <v>2718</v>
      </c>
      <c r="I332">
        <v>499245846</v>
      </c>
      <c r="J332" t="s">
        <v>1445</v>
      </c>
      <c r="K332" t="s">
        <v>67</v>
      </c>
      <c r="L332" s="3">
        <v>47222</v>
      </c>
      <c r="M332" s="3">
        <v>46404</v>
      </c>
      <c r="N332" t="s">
        <v>2719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3103</v>
      </c>
      <c r="C333" t="s">
        <v>3100</v>
      </c>
      <c r="D333" s="3">
        <v>30937</v>
      </c>
      <c r="E333" t="s">
        <v>1386</v>
      </c>
      <c r="F333">
        <v>270</v>
      </c>
      <c r="G333" s="3">
        <v>43542</v>
      </c>
      <c r="H333" t="s">
        <v>3104</v>
      </c>
      <c r="J333" t="s">
        <v>1427</v>
      </c>
      <c r="K333" t="s">
        <v>67</v>
      </c>
      <c r="L333" s="3">
        <v>47154</v>
      </c>
      <c r="M333" s="3">
        <v>47100</v>
      </c>
      <c r="N333" t="s">
        <v>3105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1972</v>
      </c>
      <c r="C334" t="s">
        <v>1968</v>
      </c>
      <c r="D334" s="3">
        <v>25094</v>
      </c>
      <c r="E334" t="s">
        <v>1386</v>
      </c>
      <c r="F334">
        <v>167</v>
      </c>
      <c r="G334" s="3">
        <v>43528</v>
      </c>
      <c r="H334" t="s">
        <v>1973</v>
      </c>
      <c r="I334">
        <v>486762575</v>
      </c>
      <c r="J334" t="s">
        <v>1432</v>
      </c>
      <c r="K334" t="s">
        <v>67</v>
      </c>
      <c r="L334" s="3">
        <v>47141</v>
      </c>
      <c r="M334" s="3">
        <v>47141</v>
      </c>
      <c r="N334" t="s">
        <v>1974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1535</v>
      </c>
      <c r="C335" t="s">
        <v>1536</v>
      </c>
      <c r="D335" s="3">
        <v>23813</v>
      </c>
      <c r="E335" t="s">
        <v>1386</v>
      </c>
      <c r="F335">
        <v>104</v>
      </c>
      <c r="G335" s="3">
        <v>43528</v>
      </c>
      <c r="H335" t="s">
        <v>1537</v>
      </c>
      <c r="J335" t="s">
        <v>1418</v>
      </c>
      <c r="K335" t="s">
        <v>73</v>
      </c>
      <c r="L335" s="3">
        <v>47085</v>
      </c>
      <c r="M335" s="3">
        <v>47051</v>
      </c>
      <c r="N335" t="s">
        <v>1538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2248</v>
      </c>
      <c r="C336" t="s">
        <v>2249</v>
      </c>
      <c r="D336" s="3">
        <v>30867</v>
      </c>
      <c r="E336" t="s">
        <v>1386</v>
      </c>
      <c r="F336">
        <v>268</v>
      </c>
      <c r="G336" s="3">
        <v>43514</v>
      </c>
      <c r="H336" t="s">
        <v>2250</v>
      </c>
      <c r="J336" t="s">
        <v>1445</v>
      </c>
      <c r="K336" t="s">
        <v>64</v>
      </c>
      <c r="L336" s="3">
        <v>47135</v>
      </c>
      <c r="M336" s="3">
        <v>47072</v>
      </c>
      <c r="N336" t="s">
        <v>2251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3357</v>
      </c>
      <c r="C337" t="s">
        <v>3355</v>
      </c>
      <c r="D337" s="3">
        <v>31396</v>
      </c>
      <c r="E337" t="s">
        <v>1386</v>
      </c>
      <c r="G337" s="3">
        <v>43500</v>
      </c>
      <c r="H337" t="s">
        <v>3358</v>
      </c>
      <c r="I337" t="s">
        <v>3358</v>
      </c>
      <c r="J337" t="s">
        <v>1394</v>
      </c>
      <c r="K337" t="s">
        <v>58</v>
      </c>
      <c r="L337" s="3">
        <v>47161</v>
      </c>
      <c r="M337" s="3">
        <v>47136</v>
      </c>
      <c r="N337" t="s">
        <v>3359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1963</v>
      </c>
      <c r="C338" t="s">
        <v>1964</v>
      </c>
      <c r="D338" s="3">
        <v>34182</v>
      </c>
      <c r="E338" t="s">
        <v>1386</v>
      </c>
      <c r="F338">
        <v>430</v>
      </c>
      <c r="G338" s="3">
        <v>43486</v>
      </c>
      <c r="H338" t="s">
        <v>1965</v>
      </c>
      <c r="J338" t="s">
        <v>1404</v>
      </c>
      <c r="K338" t="s">
        <v>58</v>
      </c>
      <c r="L338" s="3">
        <v>47139</v>
      </c>
      <c r="M338" s="3">
        <v>46897</v>
      </c>
      <c r="N338" t="s">
        <v>1966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3158</v>
      </c>
      <c r="C339" t="s">
        <v>3159</v>
      </c>
      <c r="D339" s="3">
        <v>26216</v>
      </c>
      <c r="E339" t="s">
        <v>1386</v>
      </c>
      <c r="F339">
        <v>197</v>
      </c>
      <c r="G339" s="3">
        <v>43472</v>
      </c>
      <c r="H339" t="s">
        <v>3160</v>
      </c>
      <c r="J339" t="s">
        <v>1394</v>
      </c>
      <c r="K339" t="s">
        <v>64</v>
      </c>
      <c r="L339" s="3">
        <v>47011</v>
      </c>
      <c r="M339" s="3">
        <v>47009</v>
      </c>
      <c r="N339" t="s">
        <v>3161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3123</v>
      </c>
      <c r="C340" t="s">
        <v>3124</v>
      </c>
      <c r="D340" s="3">
        <v>34591</v>
      </c>
      <c r="E340" t="s">
        <v>1386</v>
      </c>
      <c r="F340">
        <v>85</v>
      </c>
      <c r="G340" s="3">
        <v>43444</v>
      </c>
      <c r="H340" t="s">
        <v>3125</v>
      </c>
      <c r="I340">
        <v>476620718</v>
      </c>
      <c r="J340" t="s">
        <v>1595</v>
      </c>
      <c r="K340" t="s">
        <v>61</v>
      </c>
      <c r="L340" s="3">
        <v>47085</v>
      </c>
      <c r="M340" s="3">
        <v>46946</v>
      </c>
      <c r="N340" t="s">
        <v>3126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1414</v>
      </c>
      <c r="C341" t="s">
        <v>2657</v>
      </c>
      <c r="D341" s="3">
        <v>33077</v>
      </c>
      <c r="E341" t="s">
        <v>1386</v>
      </c>
      <c r="G341" s="3">
        <v>43325</v>
      </c>
      <c r="H341" t="s">
        <v>2658</v>
      </c>
      <c r="J341" t="s">
        <v>1394</v>
      </c>
      <c r="K341" t="s">
        <v>64</v>
      </c>
      <c r="L341" s="3">
        <v>47294</v>
      </c>
      <c r="M341" s="3">
        <v>47233</v>
      </c>
      <c r="N341" t="s">
        <v>2659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3032</v>
      </c>
      <c r="C342" t="s">
        <v>3023</v>
      </c>
      <c r="D342" s="3">
        <v>24920</v>
      </c>
      <c r="E342" t="s">
        <v>1386</v>
      </c>
      <c r="F342">
        <v>205</v>
      </c>
      <c r="G342" s="3">
        <v>43318</v>
      </c>
      <c r="H342" t="s">
        <v>3033</v>
      </c>
      <c r="J342" t="s">
        <v>1595</v>
      </c>
      <c r="K342" t="s">
        <v>64</v>
      </c>
      <c r="L342" s="3">
        <v>46915</v>
      </c>
      <c r="M342" s="3">
        <v>46166</v>
      </c>
      <c r="N342" t="s">
        <v>3034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1681</v>
      </c>
      <c r="C343" t="s">
        <v>1682</v>
      </c>
      <c r="D343" s="3">
        <v>26191</v>
      </c>
      <c r="E343" t="s">
        <v>1386</v>
      </c>
      <c r="F343">
        <v>20</v>
      </c>
      <c r="G343" s="3">
        <v>43304</v>
      </c>
      <c r="H343" t="s">
        <v>1683</v>
      </c>
      <c r="J343" t="s">
        <v>1404</v>
      </c>
      <c r="K343" t="s">
        <v>73</v>
      </c>
      <c r="L343" s="3">
        <v>46828</v>
      </c>
      <c r="M343" s="3">
        <v>46810</v>
      </c>
      <c r="N343" t="s">
        <v>1684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2971</v>
      </c>
      <c r="C344" t="s">
        <v>2972</v>
      </c>
      <c r="D344" s="3">
        <v>35347</v>
      </c>
      <c r="E344" t="s">
        <v>1386</v>
      </c>
      <c r="F344">
        <v>296</v>
      </c>
      <c r="G344" s="3">
        <v>43193</v>
      </c>
      <c r="H344" t="s">
        <v>2973</v>
      </c>
      <c r="J344" t="s">
        <v>1466</v>
      </c>
      <c r="K344" t="s">
        <v>58</v>
      </c>
      <c r="L344" s="3">
        <v>46856</v>
      </c>
      <c r="M344" s="3">
        <v>45944</v>
      </c>
      <c r="N344" t="s">
        <v>2974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2014</v>
      </c>
      <c r="C345" t="s">
        <v>2015</v>
      </c>
      <c r="D345" s="3">
        <v>30873</v>
      </c>
      <c r="E345" t="s">
        <v>1386</v>
      </c>
      <c r="F345">
        <v>292</v>
      </c>
      <c r="G345" s="3">
        <v>43178</v>
      </c>
      <c r="H345" t="s">
        <v>2016</v>
      </c>
      <c r="J345" t="s">
        <v>1573</v>
      </c>
      <c r="K345" t="s">
        <v>64</v>
      </c>
      <c r="L345" s="3">
        <v>46685</v>
      </c>
      <c r="M345" s="3">
        <v>46672</v>
      </c>
      <c r="N345" t="s">
        <v>2017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2476</v>
      </c>
      <c r="C346" t="s">
        <v>2470</v>
      </c>
      <c r="D346" s="3">
        <v>31239</v>
      </c>
      <c r="E346" t="s">
        <v>1386</v>
      </c>
      <c r="F346">
        <v>239</v>
      </c>
      <c r="G346" s="3">
        <v>43150</v>
      </c>
      <c r="H346" t="s">
        <v>2477</v>
      </c>
      <c r="I346" t="s">
        <v>2478</v>
      </c>
      <c r="J346" t="s">
        <v>1440</v>
      </c>
      <c r="K346" t="s">
        <v>52</v>
      </c>
      <c r="L346" s="3">
        <v>46673</v>
      </c>
      <c r="M346" s="3">
        <v>46665</v>
      </c>
      <c r="N346" t="s">
        <v>2479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3472</v>
      </c>
      <c r="C347" t="s">
        <v>3473</v>
      </c>
      <c r="D347" s="3">
        <v>30914</v>
      </c>
      <c r="E347" t="s">
        <v>1386</v>
      </c>
      <c r="F347">
        <v>115</v>
      </c>
      <c r="G347" s="3">
        <v>43164</v>
      </c>
      <c r="H347" t="s">
        <v>3474</v>
      </c>
      <c r="J347" t="s">
        <v>1445</v>
      </c>
      <c r="K347" t="s">
        <v>67</v>
      </c>
      <c r="L347" s="3">
        <v>46624</v>
      </c>
      <c r="M347" s="3">
        <v>46621</v>
      </c>
      <c r="N347" t="s">
        <v>3475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1721</v>
      </c>
      <c r="C348" t="s">
        <v>1722</v>
      </c>
      <c r="D348" s="3">
        <v>24440</v>
      </c>
      <c r="E348" t="s">
        <v>1386</v>
      </c>
      <c r="F348">
        <v>168</v>
      </c>
      <c r="G348" s="3">
        <v>43150</v>
      </c>
      <c r="H348" t="s">
        <v>1723</v>
      </c>
      <c r="I348">
        <v>489745145</v>
      </c>
      <c r="J348" t="s">
        <v>1399</v>
      </c>
      <c r="K348" t="s">
        <v>70</v>
      </c>
      <c r="L348" s="3">
        <v>46595</v>
      </c>
      <c r="M348" s="3">
        <v>47594</v>
      </c>
      <c r="N348" t="s">
        <v>1724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2732</v>
      </c>
      <c r="C349" t="s">
        <v>2733</v>
      </c>
      <c r="D349" s="3">
        <v>23792</v>
      </c>
      <c r="E349" t="s">
        <v>1386</v>
      </c>
      <c r="F349">
        <v>217</v>
      </c>
      <c r="G349" s="3">
        <v>43108</v>
      </c>
      <c r="H349" t="s">
        <v>2734</v>
      </c>
      <c r="J349" t="s">
        <v>1404</v>
      </c>
      <c r="K349" t="s">
        <v>67</v>
      </c>
      <c r="L349" s="3">
        <v>46620</v>
      </c>
      <c r="M349" s="3">
        <v>46616</v>
      </c>
      <c r="N349" t="s">
        <v>2735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1975</v>
      </c>
      <c r="C350" t="s">
        <v>1968</v>
      </c>
      <c r="D350" s="3">
        <v>25527</v>
      </c>
      <c r="E350" t="s">
        <v>1386</v>
      </c>
      <c r="F350">
        <v>60</v>
      </c>
      <c r="G350" s="3">
        <v>43108</v>
      </c>
      <c r="H350" t="s">
        <v>1976</v>
      </c>
      <c r="I350" t="s">
        <v>1977</v>
      </c>
      <c r="J350" t="s">
        <v>1445</v>
      </c>
      <c r="K350" t="s">
        <v>58</v>
      </c>
      <c r="L350" s="3">
        <v>46593</v>
      </c>
      <c r="M350" s="3">
        <v>46546</v>
      </c>
      <c r="N350" t="s">
        <v>1978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3243</v>
      </c>
      <c r="C351" t="s">
        <v>3244</v>
      </c>
      <c r="D351" s="3">
        <v>28206</v>
      </c>
      <c r="E351" t="s">
        <v>1386</v>
      </c>
      <c r="F351">
        <v>240</v>
      </c>
      <c r="G351" s="3">
        <v>43073</v>
      </c>
      <c r="H351" t="s">
        <v>3245</v>
      </c>
      <c r="I351" t="s">
        <v>3246</v>
      </c>
      <c r="J351" t="s">
        <v>1928</v>
      </c>
      <c r="K351" t="s">
        <v>58</v>
      </c>
      <c r="L351" s="3">
        <v>46676</v>
      </c>
      <c r="M351" s="3">
        <v>46616</v>
      </c>
      <c r="N351" t="s">
        <v>3247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1906</v>
      </c>
      <c r="C352" t="s">
        <v>1907</v>
      </c>
      <c r="D352" s="3">
        <v>25554</v>
      </c>
      <c r="E352" t="s">
        <v>1386</v>
      </c>
      <c r="F352">
        <v>46</v>
      </c>
      <c r="G352" s="3">
        <v>43031</v>
      </c>
      <c r="H352" t="s">
        <v>1908</v>
      </c>
      <c r="J352" t="s">
        <v>1404</v>
      </c>
      <c r="K352" t="s">
        <v>67</v>
      </c>
      <c r="L352" s="3">
        <v>46637</v>
      </c>
      <c r="M352" s="3">
        <v>46637</v>
      </c>
      <c r="N352" t="s">
        <v>1909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1384</v>
      </c>
      <c r="C353" t="s">
        <v>1385</v>
      </c>
      <c r="D353" s="3">
        <v>28348</v>
      </c>
      <c r="E353" t="s">
        <v>1386</v>
      </c>
      <c r="F353">
        <v>304</v>
      </c>
      <c r="G353" s="3">
        <v>43045</v>
      </c>
      <c r="H353" t="s">
        <v>1387</v>
      </c>
      <c r="I353" t="s">
        <v>1388</v>
      </c>
      <c r="J353" t="s">
        <v>1389</v>
      </c>
      <c r="K353" t="s">
        <v>64</v>
      </c>
      <c r="L353" s="3">
        <v>46517</v>
      </c>
      <c r="M353" s="3">
        <v>46511</v>
      </c>
      <c r="N353" t="s">
        <v>1390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1578</v>
      </c>
      <c r="C354" t="s">
        <v>1579</v>
      </c>
      <c r="D354" s="3">
        <v>35325</v>
      </c>
      <c r="E354" t="s">
        <v>1386</v>
      </c>
      <c r="F354">
        <v>78</v>
      </c>
      <c r="G354" s="3">
        <v>43003</v>
      </c>
      <c r="H354" t="s">
        <v>1580</v>
      </c>
      <c r="J354" t="s">
        <v>1404</v>
      </c>
      <c r="K354" t="s">
        <v>55</v>
      </c>
      <c r="L354" s="3">
        <v>46622</v>
      </c>
      <c r="M354" s="3">
        <v>46621</v>
      </c>
      <c r="N354" t="s">
        <v>1581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2947</v>
      </c>
      <c r="C355" t="s">
        <v>2948</v>
      </c>
      <c r="D355" s="3">
        <v>29257</v>
      </c>
      <c r="E355" t="s">
        <v>1386</v>
      </c>
      <c r="F355">
        <v>69</v>
      </c>
      <c r="G355" s="3">
        <v>43003</v>
      </c>
      <c r="H355" t="s">
        <v>2949</v>
      </c>
      <c r="I355">
        <v>474517590</v>
      </c>
      <c r="J355" t="s">
        <v>1427</v>
      </c>
      <c r="K355" t="s">
        <v>64</v>
      </c>
      <c r="L355" s="3">
        <v>46610</v>
      </c>
      <c r="M355" s="3">
        <v>46565</v>
      </c>
      <c r="N355" t="s">
        <v>2950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2744</v>
      </c>
      <c r="C356" t="s">
        <v>2745</v>
      </c>
      <c r="D356" s="3">
        <v>26130</v>
      </c>
      <c r="E356" t="s">
        <v>1386</v>
      </c>
      <c r="F356">
        <v>204</v>
      </c>
      <c r="G356" s="3">
        <v>42989</v>
      </c>
      <c r="H356" t="s">
        <v>2746</v>
      </c>
      <c r="J356" t="s">
        <v>1466</v>
      </c>
      <c r="K356" t="s">
        <v>67</v>
      </c>
      <c r="L356" s="3">
        <v>46518</v>
      </c>
      <c r="M356" s="3">
        <v>46511</v>
      </c>
      <c r="N356" t="s">
        <v>2747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2553</v>
      </c>
      <c r="C357" t="s">
        <v>3038</v>
      </c>
      <c r="D357" s="3">
        <v>26685</v>
      </c>
      <c r="E357" t="s">
        <v>1386</v>
      </c>
      <c r="G357" s="3">
        <v>42975</v>
      </c>
      <c r="H357" t="s">
        <v>3039</v>
      </c>
      <c r="J357" t="s">
        <v>1843</v>
      </c>
      <c r="K357" t="s">
        <v>55</v>
      </c>
      <c r="L357" s="3">
        <v>46565</v>
      </c>
      <c r="M357" s="3">
        <v>46494</v>
      </c>
      <c r="N357" t="s">
        <v>3040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1658</v>
      </c>
      <c r="C358" t="s">
        <v>1655</v>
      </c>
      <c r="D358" s="3">
        <v>30376</v>
      </c>
      <c r="E358" t="s">
        <v>1386</v>
      </c>
      <c r="F358">
        <v>294</v>
      </c>
      <c r="G358" s="3">
        <v>42933</v>
      </c>
      <c r="H358" t="s">
        <v>1659</v>
      </c>
      <c r="J358" t="s">
        <v>1404</v>
      </c>
      <c r="K358" t="s">
        <v>52</v>
      </c>
      <c r="L358" s="3">
        <v>46515</v>
      </c>
      <c r="M358" s="3">
        <v>46477</v>
      </c>
      <c r="N358" t="s">
        <v>1660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2420</v>
      </c>
      <c r="C359" t="s">
        <v>1354</v>
      </c>
      <c r="D359" s="3">
        <v>30582</v>
      </c>
      <c r="E359" t="s">
        <v>1641</v>
      </c>
      <c r="F359">
        <v>231</v>
      </c>
      <c r="G359" s="3">
        <v>42919</v>
      </c>
      <c r="H359" t="s">
        <v>2421</v>
      </c>
      <c r="I359">
        <v>477594505</v>
      </c>
      <c r="J359" t="s">
        <v>1501</v>
      </c>
      <c r="K359" t="s">
        <v>52</v>
      </c>
      <c r="L359" s="3">
        <v>46537</v>
      </c>
      <c r="M359" s="3">
        <v>46497</v>
      </c>
      <c r="N359" t="s">
        <v>2422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2291</v>
      </c>
      <c r="C360" t="s">
        <v>2292</v>
      </c>
      <c r="D360" s="3">
        <v>28290</v>
      </c>
      <c r="E360" t="s">
        <v>1386</v>
      </c>
      <c r="F360">
        <v>202</v>
      </c>
      <c r="G360" s="3">
        <v>42919</v>
      </c>
      <c r="H360" t="s">
        <v>2293</v>
      </c>
      <c r="J360" t="s">
        <v>1928</v>
      </c>
      <c r="K360" t="s">
        <v>58</v>
      </c>
      <c r="L360" s="3">
        <v>46466</v>
      </c>
      <c r="M360" s="3">
        <v>46460</v>
      </c>
      <c r="N360" t="s">
        <v>2294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2622</v>
      </c>
      <c r="C361" t="s">
        <v>2623</v>
      </c>
      <c r="D361" s="3">
        <v>33354</v>
      </c>
      <c r="E361" t="s">
        <v>1386</v>
      </c>
      <c r="F361">
        <v>223</v>
      </c>
      <c r="G361" s="3">
        <v>42892</v>
      </c>
      <c r="H361" t="s">
        <v>2624</v>
      </c>
      <c r="J361" t="s">
        <v>1573</v>
      </c>
      <c r="K361" t="s">
        <v>67</v>
      </c>
      <c r="L361" s="3">
        <v>46531</v>
      </c>
      <c r="M361" s="3">
        <v>46504</v>
      </c>
      <c r="N361" t="s">
        <v>2625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2239</v>
      </c>
      <c r="C362" t="s">
        <v>2240</v>
      </c>
      <c r="D362" s="3">
        <v>25181</v>
      </c>
      <c r="E362" t="s">
        <v>1386</v>
      </c>
      <c r="F362">
        <v>269</v>
      </c>
      <c r="G362" s="3">
        <v>42877</v>
      </c>
      <c r="H362" t="s">
        <v>2241</v>
      </c>
      <c r="I362" t="s">
        <v>2242</v>
      </c>
      <c r="J362" t="s">
        <v>1404</v>
      </c>
      <c r="K362" t="s">
        <v>52</v>
      </c>
      <c r="L362" s="3">
        <v>46454</v>
      </c>
      <c r="M362" s="3">
        <v>47470</v>
      </c>
      <c r="N362" t="s">
        <v>2243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2480</v>
      </c>
      <c r="C363" t="s">
        <v>1348</v>
      </c>
      <c r="D363" s="3">
        <v>32677</v>
      </c>
      <c r="E363" t="s">
        <v>1386</v>
      </c>
      <c r="F363">
        <v>44</v>
      </c>
      <c r="G363" s="3">
        <v>42877</v>
      </c>
      <c r="H363" t="s">
        <v>2481</v>
      </c>
      <c r="J363" t="s">
        <v>1595</v>
      </c>
      <c r="K363" t="s">
        <v>55</v>
      </c>
      <c r="L363" s="3">
        <v>46461</v>
      </c>
      <c r="M363" s="3">
        <v>46460</v>
      </c>
      <c r="N363" t="s">
        <v>2482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2195</v>
      </c>
      <c r="C364" t="s">
        <v>2196</v>
      </c>
      <c r="D364" s="3">
        <v>34219</v>
      </c>
      <c r="E364" t="s">
        <v>1386</v>
      </c>
      <c r="F364">
        <v>238</v>
      </c>
      <c r="G364" s="3">
        <v>42863</v>
      </c>
      <c r="H364" t="s">
        <v>2197</v>
      </c>
      <c r="J364" t="s">
        <v>1432</v>
      </c>
      <c r="K364" t="s">
        <v>58</v>
      </c>
      <c r="L364" s="3">
        <v>46377</v>
      </c>
      <c r="M364" s="3">
        <v>46369</v>
      </c>
      <c r="N364" t="s">
        <v>2198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2041</v>
      </c>
      <c r="C365" t="s">
        <v>2042</v>
      </c>
      <c r="D365" s="3">
        <v>34483</v>
      </c>
      <c r="E365" t="s">
        <v>1386</v>
      </c>
      <c r="F365">
        <v>111</v>
      </c>
      <c r="G365" s="3">
        <v>42863</v>
      </c>
      <c r="H365" t="s">
        <v>2043</v>
      </c>
      <c r="J365" t="s">
        <v>1611</v>
      </c>
      <c r="K365" t="s">
        <v>58</v>
      </c>
      <c r="L365" s="3">
        <v>46488</v>
      </c>
      <c r="M365" s="3">
        <v>46469</v>
      </c>
      <c r="N365" t="s">
        <v>2044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1868</v>
      </c>
      <c r="C366" t="s">
        <v>1869</v>
      </c>
      <c r="D366" s="3">
        <v>32979</v>
      </c>
      <c r="E366" t="s">
        <v>1386</v>
      </c>
      <c r="F366">
        <v>225</v>
      </c>
      <c r="G366" s="3">
        <v>42843</v>
      </c>
      <c r="H366" t="s">
        <v>1870</v>
      </c>
      <c r="J366" t="s">
        <v>1466</v>
      </c>
      <c r="K366" t="s">
        <v>52</v>
      </c>
      <c r="L366" s="3">
        <v>46434</v>
      </c>
      <c r="M366" s="3">
        <v>46418</v>
      </c>
      <c r="N366" t="s">
        <v>1871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1571</v>
      </c>
      <c r="C367" t="s">
        <v>1558</v>
      </c>
      <c r="D367" s="3">
        <v>32464</v>
      </c>
      <c r="E367" t="s">
        <v>1386</v>
      </c>
      <c r="F367">
        <v>6</v>
      </c>
      <c r="G367" s="3">
        <v>42843</v>
      </c>
      <c r="H367" t="s">
        <v>1572</v>
      </c>
      <c r="J367" t="s">
        <v>1573</v>
      </c>
      <c r="K367" t="s">
        <v>70</v>
      </c>
      <c r="L367" s="3">
        <v>46419</v>
      </c>
      <c r="M367" s="3">
        <v>46418</v>
      </c>
      <c r="N367" t="s">
        <v>1574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1709</v>
      </c>
      <c r="C368" t="s">
        <v>1710</v>
      </c>
      <c r="D368" s="3">
        <v>34332</v>
      </c>
      <c r="E368" t="s">
        <v>1386</v>
      </c>
      <c r="F368">
        <v>248</v>
      </c>
      <c r="G368" s="3">
        <v>42828</v>
      </c>
      <c r="H368" t="s">
        <v>1711</v>
      </c>
      <c r="J368" t="s">
        <v>1573</v>
      </c>
      <c r="K368" t="s">
        <v>52</v>
      </c>
      <c r="L368" s="3">
        <v>46455</v>
      </c>
      <c r="M368" s="3">
        <v>46453</v>
      </c>
      <c r="N368" t="s">
        <v>1712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2085</v>
      </c>
      <c r="C369" t="s">
        <v>2082</v>
      </c>
      <c r="D369" s="3">
        <v>28234</v>
      </c>
      <c r="E369" t="s">
        <v>1641</v>
      </c>
      <c r="F369">
        <v>62</v>
      </c>
      <c r="G369" s="3">
        <v>42758</v>
      </c>
      <c r="H369" t="s">
        <v>2086</v>
      </c>
      <c r="J369" t="s">
        <v>1573</v>
      </c>
      <c r="K369" t="s">
        <v>52</v>
      </c>
      <c r="L369" s="3">
        <v>46330</v>
      </c>
      <c r="M369" s="3">
        <v>46320</v>
      </c>
      <c r="N369" t="s">
        <v>2087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2005</v>
      </c>
      <c r="C370" t="s">
        <v>1999</v>
      </c>
      <c r="D370" s="3">
        <v>28695</v>
      </c>
      <c r="E370" t="s">
        <v>1386</v>
      </c>
      <c r="F370">
        <v>228</v>
      </c>
      <c r="G370" s="3">
        <v>42751</v>
      </c>
      <c r="H370" t="s">
        <v>2006</v>
      </c>
      <c r="J370" t="s">
        <v>1404</v>
      </c>
      <c r="K370" t="s">
        <v>58</v>
      </c>
      <c r="L370" s="3">
        <v>46754</v>
      </c>
      <c r="M370" s="3">
        <v>46960</v>
      </c>
      <c r="N370" t="s">
        <v>2007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2674</v>
      </c>
      <c r="C371" t="s">
        <v>2898</v>
      </c>
      <c r="D371" s="3">
        <v>34227</v>
      </c>
      <c r="E371" t="s">
        <v>1386</v>
      </c>
      <c r="F371">
        <v>229</v>
      </c>
      <c r="G371" s="3">
        <v>42744</v>
      </c>
      <c r="H371" t="s">
        <v>2899</v>
      </c>
      <c r="J371" t="s">
        <v>1573</v>
      </c>
      <c r="K371" t="s">
        <v>52</v>
      </c>
      <c r="L371" s="3">
        <v>46279</v>
      </c>
      <c r="M371" s="3">
        <v>46201</v>
      </c>
      <c r="N371" t="s">
        <v>2900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2986</v>
      </c>
      <c r="C372" t="s">
        <v>2980</v>
      </c>
      <c r="D372" s="3">
        <v>34747</v>
      </c>
      <c r="E372" t="s">
        <v>1386</v>
      </c>
      <c r="F372">
        <v>89</v>
      </c>
      <c r="G372" s="3">
        <v>42674</v>
      </c>
      <c r="H372" t="s">
        <v>2987</v>
      </c>
      <c r="J372" t="s">
        <v>1394</v>
      </c>
      <c r="K372" t="s">
        <v>58</v>
      </c>
      <c r="L372" s="3">
        <v>46263</v>
      </c>
      <c r="M372" s="3">
        <v>46210</v>
      </c>
      <c r="N372" t="s">
        <v>2988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1736</v>
      </c>
      <c r="C373" t="s">
        <v>1737</v>
      </c>
      <c r="D373" s="3">
        <v>27145</v>
      </c>
      <c r="E373" t="s">
        <v>1386</v>
      </c>
      <c r="F373">
        <v>50</v>
      </c>
      <c r="G373" s="3">
        <v>42646</v>
      </c>
      <c r="H373" t="s">
        <v>1738</v>
      </c>
      <c r="J373" t="s">
        <v>1418</v>
      </c>
      <c r="K373" t="s">
        <v>73</v>
      </c>
      <c r="L373" s="3">
        <v>46238</v>
      </c>
      <c r="M373" s="3">
        <v>46210</v>
      </c>
      <c r="N373" t="s">
        <v>1739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2162</v>
      </c>
      <c r="C374" t="s">
        <v>2163</v>
      </c>
      <c r="D374" s="3">
        <v>28226</v>
      </c>
      <c r="E374" t="s">
        <v>1386</v>
      </c>
      <c r="F374">
        <v>33</v>
      </c>
      <c r="G374" s="3">
        <v>42643</v>
      </c>
      <c r="H374" t="s">
        <v>2164</v>
      </c>
      <c r="I374">
        <v>94306073</v>
      </c>
      <c r="J374" t="s">
        <v>1611</v>
      </c>
      <c r="K374" t="s">
        <v>64</v>
      </c>
      <c r="L374" s="3">
        <v>46286</v>
      </c>
      <c r="M374" s="3">
        <v>46187</v>
      </c>
      <c r="N374" t="s">
        <v>2165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2199</v>
      </c>
      <c r="C375" t="s">
        <v>1350</v>
      </c>
      <c r="D375" s="3">
        <v>30190</v>
      </c>
      <c r="E375" t="s">
        <v>1386</v>
      </c>
      <c r="F375">
        <v>13</v>
      </c>
      <c r="G375" s="3">
        <v>42618</v>
      </c>
      <c r="H375" t="s">
        <v>2200</v>
      </c>
      <c r="J375" t="s">
        <v>1418</v>
      </c>
      <c r="K375" t="s">
        <v>70</v>
      </c>
      <c r="L375" s="3">
        <v>46218</v>
      </c>
      <c r="M375" s="3">
        <v>46182</v>
      </c>
      <c r="N375" t="s">
        <v>2201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2064</v>
      </c>
      <c r="C376" t="s">
        <v>2065</v>
      </c>
      <c r="D376" s="3">
        <v>28962</v>
      </c>
      <c r="E376" t="s">
        <v>1386</v>
      </c>
      <c r="F376">
        <v>419</v>
      </c>
      <c r="G376" s="3">
        <v>42604</v>
      </c>
      <c r="H376" t="s">
        <v>2066</v>
      </c>
      <c r="I376">
        <v>486365426</v>
      </c>
      <c r="J376" t="s">
        <v>1418</v>
      </c>
      <c r="K376" t="s">
        <v>58</v>
      </c>
      <c r="L376" s="3">
        <v>46316</v>
      </c>
      <c r="M376" s="3">
        <v>46181</v>
      </c>
      <c r="N376" t="s">
        <v>2067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2467</v>
      </c>
      <c r="C377" t="s">
        <v>2461</v>
      </c>
      <c r="D377" s="3">
        <v>34149</v>
      </c>
      <c r="E377" t="s">
        <v>1386</v>
      </c>
      <c r="F377">
        <v>389</v>
      </c>
      <c r="G377" s="3">
        <v>42604</v>
      </c>
      <c r="H377" t="s">
        <v>2468</v>
      </c>
      <c r="J377" t="s">
        <v>1404</v>
      </c>
      <c r="K377" t="s">
        <v>73</v>
      </c>
      <c r="L377" s="3">
        <v>46081</v>
      </c>
      <c r="M377" s="3">
        <v>46056</v>
      </c>
      <c r="N377" t="s">
        <v>2469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2626</v>
      </c>
      <c r="C378" t="s">
        <v>2627</v>
      </c>
      <c r="D378" s="3">
        <v>32844</v>
      </c>
      <c r="E378" t="s">
        <v>1386</v>
      </c>
      <c r="G378" s="3">
        <v>42562</v>
      </c>
      <c r="H378" t="s">
        <v>2628</v>
      </c>
      <c r="J378" t="s">
        <v>1404</v>
      </c>
      <c r="K378" t="s">
        <v>58</v>
      </c>
      <c r="L378" s="3">
        <v>46159</v>
      </c>
      <c r="M378" s="3">
        <v>46147</v>
      </c>
      <c r="N378" t="s">
        <v>2629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2901</v>
      </c>
      <c r="C379" t="s">
        <v>2898</v>
      </c>
      <c r="D379" s="3">
        <v>29408</v>
      </c>
      <c r="E379" t="s">
        <v>1386</v>
      </c>
      <c r="F379">
        <v>128</v>
      </c>
      <c r="G379" s="3">
        <v>42548</v>
      </c>
      <c r="H379" t="s">
        <v>2902</v>
      </c>
      <c r="J379" t="s">
        <v>1643</v>
      </c>
      <c r="K379" t="s">
        <v>52</v>
      </c>
      <c r="L379" s="3">
        <v>46207</v>
      </c>
      <c r="M379" s="3">
        <v>45935</v>
      </c>
      <c r="N379" t="s">
        <v>2903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2573</v>
      </c>
      <c r="C380" t="s">
        <v>2570</v>
      </c>
      <c r="D380" s="3">
        <v>25679</v>
      </c>
      <c r="E380" t="s">
        <v>1386</v>
      </c>
      <c r="F380">
        <v>187</v>
      </c>
      <c r="G380" s="3">
        <v>42534</v>
      </c>
      <c r="H380" t="s">
        <v>2574</v>
      </c>
      <c r="J380" t="s">
        <v>1501</v>
      </c>
      <c r="K380" t="s">
        <v>70</v>
      </c>
      <c r="L380" s="3">
        <v>46134</v>
      </c>
      <c r="M380" s="3">
        <v>46097</v>
      </c>
      <c r="N380" t="s">
        <v>2575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2026</v>
      </c>
      <c r="C381" t="s">
        <v>2101</v>
      </c>
      <c r="D381" s="3">
        <v>25613</v>
      </c>
      <c r="E381" t="s">
        <v>1386</v>
      </c>
      <c r="F381">
        <v>51</v>
      </c>
      <c r="G381" s="3">
        <v>42429</v>
      </c>
      <c r="H381" t="s">
        <v>2113</v>
      </c>
      <c r="J381" t="s">
        <v>1573</v>
      </c>
      <c r="K381" t="s">
        <v>64</v>
      </c>
      <c r="L381" s="3">
        <v>45966</v>
      </c>
      <c r="M381" s="3">
        <v>45958</v>
      </c>
      <c r="N381" t="s">
        <v>2114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3058</v>
      </c>
      <c r="C382" t="s">
        <v>3059</v>
      </c>
      <c r="D382" s="3">
        <v>27976</v>
      </c>
      <c r="E382" t="s">
        <v>1386</v>
      </c>
      <c r="F382">
        <v>474</v>
      </c>
      <c r="G382" s="3">
        <v>42296</v>
      </c>
      <c r="H382" t="s">
        <v>3060</v>
      </c>
      <c r="I382">
        <v>93845873</v>
      </c>
      <c r="J382" t="s">
        <v>1404</v>
      </c>
      <c r="K382" t="s">
        <v>55</v>
      </c>
      <c r="L382" s="3">
        <v>47602</v>
      </c>
      <c r="M382" s="3">
        <v>47594</v>
      </c>
      <c r="N382" t="s">
        <v>3061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2670</v>
      </c>
      <c r="C383" t="s">
        <v>2671</v>
      </c>
      <c r="D383" s="3">
        <v>34204</v>
      </c>
      <c r="E383" t="s">
        <v>1386</v>
      </c>
      <c r="G383" s="3">
        <v>42296</v>
      </c>
      <c r="H383" t="s">
        <v>2672</v>
      </c>
      <c r="I383">
        <v>0</v>
      </c>
      <c r="J383" t="s">
        <v>1427</v>
      </c>
      <c r="K383" t="s">
        <v>64</v>
      </c>
      <c r="L383" s="3">
        <v>46181</v>
      </c>
      <c r="M383" s="3">
        <v>46105</v>
      </c>
      <c r="N383" t="s">
        <v>2673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1725</v>
      </c>
      <c r="C384" t="s">
        <v>1726</v>
      </c>
      <c r="D384" s="3">
        <v>31065</v>
      </c>
      <c r="E384" t="s">
        <v>1386</v>
      </c>
      <c r="F384">
        <v>369</v>
      </c>
      <c r="G384" s="3">
        <v>42282</v>
      </c>
      <c r="H384" t="s">
        <v>1727</v>
      </c>
      <c r="J384" t="s">
        <v>1466</v>
      </c>
      <c r="K384" t="s">
        <v>52</v>
      </c>
      <c r="L384" s="3">
        <v>73050</v>
      </c>
      <c r="M384" s="3">
        <v>73050</v>
      </c>
      <c r="N384" t="s">
        <v>1728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1948</v>
      </c>
      <c r="C385" t="s">
        <v>2604</v>
      </c>
      <c r="D385" s="3">
        <v>31836</v>
      </c>
      <c r="E385" t="s">
        <v>1386</v>
      </c>
      <c r="F385">
        <v>266</v>
      </c>
      <c r="G385" s="3">
        <v>42268</v>
      </c>
      <c r="H385" t="s">
        <v>2607</v>
      </c>
      <c r="J385" t="s">
        <v>1514</v>
      </c>
      <c r="K385" t="s">
        <v>70</v>
      </c>
      <c r="L385" s="3">
        <v>47576</v>
      </c>
      <c r="M385" s="3">
        <v>47524</v>
      </c>
      <c r="N385" t="s">
        <v>2608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3365</v>
      </c>
      <c r="C386" t="s">
        <v>3366</v>
      </c>
      <c r="D386" s="3">
        <v>22410</v>
      </c>
      <c r="E386" t="s">
        <v>1386</v>
      </c>
      <c r="F386">
        <v>134</v>
      </c>
      <c r="G386" s="3">
        <v>42198</v>
      </c>
      <c r="H386" t="s">
        <v>3367</v>
      </c>
      <c r="I386">
        <v>92280648</v>
      </c>
      <c r="J386" t="s">
        <v>1404</v>
      </c>
      <c r="K386" t="s">
        <v>61</v>
      </c>
      <c r="L386" s="3">
        <v>47533</v>
      </c>
      <c r="M386" s="3">
        <v>47524</v>
      </c>
      <c r="N386" t="s">
        <v>3368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1575</v>
      </c>
      <c r="C387" t="s">
        <v>1558</v>
      </c>
      <c r="D387" s="3">
        <v>24008</v>
      </c>
      <c r="E387" t="s">
        <v>1386</v>
      </c>
      <c r="F387">
        <v>143</v>
      </c>
      <c r="G387" s="3">
        <v>42198</v>
      </c>
      <c r="H387" t="s">
        <v>1576</v>
      </c>
      <c r="J387" t="s">
        <v>1466</v>
      </c>
      <c r="K387" t="s">
        <v>52</v>
      </c>
      <c r="L387" s="3">
        <v>47569</v>
      </c>
      <c r="M387" s="3">
        <v>47517</v>
      </c>
      <c r="N387" t="s">
        <v>1577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2908</v>
      </c>
      <c r="C388" t="s">
        <v>2909</v>
      </c>
      <c r="D388" s="3">
        <v>24617</v>
      </c>
      <c r="E388" t="s">
        <v>1386</v>
      </c>
      <c r="F388">
        <v>346</v>
      </c>
      <c r="G388" s="3">
        <v>42121</v>
      </c>
      <c r="H388" t="s">
        <v>2910</v>
      </c>
      <c r="I388">
        <v>0</v>
      </c>
      <c r="J388" t="s">
        <v>1440</v>
      </c>
      <c r="K388" t="s">
        <v>52</v>
      </c>
      <c r="L388" s="3">
        <v>47614</v>
      </c>
      <c r="M388" s="3">
        <v>47195</v>
      </c>
      <c r="N388" t="s">
        <v>2911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3350</v>
      </c>
      <c r="C389" t="s">
        <v>3351</v>
      </c>
      <c r="D389" s="3">
        <v>32133</v>
      </c>
      <c r="E389" t="s">
        <v>1641</v>
      </c>
      <c r="F389">
        <v>401</v>
      </c>
      <c r="G389" s="3">
        <v>42121</v>
      </c>
      <c r="H389" t="s">
        <v>3352</v>
      </c>
      <c r="J389" t="s">
        <v>1707</v>
      </c>
      <c r="K389" t="s">
        <v>52</v>
      </c>
      <c r="L389" s="3">
        <v>47485</v>
      </c>
      <c r="M389" s="3">
        <v>47470</v>
      </c>
      <c r="N389" t="s">
        <v>3353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2509</v>
      </c>
      <c r="C390" t="s">
        <v>2510</v>
      </c>
      <c r="D390" s="3">
        <v>24404</v>
      </c>
      <c r="E390" t="s">
        <v>1386</v>
      </c>
      <c r="F390">
        <v>173</v>
      </c>
      <c r="G390" s="3">
        <v>42107</v>
      </c>
      <c r="H390" t="s">
        <v>2511</v>
      </c>
      <c r="I390">
        <v>56371827</v>
      </c>
      <c r="J390" t="s">
        <v>1505</v>
      </c>
      <c r="K390" t="s">
        <v>64</v>
      </c>
      <c r="L390" s="3">
        <v>47322</v>
      </c>
      <c r="M390" s="3">
        <v>47306</v>
      </c>
      <c r="N390" t="s">
        <v>2512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3346</v>
      </c>
      <c r="C391" t="s">
        <v>3347</v>
      </c>
      <c r="D391" s="3">
        <v>28476</v>
      </c>
      <c r="E391" t="s">
        <v>1386</v>
      </c>
      <c r="F391">
        <v>70</v>
      </c>
      <c r="G391" s="3">
        <v>42093</v>
      </c>
      <c r="H391" t="s">
        <v>3348</v>
      </c>
      <c r="J391" t="s">
        <v>1404</v>
      </c>
      <c r="K391" t="s">
        <v>55</v>
      </c>
      <c r="L391" s="3">
        <v>47454</v>
      </c>
      <c r="M391" s="3">
        <v>47449</v>
      </c>
      <c r="N391" t="s">
        <v>3349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2823</v>
      </c>
      <c r="C392" t="s">
        <v>2824</v>
      </c>
      <c r="D392" s="3">
        <v>33868</v>
      </c>
      <c r="E392" t="s">
        <v>1386</v>
      </c>
      <c r="G392" s="3">
        <v>42065</v>
      </c>
      <c r="H392" t="s">
        <v>2825</v>
      </c>
      <c r="J392" t="s">
        <v>1394</v>
      </c>
      <c r="K392" t="s">
        <v>52</v>
      </c>
      <c r="L392" s="3">
        <v>47499</v>
      </c>
      <c r="M392" s="3">
        <v>47441</v>
      </c>
      <c r="N392" t="s">
        <v>2826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2014</v>
      </c>
      <c r="C393" t="s">
        <v>2221</v>
      </c>
      <c r="D393" s="3">
        <v>30289</v>
      </c>
      <c r="E393" t="s">
        <v>1386</v>
      </c>
      <c r="F393">
        <v>455</v>
      </c>
      <c r="G393" s="3">
        <v>42051</v>
      </c>
      <c r="H393" t="s">
        <v>2222</v>
      </c>
      <c r="J393" t="s">
        <v>1470</v>
      </c>
      <c r="K393" t="s">
        <v>52</v>
      </c>
      <c r="L393" s="3">
        <v>47471</v>
      </c>
      <c r="M393" s="3">
        <v>47462</v>
      </c>
      <c r="N393" t="s">
        <v>2223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2118</v>
      </c>
      <c r="C394" t="s">
        <v>2119</v>
      </c>
      <c r="D394" s="3">
        <v>33643</v>
      </c>
      <c r="E394" t="s">
        <v>1386</v>
      </c>
      <c r="F394">
        <v>388</v>
      </c>
      <c r="G394" s="3">
        <v>42023</v>
      </c>
      <c r="H394" t="s">
        <v>2120</v>
      </c>
      <c r="J394" t="s">
        <v>1389</v>
      </c>
      <c r="K394" t="s">
        <v>61</v>
      </c>
      <c r="L394" s="3">
        <v>47399</v>
      </c>
      <c r="M394" s="3">
        <v>47369</v>
      </c>
      <c r="N394" t="s">
        <v>2121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2642</v>
      </c>
      <c r="C395" t="s">
        <v>2639</v>
      </c>
      <c r="D395" s="3">
        <v>28532</v>
      </c>
      <c r="E395" t="s">
        <v>1386</v>
      </c>
      <c r="F395">
        <v>330</v>
      </c>
      <c r="G395" s="3">
        <v>41981</v>
      </c>
      <c r="H395" t="s">
        <v>2643</v>
      </c>
      <c r="J395" t="s">
        <v>1501</v>
      </c>
      <c r="K395" t="s">
        <v>73</v>
      </c>
      <c r="L395" s="3">
        <v>47335</v>
      </c>
      <c r="M395" s="3">
        <v>47293</v>
      </c>
      <c r="N395" t="s">
        <v>2644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1640</v>
      </c>
      <c r="C396" t="s">
        <v>1335</v>
      </c>
      <c r="D396" s="3">
        <v>32280</v>
      </c>
      <c r="E396" t="s">
        <v>1641</v>
      </c>
      <c r="F396">
        <v>366</v>
      </c>
      <c r="G396" s="3">
        <v>41981</v>
      </c>
      <c r="H396" t="s">
        <v>1642</v>
      </c>
      <c r="J396" t="s">
        <v>1643</v>
      </c>
      <c r="K396" t="s">
        <v>52</v>
      </c>
      <c r="L396" s="3">
        <v>47341</v>
      </c>
      <c r="M396" s="3">
        <v>47449</v>
      </c>
      <c r="N396" t="s">
        <v>1644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2748</v>
      </c>
      <c r="C397" t="s">
        <v>2749</v>
      </c>
      <c r="D397" s="3">
        <v>21893</v>
      </c>
      <c r="E397" t="s">
        <v>1386</v>
      </c>
      <c r="F397">
        <v>437</v>
      </c>
      <c r="G397" s="3">
        <v>41946</v>
      </c>
      <c r="H397" t="s">
        <v>2750</v>
      </c>
      <c r="J397" t="s">
        <v>1523</v>
      </c>
      <c r="K397" t="s">
        <v>70</v>
      </c>
      <c r="L397" s="3">
        <v>47509</v>
      </c>
      <c r="M397" s="3">
        <v>47460</v>
      </c>
      <c r="N397" t="s">
        <v>2751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3210</v>
      </c>
      <c r="C398" t="s">
        <v>3211</v>
      </c>
      <c r="D398" s="3">
        <v>30968</v>
      </c>
      <c r="E398" t="s">
        <v>1386</v>
      </c>
      <c r="F398">
        <v>436</v>
      </c>
      <c r="G398" s="3">
        <v>41946</v>
      </c>
      <c r="H398" t="s">
        <v>3212</v>
      </c>
      <c r="J398" t="s">
        <v>1643</v>
      </c>
      <c r="K398" t="s">
        <v>73</v>
      </c>
      <c r="L398" s="3">
        <v>47279</v>
      </c>
      <c r="M398" s="3">
        <v>47267</v>
      </c>
      <c r="N398" t="s">
        <v>3213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1755</v>
      </c>
      <c r="C399" t="s">
        <v>1756</v>
      </c>
      <c r="D399" s="3">
        <v>29675</v>
      </c>
      <c r="E399" t="s">
        <v>1386</v>
      </c>
      <c r="F399">
        <v>375</v>
      </c>
      <c r="G399" s="3">
        <v>41904</v>
      </c>
      <c r="H399" t="s">
        <v>1757</v>
      </c>
      <c r="J399" t="s">
        <v>1445</v>
      </c>
      <c r="K399" t="s">
        <v>55</v>
      </c>
      <c r="L399" s="3">
        <v>47427</v>
      </c>
      <c r="M399" s="3">
        <v>47338</v>
      </c>
      <c r="N399" t="s">
        <v>1758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1550</v>
      </c>
      <c r="C400" t="s">
        <v>2887</v>
      </c>
      <c r="D400" s="3">
        <v>29005</v>
      </c>
      <c r="E400" t="s">
        <v>1386</v>
      </c>
      <c r="F400">
        <v>298</v>
      </c>
      <c r="G400" s="3">
        <v>41855</v>
      </c>
      <c r="H400" t="s">
        <v>2888</v>
      </c>
      <c r="J400" t="s">
        <v>1611</v>
      </c>
      <c r="K400" t="s">
        <v>70</v>
      </c>
      <c r="L400" s="3">
        <v>47205</v>
      </c>
      <c r="M400" s="3">
        <v>47195</v>
      </c>
      <c r="N400" t="s">
        <v>2889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2864</v>
      </c>
      <c r="C401" t="s">
        <v>2865</v>
      </c>
      <c r="D401" s="3">
        <v>25391</v>
      </c>
      <c r="E401" t="s">
        <v>1386</v>
      </c>
      <c r="F401">
        <v>339</v>
      </c>
      <c r="G401" s="3">
        <v>41827</v>
      </c>
      <c r="H401" t="s">
        <v>2866</v>
      </c>
      <c r="J401" t="s">
        <v>1404</v>
      </c>
      <c r="K401" t="s">
        <v>55</v>
      </c>
      <c r="L401" s="3">
        <v>47243</v>
      </c>
      <c r="M401" s="3">
        <v>47196</v>
      </c>
      <c r="N401" t="s">
        <v>2867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2989</v>
      </c>
      <c r="C402" t="s">
        <v>2990</v>
      </c>
      <c r="D402" s="3">
        <v>32059</v>
      </c>
      <c r="E402" t="s">
        <v>1386</v>
      </c>
      <c r="F402">
        <v>276</v>
      </c>
      <c r="G402" s="3">
        <v>41827</v>
      </c>
      <c r="H402" t="s">
        <v>2991</v>
      </c>
      <c r="I402" t="s">
        <v>2992</v>
      </c>
      <c r="J402" t="s">
        <v>1573</v>
      </c>
      <c r="K402" t="s">
        <v>70</v>
      </c>
      <c r="L402" s="3">
        <v>47278</v>
      </c>
      <c r="M402" s="3">
        <v>46042</v>
      </c>
      <c r="N402" t="s">
        <v>2993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2385</v>
      </c>
      <c r="C403" t="s">
        <v>2386</v>
      </c>
      <c r="D403" s="3">
        <v>22706</v>
      </c>
      <c r="E403" t="s">
        <v>1386</v>
      </c>
      <c r="F403">
        <v>55</v>
      </c>
      <c r="G403" s="3">
        <v>41771</v>
      </c>
      <c r="H403" t="s">
        <v>2387</v>
      </c>
      <c r="J403" t="s">
        <v>1404</v>
      </c>
      <c r="K403" t="s">
        <v>61</v>
      </c>
      <c r="L403" s="3">
        <v>45543</v>
      </c>
      <c r="M403" s="3">
        <v>45306</v>
      </c>
      <c r="N403" t="s">
        <v>2388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2026</v>
      </c>
      <c r="C404" t="s">
        <v>2027</v>
      </c>
      <c r="D404" s="3">
        <v>30034</v>
      </c>
      <c r="E404" t="s">
        <v>1386</v>
      </c>
      <c r="F404">
        <v>144</v>
      </c>
      <c r="G404" s="3">
        <v>41743</v>
      </c>
      <c r="H404" t="s">
        <v>2028</v>
      </c>
      <c r="J404" t="s">
        <v>1643</v>
      </c>
      <c r="K404" t="s">
        <v>55</v>
      </c>
      <c r="L404" s="3">
        <v>47216</v>
      </c>
      <c r="M404" s="3">
        <v>47195</v>
      </c>
      <c r="N404" t="s">
        <v>2029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3239</v>
      </c>
      <c r="C405" t="s">
        <v>3240</v>
      </c>
      <c r="D405" s="3">
        <v>33067</v>
      </c>
      <c r="E405" t="s">
        <v>1386</v>
      </c>
      <c r="F405">
        <v>241</v>
      </c>
      <c r="G405" s="3">
        <v>41722</v>
      </c>
      <c r="H405" t="s">
        <v>3241</v>
      </c>
      <c r="J405" t="s">
        <v>1505</v>
      </c>
      <c r="K405" t="s">
        <v>61</v>
      </c>
      <c r="L405" s="3">
        <v>47135</v>
      </c>
      <c r="M405" s="3">
        <v>47051</v>
      </c>
      <c r="N405" t="s">
        <v>3242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2052</v>
      </c>
      <c r="C406" t="s">
        <v>2053</v>
      </c>
      <c r="D406" s="3">
        <v>29494</v>
      </c>
      <c r="E406" t="s">
        <v>1386</v>
      </c>
      <c r="F406">
        <v>619</v>
      </c>
      <c r="G406" s="3">
        <v>41722</v>
      </c>
      <c r="H406" t="s">
        <v>2054</v>
      </c>
      <c r="J406" t="s">
        <v>1501</v>
      </c>
      <c r="K406" t="s">
        <v>61</v>
      </c>
      <c r="L406" s="3">
        <v>47108</v>
      </c>
      <c r="M406" s="3">
        <v>47034</v>
      </c>
      <c r="N406" t="s">
        <v>2055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2957</v>
      </c>
      <c r="C407" t="s">
        <v>1337</v>
      </c>
      <c r="D407" s="3">
        <v>27974</v>
      </c>
      <c r="E407" t="s">
        <v>1386</v>
      </c>
      <c r="F407">
        <v>652</v>
      </c>
      <c r="G407" s="3">
        <v>41708</v>
      </c>
      <c r="H407" t="s">
        <v>2958</v>
      </c>
      <c r="J407" t="s">
        <v>1611</v>
      </c>
      <c r="K407" t="s">
        <v>55</v>
      </c>
      <c r="L407" s="3">
        <v>47643</v>
      </c>
      <c r="M407" s="3">
        <v>46974</v>
      </c>
      <c r="N407" t="s">
        <v>2959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2068</v>
      </c>
      <c r="C408" t="s">
        <v>2069</v>
      </c>
      <c r="D408" s="3">
        <v>31809</v>
      </c>
      <c r="E408" t="s">
        <v>1386</v>
      </c>
      <c r="F408">
        <v>41</v>
      </c>
      <c r="G408" s="3">
        <v>41701</v>
      </c>
      <c r="H408" t="s">
        <v>2070</v>
      </c>
      <c r="J408" t="s">
        <v>1573</v>
      </c>
      <c r="K408" t="s">
        <v>73</v>
      </c>
      <c r="L408" s="3">
        <v>47128</v>
      </c>
      <c r="M408" s="3">
        <v>47077</v>
      </c>
      <c r="N408" t="s">
        <v>2071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2166</v>
      </c>
      <c r="C409" t="s">
        <v>2167</v>
      </c>
      <c r="D409" s="3">
        <v>27642</v>
      </c>
      <c r="E409" t="s">
        <v>1386</v>
      </c>
      <c r="F409">
        <v>17</v>
      </c>
      <c r="G409" s="3">
        <v>41680</v>
      </c>
      <c r="H409" t="s">
        <v>2168</v>
      </c>
      <c r="J409" t="s">
        <v>1573</v>
      </c>
      <c r="K409" t="s">
        <v>73</v>
      </c>
      <c r="L409" s="3">
        <v>47174</v>
      </c>
      <c r="M409" s="3">
        <v>47615</v>
      </c>
      <c r="N409" t="s">
        <v>2169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2682</v>
      </c>
      <c r="C410" t="s">
        <v>1337</v>
      </c>
      <c r="D410" s="3">
        <v>27229</v>
      </c>
      <c r="E410" t="s">
        <v>1386</v>
      </c>
      <c r="F410">
        <v>25</v>
      </c>
      <c r="G410" s="3">
        <v>41659</v>
      </c>
      <c r="H410" t="s">
        <v>2955</v>
      </c>
      <c r="J410" t="s">
        <v>1418</v>
      </c>
      <c r="K410" t="s">
        <v>73</v>
      </c>
      <c r="L410" s="3">
        <v>46859</v>
      </c>
      <c r="M410" s="3">
        <v>46853</v>
      </c>
      <c r="N410" t="s">
        <v>2956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1872</v>
      </c>
      <c r="C411" t="s">
        <v>1873</v>
      </c>
      <c r="D411" s="3">
        <v>28385</v>
      </c>
      <c r="E411" t="s">
        <v>1386</v>
      </c>
      <c r="F411">
        <v>184</v>
      </c>
      <c r="G411" s="3">
        <v>41617</v>
      </c>
      <c r="H411" t="s">
        <v>1874</v>
      </c>
      <c r="I411">
        <v>92315307</v>
      </c>
      <c r="J411" t="s">
        <v>1611</v>
      </c>
      <c r="K411" t="s">
        <v>58</v>
      </c>
      <c r="L411" s="3">
        <v>47034</v>
      </c>
      <c r="M411" s="3">
        <v>46925</v>
      </c>
      <c r="N411" t="s">
        <v>1875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1547</v>
      </c>
      <c r="C412" t="s">
        <v>2402</v>
      </c>
      <c r="D412" s="3">
        <v>25640</v>
      </c>
      <c r="E412" t="s">
        <v>1386</v>
      </c>
      <c r="F412">
        <v>3</v>
      </c>
      <c r="G412" s="3">
        <v>41421</v>
      </c>
      <c r="H412" t="s">
        <v>2408</v>
      </c>
      <c r="I412">
        <v>55427502</v>
      </c>
      <c r="J412" t="s">
        <v>1707</v>
      </c>
      <c r="K412" t="s">
        <v>70</v>
      </c>
      <c r="L412" s="3">
        <v>46777</v>
      </c>
      <c r="M412" s="3">
        <v>46763</v>
      </c>
      <c r="N412" t="s">
        <v>2409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2393</v>
      </c>
      <c r="C413" t="s">
        <v>2394</v>
      </c>
      <c r="D413" s="3">
        <v>25585</v>
      </c>
      <c r="E413" t="s">
        <v>1386</v>
      </c>
      <c r="F413">
        <v>179</v>
      </c>
      <c r="G413" s="3">
        <v>41372</v>
      </c>
      <c r="H413" t="s">
        <v>2395</v>
      </c>
      <c r="J413" t="s">
        <v>1505</v>
      </c>
      <c r="K413" t="s">
        <v>73</v>
      </c>
      <c r="L413" s="3">
        <v>46877</v>
      </c>
      <c r="M413" s="3">
        <v>47083</v>
      </c>
      <c r="N413" t="s">
        <v>2396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1781</v>
      </c>
      <c r="C414" t="s">
        <v>1782</v>
      </c>
      <c r="D414" s="3">
        <v>30399</v>
      </c>
      <c r="E414" t="s">
        <v>1386</v>
      </c>
      <c r="F414">
        <v>602</v>
      </c>
      <c r="G414" s="3">
        <v>41372</v>
      </c>
      <c r="H414" t="s">
        <v>1783</v>
      </c>
      <c r="J414" t="s">
        <v>1643</v>
      </c>
      <c r="K414" t="s">
        <v>70</v>
      </c>
      <c r="L414" s="3">
        <v>46817</v>
      </c>
      <c r="M414" s="3">
        <v>46735</v>
      </c>
      <c r="N414" t="s">
        <v>1784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2389</v>
      </c>
      <c r="C415" t="s">
        <v>2390</v>
      </c>
      <c r="D415" s="3">
        <v>25648</v>
      </c>
      <c r="E415" t="s">
        <v>1386</v>
      </c>
      <c r="F415">
        <v>221</v>
      </c>
      <c r="G415" s="3">
        <v>41313</v>
      </c>
      <c r="H415" t="s">
        <v>2391</v>
      </c>
      <c r="J415" t="s">
        <v>1466</v>
      </c>
      <c r="K415" t="s">
        <v>70</v>
      </c>
      <c r="L415" s="3">
        <v>46166</v>
      </c>
      <c r="M415" s="3">
        <v>47135</v>
      </c>
      <c r="N415" t="s">
        <v>2392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2202</v>
      </c>
      <c r="C416" t="s">
        <v>2203</v>
      </c>
      <c r="D416" s="3">
        <v>24757</v>
      </c>
      <c r="E416" t="s">
        <v>1386</v>
      </c>
      <c r="F416">
        <v>96</v>
      </c>
      <c r="G416" s="3">
        <v>41253</v>
      </c>
      <c r="H416" t="s">
        <v>2204</v>
      </c>
      <c r="J416" t="s">
        <v>1466</v>
      </c>
      <c r="K416" t="s">
        <v>70</v>
      </c>
      <c r="L416" s="3">
        <v>46735</v>
      </c>
      <c r="M416" s="3">
        <v>46254</v>
      </c>
      <c r="N416" t="s">
        <v>2205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3290</v>
      </c>
      <c r="C417" t="s">
        <v>1358</v>
      </c>
      <c r="D417" s="3">
        <v>25474</v>
      </c>
      <c r="E417" t="s">
        <v>1386</v>
      </c>
      <c r="F417">
        <v>77</v>
      </c>
      <c r="G417" s="3">
        <v>41218</v>
      </c>
      <c r="H417" t="s">
        <v>3291</v>
      </c>
      <c r="J417" t="s">
        <v>1466</v>
      </c>
      <c r="K417" t="s">
        <v>70</v>
      </c>
      <c r="L417" s="3">
        <v>46601</v>
      </c>
      <c r="M417" s="3">
        <v>46593</v>
      </c>
      <c r="N417" t="s">
        <v>3292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3081</v>
      </c>
      <c r="C418" t="s">
        <v>2413</v>
      </c>
      <c r="D418" s="3">
        <v>27392</v>
      </c>
      <c r="E418" t="s">
        <v>1386</v>
      </c>
      <c r="F418">
        <v>379</v>
      </c>
      <c r="G418" s="3">
        <v>41218</v>
      </c>
      <c r="H418" t="s">
        <v>3082</v>
      </c>
      <c r="I418">
        <v>93286345</v>
      </c>
      <c r="J418" t="s">
        <v>1440</v>
      </c>
      <c r="K418" t="s">
        <v>61</v>
      </c>
      <c r="L418" s="3">
        <v>46475</v>
      </c>
      <c r="M418" s="3">
        <v>46427</v>
      </c>
      <c r="N418" t="s">
        <v>3083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2434</v>
      </c>
      <c r="C419" t="s">
        <v>2435</v>
      </c>
      <c r="D419" s="3">
        <v>27365</v>
      </c>
      <c r="E419" t="s">
        <v>1386</v>
      </c>
      <c r="F419">
        <v>315</v>
      </c>
      <c r="G419" s="3">
        <v>41204</v>
      </c>
      <c r="H419" t="s">
        <v>2436</v>
      </c>
      <c r="J419" t="s">
        <v>1466</v>
      </c>
      <c r="K419" t="s">
        <v>61</v>
      </c>
      <c r="L419" s="3">
        <v>46505</v>
      </c>
      <c r="M419" s="3">
        <v>46497</v>
      </c>
      <c r="N419" t="s">
        <v>2437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1520</v>
      </c>
      <c r="C420" t="s">
        <v>1521</v>
      </c>
      <c r="D420" s="3">
        <v>31877</v>
      </c>
      <c r="E420" t="s">
        <v>1386</v>
      </c>
      <c r="F420">
        <v>199</v>
      </c>
      <c r="G420" s="3">
        <v>41204</v>
      </c>
      <c r="H420" t="s">
        <v>1522</v>
      </c>
      <c r="J420" t="s">
        <v>1523</v>
      </c>
      <c r="K420" t="s">
        <v>67</v>
      </c>
      <c r="L420" s="3">
        <v>72686</v>
      </c>
      <c r="M420" s="3">
        <v>46476</v>
      </c>
      <c r="N420" t="s">
        <v>1524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3119</v>
      </c>
      <c r="C421" t="s">
        <v>3120</v>
      </c>
      <c r="D421" s="3">
        <v>31904</v>
      </c>
      <c r="E421" t="s">
        <v>1386</v>
      </c>
      <c r="F421">
        <v>363</v>
      </c>
      <c r="G421" s="3">
        <v>41176</v>
      </c>
      <c r="H421" t="s">
        <v>3121</v>
      </c>
      <c r="J421" t="s">
        <v>1394</v>
      </c>
      <c r="K421" t="s">
        <v>64</v>
      </c>
      <c r="L421" s="3">
        <v>46523</v>
      </c>
      <c r="M421" s="3">
        <v>46466</v>
      </c>
      <c r="N421" t="s">
        <v>3122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2844</v>
      </c>
      <c r="C422" t="s">
        <v>2845</v>
      </c>
      <c r="D422" s="3">
        <v>29887</v>
      </c>
      <c r="E422" t="s">
        <v>1386</v>
      </c>
      <c r="F422">
        <v>277</v>
      </c>
      <c r="G422" s="3">
        <v>41141</v>
      </c>
      <c r="H422" t="s">
        <v>2846</v>
      </c>
      <c r="J422" t="s">
        <v>1466</v>
      </c>
      <c r="K422" t="s">
        <v>64</v>
      </c>
      <c r="L422" s="3">
        <v>72686</v>
      </c>
      <c r="M422" s="3">
        <v>46621</v>
      </c>
      <c r="N422" t="s">
        <v>2847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2576</v>
      </c>
      <c r="C423" t="s">
        <v>2570</v>
      </c>
      <c r="D423" s="3">
        <v>25646</v>
      </c>
      <c r="E423" t="s">
        <v>1386</v>
      </c>
      <c r="F423">
        <v>72</v>
      </c>
      <c r="G423" s="3">
        <v>41113</v>
      </c>
      <c r="H423" t="s">
        <v>2577</v>
      </c>
      <c r="J423" t="s">
        <v>1466</v>
      </c>
      <c r="K423" t="s">
        <v>61</v>
      </c>
      <c r="L423" s="3">
        <v>1</v>
      </c>
      <c r="M423" s="3">
        <v>46427</v>
      </c>
      <c r="N423" t="s">
        <v>2578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1645</v>
      </c>
      <c r="C424" t="s">
        <v>1335</v>
      </c>
      <c r="D424" s="3">
        <v>23065</v>
      </c>
      <c r="E424" t="s">
        <v>1386</v>
      </c>
      <c r="F424">
        <v>175</v>
      </c>
      <c r="G424" s="3">
        <v>40973</v>
      </c>
      <c r="H424" t="s">
        <v>1646</v>
      </c>
      <c r="J424" t="s">
        <v>1404</v>
      </c>
      <c r="K424" t="s">
        <v>70</v>
      </c>
      <c r="L424" s="3">
        <v>46960</v>
      </c>
      <c r="M424" s="3">
        <v>46210</v>
      </c>
      <c r="N424" t="s">
        <v>1647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2904</v>
      </c>
      <c r="C425" t="s">
        <v>2905</v>
      </c>
      <c r="D425" s="3">
        <v>27314</v>
      </c>
      <c r="E425" t="s">
        <v>1386</v>
      </c>
      <c r="G425" s="3">
        <v>40959</v>
      </c>
      <c r="H425" t="s">
        <v>2906</v>
      </c>
      <c r="J425" t="s">
        <v>1394</v>
      </c>
      <c r="K425" t="s">
        <v>61</v>
      </c>
      <c r="L425" s="3">
        <v>46272</v>
      </c>
      <c r="M425" s="3">
        <v>46266</v>
      </c>
      <c r="N425" t="s">
        <v>2907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1608</v>
      </c>
      <c r="C426" t="s">
        <v>1609</v>
      </c>
      <c r="D426" s="3">
        <v>32853</v>
      </c>
      <c r="E426" t="s">
        <v>1386</v>
      </c>
      <c r="F426">
        <v>648</v>
      </c>
      <c r="G426" s="3">
        <v>40952</v>
      </c>
      <c r="H426" t="s">
        <v>1610</v>
      </c>
      <c r="J426" t="s">
        <v>1611</v>
      </c>
      <c r="K426" t="s">
        <v>61</v>
      </c>
      <c r="L426" s="3">
        <v>46330</v>
      </c>
      <c r="M426" s="3">
        <v>46316</v>
      </c>
      <c r="N426" t="s">
        <v>1612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1401</v>
      </c>
      <c r="C427" t="s">
        <v>2156</v>
      </c>
      <c r="D427" s="3">
        <v>32970</v>
      </c>
      <c r="E427" t="s">
        <v>1386</v>
      </c>
      <c r="F427">
        <v>411</v>
      </c>
      <c r="G427" s="3">
        <v>40861</v>
      </c>
      <c r="I427">
        <v>485002480</v>
      </c>
      <c r="J427" t="s">
        <v>1643</v>
      </c>
      <c r="K427" t="s">
        <v>58</v>
      </c>
      <c r="L427" s="3">
        <v>45952</v>
      </c>
      <c r="M427" s="3">
        <v>45944</v>
      </c>
      <c r="N427" t="s">
        <v>2157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2049</v>
      </c>
      <c r="C428" t="s">
        <v>2046</v>
      </c>
      <c r="D428" s="3">
        <v>25346</v>
      </c>
      <c r="E428" t="s">
        <v>1386</v>
      </c>
      <c r="F428">
        <v>39</v>
      </c>
      <c r="G428" s="3">
        <v>40861</v>
      </c>
      <c r="H428" t="s">
        <v>2050</v>
      </c>
      <c r="J428" t="s">
        <v>1707</v>
      </c>
      <c r="K428" t="s">
        <v>52</v>
      </c>
      <c r="L428" s="3">
        <v>46259</v>
      </c>
      <c r="M428" s="3">
        <v>46210</v>
      </c>
      <c r="N428" t="s">
        <v>2051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2576</v>
      </c>
      <c r="C429" t="s">
        <v>2413</v>
      </c>
      <c r="D429" s="3">
        <v>25315</v>
      </c>
      <c r="E429" t="s">
        <v>1386</v>
      </c>
      <c r="F429">
        <v>245</v>
      </c>
      <c r="G429" s="3">
        <v>40826</v>
      </c>
      <c r="H429" t="s">
        <v>3084</v>
      </c>
      <c r="J429" t="s">
        <v>1466</v>
      </c>
      <c r="K429" t="s">
        <v>55</v>
      </c>
      <c r="L429" s="3">
        <v>72686</v>
      </c>
      <c r="M429" s="3">
        <v>46266</v>
      </c>
      <c r="N429" t="s">
        <v>3085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2819</v>
      </c>
      <c r="C430" t="s">
        <v>2820</v>
      </c>
      <c r="D430" s="3">
        <v>24034</v>
      </c>
      <c r="E430" t="s">
        <v>1386</v>
      </c>
      <c r="F430">
        <v>203</v>
      </c>
      <c r="G430" s="3">
        <v>40812</v>
      </c>
      <c r="H430" t="s">
        <v>2821</v>
      </c>
      <c r="I430">
        <v>93348063</v>
      </c>
      <c r="J430" t="s">
        <v>1643</v>
      </c>
      <c r="K430" t="s">
        <v>73</v>
      </c>
      <c r="L430" s="3">
        <v>46870</v>
      </c>
      <c r="M430" s="3">
        <v>46862</v>
      </c>
      <c r="N430" t="s">
        <v>2822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2191</v>
      </c>
      <c r="C431" t="s">
        <v>2192</v>
      </c>
      <c r="D431" s="3">
        <v>31035</v>
      </c>
      <c r="E431" t="s">
        <v>1386</v>
      </c>
      <c r="F431">
        <v>119</v>
      </c>
      <c r="G431" s="3">
        <v>40771</v>
      </c>
      <c r="H431" t="s">
        <v>2193</v>
      </c>
      <c r="J431" t="s">
        <v>1505</v>
      </c>
      <c r="K431" t="s">
        <v>61</v>
      </c>
      <c r="L431" s="3">
        <v>46085</v>
      </c>
      <c r="M431" s="3">
        <v>46028</v>
      </c>
      <c r="N431" t="s">
        <v>2194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1498</v>
      </c>
      <c r="C432" t="s">
        <v>1499</v>
      </c>
      <c r="D432" s="3">
        <v>26831</v>
      </c>
      <c r="E432" t="s">
        <v>1386</v>
      </c>
      <c r="F432">
        <v>644</v>
      </c>
      <c r="G432" s="3">
        <v>40749</v>
      </c>
      <c r="H432" t="s">
        <v>1500</v>
      </c>
      <c r="J432" t="s">
        <v>1501</v>
      </c>
      <c r="K432" t="s">
        <v>64</v>
      </c>
      <c r="L432" s="3">
        <v>46802</v>
      </c>
      <c r="M432" s="3">
        <v>46763</v>
      </c>
      <c r="N432" t="s">
        <v>1502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2831</v>
      </c>
      <c r="C433" t="s">
        <v>2828</v>
      </c>
      <c r="D433" s="3">
        <v>27001</v>
      </c>
      <c r="E433" t="s">
        <v>1386</v>
      </c>
      <c r="F433">
        <v>211</v>
      </c>
      <c r="G433" s="3">
        <v>40749</v>
      </c>
      <c r="H433" t="s">
        <v>2832</v>
      </c>
      <c r="J433" t="s">
        <v>1555</v>
      </c>
      <c r="K433" t="s">
        <v>52</v>
      </c>
      <c r="L433" s="3">
        <v>46175</v>
      </c>
      <c r="M433" s="3">
        <v>45996</v>
      </c>
      <c r="N433" t="s">
        <v>2833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1998</v>
      </c>
      <c r="C434" t="s">
        <v>3124</v>
      </c>
      <c r="D434" s="3">
        <v>32548</v>
      </c>
      <c r="E434" t="s">
        <v>1386</v>
      </c>
      <c r="F434">
        <v>322</v>
      </c>
      <c r="G434" s="3">
        <v>40728</v>
      </c>
      <c r="H434" t="s">
        <v>3127</v>
      </c>
      <c r="J434" t="s">
        <v>1523</v>
      </c>
      <c r="K434" t="s">
        <v>58</v>
      </c>
      <c r="L434" s="3">
        <v>72686</v>
      </c>
      <c r="M434" s="3">
        <v>46201</v>
      </c>
      <c r="N434" t="s">
        <v>3128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2170</v>
      </c>
      <c r="C435" t="s">
        <v>2171</v>
      </c>
      <c r="D435" s="3">
        <v>32073</v>
      </c>
      <c r="E435" t="s">
        <v>1386</v>
      </c>
      <c r="F435">
        <v>307</v>
      </c>
      <c r="G435" s="3">
        <v>40728</v>
      </c>
      <c r="H435" t="s">
        <v>2172</v>
      </c>
      <c r="J435" t="s">
        <v>1466</v>
      </c>
      <c r="K435" t="s">
        <v>58</v>
      </c>
      <c r="L435" s="3">
        <v>72686</v>
      </c>
      <c r="M435" s="3">
        <v>47135</v>
      </c>
      <c r="N435" t="s">
        <v>2173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1648</v>
      </c>
      <c r="C436" t="s">
        <v>1335</v>
      </c>
      <c r="D436" s="3">
        <v>28045</v>
      </c>
      <c r="E436" t="s">
        <v>1386</v>
      </c>
      <c r="F436">
        <v>54</v>
      </c>
      <c r="G436" s="3">
        <v>40700</v>
      </c>
      <c r="H436" t="s">
        <v>1649</v>
      </c>
      <c r="J436" t="s">
        <v>1509</v>
      </c>
      <c r="K436" t="s">
        <v>70</v>
      </c>
      <c r="L436" s="3">
        <v>46230</v>
      </c>
      <c r="M436" s="3">
        <v>46097</v>
      </c>
      <c r="N436" t="s">
        <v>1650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2358</v>
      </c>
      <c r="C437" t="s">
        <v>2359</v>
      </c>
      <c r="D437" s="3">
        <v>23313</v>
      </c>
      <c r="E437" t="s">
        <v>1386</v>
      </c>
      <c r="F437">
        <v>257</v>
      </c>
      <c r="G437" s="3">
        <v>40679</v>
      </c>
      <c r="H437" t="s">
        <v>2360</v>
      </c>
      <c r="J437" t="s">
        <v>1523</v>
      </c>
      <c r="K437" t="s">
        <v>58</v>
      </c>
      <c r="L437" s="3">
        <v>72686</v>
      </c>
      <c r="M437" s="3">
        <v>46140</v>
      </c>
      <c r="N437" t="s">
        <v>2361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2008</v>
      </c>
      <c r="C438" t="s">
        <v>1999</v>
      </c>
      <c r="D438" s="3">
        <v>23837</v>
      </c>
      <c r="E438" t="s">
        <v>1386</v>
      </c>
      <c r="F438">
        <v>511</v>
      </c>
      <c r="G438" s="3">
        <v>40679</v>
      </c>
      <c r="H438" t="s">
        <v>2009</v>
      </c>
      <c r="J438" t="s">
        <v>1611</v>
      </c>
      <c r="K438" t="s">
        <v>55</v>
      </c>
      <c r="L438" s="3">
        <v>46162</v>
      </c>
      <c r="M438" s="3">
        <v>47337</v>
      </c>
      <c r="N438" t="s">
        <v>2010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2104</v>
      </c>
      <c r="C439" t="s">
        <v>2122</v>
      </c>
      <c r="D439" s="3">
        <v>31706</v>
      </c>
      <c r="E439" t="s">
        <v>1386</v>
      </c>
      <c r="F439">
        <v>36</v>
      </c>
      <c r="G439" s="3">
        <v>40658</v>
      </c>
      <c r="H439" t="s">
        <v>2123</v>
      </c>
      <c r="J439" t="s">
        <v>1462</v>
      </c>
      <c r="K439" t="s">
        <v>58</v>
      </c>
      <c r="L439" s="3">
        <v>72686</v>
      </c>
      <c r="M439" s="3">
        <v>46838</v>
      </c>
      <c r="N439" t="s">
        <v>2124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3106</v>
      </c>
      <c r="C440" t="s">
        <v>3100</v>
      </c>
      <c r="D440" s="3">
        <v>24341</v>
      </c>
      <c r="E440" t="s">
        <v>1386</v>
      </c>
      <c r="F440">
        <v>27</v>
      </c>
      <c r="G440" s="3">
        <v>40658</v>
      </c>
      <c r="H440" t="s">
        <v>3107</v>
      </c>
      <c r="J440" t="s">
        <v>1412</v>
      </c>
      <c r="K440" t="s">
        <v>61</v>
      </c>
      <c r="L440" s="3">
        <v>47575</v>
      </c>
      <c r="M440" s="3">
        <v>47197</v>
      </c>
      <c r="N440" t="s">
        <v>3108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2868</v>
      </c>
      <c r="C441" t="s">
        <v>2865</v>
      </c>
      <c r="D441" s="3">
        <v>23749</v>
      </c>
      <c r="E441" t="s">
        <v>1386</v>
      </c>
      <c r="F441">
        <v>109</v>
      </c>
      <c r="G441" s="3">
        <v>40637</v>
      </c>
      <c r="H441" t="s">
        <v>2869</v>
      </c>
      <c r="I441">
        <v>92257858</v>
      </c>
      <c r="J441" t="s">
        <v>1412</v>
      </c>
      <c r="K441" t="s">
        <v>58</v>
      </c>
      <c r="L441" s="3">
        <v>72686</v>
      </c>
      <c r="M441" s="3">
        <v>46210</v>
      </c>
      <c r="N441" t="s">
        <v>2870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1651</v>
      </c>
      <c r="C442" t="s">
        <v>1335</v>
      </c>
      <c r="D442" s="3">
        <v>28199</v>
      </c>
      <c r="E442" t="s">
        <v>1386</v>
      </c>
      <c r="F442">
        <v>615</v>
      </c>
      <c r="G442" s="3">
        <v>40637</v>
      </c>
      <c r="H442" t="s">
        <v>1652</v>
      </c>
      <c r="J442" t="s">
        <v>1418</v>
      </c>
      <c r="K442" t="s">
        <v>64</v>
      </c>
      <c r="L442" s="3">
        <v>45993</v>
      </c>
      <c r="M442" s="3">
        <v>47408</v>
      </c>
      <c r="N442" t="s">
        <v>1653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1994</v>
      </c>
      <c r="C443" t="s">
        <v>1995</v>
      </c>
      <c r="D443" s="3">
        <v>25815</v>
      </c>
      <c r="E443" t="s">
        <v>1386</v>
      </c>
      <c r="F443">
        <v>8</v>
      </c>
      <c r="G443" s="3">
        <v>40637</v>
      </c>
      <c r="H443" t="s">
        <v>1996</v>
      </c>
      <c r="J443" t="s">
        <v>1462</v>
      </c>
      <c r="K443" t="s">
        <v>61</v>
      </c>
      <c r="L443" s="3">
        <v>46043</v>
      </c>
      <c r="M443" s="3">
        <v>46014</v>
      </c>
      <c r="N443" t="s">
        <v>1997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1853</v>
      </c>
      <c r="C444" t="s">
        <v>1850</v>
      </c>
      <c r="D444" s="3">
        <v>22939</v>
      </c>
      <c r="E444" t="s">
        <v>1386</v>
      </c>
      <c r="F444">
        <v>61</v>
      </c>
      <c r="G444" s="3">
        <v>40623</v>
      </c>
      <c r="H444" t="s">
        <v>1854</v>
      </c>
      <c r="J444" t="s">
        <v>1466</v>
      </c>
      <c r="K444" t="s">
        <v>67</v>
      </c>
      <c r="L444" s="3">
        <v>45948</v>
      </c>
      <c r="M444" s="3">
        <v>46046</v>
      </c>
      <c r="N444" t="s">
        <v>1855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2599</v>
      </c>
      <c r="C445" t="s">
        <v>2600</v>
      </c>
      <c r="D445" s="3">
        <v>31566</v>
      </c>
      <c r="E445" t="s">
        <v>1386</v>
      </c>
      <c r="F445">
        <v>207</v>
      </c>
      <c r="G445" s="3">
        <v>40602</v>
      </c>
      <c r="H445" t="s">
        <v>2601</v>
      </c>
      <c r="J445" t="s">
        <v>1418</v>
      </c>
      <c r="K445" t="s">
        <v>70</v>
      </c>
      <c r="L445" s="3">
        <v>47548</v>
      </c>
      <c r="M445" s="3">
        <v>47533</v>
      </c>
      <c r="N445" t="s">
        <v>2602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2284</v>
      </c>
      <c r="C446" t="s">
        <v>2285</v>
      </c>
      <c r="D446" s="3">
        <v>27418</v>
      </c>
      <c r="E446" t="s">
        <v>1386</v>
      </c>
      <c r="F446">
        <v>138</v>
      </c>
      <c r="G446" s="3">
        <v>40567</v>
      </c>
      <c r="H446" t="s">
        <v>2286</v>
      </c>
      <c r="J446" t="s">
        <v>1427</v>
      </c>
      <c r="K446" t="s">
        <v>70</v>
      </c>
      <c r="L446" s="3">
        <v>46063</v>
      </c>
      <c r="M446" s="3">
        <v>46497</v>
      </c>
      <c r="N446" t="s">
        <v>2287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3195</v>
      </c>
      <c r="C447" t="s">
        <v>3189</v>
      </c>
      <c r="D447" s="3">
        <v>27364</v>
      </c>
      <c r="E447" t="s">
        <v>1386</v>
      </c>
      <c r="F447">
        <v>137</v>
      </c>
      <c r="G447" s="3">
        <v>40567</v>
      </c>
      <c r="H447" t="s">
        <v>3196</v>
      </c>
      <c r="J447" t="s">
        <v>1427</v>
      </c>
      <c r="K447" t="s">
        <v>61</v>
      </c>
      <c r="L447" s="3">
        <v>47712</v>
      </c>
      <c r="M447" s="3">
        <v>47700</v>
      </c>
      <c r="N447" t="s">
        <v>3197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2034</v>
      </c>
      <c r="C448" t="s">
        <v>2031</v>
      </c>
      <c r="D448" s="3">
        <v>29202</v>
      </c>
      <c r="E448" t="s">
        <v>1386</v>
      </c>
      <c r="F448">
        <v>105</v>
      </c>
      <c r="G448" s="3">
        <v>40525</v>
      </c>
      <c r="H448" t="s">
        <v>2035</v>
      </c>
      <c r="J448" t="s">
        <v>1643</v>
      </c>
      <c r="K448" t="s">
        <v>58</v>
      </c>
      <c r="L448" s="3">
        <v>45922</v>
      </c>
      <c r="M448" s="3">
        <v>45916</v>
      </c>
      <c r="N448" t="s">
        <v>2036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2854</v>
      </c>
      <c r="C449" t="s">
        <v>2855</v>
      </c>
      <c r="D449" s="3">
        <v>29751</v>
      </c>
      <c r="E449" t="s">
        <v>1386</v>
      </c>
      <c r="F449">
        <v>617</v>
      </c>
      <c r="G449" s="3">
        <v>40525</v>
      </c>
      <c r="H449" t="s">
        <v>2856</v>
      </c>
      <c r="J449" t="s">
        <v>1509</v>
      </c>
      <c r="K449" t="s">
        <v>64</v>
      </c>
      <c r="L449" s="3">
        <v>47657</v>
      </c>
      <c r="M449" s="3">
        <v>47611</v>
      </c>
      <c r="N449" t="s">
        <v>2857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3422</v>
      </c>
      <c r="C450" t="s">
        <v>1868</v>
      </c>
      <c r="D450" s="3">
        <v>28120</v>
      </c>
      <c r="E450" t="s">
        <v>1386</v>
      </c>
      <c r="F450">
        <v>74</v>
      </c>
      <c r="G450" s="3">
        <v>40497</v>
      </c>
      <c r="H450" t="s">
        <v>3423</v>
      </c>
      <c r="J450" t="s">
        <v>1523</v>
      </c>
      <c r="K450" t="s">
        <v>67</v>
      </c>
      <c r="L450" s="3">
        <v>72686</v>
      </c>
      <c r="M450" s="3">
        <v>72686</v>
      </c>
      <c r="N450" t="s">
        <v>3424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2674</v>
      </c>
      <c r="C451" t="s">
        <v>3446</v>
      </c>
      <c r="D451" s="3">
        <v>30480</v>
      </c>
      <c r="E451" t="s">
        <v>1386</v>
      </c>
      <c r="F451">
        <v>24</v>
      </c>
      <c r="G451" s="3">
        <v>40469</v>
      </c>
      <c r="H451" t="s">
        <v>3447</v>
      </c>
      <c r="J451" t="s">
        <v>1462</v>
      </c>
      <c r="K451" t="s">
        <v>58</v>
      </c>
      <c r="L451" s="3">
        <v>73050</v>
      </c>
      <c r="M451" s="3">
        <v>47551</v>
      </c>
      <c r="N451" t="s">
        <v>3448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1516</v>
      </c>
      <c r="C452" t="s">
        <v>1517</v>
      </c>
      <c r="D452" s="3">
        <v>29775</v>
      </c>
      <c r="E452" t="s">
        <v>1386</v>
      </c>
      <c r="F452">
        <v>606</v>
      </c>
      <c r="G452" s="3">
        <v>40455</v>
      </c>
      <c r="H452" t="s">
        <v>1518</v>
      </c>
      <c r="J452" t="s">
        <v>1466</v>
      </c>
      <c r="K452" t="s">
        <v>64</v>
      </c>
      <c r="L452" s="3">
        <v>73050</v>
      </c>
      <c r="M452" s="3">
        <v>73050</v>
      </c>
      <c r="N452" t="s">
        <v>1519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1704</v>
      </c>
      <c r="C453" t="s">
        <v>1705</v>
      </c>
      <c r="D453" s="3">
        <v>24380</v>
      </c>
      <c r="E453" t="s">
        <v>1386</v>
      </c>
      <c r="F453">
        <v>42</v>
      </c>
      <c r="G453" s="3">
        <v>40455</v>
      </c>
      <c r="H453" t="s">
        <v>1706</v>
      </c>
      <c r="I453">
        <v>92203627</v>
      </c>
      <c r="J453" t="s">
        <v>1707</v>
      </c>
      <c r="K453" t="s">
        <v>61</v>
      </c>
      <c r="L453" s="3">
        <v>46167</v>
      </c>
      <c r="M453" s="3">
        <v>46609</v>
      </c>
      <c r="N453" t="s">
        <v>1708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1673</v>
      </c>
      <c r="C454" t="s">
        <v>1674</v>
      </c>
      <c r="D454" s="3">
        <v>24366</v>
      </c>
      <c r="E454" t="s">
        <v>1386</v>
      </c>
      <c r="F454">
        <v>479</v>
      </c>
      <c r="G454" s="3">
        <v>40385</v>
      </c>
      <c r="H454" t="s">
        <v>1675</v>
      </c>
      <c r="J454" t="s">
        <v>1462</v>
      </c>
      <c r="K454" t="s">
        <v>67</v>
      </c>
      <c r="L454" s="3">
        <v>73050</v>
      </c>
      <c r="M454" s="3">
        <v>73050</v>
      </c>
      <c r="N454" t="s">
        <v>1676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2618</v>
      </c>
      <c r="C455" t="s">
        <v>1358</v>
      </c>
      <c r="D455" s="3">
        <v>25942</v>
      </c>
      <c r="E455" t="s">
        <v>1386</v>
      </c>
      <c r="F455">
        <v>471</v>
      </c>
      <c r="G455" s="3">
        <v>40385</v>
      </c>
      <c r="H455" t="s">
        <v>3293</v>
      </c>
      <c r="J455" t="s">
        <v>1470</v>
      </c>
      <c r="K455" t="s">
        <v>61</v>
      </c>
      <c r="L455" s="3">
        <v>47467</v>
      </c>
      <c r="M455" s="3">
        <v>46718</v>
      </c>
      <c r="N455" t="s">
        <v>3294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2834</v>
      </c>
      <c r="C456" t="s">
        <v>2828</v>
      </c>
      <c r="D456" s="3">
        <v>23931</v>
      </c>
      <c r="E456" t="s">
        <v>1386</v>
      </c>
      <c r="F456">
        <v>613</v>
      </c>
      <c r="G456" s="3">
        <v>40350</v>
      </c>
      <c r="H456" t="s">
        <v>2835</v>
      </c>
      <c r="I456">
        <v>53622213</v>
      </c>
      <c r="J456" t="s">
        <v>1466</v>
      </c>
      <c r="K456" t="s">
        <v>64</v>
      </c>
      <c r="L456" s="3">
        <v>72686</v>
      </c>
      <c r="M456" s="3">
        <v>47189</v>
      </c>
      <c r="N456" t="s">
        <v>2836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2104</v>
      </c>
      <c r="C457" t="s">
        <v>3072</v>
      </c>
      <c r="D457" s="3">
        <v>30762</v>
      </c>
      <c r="E457" t="s">
        <v>1641</v>
      </c>
      <c r="F457">
        <v>614</v>
      </c>
      <c r="G457" s="3">
        <v>40049</v>
      </c>
      <c r="H457" t="s">
        <v>3073</v>
      </c>
      <c r="J457" t="s">
        <v>1555</v>
      </c>
      <c r="K457" t="s">
        <v>52</v>
      </c>
      <c r="L457" s="3">
        <v>47139</v>
      </c>
      <c r="M457" s="3">
        <v>47105</v>
      </c>
      <c r="N457" t="s">
        <v>3074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3392</v>
      </c>
      <c r="C458" t="s">
        <v>3386</v>
      </c>
      <c r="D458" s="3">
        <v>26948</v>
      </c>
      <c r="E458" t="s">
        <v>1386</v>
      </c>
      <c r="F458">
        <v>605</v>
      </c>
      <c r="G458" s="3">
        <v>40035</v>
      </c>
      <c r="H458" t="s">
        <v>3393</v>
      </c>
      <c r="J458" t="s">
        <v>1462</v>
      </c>
      <c r="K458" t="s">
        <v>55</v>
      </c>
      <c r="L458" s="3">
        <v>47150</v>
      </c>
      <c r="M458" s="3">
        <v>47141</v>
      </c>
      <c r="N458" t="s">
        <v>3394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3306</v>
      </c>
      <c r="C459" t="s">
        <v>3310</v>
      </c>
      <c r="D459" s="3">
        <v>32241</v>
      </c>
      <c r="E459" t="s">
        <v>1386</v>
      </c>
      <c r="F459">
        <v>432</v>
      </c>
      <c r="G459" s="3">
        <v>40000</v>
      </c>
      <c r="H459" t="s">
        <v>3311</v>
      </c>
      <c r="J459" t="s">
        <v>1427</v>
      </c>
      <c r="K459" t="s">
        <v>61</v>
      </c>
      <c r="L459" s="3">
        <v>47129</v>
      </c>
      <c r="M459" s="3">
        <v>47105</v>
      </c>
      <c r="N459" t="s">
        <v>3312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2438</v>
      </c>
      <c r="C460" t="s">
        <v>2435</v>
      </c>
      <c r="D460" s="3">
        <v>26728</v>
      </c>
      <c r="E460" t="s">
        <v>1386</v>
      </c>
      <c r="F460">
        <v>507</v>
      </c>
      <c r="G460" s="3">
        <v>40000</v>
      </c>
      <c r="H460" t="s">
        <v>2439</v>
      </c>
      <c r="J460" t="s">
        <v>1466</v>
      </c>
      <c r="K460" t="s">
        <v>58</v>
      </c>
      <c r="L460" s="3">
        <v>73050</v>
      </c>
      <c r="M460" s="3">
        <v>46279</v>
      </c>
      <c r="N460" t="s">
        <v>2440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2545</v>
      </c>
      <c r="C461" t="s">
        <v>2546</v>
      </c>
      <c r="D461" s="3">
        <v>26572</v>
      </c>
      <c r="E461" t="s">
        <v>1386</v>
      </c>
      <c r="F461">
        <v>75</v>
      </c>
      <c r="G461" s="3">
        <v>39979</v>
      </c>
      <c r="H461" t="s">
        <v>2547</v>
      </c>
      <c r="J461" t="s">
        <v>1412</v>
      </c>
      <c r="K461" t="s">
        <v>61</v>
      </c>
      <c r="L461" s="3">
        <v>47362</v>
      </c>
      <c r="M461" s="3">
        <v>46399</v>
      </c>
      <c r="N461" t="s">
        <v>2548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3252</v>
      </c>
      <c r="C462" t="s">
        <v>3249</v>
      </c>
      <c r="D462" s="3">
        <v>26005</v>
      </c>
      <c r="E462" t="s">
        <v>1386</v>
      </c>
      <c r="F462">
        <v>376</v>
      </c>
      <c r="G462" s="3">
        <v>39972</v>
      </c>
      <c r="H462" t="s">
        <v>3253</v>
      </c>
      <c r="J462" t="s">
        <v>1505</v>
      </c>
      <c r="K462" t="s">
        <v>58</v>
      </c>
      <c r="L462" s="3">
        <v>47143</v>
      </c>
      <c r="M462" s="3">
        <v>46005</v>
      </c>
      <c r="N462" t="s">
        <v>3254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1410</v>
      </c>
      <c r="C463" t="s">
        <v>1407</v>
      </c>
      <c r="D463" s="3">
        <v>26173</v>
      </c>
      <c r="E463" t="s">
        <v>1386</v>
      </c>
      <c r="F463">
        <v>35</v>
      </c>
      <c r="G463" s="3">
        <v>39937</v>
      </c>
      <c r="H463" t="s">
        <v>1411</v>
      </c>
      <c r="J463" t="s">
        <v>1412</v>
      </c>
      <c r="K463" t="s">
        <v>52</v>
      </c>
      <c r="L463" s="3">
        <v>47078</v>
      </c>
      <c r="M463" s="3">
        <v>47072</v>
      </c>
      <c r="N463" t="s">
        <v>1413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3150</v>
      </c>
      <c r="C464" t="s">
        <v>3151</v>
      </c>
      <c r="D464" s="3">
        <v>24373</v>
      </c>
      <c r="E464" t="s">
        <v>1386</v>
      </c>
      <c r="F464">
        <v>371</v>
      </c>
      <c r="G464" s="3">
        <v>39923</v>
      </c>
      <c r="H464" t="s">
        <v>3152</v>
      </c>
      <c r="J464" t="s">
        <v>1412</v>
      </c>
      <c r="K464" t="s">
        <v>52</v>
      </c>
      <c r="L464" s="3">
        <v>73050</v>
      </c>
      <c r="M464" s="3">
        <v>47369</v>
      </c>
      <c r="N464" t="s">
        <v>3153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3317</v>
      </c>
      <c r="C465" t="s">
        <v>3318</v>
      </c>
      <c r="D465" s="3">
        <v>26528</v>
      </c>
      <c r="E465" t="s">
        <v>1386</v>
      </c>
      <c r="F465">
        <v>318</v>
      </c>
      <c r="G465" s="3">
        <v>39923</v>
      </c>
      <c r="H465" t="s">
        <v>3319</v>
      </c>
      <c r="J465" t="s">
        <v>1707</v>
      </c>
      <c r="K465" t="s">
        <v>52</v>
      </c>
      <c r="L465" s="3">
        <v>47154</v>
      </c>
      <c r="M465" s="3">
        <v>46981</v>
      </c>
      <c r="N465" t="s">
        <v>3320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3147</v>
      </c>
      <c r="C466" t="s">
        <v>3144</v>
      </c>
      <c r="D466" s="3">
        <v>28357</v>
      </c>
      <c r="E466" t="s">
        <v>1386</v>
      </c>
      <c r="G466" s="3">
        <v>39909</v>
      </c>
      <c r="H466" t="s">
        <v>3148</v>
      </c>
      <c r="I466">
        <v>93285649</v>
      </c>
      <c r="J466" t="s">
        <v>1432</v>
      </c>
      <c r="K466" t="s">
        <v>52</v>
      </c>
      <c r="L466" s="3">
        <v>47363</v>
      </c>
      <c r="M466" s="3">
        <v>46005</v>
      </c>
      <c r="N466" t="s">
        <v>3149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1550</v>
      </c>
      <c r="C467" t="s">
        <v>1544</v>
      </c>
      <c r="D467" s="3">
        <v>24859</v>
      </c>
      <c r="E467" t="s">
        <v>1386</v>
      </c>
      <c r="F467">
        <v>151</v>
      </c>
      <c r="G467" s="3">
        <v>39895</v>
      </c>
      <c r="H467" t="s">
        <v>1551</v>
      </c>
      <c r="J467" t="s">
        <v>1514</v>
      </c>
      <c r="K467" t="s">
        <v>73</v>
      </c>
      <c r="L467" s="3">
        <v>47043</v>
      </c>
      <c r="M467" s="3">
        <v>47034</v>
      </c>
      <c r="N467" t="s">
        <v>1552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2115</v>
      </c>
      <c r="C468" t="s">
        <v>2101</v>
      </c>
      <c r="D468" s="3">
        <v>30706</v>
      </c>
      <c r="E468" t="s">
        <v>1386</v>
      </c>
      <c r="F468">
        <v>427</v>
      </c>
      <c r="G468" s="3">
        <v>39895</v>
      </c>
      <c r="H468" t="s">
        <v>2116</v>
      </c>
      <c r="J468" t="s">
        <v>1555</v>
      </c>
      <c r="K468" t="s">
        <v>61</v>
      </c>
      <c r="L468" s="3">
        <v>46985</v>
      </c>
      <c r="M468" s="3">
        <v>46981</v>
      </c>
      <c r="N468" t="s">
        <v>2117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1864</v>
      </c>
      <c r="C469" t="s">
        <v>1865</v>
      </c>
      <c r="D469" s="3">
        <v>29923</v>
      </c>
      <c r="E469" t="s">
        <v>1386</v>
      </c>
      <c r="F469">
        <v>533</v>
      </c>
      <c r="G469" s="3">
        <v>39881</v>
      </c>
      <c r="H469" t="s">
        <v>1866</v>
      </c>
      <c r="J469" t="s">
        <v>1509</v>
      </c>
      <c r="K469" t="s">
        <v>55</v>
      </c>
      <c r="L469" s="3">
        <v>46987</v>
      </c>
      <c r="M469" s="3">
        <v>46916</v>
      </c>
      <c r="N469" t="s">
        <v>1867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3468</v>
      </c>
      <c r="C470" t="s">
        <v>3469</v>
      </c>
      <c r="D470" s="3">
        <v>28126</v>
      </c>
      <c r="E470" t="s">
        <v>1386</v>
      </c>
      <c r="F470">
        <v>327</v>
      </c>
      <c r="G470" s="3">
        <v>39839</v>
      </c>
      <c r="H470" t="s">
        <v>3470</v>
      </c>
      <c r="J470" t="s">
        <v>1412</v>
      </c>
      <c r="K470" t="s">
        <v>52</v>
      </c>
      <c r="L470" s="3">
        <v>73050</v>
      </c>
      <c r="M470" s="3">
        <v>45891</v>
      </c>
      <c r="N470" t="s">
        <v>3471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1447</v>
      </c>
      <c r="C471" t="s">
        <v>2781</v>
      </c>
      <c r="D471" s="3">
        <v>25777</v>
      </c>
      <c r="E471" t="s">
        <v>1386</v>
      </c>
      <c r="F471">
        <v>393</v>
      </c>
      <c r="G471" s="3">
        <v>39706</v>
      </c>
      <c r="H471" t="s">
        <v>2782</v>
      </c>
      <c r="J471" t="s">
        <v>1611</v>
      </c>
      <c r="K471" t="s">
        <v>70</v>
      </c>
      <c r="L471" s="3">
        <v>47665</v>
      </c>
      <c r="M471" s="3">
        <v>46791</v>
      </c>
      <c r="N471" t="s">
        <v>2783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2579</v>
      </c>
      <c r="C472" t="s">
        <v>2570</v>
      </c>
      <c r="D472" s="3">
        <v>30532</v>
      </c>
      <c r="E472" t="s">
        <v>1386</v>
      </c>
      <c r="F472">
        <v>80</v>
      </c>
      <c r="G472" s="3">
        <v>39664</v>
      </c>
      <c r="H472" t="s">
        <v>2580</v>
      </c>
      <c r="J472" t="s">
        <v>1462</v>
      </c>
      <c r="K472" t="s">
        <v>52</v>
      </c>
      <c r="L472" s="3">
        <v>72686</v>
      </c>
      <c r="M472" s="3">
        <v>46679</v>
      </c>
      <c r="N472" t="s">
        <v>2581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1914</v>
      </c>
      <c r="C473" t="s">
        <v>1915</v>
      </c>
      <c r="D473" s="3">
        <v>28070</v>
      </c>
      <c r="E473" t="s">
        <v>1386</v>
      </c>
      <c r="F473">
        <v>537</v>
      </c>
      <c r="G473" s="3">
        <v>39643</v>
      </c>
      <c r="H473" t="s">
        <v>1916</v>
      </c>
      <c r="J473" t="s">
        <v>1611</v>
      </c>
      <c r="K473" t="s">
        <v>55</v>
      </c>
      <c r="L473" s="3">
        <v>47610</v>
      </c>
      <c r="M473" s="3">
        <v>46637</v>
      </c>
      <c r="N473" t="s">
        <v>1917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3457</v>
      </c>
      <c r="C474" t="s">
        <v>3458</v>
      </c>
      <c r="D474" s="3">
        <v>31696</v>
      </c>
      <c r="E474" t="s">
        <v>1386</v>
      </c>
      <c r="F474">
        <v>342</v>
      </c>
      <c r="G474" s="3">
        <v>39615</v>
      </c>
      <c r="H474" t="s">
        <v>3459</v>
      </c>
      <c r="J474" t="s">
        <v>1462</v>
      </c>
      <c r="K474" t="s">
        <v>61</v>
      </c>
      <c r="L474" s="3">
        <v>72686</v>
      </c>
      <c r="M474" s="3">
        <v>46672</v>
      </c>
      <c r="N474" t="s">
        <v>3460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3018</v>
      </c>
      <c r="C475" t="s">
        <v>3019</v>
      </c>
      <c r="D475" s="3">
        <v>29517</v>
      </c>
      <c r="E475" t="s">
        <v>1386</v>
      </c>
      <c r="F475">
        <v>457</v>
      </c>
      <c r="G475" s="3">
        <v>39601</v>
      </c>
      <c r="H475" t="s">
        <v>3020</v>
      </c>
      <c r="J475" t="s">
        <v>1412</v>
      </c>
      <c r="K475" t="s">
        <v>70</v>
      </c>
      <c r="L475" s="3">
        <v>72686</v>
      </c>
      <c r="M475" s="3">
        <v>47615</v>
      </c>
      <c r="N475" t="s">
        <v>3021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1633</v>
      </c>
      <c r="C476" t="s">
        <v>1634</v>
      </c>
      <c r="D476" s="3">
        <v>27824</v>
      </c>
      <c r="E476" t="s">
        <v>1386</v>
      </c>
      <c r="F476">
        <v>449</v>
      </c>
      <c r="G476" s="3">
        <v>39587</v>
      </c>
      <c r="H476" t="s">
        <v>1635</v>
      </c>
      <c r="J476" t="s">
        <v>1505</v>
      </c>
      <c r="K476" t="s">
        <v>61</v>
      </c>
      <c r="L476" s="3">
        <v>46032</v>
      </c>
      <c r="M476" s="3">
        <v>46742</v>
      </c>
      <c r="N476" t="s">
        <v>1636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2513</v>
      </c>
      <c r="C477" t="s">
        <v>2514</v>
      </c>
      <c r="D477" s="3">
        <v>26235</v>
      </c>
      <c r="E477" t="s">
        <v>1386</v>
      </c>
      <c r="F477">
        <v>422</v>
      </c>
      <c r="G477" s="3">
        <v>39587</v>
      </c>
      <c r="H477" t="s">
        <v>2515</v>
      </c>
      <c r="J477" t="s">
        <v>1412</v>
      </c>
      <c r="K477" t="s">
        <v>70</v>
      </c>
      <c r="L477" s="3">
        <v>72686</v>
      </c>
      <c r="M477" s="3">
        <v>46897</v>
      </c>
      <c r="N477" t="s">
        <v>2516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2011</v>
      </c>
      <c r="C478" t="s">
        <v>1999</v>
      </c>
      <c r="D478" s="3">
        <v>28068</v>
      </c>
      <c r="E478" t="s">
        <v>1386</v>
      </c>
      <c r="F478">
        <v>302</v>
      </c>
      <c r="G478" s="3">
        <v>39573</v>
      </c>
      <c r="H478" t="s">
        <v>2012</v>
      </c>
      <c r="J478" t="s">
        <v>1555</v>
      </c>
      <c r="K478" t="s">
        <v>67</v>
      </c>
      <c r="L478" s="3">
        <v>47688</v>
      </c>
      <c r="M478" s="3">
        <v>46797</v>
      </c>
      <c r="N478" t="s">
        <v>2013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2335</v>
      </c>
      <c r="C479" t="s">
        <v>2332</v>
      </c>
      <c r="D479" s="3">
        <v>29586</v>
      </c>
      <c r="E479" t="s">
        <v>1386</v>
      </c>
      <c r="F479">
        <v>514</v>
      </c>
      <c r="G479" s="3">
        <v>39552</v>
      </c>
      <c r="H479" t="s">
        <v>2336</v>
      </c>
      <c r="I479">
        <v>32479391613</v>
      </c>
      <c r="J479" t="s">
        <v>1509</v>
      </c>
      <c r="K479" t="s">
        <v>58</v>
      </c>
      <c r="L479" s="3">
        <v>47665</v>
      </c>
      <c r="M479" s="3">
        <v>46665</v>
      </c>
      <c r="N479" t="s">
        <v>2337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1645</v>
      </c>
      <c r="C480" t="s">
        <v>1937</v>
      </c>
      <c r="D480" s="3">
        <v>23387</v>
      </c>
      <c r="E480" t="s">
        <v>1386</v>
      </c>
      <c r="F480">
        <v>131</v>
      </c>
      <c r="G480" s="3">
        <v>39538</v>
      </c>
      <c r="H480" t="s">
        <v>1943</v>
      </c>
      <c r="I480">
        <v>93306518</v>
      </c>
      <c r="J480" t="s">
        <v>1509</v>
      </c>
      <c r="K480" t="s">
        <v>70</v>
      </c>
      <c r="L480" s="3">
        <v>47616</v>
      </c>
      <c r="M480" s="3">
        <v>47568</v>
      </c>
      <c r="N480" t="s">
        <v>1944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3295</v>
      </c>
      <c r="C481" t="s">
        <v>1358</v>
      </c>
      <c r="D481" s="3">
        <v>31562</v>
      </c>
      <c r="E481" t="s">
        <v>1386</v>
      </c>
      <c r="F481">
        <v>286</v>
      </c>
      <c r="G481" s="3">
        <v>39538</v>
      </c>
      <c r="H481" t="s">
        <v>3296</v>
      </c>
      <c r="J481" t="s">
        <v>1573</v>
      </c>
      <c r="K481" t="s">
        <v>67</v>
      </c>
      <c r="L481" s="3">
        <v>47672</v>
      </c>
      <c r="M481" s="3">
        <v>46686</v>
      </c>
      <c r="N481" t="s">
        <v>3297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1661</v>
      </c>
      <c r="C482" t="s">
        <v>1655</v>
      </c>
      <c r="D482" s="3">
        <v>29470</v>
      </c>
      <c r="E482" t="s">
        <v>1386</v>
      </c>
      <c r="F482">
        <v>81</v>
      </c>
      <c r="G482" s="3">
        <v>39524</v>
      </c>
      <c r="H482" t="s">
        <v>1662</v>
      </c>
      <c r="J482" t="s">
        <v>1412</v>
      </c>
      <c r="K482" t="s">
        <v>67</v>
      </c>
      <c r="L482" s="3">
        <v>72686</v>
      </c>
      <c r="M482" s="3">
        <v>46925</v>
      </c>
      <c r="N482" t="s">
        <v>1663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2561</v>
      </c>
      <c r="C483" t="s">
        <v>3092</v>
      </c>
      <c r="D483" s="3">
        <v>28968</v>
      </c>
      <c r="E483" t="s">
        <v>1386</v>
      </c>
      <c r="F483">
        <v>443</v>
      </c>
      <c r="G483" s="3">
        <v>39510</v>
      </c>
      <c r="H483" t="s">
        <v>3093</v>
      </c>
      <c r="J483" t="s">
        <v>1466</v>
      </c>
      <c r="K483" t="s">
        <v>67</v>
      </c>
      <c r="L483" s="3">
        <v>72686</v>
      </c>
      <c r="M483" s="3">
        <v>46776</v>
      </c>
      <c r="N483" t="s">
        <v>3094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2152</v>
      </c>
      <c r="C484" t="s">
        <v>2153</v>
      </c>
      <c r="D484" s="3">
        <v>29324</v>
      </c>
      <c r="E484" t="s">
        <v>1386</v>
      </c>
      <c r="F484">
        <v>441</v>
      </c>
      <c r="G484" s="3">
        <v>39496</v>
      </c>
      <c r="H484" t="s">
        <v>2154</v>
      </c>
      <c r="J484" t="s">
        <v>1462</v>
      </c>
      <c r="K484" t="s">
        <v>52</v>
      </c>
      <c r="L484" s="3">
        <v>72686</v>
      </c>
      <c r="M484" s="3">
        <v>46672</v>
      </c>
      <c r="N484" t="s">
        <v>2155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2506</v>
      </c>
      <c r="C485" t="s">
        <v>2968</v>
      </c>
      <c r="D485" s="3">
        <v>29830</v>
      </c>
      <c r="E485" t="s">
        <v>1386</v>
      </c>
      <c r="F485">
        <v>438</v>
      </c>
      <c r="G485" s="3">
        <v>39496</v>
      </c>
      <c r="H485" t="s">
        <v>2969</v>
      </c>
      <c r="J485" t="s">
        <v>1440</v>
      </c>
      <c r="K485" t="s">
        <v>70</v>
      </c>
      <c r="L485" s="3">
        <v>47454</v>
      </c>
      <c r="M485" s="3">
        <v>47272</v>
      </c>
      <c r="N485" t="s">
        <v>2970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2645</v>
      </c>
      <c r="C486" t="s">
        <v>2639</v>
      </c>
      <c r="D486" s="3">
        <v>30888</v>
      </c>
      <c r="E486" t="s">
        <v>1386</v>
      </c>
      <c r="F486">
        <v>431</v>
      </c>
      <c r="G486" s="3">
        <v>39468</v>
      </c>
      <c r="H486" t="s">
        <v>2646</v>
      </c>
      <c r="J486" t="s">
        <v>1418</v>
      </c>
      <c r="K486" t="s">
        <v>70</v>
      </c>
      <c r="L486" s="3">
        <v>47064</v>
      </c>
      <c r="M486" s="3">
        <v>47044</v>
      </c>
      <c r="N486" t="s">
        <v>2647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1494</v>
      </c>
      <c r="C487" t="s">
        <v>1495</v>
      </c>
      <c r="D487" s="3">
        <v>22761</v>
      </c>
      <c r="E487" t="s">
        <v>1386</v>
      </c>
      <c r="F487">
        <v>428</v>
      </c>
      <c r="G487" s="3">
        <v>39454</v>
      </c>
      <c r="H487" t="s">
        <v>1496</v>
      </c>
      <c r="I487">
        <v>93294697</v>
      </c>
      <c r="J487" t="s">
        <v>1412</v>
      </c>
      <c r="K487" t="s">
        <v>70</v>
      </c>
      <c r="L487" s="3">
        <v>72686</v>
      </c>
      <c r="M487" s="3">
        <v>72686</v>
      </c>
      <c r="N487" t="s">
        <v>1497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2871</v>
      </c>
      <c r="C488" t="s">
        <v>2865</v>
      </c>
      <c r="D488" s="3">
        <v>26100</v>
      </c>
      <c r="E488" t="s">
        <v>1386</v>
      </c>
      <c r="F488">
        <v>148</v>
      </c>
      <c r="G488" s="3">
        <v>39433</v>
      </c>
      <c r="H488" t="s">
        <v>2872</v>
      </c>
      <c r="J488" t="s">
        <v>1514</v>
      </c>
      <c r="K488" t="s">
        <v>73</v>
      </c>
      <c r="L488" s="3">
        <v>47602</v>
      </c>
      <c r="M488" s="3">
        <v>46511</v>
      </c>
      <c r="N488" t="s">
        <v>2873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2427</v>
      </c>
      <c r="C489" t="s">
        <v>2428</v>
      </c>
      <c r="D489" s="3">
        <v>30190</v>
      </c>
      <c r="E489" t="s">
        <v>1386</v>
      </c>
      <c r="F489">
        <v>274</v>
      </c>
      <c r="G489" s="3">
        <v>39405</v>
      </c>
      <c r="H489" t="s">
        <v>2429</v>
      </c>
      <c r="J489" t="s">
        <v>1462</v>
      </c>
      <c r="K489" t="s">
        <v>52</v>
      </c>
      <c r="L489" s="3">
        <v>72686</v>
      </c>
      <c r="M489" s="3">
        <v>46201</v>
      </c>
      <c r="N489" t="s">
        <v>2430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2401</v>
      </c>
      <c r="C490" t="s">
        <v>1358</v>
      </c>
      <c r="D490" s="3">
        <v>29938</v>
      </c>
      <c r="E490" t="s">
        <v>1386</v>
      </c>
      <c r="F490">
        <v>284</v>
      </c>
      <c r="G490" s="3">
        <v>39405</v>
      </c>
      <c r="H490" t="s">
        <v>3298</v>
      </c>
      <c r="J490" t="s">
        <v>1707</v>
      </c>
      <c r="K490" t="s">
        <v>64</v>
      </c>
      <c r="L490" s="3">
        <v>46662</v>
      </c>
      <c r="M490" s="3">
        <v>46658</v>
      </c>
      <c r="N490" t="s">
        <v>3299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1979</v>
      </c>
      <c r="C491" t="s">
        <v>1968</v>
      </c>
      <c r="D491" s="3">
        <v>22969</v>
      </c>
      <c r="E491" t="s">
        <v>1386</v>
      </c>
      <c r="F491">
        <v>166</v>
      </c>
      <c r="G491" s="3">
        <v>39405</v>
      </c>
      <c r="H491" t="s">
        <v>1980</v>
      </c>
      <c r="J491" t="s">
        <v>1412</v>
      </c>
      <c r="K491" t="s">
        <v>67</v>
      </c>
      <c r="L491" s="3">
        <v>47602</v>
      </c>
      <c r="M491" s="3">
        <v>46476</v>
      </c>
      <c r="N491" t="s">
        <v>1981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2072</v>
      </c>
      <c r="C492" t="s">
        <v>3403</v>
      </c>
      <c r="D492" s="3">
        <v>25358</v>
      </c>
      <c r="E492" t="s">
        <v>1386</v>
      </c>
      <c r="F492">
        <v>395</v>
      </c>
      <c r="G492" s="3">
        <v>39391</v>
      </c>
      <c r="I492">
        <v>32479662027</v>
      </c>
      <c r="J492" t="s">
        <v>1514</v>
      </c>
      <c r="K492" t="s">
        <v>73</v>
      </c>
      <c r="L492" s="3">
        <v>47664</v>
      </c>
      <c r="M492" s="3">
        <v>46369</v>
      </c>
      <c r="N492" t="s">
        <v>3406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1438</v>
      </c>
      <c r="C493" t="s">
        <v>1435</v>
      </c>
      <c r="D493" s="3">
        <v>31632</v>
      </c>
      <c r="E493" t="s">
        <v>1386</v>
      </c>
      <c r="F493">
        <v>141</v>
      </c>
      <c r="G493" s="3">
        <v>39370</v>
      </c>
      <c r="H493" t="s">
        <v>1439</v>
      </c>
      <c r="J493" t="s">
        <v>1440</v>
      </c>
      <c r="K493" t="s">
        <v>67</v>
      </c>
      <c r="L493" s="3">
        <v>72686</v>
      </c>
      <c r="M493" s="3">
        <v>46827</v>
      </c>
      <c r="N493" t="s">
        <v>1441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1528</v>
      </c>
      <c r="C494" t="s">
        <v>1529</v>
      </c>
      <c r="D494" s="3">
        <v>25671</v>
      </c>
      <c r="E494" t="s">
        <v>1386</v>
      </c>
      <c r="F494">
        <v>328</v>
      </c>
      <c r="G494" s="3">
        <v>39370</v>
      </c>
      <c r="H494" t="s">
        <v>1530</v>
      </c>
      <c r="J494" t="s">
        <v>1470</v>
      </c>
      <c r="K494" t="s">
        <v>58</v>
      </c>
      <c r="L494" s="3">
        <v>46806</v>
      </c>
      <c r="M494" s="3">
        <v>46798</v>
      </c>
      <c r="N494" t="s">
        <v>1531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2595</v>
      </c>
      <c r="C495" t="s">
        <v>2596</v>
      </c>
      <c r="D495" s="3">
        <v>27407</v>
      </c>
      <c r="E495" t="s">
        <v>1386</v>
      </c>
      <c r="F495">
        <v>118</v>
      </c>
      <c r="G495" s="3">
        <v>39370</v>
      </c>
      <c r="H495" t="s">
        <v>2597</v>
      </c>
      <c r="J495" t="s">
        <v>1555</v>
      </c>
      <c r="K495" t="s">
        <v>70</v>
      </c>
      <c r="L495" s="3">
        <v>47094</v>
      </c>
      <c r="M495" s="3">
        <v>47083</v>
      </c>
      <c r="N495" t="s">
        <v>2598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1834</v>
      </c>
      <c r="C496" t="s">
        <v>1832</v>
      </c>
      <c r="D496" s="3">
        <v>26590</v>
      </c>
      <c r="E496" t="s">
        <v>1386</v>
      </c>
      <c r="F496">
        <v>291</v>
      </c>
      <c r="G496" s="3">
        <v>39356</v>
      </c>
      <c r="H496" t="s">
        <v>1835</v>
      </c>
      <c r="I496">
        <v>92303180</v>
      </c>
      <c r="J496" t="s">
        <v>1462</v>
      </c>
      <c r="K496" t="s">
        <v>64</v>
      </c>
      <c r="L496" s="3">
        <v>72686</v>
      </c>
      <c r="M496" s="3">
        <v>47533</v>
      </c>
      <c r="N496" t="s">
        <v>1836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2311</v>
      </c>
      <c r="C497" t="s">
        <v>2304</v>
      </c>
      <c r="D497" s="3">
        <v>27768</v>
      </c>
      <c r="E497" t="s">
        <v>1386</v>
      </c>
      <c r="F497">
        <v>281</v>
      </c>
      <c r="G497" s="3">
        <v>39356</v>
      </c>
      <c r="H497" t="s">
        <v>2312</v>
      </c>
      <c r="J497" t="s">
        <v>1412</v>
      </c>
      <c r="K497" t="s">
        <v>70</v>
      </c>
      <c r="L497" s="3">
        <v>72686</v>
      </c>
      <c r="M497" s="3">
        <v>46838</v>
      </c>
      <c r="N497" t="s">
        <v>2313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2773</v>
      </c>
      <c r="C498" t="s">
        <v>3174</v>
      </c>
      <c r="D498" s="3">
        <v>30655</v>
      </c>
      <c r="E498" t="s">
        <v>1386</v>
      </c>
      <c r="F498">
        <v>139</v>
      </c>
      <c r="G498" s="3">
        <v>39314</v>
      </c>
      <c r="H498" t="s">
        <v>3175</v>
      </c>
      <c r="I498">
        <v>92255582</v>
      </c>
      <c r="J498" t="s">
        <v>1427</v>
      </c>
      <c r="K498" t="s">
        <v>61</v>
      </c>
      <c r="L498" s="3">
        <v>46447</v>
      </c>
      <c r="M498" s="3">
        <v>46418</v>
      </c>
      <c r="N498" t="s">
        <v>3176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2217</v>
      </c>
      <c r="C499" t="s">
        <v>2218</v>
      </c>
      <c r="D499" s="3">
        <v>24630</v>
      </c>
      <c r="E499" t="s">
        <v>1386</v>
      </c>
      <c r="F499">
        <v>403</v>
      </c>
      <c r="G499" s="3">
        <v>39300</v>
      </c>
      <c r="H499" t="s">
        <v>2219</v>
      </c>
      <c r="I499">
        <v>93285584</v>
      </c>
      <c r="J499" t="s">
        <v>1412</v>
      </c>
      <c r="K499" t="s">
        <v>67</v>
      </c>
      <c r="L499" s="3">
        <v>72686</v>
      </c>
      <c r="M499" s="3">
        <v>46476</v>
      </c>
      <c r="N499" t="s">
        <v>2220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3109</v>
      </c>
      <c r="C500" t="s">
        <v>3100</v>
      </c>
      <c r="D500" s="3">
        <v>28233</v>
      </c>
      <c r="E500" t="s">
        <v>1386</v>
      </c>
      <c r="F500">
        <v>360</v>
      </c>
      <c r="G500" s="3">
        <v>39286</v>
      </c>
      <c r="H500" t="s">
        <v>3110</v>
      </c>
      <c r="J500" t="s">
        <v>1427</v>
      </c>
      <c r="K500" t="s">
        <v>61</v>
      </c>
      <c r="L500" s="3">
        <v>46039</v>
      </c>
      <c r="M500" s="3">
        <v>46985</v>
      </c>
      <c r="N500" t="s">
        <v>3111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2188</v>
      </c>
      <c r="C501" t="s">
        <v>2182</v>
      </c>
      <c r="D501" s="3">
        <v>30571</v>
      </c>
      <c r="E501" t="s">
        <v>1386</v>
      </c>
      <c r="F501">
        <v>309</v>
      </c>
      <c r="G501" s="3">
        <v>39286</v>
      </c>
      <c r="H501" t="s">
        <v>2189</v>
      </c>
      <c r="J501" t="s">
        <v>1412</v>
      </c>
      <c r="K501" t="s">
        <v>64</v>
      </c>
      <c r="L501" s="3">
        <v>72686</v>
      </c>
      <c r="M501" s="3">
        <v>46504</v>
      </c>
      <c r="N501" t="s">
        <v>2190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2125</v>
      </c>
      <c r="C502" t="s">
        <v>2122</v>
      </c>
      <c r="D502" s="3">
        <v>28705</v>
      </c>
      <c r="E502" t="s">
        <v>1386</v>
      </c>
      <c r="F502">
        <v>244</v>
      </c>
      <c r="G502" s="3">
        <v>39272</v>
      </c>
      <c r="H502" t="s">
        <v>2126</v>
      </c>
      <c r="J502" t="s">
        <v>1412</v>
      </c>
      <c r="K502" t="s">
        <v>70</v>
      </c>
      <c r="L502" s="3">
        <v>46680</v>
      </c>
      <c r="M502" s="3">
        <v>46679</v>
      </c>
      <c r="N502" t="s">
        <v>2127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3049</v>
      </c>
      <c r="C503" t="s">
        <v>3050</v>
      </c>
      <c r="D503" s="3">
        <v>31394</v>
      </c>
      <c r="E503" t="s">
        <v>1386</v>
      </c>
      <c r="F503">
        <v>319</v>
      </c>
      <c r="G503" s="3">
        <v>39223</v>
      </c>
      <c r="H503" t="s">
        <v>3051</v>
      </c>
      <c r="J503" t="s">
        <v>1555</v>
      </c>
      <c r="K503" t="s">
        <v>58</v>
      </c>
      <c r="L503" s="3">
        <v>47672</v>
      </c>
      <c r="M503" s="3">
        <v>46236</v>
      </c>
      <c r="N503" t="s">
        <v>3052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1752</v>
      </c>
      <c r="C504" t="s">
        <v>1358</v>
      </c>
      <c r="D504" s="3">
        <v>25256</v>
      </c>
      <c r="E504" t="s">
        <v>1386</v>
      </c>
      <c r="F504">
        <v>502</v>
      </c>
      <c r="G504" s="3">
        <v>39204</v>
      </c>
      <c r="H504" t="s">
        <v>3300</v>
      </c>
      <c r="I504">
        <v>3254244570</v>
      </c>
      <c r="J504" t="s">
        <v>1555</v>
      </c>
      <c r="K504" t="s">
        <v>58</v>
      </c>
      <c r="L504" s="3">
        <v>47611</v>
      </c>
      <c r="M504" s="3">
        <v>46776</v>
      </c>
      <c r="N504" t="s">
        <v>3301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3360</v>
      </c>
      <c r="C505" t="s">
        <v>3355</v>
      </c>
      <c r="D505" s="3">
        <v>30082</v>
      </c>
      <c r="E505" t="s">
        <v>1386</v>
      </c>
      <c r="F505">
        <v>344</v>
      </c>
      <c r="G505" s="3">
        <v>39204</v>
      </c>
      <c r="H505" t="s">
        <v>3361</v>
      </c>
      <c r="J505" t="s">
        <v>1492</v>
      </c>
      <c r="K505" t="s">
        <v>70</v>
      </c>
      <c r="L505" s="3">
        <v>73050</v>
      </c>
      <c r="M505" s="3">
        <v>47201</v>
      </c>
      <c r="N505" t="s">
        <v>3362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2280</v>
      </c>
      <c r="C506" t="s">
        <v>2281</v>
      </c>
      <c r="D506" s="3">
        <v>29923</v>
      </c>
      <c r="E506" t="s">
        <v>1386</v>
      </c>
      <c r="F506">
        <v>341</v>
      </c>
      <c r="G506" s="3">
        <v>39204</v>
      </c>
      <c r="H506" t="s">
        <v>2282</v>
      </c>
      <c r="J506" t="s">
        <v>1412</v>
      </c>
      <c r="K506" t="s">
        <v>55</v>
      </c>
      <c r="L506" s="3">
        <v>72686</v>
      </c>
      <c r="M506" s="3">
        <v>46191</v>
      </c>
      <c r="N506" t="s">
        <v>2283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1752</v>
      </c>
      <c r="C507" t="s">
        <v>1741</v>
      </c>
      <c r="D507" s="3">
        <v>26097</v>
      </c>
      <c r="E507" t="s">
        <v>1386</v>
      </c>
      <c r="F507">
        <v>334</v>
      </c>
      <c r="G507" s="3">
        <v>39188</v>
      </c>
      <c r="H507" t="s">
        <v>1753</v>
      </c>
      <c r="J507" t="s">
        <v>1412</v>
      </c>
      <c r="K507" t="s">
        <v>67</v>
      </c>
      <c r="L507" s="3">
        <v>46042</v>
      </c>
      <c r="M507" s="3">
        <v>46418</v>
      </c>
      <c r="N507" t="s">
        <v>1754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2852</v>
      </c>
      <c r="C508" t="s">
        <v>2849</v>
      </c>
      <c r="D508" s="3">
        <v>27176</v>
      </c>
      <c r="E508" t="s">
        <v>1386</v>
      </c>
      <c r="F508">
        <v>279</v>
      </c>
      <c r="G508" s="3">
        <v>39188</v>
      </c>
      <c r="J508" t="s">
        <v>1466</v>
      </c>
      <c r="K508" t="s">
        <v>67</v>
      </c>
      <c r="L508" s="3">
        <v>72686</v>
      </c>
      <c r="M508" s="3">
        <v>46182</v>
      </c>
      <c r="N508" t="s">
        <v>2853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2694</v>
      </c>
      <c r="C509" t="s">
        <v>2695</v>
      </c>
      <c r="D509" s="3">
        <v>24788</v>
      </c>
      <c r="E509" t="s">
        <v>1386</v>
      </c>
      <c r="F509">
        <v>290</v>
      </c>
      <c r="G509" s="3">
        <v>39174</v>
      </c>
      <c r="H509" t="s">
        <v>2696</v>
      </c>
      <c r="J509" t="s">
        <v>1412</v>
      </c>
      <c r="K509" t="s">
        <v>64</v>
      </c>
      <c r="L509" s="3">
        <v>72686</v>
      </c>
      <c r="M509" s="3">
        <v>72686</v>
      </c>
      <c r="N509" t="s">
        <v>2697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2951</v>
      </c>
      <c r="C510" t="s">
        <v>2952</v>
      </c>
      <c r="D510" s="3">
        <v>31215</v>
      </c>
      <c r="E510" t="s">
        <v>1386</v>
      </c>
      <c r="F510">
        <v>267</v>
      </c>
      <c r="G510" s="3">
        <v>39174</v>
      </c>
      <c r="H510" t="s">
        <v>2953</v>
      </c>
      <c r="J510" t="s">
        <v>1389</v>
      </c>
      <c r="K510" t="s">
        <v>70</v>
      </c>
      <c r="L510" s="3">
        <v>46187</v>
      </c>
      <c r="M510" s="3">
        <v>46274</v>
      </c>
      <c r="N510" t="s">
        <v>2954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2936</v>
      </c>
      <c r="C511" t="s">
        <v>2933</v>
      </c>
      <c r="D511" s="3">
        <v>30153</v>
      </c>
      <c r="E511" t="s">
        <v>1641</v>
      </c>
      <c r="F511">
        <v>83</v>
      </c>
      <c r="G511" s="3">
        <v>39160</v>
      </c>
      <c r="H511" t="s">
        <v>2937</v>
      </c>
      <c r="J511" t="s">
        <v>1492</v>
      </c>
      <c r="K511" t="s">
        <v>52</v>
      </c>
      <c r="L511" s="3">
        <v>72686</v>
      </c>
      <c r="M511" s="3">
        <v>46838</v>
      </c>
      <c r="N511" t="s">
        <v>2938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1384</v>
      </c>
      <c r="C512" t="s">
        <v>1348</v>
      </c>
      <c r="D512" s="3">
        <v>26247</v>
      </c>
      <c r="E512" t="s">
        <v>1386</v>
      </c>
      <c r="F512">
        <v>218</v>
      </c>
      <c r="G512" s="3">
        <v>39146</v>
      </c>
      <c r="H512" t="s">
        <v>2486</v>
      </c>
      <c r="J512" t="s">
        <v>1470</v>
      </c>
      <c r="K512" t="s">
        <v>61</v>
      </c>
      <c r="L512" s="3">
        <v>45956</v>
      </c>
      <c r="M512" s="3">
        <v>46306</v>
      </c>
      <c r="N512" t="s">
        <v>2487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2410</v>
      </c>
      <c r="C513" t="s">
        <v>2402</v>
      </c>
      <c r="D513" s="3">
        <v>23889</v>
      </c>
      <c r="E513" t="s">
        <v>1386</v>
      </c>
      <c r="F513">
        <v>172</v>
      </c>
      <c r="G513" s="3">
        <v>39146</v>
      </c>
      <c r="H513" t="s">
        <v>2411</v>
      </c>
      <c r="I513">
        <v>55424915</v>
      </c>
      <c r="J513" t="s">
        <v>1509</v>
      </c>
      <c r="K513" t="s">
        <v>70</v>
      </c>
      <c r="L513" s="3">
        <v>47629</v>
      </c>
      <c r="M513" s="3">
        <v>46378</v>
      </c>
      <c r="N513" t="s">
        <v>2412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2483</v>
      </c>
      <c r="C514" t="s">
        <v>1348</v>
      </c>
      <c r="D514" s="3">
        <v>23779</v>
      </c>
      <c r="E514" t="s">
        <v>1386</v>
      </c>
      <c r="F514">
        <v>157</v>
      </c>
      <c r="G514" s="3">
        <v>39146</v>
      </c>
      <c r="H514" t="s">
        <v>2484</v>
      </c>
      <c r="J514" t="s">
        <v>1523</v>
      </c>
      <c r="K514" t="s">
        <v>52</v>
      </c>
      <c r="L514" s="3">
        <v>72686</v>
      </c>
      <c r="M514" s="3">
        <v>46343</v>
      </c>
      <c r="N514" t="s">
        <v>2485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2288</v>
      </c>
      <c r="C515" t="s">
        <v>2285</v>
      </c>
      <c r="D515" s="3">
        <v>26892</v>
      </c>
      <c r="E515" t="s">
        <v>1386</v>
      </c>
      <c r="F515">
        <v>155</v>
      </c>
      <c r="G515" s="3">
        <v>39132</v>
      </c>
      <c r="H515" t="s">
        <v>2289</v>
      </c>
      <c r="J515" t="s">
        <v>1492</v>
      </c>
      <c r="K515" t="s">
        <v>67</v>
      </c>
      <c r="L515" s="3">
        <v>45951</v>
      </c>
      <c r="M515" s="3">
        <v>46364</v>
      </c>
      <c r="N515" t="s">
        <v>2290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2381</v>
      </c>
      <c r="C516" t="s">
        <v>2382</v>
      </c>
      <c r="D516" s="3">
        <v>27391</v>
      </c>
      <c r="E516" t="s">
        <v>1641</v>
      </c>
      <c r="F516">
        <v>402</v>
      </c>
      <c r="G516" s="3">
        <v>39132</v>
      </c>
      <c r="H516" t="s">
        <v>2383</v>
      </c>
      <c r="J516" t="s">
        <v>1492</v>
      </c>
      <c r="K516" t="s">
        <v>52</v>
      </c>
      <c r="L516" s="3">
        <v>72686</v>
      </c>
      <c r="M516" s="3">
        <v>46427</v>
      </c>
      <c r="N516" t="s">
        <v>2384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2877</v>
      </c>
      <c r="C517" t="s">
        <v>2874</v>
      </c>
      <c r="D517" s="3">
        <v>24135</v>
      </c>
      <c r="E517" t="s">
        <v>1386</v>
      </c>
      <c r="F517">
        <v>532</v>
      </c>
      <c r="G517" s="3">
        <v>39006</v>
      </c>
      <c r="H517" t="s">
        <v>2878</v>
      </c>
      <c r="J517" t="s">
        <v>1611</v>
      </c>
      <c r="K517" t="s">
        <v>55</v>
      </c>
      <c r="L517" s="3">
        <v>47467</v>
      </c>
      <c r="M517" s="3">
        <v>46729</v>
      </c>
      <c r="N517" t="s">
        <v>2879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1982</v>
      </c>
      <c r="C518" t="s">
        <v>1968</v>
      </c>
      <c r="D518" s="3">
        <v>22573</v>
      </c>
      <c r="E518" t="s">
        <v>1386</v>
      </c>
      <c r="F518">
        <v>353</v>
      </c>
      <c r="G518" s="3">
        <v>38992</v>
      </c>
      <c r="I518">
        <v>92313309</v>
      </c>
      <c r="J518" t="s">
        <v>1466</v>
      </c>
      <c r="K518" t="s">
        <v>67</v>
      </c>
      <c r="L518" s="3">
        <v>72686</v>
      </c>
      <c r="M518" s="3">
        <v>47034</v>
      </c>
      <c r="N518" t="s">
        <v>1983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2423</v>
      </c>
      <c r="C519" t="s">
        <v>2424</v>
      </c>
      <c r="D519" s="3">
        <v>26051</v>
      </c>
      <c r="E519" t="s">
        <v>1386</v>
      </c>
      <c r="F519">
        <v>161</v>
      </c>
      <c r="G519" s="3">
        <v>38971</v>
      </c>
      <c r="H519" t="s">
        <v>2425</v>
      </c>
      <c r="J519" t="s">
        <v>1687</v>
      </c>
      <c r="K519" t="s">
        <v>52</v>
      </c>
      <c r="L519" s="3">
        <v>72686</v>
      </c>
      <c r="M519" s="3">
        <v>46820</v>
      </c>
      <c r="N519" t="s">
        <v>2426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2565</v>
      </c>
      <c r="C520" t="s">
        <v>2566</v>
      </c>
      <c r="D520" s="3">
        <v>22649</v>
      </c>
      <c r="E520" t="s">
        <v>1386</v>
      </c>
      <c r="G520" s="3">
        <v>38957</v>
      </c>
      <c r="H520" t="s">
        <v>2567</v>
      </c>
      <c r="J520" t="s">
        <v>1389</v>
      </c>
      <c r="K520" t="s">
        <v>55</v>
      </c>
      <c r="L520" s="3">
        <v>47497</v>
      </c>
      <c r="M520" s="3">
        <v>47470</v>
      </c>
      <c r="N520" t="s">
        <v>2568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3433</v>
      </c>
      <c r="C521" t="s">
        <v>3431</v>
      </c>
      <c r="D521" s="3">
        <v>23974</v>
      </c>
      <c r="E521" t="s">
        <v>1386</v>
      </c>
      <c r="F521">
        <v>506</v>
      </c>
      <c r="G521" s="3">
        <v>38936</v>
      </c>
      <c r="H521" t="s">
        <v>3434</v>
      </c>
      <c r="J521" t="s">
        <v>1509</v>
      </c>
      <c r="K521" t="s">
        <v>58</v>
      </c>
      <c r="L521" s="3">
        <v>47714</v>
      </c>
      <c r="M521" s="3">
        <v>46056</v>
      </c>
      <c r="N521" t="s">
        <v>3435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2667</v>
      </c>
      <c r="C522" t="s">
        <v>2665</v>
      </c>
      <c r="D522" s="3">
        <v>30660</v>
      </c>
      <c r="E522" t="s">
        <v>1386</v>
      </c>
      <c r="F522">
        <v>347</v>
      </c>
      <c r="G522" s="3">
        <v>38929</v>
      </c>
      <c r="H522" t="s">
        <v>2668</v>
      </c>
      <c r="J522" t="s">
        <v>1466</v>
      </c>
      <c r="K522" t="s">
        <v>67</v>
      </c>
      <c r="L522" s="3">
        <v>72686</v>
      </c>
      <c r="M522" s="3">
        <v>46042</v>
      </c>
      <c r="N522" t="s">
        <v>2669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1677</v>
      </c>
      <c r="C523" t="s">
        <v>1678</v>
      </c>
      <c r="D523" s="3">
        <v>25000</v>
      </c>
      <c r="E523" t="s">
        <v>1386</v>
      </c>
      <c r="F523">
        <v>345</v>
      </c>
      <c r="G523" s="3">
        <v>38929</v>
      </c>
      <c r="H523" t="s">
        <v>1679</v>
      </c>
      <c r="J523" t="s">
        <v>1492</v>
      </c>
      <c r="K523" t="s">
        <v>64</v>
      </c>
      <c r="L523" s="3">
        <v>72686</v>
      </c>
      <c r="M523" s="3">
        <v>46181</v>
      </c>
      <c r="N523" t="s">
        <v>1680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2431</v>
      </c>
      <c r="C524" t="s">
        <v>2428</v>
      </c>
      <c r="D524" s="3">
        <v>29721</v>
      </c>
      <c r="E524" t="s">
        <v>1386</v>
      </c>
      <c r="F524">
        <v>52</v>
      </c>
      <c r="G524" s="3">
        <v>38908</v>
      </c>
      <c r="H524" t="s">
        <v>2432</v>
      </c>
      <c r="I524">
        <v>55613250</v>
      </c>
      <c r="J524" t="s">
        <v>1404</v>
      </c>
      <c r="K524" t="s">
        <v>70</v>
      </c>
      <c r="L524" s="3">
        <v>45923</v>
      </c>
      <c r="M524" s="3">
        <v>46005</v>
      </c>
      <c r="N524" t="s">
        <v>2433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2561</v>
      </c>
      <c r="C525" t="s">
        <v>2562</v>
      </c>
      <c r="D525" s="3">
        <v>24261</v>
      </c>
      <c r="E525" t="s">
        <v>1386</v>
      </c>
      <c r="G525" s="3">
        <v>38852</v>
      </c>
      <c r="H525" t="s">
        <v>2563</v>
      </c>
      <c r="J525" t="s">
        <v>1445</v>
      </c>
      <c r="K525" t="s">
        <v>52</v>
      </c>
      <c r="L525" s="3">
        <v>47637</v>
      </c>
      <c r="M525" s="3">
        <v>47628</v>
      </c>
      <c r="N525" t="s">
        <v>2564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2535</v>
      </c>
      <c r="C526" t="s">
        <v>2532</v>
      </c>
      <c r="D526" s="3">
        <v>30809</v>
      </c>
      <c r="E526" t="s">
        <v>1386</v>
      </c>
      <c r="F526">
        <v>297</v>
      </c>
      <c r="G526" s="3">
        <v>38852</v>
      </c>
      <c r="H526" t="s">
        <v>2536</v>
      </c>
      <c r="J526" t="s">
        <v>1555</v>
      </c>
      <c r="K526" t="s">
        <v>73</v>
      </c>
      <c r="L526" s="3">
        <v>47623</v>
      </c>
      <c r="M526" s="3">
        <v>46000</v>
      </c>
      <c r="N526" t="s">
        <v>2537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2837</v>
      </c>
      <c r="C527" t="s">
        <v>2828</v>
      </c>
      <c r="D527" s="3">
        <v>23793</v>
      </c>
      <c r="E527" t="s">
        <v>1386</v>
      </c>
      <c r="F527">
        <v>461</v>
      </c>
      <c r="G527" s="3">
        <v>38831</v>
      </c>
      <c r="H527" t="s">
        <v>2838</v>
      </c>
      <c r="J527" t="s">
        <v>1514</v>
      </c>
      <c r="K527" t="s">
        <v>73</v>
      </c>
      <c r="L527" s="3">
        <v>47588</v>
      </c>
      <c r="M527" s="3">
        <v>47573</v>
      </c>
      <c r="N527" t="s">
        <v>2839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1503</v>
      </c>
      <c r="C528" t="s">
        <v>1499</v>
      </c>
      <c r="D528" s="3">
        <v>26900</v>
      </c>
      <c r="E528" t="s">
        <v>1386</v>
      </c>
      <c r="F528">
        <v>476</v>
      </c>
      <c r="G528" s="3">
        <v>38810</v>
      </c>
      <c r="H528" t="s">
        <v>1504</v>
      </c>
      <c r="J528" t="s">
        <v>1505</v>
      </c>
      <c r="K528" t="s">
        <v>61</v>
      </c>
      <c r="L528" s="3">
        <v>47652</v>
      </c>
      <c r="M528" s="3">
        <v>47644</v>
      </c>
      <c r="N528" t="s">
        <v>1506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3086</v>
      </c>
      <c r="C529" t="s">
        <v>2413</v>
      </c>
      <c r="D529" s="3">
        <v>27422</v>
      </c>
      <c r="E529" t="s">
        <v>1386</v>
      </c>
      <c r="F529">
        <v>275</v>
      </c>
      <c r="G529" s="3">
        <v>38789</v>
      </c>
      <c r="H529" t="s">
        <v>3087</v>
      </c>
      <c r="J529" t="s">
        <v>1509</v>
      </c>
      <c r="K529" t="s">
        <v>64</v>
      </c>
      <c r="L529" s="3">
        <v>47651</v>
      </c>
      <c r="M529" s="3">
        <v>47615</v>
      </c>
      <c r="N529" t="s">
        <v>3088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1945</v>
      </c>
      <c r="C530" t="s">
        <v>1937</v>
      </c>
      <c r="D530" s="3">
        <v>29547</v>
      </c>
      <c r="E530" t="s">
        <v>1386</v>
      </c>
      <c r="F530">
        <v>562</v>
      </c>
      <c r="G530" s="3">
        <v>38789</v>
      </c>
      <c r="H530" t="s">
        <v>1946</v>
      </c>
      <c r="J530" t="s">
        <v>1643</v>
      </c>
      <c r="K530" t="s">
        <v>58</v>
      </c>
      <c r="L530" s="3">
        <v>47635</v>
      </c>
      <c r="M530" s="3">
        <v>47608</v>
      </c>
      <c r="N530" t="s">
        <v>1947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2473</v>
      </c>
      <c r="C531" t="s">
        <v>3267</v>
      </c>
      <c r="D531" s="3">
        <v>29513</v>
      </c>
      <c r="E531" t="s">
        <v>1386</v>
      </c>
      <c r="F531">
        <v>264</v>
      </c>
      <c r="G531" s="3">
        <v>38789</v>
      </c>
      <c r="H531" t="s">
        <v>3270</v>
      </c>
      <c r="J531" t="s">
        <v>1466</v>
      </c>
      <c r="K531" t="s">
        <v>67</v>
      </c>
      <c r="L531" s="3">
        <v>72686</v>
      </c>
      <c r="M531" s="3">
        <v>46932</v>
      </c>
      <c r="N531" t="s">
        <v>3271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1525</v>
      </c>
      <c r="C532" t="s">
        <v>1521</v>
      </c>
      <c r="D532" s="3">
        <v>25538</v>
      </c>
      <c r="E532" t="s">
        <v>1386</v>
      </c>
      <c r="F532">
        <v>97</v>
      </c>
      <c r="G532" s="3">
        <v>38775</v>
      </c>
      <c r="H532" t="s">
        <v>1526</v>
      </c>
      <c r="I532">
        <v>92322233</v>
      </c>
      <c r="J532" t="s">
        <v>1492</v>
      </c>
      <c r="K532" t="s">
        <v>58</v>
      </c>
      <c r="L532" s="3">
        <v>46063</v>
      </c>
      <c r="M532" s="3">
        <v>46014</v>
      </c>
      <c r="N532" t="s">
        <v>1527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2342</v>
      </c>
      <c r="C533" t="s">
        <v>2343</v>
      </c>
      <c r="D533" s="3">
        <v>22884</v>
      </c>
      <c r="E533" t="s">
        <v>1386</v>
      </c>
      <c r="F533">
        <v>634</v>
      </c>
      <c r="G533" s="3">
        <v>38593</v>
      </c>
      <c r="H533" t="s">
        <v>2344</v>
      </c>
      <c r="I533" t="s">
        <v>2345</v>
      </c>
      <c r="J533" t="s">
        <v>1509</v>
      </c>
      <c r="K533" t="s">
        <v>55</v>
      </c>
      <c r="L533" s="3">
        <v>46007</v>
      </c>
      <c r="M533" s="3">
        <v>46065</v>
      </c>
      <c r="N533" t="s">
        <v>3608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2784</v>
      </c>
      <c r="C534" t="s">
        <v>2785</v>
      </c>
      <c r="D534" s="3">
        <v>29127</v>
      </c>
      <c r="E534" t="s">
        <v>1386</v>
      </c>
      <c r="F534">
        <v>580</v>
      </c>
      <c r="G534" s="3">
        <v>38481</v>
      </c>
      <c r="H534" t="s">
        <v>2786</v>
      </c>
      <c r="J534" t="s">
        <v>1501</v>
      </c>
      <c r="K534" t="s">
        <v>64</v>
      </c>
      <c r="L534" s="3">
        <v>47434</v>
      </c>
      <c r="M534" s="3">
        <v>47408</v>
      </c>
      <c r="N534" t="s">
        <v>2787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2346</v>
      </c>
      <c r="C535" t="s">
        <v>2347</v>
      </c>
      <c r="D535" s="3">
        <v>24596</v>
      </c>
      <c r="E535" t="s">
        <v>1386</v>
      </c>
      <c r="F535">
        <v>68</v>
      </c>
      <c r="G535" s="3">
        <v>38460</v>
      </c>
      <c r="H535" t="s">
        <v>2348</v>
      </c>
      <c r="J535" t="s">
        <v>1470</v>
      </c>
      <c r="K535" t="s">
        <v>61</v>
      </c>
      <c r="L535" s="3">
        <v>47527</v>
      </c>
      <c r="M535" s="3">
        <v>47524</v>
      </c>
      <c r="N535" t="s">
        <v>2349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2413</v>
      </c>
      <c r="C536" t="s">
        <v>2402</v>
      </c>
      <c r="D536" s="3">
        <v>24575</v>
      </c>
      <c r="E536" t="s">
        <v>1386</v>
      </c>
      <c r="F536">
        <v>348</v>
      </c>
      <c r="G536" s="3">
        <v>38460</v>
      </c>
      <c r="H536" t="s">
        <v>2414</v>
      </c>
      <c r="J536" t="s">
        <v>1492</v>
      </c>
      <c r="K536" t="s">
        <v>55</v>
      </c>
      <c r="L536" s="3">
        <v>72686</v>
      </c>
      <c r="M536" s="3">
        <v>46467</v>
      </c>
      <c r="N536" t="s">
        <v>2415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2890</v>
      </c>
      <c r="C537" t="s">
        <v>2887</v>
      </c>
      <c r="D537" s="3">
        <v>24058</v>
      </c>
      <c r="E537" t="s">
        <v>1386</v>
      </c>
      <c r="F537">
        <v>76</v>
      </c>
      <c r="G537" s="3">
        <v>38446</v>
      </c>
      <c r="H537" t="s">
        <v>2891</v>
      </c>
      <c r="I537">
        <v>92783143</v>
      </c>
      <c r="J537" t="s">
        <v>1707</v>
      </c>
      <c r="K537" t="s">
        <v>61</v>
      </c>
      <c r="L537" s="3">
        <v>45983</v>
      </c>
      <c r="M537" s="3">
        <v>45936</v>
      </c>
      <c r="N537" t="s">
        <v>2892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1746</v>
      </c>
      <c r="C538" t="s">
        <v>1812</v>
      </c>
      <c r="D538" s="3">
        <v>24694</v>
      </c>
      <c r="E538" t="s">
        <v>1386</v>
      </c>
      <c r="F538">
        <v>171</v>
      </c>
      <c r="G538" s="3">
        <v>38404</v>
      </c>
      <c r="H538" t="s">
        <v>1813</v>
      </c>
      <c r="I538">
        <v>92306884</v>
      </c>
      <c r="J538" t="s">
        <v>1555</v>
      </c>
      <c r="K538" t="s">
        <v>73</v>
      </c>
      <c r="L538" s="3">
        <v>47316</v>
      </c>
      <c r="M538" s="3">
        <v>47306</v>
      </c>
      <c r="N538" t="s">
        <v>1814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3135</v>
      </c>
      <c r="C539" t="s">
        <v>3136</v>
      </c>
      <c r="D539" s="3">
        <v>22267</v>
      </c>
      <c r="E539" t="s">
        <v>1386</v>
      </c>
      <c r="F539">
        <v>227</v>
      </c>
      <c r="G539" s="3">
        <v>38404</v>
      </c>
      <c r="H539" t="s">
        <v>3137</v>
      </c>
      <c r="J539" t="s">
        <v>1523</v>
      </c>
      <c r="K539" t="s">
        <v>55</v>
      </c>
      <c r="L539" s="3">
        <v>72686</v>
      </c>
      <c r="M539" s="3">
        <v>72686</v>
      </c>
      <c r="N539" t="s">
        <v>3138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2756</v>
      </c>
      <c r="C540" t="s">
        <v>2757</v>
      </c>
      <c r="D540" s="3">
        <v>25055</v>
      </c>
      <c r="E540" t="s">
        <v>1386</v>
      </c>
      <c r="F540">
        <v>53</v>
      </c>
      <c r="G540" s="3">
        <v>38390</v>
      </c>
      <c r="H540" t="s">
        <v>2758</v>
      </c>
      <c r="I540" t="s">
        <v>2759</v>
      </c>
      <c r="J540" t="s">
        <v>1412</v>
      </c>
      <c r="K540" t="s">
        <v>70</v>
      </c>
      <c r="L540" s="3">
        <v>72686</v>
      </c>
      <c r="M540" s="3">
        <v>47323</v>
      </c>
      <c r="N540" t="s">
        <v>2760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1880</v>
      </c>
      <c r="C541" t="s">
        <v>1881</v>
      </c>
      <c r="D541" s="3">
        <v>22889</v>
      </c>
      <c r="E541" t="s">
        <v>1386</v>
      </c>
      <c r="F541">
        <v>312</v>
      </c>
      <c r="G541" s="3">
        <v>38222</v>
      </c>
      <c r="H541" t="s">
        <v>1882</v>
      </c>
      <c r="J541" t="s">
        <v>1492</v>
      </c>
      <c r="K541" t="s">
        <v>55</v>
      </c>
      <c r="L541" s="3">
        <v>72686</v>
      </c>
      <c r="M541" s="3">
        <v>47163</v>
      </c>
      <c r="N541" t="s">
        <v>1883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1507</v>
      </c>
      <c r="C542" t="s">
        <v>1499</v>
      </c>
      <c r="D542" s="3">
        <v>29308</v>
      </c>
      <c r="E542" t="s">
        <v>1386</v>
      </c>
      <c r="F542">
        <v>611</v>
      </c>
      <c r="G542" s="3">
        <v>38222</v>
      </c>
      <c r="H542" t="s">
        <v>1508</v>
      </c>
      <c r="J542" t="s">
        <v>1509</v>
      </c>
      <c r="K542" t="s">
        <v>55</v>
      </c>
      <c r="L542" s="3">
        <v>47614</v>
      </c>
      <c r="M542" s="3">
        <v>47021</v>
      </c>
      <c r="N542" t="s">
        <v>1510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2542</v>
      </c>
      <c r="C543" t="s">
        <v>2539</v>
      </c>
      <c r="D543" s="3">
        <v>26011</v>
      </c>
      <c r="E543" t="s">
        <v>1386</v>
      </c>
      <c r="F543">
        <v>384</v>
      </c>
      <c r="G543" s="3">
        <v>38124</v>
      </c>
      <c r="H543" t="s">
        <v>2543</v>
      </c>
      <c r="J543" t="s">
        <v>1560</v>
      </c>
      <c r="K543" t="s">
        <v>55</v>
      </c>
      <c r="L543" s="3">
        <v>72686</v>
      </c>
      <c r="M543" s="3">
        <v>47231</v>
      </c>
      <c r="N543" t="s">
        <v>2544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3069</v>
      </c>
      <c r="C544" t="s">
        <v>3063</v>
      </c>
      <c r="D544" s="3">
        <v>29646</v>
      </c>
      <c r="E544" t="s">
        <v>1386</v>
      </c>
      <c r="F544">
        <v>358</v>
      </c>
      <c r="G544" s="3">
        <v>38124</v>
      </c>
      <c r="H544" t="s">
        <v>3070</v>
      </c>
      <c r="J544" t="s">
        <v>1462</v>
      </c>
      <c r="K544" t="s">
        <v>55</v>
      </c>
      <c r="L544" s="3">
        <v>72686</v>
      </c>
      <c r="M544" s="3">
        <v>47316</v>
      </c>
      <c r="N544" t="s">
        <v>3071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2362</v>
      </c>
      <c r="C545" t="s">
        <v>2359</v>
      </c>
      <c r="D545" s="3">
        <v>23057</v>
      </c>
      <c r="E545" t="s">
        <v>1386</v>
      </c>
      <c r="F545">
        <v>423</v>
      </c>
      <c r="G545" s="3">
        <v>38103</v>
      </c>
      <c r="H545" t="s">
        <v>2363</v>
      </c>
      <c r="J545" t="s">
        <v>1412</v>
      </c>
      <c r="K545" t="s">
        <v>67</v>
      </c>
      <c r="L545" s="3">
        <v>72686</v>
      </c>
      <c r="M545" s="3">
        <v>47201</v>
      </c>
      <c r="N545" t="s">
        <v>2364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3095</v>
      </c>
      <c r="C546" t="s">
        <v>3355</v>
      </c>
      <c r="D546" s="3">
        <v>30395</v>
      </c>
      <c r="E546" t="s">
        <v>1386</v>
      </c>
      <c r="F546">
        <v>416</v>
      </c>
      <c r="G546" s="3">
        <v>38103</v>
      </c>
      <c r="H546" t="s">
        <v>3363</v>
      </c>
      <c r="J546" t="s">
        <v>1492</v>
      </c>
      <c r="K546" t="s">
        <v>67</v>
      </c>
      <c r="L546" s="3">
        <v>72686</v>
      </c>
      <c r="M546" s="3">
        <v>47323</v>
      </c>
      <c r="N546" t="s">
        <v>3364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2862</v>
      </c>
      <c r="C547" t="s">
        <v>2858</v>
      </c>
      <c r="D547" s="3">
        <v>24194</v>
      </c>
      <c r="E547" t="s">
        <v>1386</v>
      </c>
      <c r="F547">
        <v>213</v>
      </c>
      <c r="G547" s="3">
        <v>38103</v>
      </c>
      <c r="I547">
        <v>93572904</v>
      </c>
      <c r="J547" t="s">
        <v>1412</v>
      </c>
      <c r="K547" t="s">
        <v>55</v>
      </c>
      <c r="L547" s="3">
        <v>72686</v>
      </c>
      <c r="M547" s="3">
        <v>72686</v>
      </c>
      <c r="N547" t="s">
        <v>2863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2096</v>
      </c>
      <c r="C548" t="s">
        <v>2097</v>
      </c>
      <c r="D548" s="3">
        <v>25363</v>
      </c>
      <c r="E548" t="s">
        <v>1386</v>
      </c>
      <c r="F548">
        <v>560</v>
      </c>
      <c r="G548" s="3">
        <v>38019</v>
      </c>
      <c r="H548" t="s">
        <v>2098</v>
      </c>
      <c r="J548" t="s">
        <v>1509</v>
      </c>
      <c r="K548" t="s">
        <v>58</v>
      </c>
      <c r="L548" s="3">
        <v>47700</v>
      </c>
      <c r="M548" s="3">
        <v>46827</v>
      </c>
      <c r="N548" t="s">
        <v>2099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1824</v>
      </c>
      <c r="C549" t="s">
        <v>1825</v>
      </c>
      <c r="D549" s="3">
        <v>24253</v>
      </c>
      <c r="E549" t="s">
        <v>1386</v>
      </c>
      <c r="F549">
        <v>380</v>
      </c>
      <c r="G549" s="3">
        <v>37991</v>
      </c>
      <c r="H549" t="s">
        <v>1826</v>
      </c>
      <c r="J549" t="s">
        <v>1470</v>
      </c>
      <c r="K549" t="s">
        <v>61</v>
      </c>
      <c r="L549" s="3">
        <v>47671</v>
      </c>
      <c r="M549" s="3">
        <v>46726</v>
      </c>
      <c r="N549" t="s">
        <v>1827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2928</v>
      </c>
      <c r="C550" t="s">
        <v>2929</v>
      </c>
      <c r="D550" s="3">
        <v>24848</v>
      </c>
      <c r="E550" t="s">
        <v>1386</v>
      </c>
      <c r="F550">
        <v>535</v>
      </c>
      <c r="G550" s="3">
        <v>37991</v>
      </c>
      <c r="H550" t="s">
        <v>2930</v>
      </c>
      <c r="I550">
        <v>93557570</v>
      </c>
      <c r="J550" t="s">
        <v>1509</v>
      </c>
      <c r="K550" t="s">
        <v>55</v>
      </c>
      <c r="L550" s="3">
        <v>46889</v>
      </c>
      <c r="M550" s="3">
        <v>46882</v>
      </c>
      <c r="N550" t="s">
        <v>2931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1808</v>
      </c>
      <c r="C551" t="s">
        <v>1809</v>
      </c>
      <c r="D551" s="3">
        <v>26137</v>
      </c>
      <c r="E551" t="s">
        <v>1386</v>
      </c>
      <c r="F551">
        <v>273</v>
      </c>
      <c r="G551" s="3">
        <v>37886</v>
      </c>
      <c r="H551" t="s">
        <v>1810</v>
      </c>
      <c r="J551" t="s">
        <v>1492</v>
      </c>
      <c r="K551" t="s">
        <v>64</v>
      </c>
      <c r="L551" s="3">
        <v>72686</v>
      </c>
      <c r="M551" s="3">
        <v>47498</v>
      </c>
      <c r="N551" t="s">
        <v>1811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2678</v>
      </c>
      <c r="C552" t="s">
        <v>2679</v>
      </c>
      <c r="D552" s="3">
        <v>27842</v>
      </c>
      <c r="E552" t="s">
        <v>1386</v>
      </c>
      <c r="F552">
        <v>293</v>
      </c>
      <c r="G552" s="3">
        <v>37886</v>
      </c>
      <c r="H552" t="s">
        <v>2680</v>
      </c>
      <c r="J552" t="s">
        <v>1440</v>
      </c>
      <c r="K552" t="s">
        <v>73</v>
      </c>
      <c r="L552" s="3">
        <v>47275</v>
      </c>
      <c r="M552" s="3">
        <v>47237</v>
      </c>
      <c r="N552" t="s">
        <v>2681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3129</v>
      </c>
      <c r="C553" t="s">
        <v>3124</v>
      </c>
      <c r="D553" s="3">
        <v>28331</v>
      </c>
      <c r="E553" t="s">
        <v>1386</v>
      </c>
      <c r="F553">
        <v>4</v>
      </c>
      <c r="G553" s="3">
        <v>37886</v>
      </c>
      <c r="H553" t="s">
        <v>3130</v>
      </c>
      <c r="I553">
        <v>92728505</v>
      </c>
      <c r="J553" t="s">
        <v>1687</v>
      </c>
      <c r="K553" t="s">
        <v>52</v>
      </c>
      <c r="L553" s="3">
        <v>72686</v>
      </c>
      <c r="M553" s="3">
        <v>46469</v>
      </c>
      <c r="N553" t="s">
        <v>3131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1984</v>
      </c>
      <c r="C554" t="s">
        <v>1968</v>
      </c>
      <c r="D554" s="3">
        <v>25880</v>
      </c>
      <c r="E554" t="s">
        <v>1386</v>
      </c>
      <c r="F554">
        <v>420</v>
      </c>
      <c r="G554" s="3">
        <v>37886</v>
      </c>
      <c r="H554" t="s">
        <v>1985</v>
      </c>
      <c r="J554" t="s">
        <v>1492</v>
      </c>
      <c r="K554" t="s">
        <v>70</v>
      </c>
      <c r="L554" s="3">
        <v>72686</v>
      </c>
      <c r="M554" s="3">
        <v>46820</v>
      </c>
      <c r="N554" t="s">
        <v>1986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1616</v>
      </c>
      <c r="C555" t="s">
        <v>1613</v>
      </c>
      <c r="D555" s="3">
        <v>22597</v>
      </c>
      <c r="E555" t="s">
        <v>1386</v>
      </c>
      <c r="F555">
        <v>439</v>
      </c>
      <c r="G555" s="3">
        <v>37830</v>
      </c>
      <c r="H555" t="s">
        <v>1617</v>
      </c>
      <c r="J555" t="s">
        <v>1470</v>
      </c>
      <c r="K555" t="s">
        <v>61</v>
      </c>
      <c r="L555" s="3">
        <v>45880</v>
      </c>
      <c r="M555" s="3">
        <v>46665</v>
      </c>
      <c r="N555" t="s">
        <v>1618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2609</v>
      </c>
      <c r="C556" t="s">
        <v>2604</v>
      </c>
      <c r="D556" s="3">
        <v>27290</v>
      </c>
      <c r="E556" t="s">
        <v>1386</v>
      </c>
      <c r="F556">
        <v>198</v>
      </c>
      <c r="G556" s="3">
        <v>37830</v>
      </c>
      <c r="H556" t="s">
        <v>2610</v>
      </c>
      <c r="J556" t="s">
        <v>1707</v>
      </c>
      <c r="K556" t="s">
        <v>64</v>
      </c>
      <c r="L556" s="3">
        <v>47611</v>
      </c>
      <c r="M556" s="3">
        <v>46518</v>
      </c>
      <c r="N556" t="s">
        <v>2611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1948</v>
      </c>
      <c r="C557" t="s">
        <v>1937</v>
      </c>
      <c r="D557" s="3">
        <v>24895</v>
      </c>
      <c r="E557" t="s">
        <v>1386</v>
      </c>
      <c r="F557">
        <v>579</v>
      </c>
      <c r="G557" s="3">
        <v>37830</v>
      </c>
      <c r="H557" t="s">
        <v>1949</v>
      </c>
      <c r="J557" t="s">
        <v>1509</v>
      </c>
      <c r="K557" t="s">
        <v>64</v>
      </c>
      <c r="L557" s="3">
        <v>47678</v>
      </c>
      <c r="M557" s="3">
        <v>46686</v>
      </c>
      <c r="N557" t="s">
        <v>1950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1532</v>
      </c>
      <c r="C558" t="s">
        <v>1529</v>
      </c>
      <c r="D558" s="3">
        <v>29948</v>
      </c>
      <c r="E558" t="s">
        <v>1386</v>
      </c>
      <c r="F558">
        <v>251</v>
      </c>
      <c r="G558" s="3">
        <v>37788</v>
      </c>
      <c r="H558" t="s">
        <v>1533</v>
      </c>
      <c r="J558" t="s">
        <v>1492</v>
      </c>
      <c r="K558" t="s">
        <v>64</v>
      </c>
      <c r="L558" s="3">
        <v>47721</v>
      </c>
      <c r="M558" s="3">
        <v>46776</v>
      </c>
      <c r="N558" t="s">
        <v>1534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1987</v>
      </c>
      <c r="C559" t="s">
        <v>1968</v>
      </c>
      <c r="D559" s="3">
        <v>29405</v>
      </c>
      <c r="E559" t="s">
        <v>1386</v>
      </c>
      <c r="F559">
        <v>501</v>
      </c>
      <c r="G559" s="3">
        <v>37767</v>
      </c>
      <c r="H559" t="s">
        <v>1988</v>
      </c>
      <c r="J559" t="s">
        <v>1611</v>
      </c>
      <c r="K559" t="s">
        <v>55</v>
      </c>
      <c r="L559" s="3">
        <v>45969</v>
      </c>
      <c r="M559" s="3">
        <v>46686</v>
      </c>
      <c r="N559" t="s">
        <v>1989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1553</v>
      </c>
      <c r="C560" t="s">
        <v>1544</v>
      </c>
      <c r="D560" s="3">
        <v>28338</v>
      </c>
      <c r="E560" t="s">
        <v>1386</v>
      </c>
      <c r="F560">
        <v>186</v>
      </c>
      <c r="G560" s="3">
        <v>37739</v>
      </c>
      <c r="H560" t="s">
        <v>1554</v>
      </c>
      <c r="J560" t="s">
        <v>1555</v>
      </c>
      <c r="K560" t="s">
        <v>73</v>
      </c>
      <c r="L560" s="3">
        <v>47645</v>
      </c>
      <c r="M560" s="3">
        <v>46434</v>
      </c>
      <c r="N560" t="s">
        <v>1556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3006</v>
      </c>
      <c r="C561" t="s">
        <v>1333</v>
      </c>
      <c r="D561" s="3">
        <v>26166</v>
      </c>
      <c r="E561" t="s">
        <v>1386</v>
      </c>
      <c r="G561" s="3">
        <v>37718</v>
      </c>
      <c r="H561" t="s">
        <v>3007</v>
      </c>
      <c r="J561" t="s">
        <v>1573</v>
      </c>
      <c r="K561" t="s">
        <v>64</v>
      </c>
      <c r="L561" s="3">
        <v>46168</v>
      </c>
      <c r="M561" s="3">
        <v>46056</v>
      </c>
      <c r="N561" t="s">
        <v>3008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1845</v>
      </c>
      <c r="C562" t="s">
        <v>1846</v>
      </c>
      <c r="D562" s="3">
        <v>29917</v>
      </c>
      <c r="E562" t="s">
        <v>1386</v>
      </c>
      <c r="F562">
        <v>556</v>
      </c>
      <c r="G562" s="3">
        <v>37718</v>
      </c>
      <c r="H562" t="s">
        <v>1847</v>
      </c>
      <c r="J562" t="s">
        <v>1509</v>
      </c>
      <c r="K562" t="s">
        <v>55</v>
      </c>
      <c r="L562" s="3">
        <v>47650</v>
      </c>
      <c r="M562" s="3">
        <v>46466</v>
      </c>
      <c r="N562" t="s">
        <v>1848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2880</v>
      </c>
      <c r="C563" t="s">
        <v>2874</v>
      </c>
      <c r="D563" s="3">
        <v>24476</v>
      </c>
      <c r="E563" t="s">
        <v>1386</v>
      </c>
      <c r="F563">
        <v>503</v>
      </c>
      <c r="G563" s="3">
        <v>37634</v>
      </c>
      <c r="H563" t="s">
        <v>2881</v>
      </c>
      <c r="J563" t="s">
        <v>1509</v>
      </c>
      <c r="K563" t="s">
        <v>55</v>
      </c>
      <c r="L563" s="3">
        <v>47541</v>
      </c>
      <c r="M563" s="3">
        <v>46772</v>
      </c>
      <c r="N563" t="s">
        <v>2882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2214</v>
      </c>
      <c r="C564" t="s">
        <v>2887</v>
      </c>
      <c r="D564" s="3">
        <v>28129</v>
      </c>
      <c r="E564" t="s">
        <v>1386</v>
      </c>
      <c r="F564">
        <v>561</v>
      </c>
      <c r="G564" s="3">
        <v>37585</v>
      </c>
      <c r="H564" t="s">
        <v>2893</v>
      </c>
      <c r="J564" t="s">
        <v>1643</v>
      </c>
      <c r="K564" t="s">
        <v>58</v>
      </c>
      <c r="L564" s="3">
        <v>47679</v>
      </c>
      <c r="M564" s="3">
        <v>46511</v>
      </c>
      <c r="N564" t="s">
        <v>2894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2416</v>
      </c>
      <c r="C565" t="s">
        <v>2417</v>
      </c>
      <c r="D565" s="3">
        <v>26952</v>
      </c>
      <c r="E565" t="s">
        <v>1386</v>
      </c>
      <c r="F565">
        <v>373</v>
      </c>
      <c r="G565" s="3">
        <v>37564</v>
      </c>
      <c r="H565" t="s">
        <v>2418</v>
      </c>
      <c r="J565" t="s">
        <v>1707</v>
      </c>
      <c r="K565" t="s">
        <v>64</v>
      </c>
      <c r="L565" s="3">
        <v>47639</v>
      </c>
      <c r="M565" s="3">
        <v>46201</v>
      </c>
      <c r="N565" t="s">
        <v>2419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2506</v>
      </c>
      <c r="C566" t="s">
        <v>2503</v>
      </c>
      <c r="D566" s="3">
        <v>26171</v>
      </c>
      <c r="E566" t="s">
        <v>1386</v>
      </c>
      <c r="F566">
        <v>383</v>
      </c>
      <c r="G566" s="3">
        <v>37543</v>
      </c>
      <c r="H566" t="s">
        <v>2507</v>
      </c>
      <c r="J566" t="s">
        <v>1560</v>
      </c>
      <c r="K566" t="s">
        <v>52</v>
      </c>
      <c r="L566" s="3">
        <v>72686</v>
      </c>
      <c r="M566" s="3">
        <v>72686</v>
      </c>
      <c r="N566" t="s">
        <v>2508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1951</v>
      </c>
      <c r="C567" t="s">
        <v>1937</v>
      </c>
      <c r="D567" s="3">
        <v>29607</v>
      </c>
      <c r="E567" t="s">
        <v>1386</v>
      </c>
      <c r="F567">
        <v>314</v>
      </c>
      <c r="G567" s="3">
        <v>37543</v>
      </c>
      <c r="H567" t="s">
        <v>1952</v>
      </c>
      <c r="J567" t="s">
        <v>1492</v>
      </c>
      <c r="K567" t="s">
        <v>55</v>
      </c>
      <c r="L567" s="3">
        <v>72686</v>
      </c>
      <c r="M567" s="3">
        <v>46693</v>
      </c>
      <c r="N567" t="s">
        <v>1953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3154</v>
      </c>
      <c r="C568" t="s">
        <v>3155</v>
      </c>
      <c r="D568" s="3">
        <v>25192</v>
      </c>
      <c r="E568" t="s">
        <v>1386</v>
      </c>
      <c r="F568">
        <v>563</v>
      </c>
      <c r="G568" s="3">
        <v>37543</v>
      </c>
      <c r="H568" t="s">
        <v>3156</v>
      </c>
      <c r="J568" t="s">
        <v>1643</v>
      </c>
      <c r="K568" t="s">
        <v>58</v>
      </c>
      <c r="L568" s="3">
        <v>47636</v>
      </c>
      <c r="M568" s="3">
        <v>46294</v>
      </c>
      <c r="N568" t="s">
        <v>3157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3035</v>
      </c>
      <c r="C569" t="s">
        <v>3023</v>
      </c>
      <c r="D569" s="3">
        <v>24300</v>
      </c>
      <c r="E569" t="s">
        <v>1386</v>
      </c>
      <c r="F569">
        <v>505</v>
      </c>
      <c r="G569" s="3">
        <v>37501</v>
      </c>
      <c r="H569" t="s">
        <v>3036</v>
      </c>
      <c r="I569">
        <v>92365262</v>
      </c>
      <c r="J569" t="s">
        <v>1509</v>
      </c>
      <c r="K569" t="s">
        <v>58</v>
      </c>
      <c r="L569" s="3">
        <v>47652</v>
      </c>
      <c r="M569" s="3">
        <v>46279</v>
      </c>
      <c r="N569" t="s">
        <v>3037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2724</v>
      </c>
      <c r="C570" t="s">
        <v>2725</v>
      </c>
      <c r="D570" s="3">
        <v>26648</v>
      </c>
      <c r="E570" t="s">
        <v>1386</v>
      </c>
      <c r="F570">
        <v>190</v>
      </c>
      <c r="G570" s="3">
        <v>37424</v>
      </c>
      <c r="H570" t="s">
        <v>2726</v>
      </c>
      <c r="J570" t="s">
        <v>1687</v>
      </c>
      <c r="K570" t="s">
        <v>70</v>
      </c>
      <c r="L570" s="3">
        <v>72686</v>
      </c>
      <c r="M570" s="3">
        <v>46369</v>
      </c>
      <c r="N570" t="s">
        <v>2727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1933</v>
      </c>
      <c r="C571" t="s">
        <v>1926</v>
      </c>
      <c r="D571" s="3">
        <v>29490</v>
      </c>
      <c r="E571" t="s">
        <v>1386</v>
      </c>
      <c r="F571">
        <v>558</v>
      </c>
      <c r="G571" s="3">
        <v>37424</v>
      </c>
      <c r="H571" t="s">
        <v>1934</v>
      </c>
      <c r="J571" t="s">
        <v>1509</v>
      </c>
      <c r="K571" t="s">
        <v>55</v>
      </c>
      <c r="L571" s="3">
        <v>45915</v>
      </c>
      <c r="M571" s="3">
        <v>46273</v>
      </c>
      <c r="N571" t="s">
        <v>1935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1511</v>
      </c>
      <c r="C572" t="s">
        <v>1512</v>
      </c>
      <c r="D572" s="3">
        <v>23621</v>
      </c>
      <c r="E572" t="s">
        <v>1386</v>
      </c>
      <c r="F572">
        <v>7</v>
      </c>
      <c r="G572" s="3">
        <v>37397</v>
      </c>
      <c r="H572" t="s">
        <v>1513</v>
      </c>
      <c r="J572" t="s">
        <v>1514</v>
      </c>
      <c r="K572" t="s">
        <v>73</v>
      </c>
      <c r="L572" s="3">
        <v>47705</v>
      </c>
      <c r="M572" s="3">
        <v>46369</v>
      </c>
      <c r="N572" t="s">
        <v>1515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1562</v>
      </c>
      <c r="C573" t="s">
        <v>1605</v>
      </c>
      <c r="D573" s="3">
        <v>27851</v>
      </c>
      <c r="E573" t="s">
        <v>1386</v>
      </c>
      <c r="F573">
        <v>142</v>
      </c>
      <c r="G573" s="3">
        <v>37333</v>
      </c>
      <c r="H573" t="s">
        <v>1606</v>
      </c>
      <c r="J573" t="s">
        <v>1440</v>
      </c>
      <c r="K573" t="s">
        <v>55</v>
      </c>
      <c r="L573" s="3">
        <v>72686</v>
      </c>
      <c r="M573" s="3">
        <v>46798</v>
      </c>
      <c r="N573" t="s">
        <v>1607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1562</v>
      </c>
      <c r="C574" t="s">
        <v>1685</v>
      </c>
      <c r="D574" s="3">
        <v>26466</v>
      </c>
      <c r="E574" t="s">
        <v>1386</v>
      </c>
      <c r="F574">
        <v>424</v>
      </c>
      <c r="G574" s="3">
        <v>37284</v>
      </c>
      <c r="H574" t="s">
        <v>1686</v>
      </c>
      <c r="J574" t="s">
        <v>1687</v>
      </c>
      <c r="K574" t="s">
        <v>58</v>
      </c>
      <c r="L574" s="3">
        <v>45923</v>
      </c>
      <c r="M574" s="3">
        <v>46064</v>
      </c>
      <c r="N574" t="s">
        <v>1688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2441</v>
      </c>
      <c r="C575" t="s">
        <v>2435</v>
      </c>
      <c r="D575" s="3">
        <v>28506</v>
      </c>
      <c r="E575" t="s">
        <v>1386</v>
      </c>
      <c r="F575">
        <v>249</v>
      </c>
      <c r="G575" s="3">
        <v>37214</v>
      </c>
      <c r="H575" t="s">
        <v>2442</v>
      </c>
      <c r="J575" t="s">
        <v>1492</v>
      </c>
      <c r="K575" t="s">
        <v>73</v>
      </c>
      <c r="L575" s="3">
        <v>47705</v>
      </c>
      <c r="M575" s="3">
        <v>46152</v>
      </c>
      <c r="N575" t="s">
        <v>2443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1793</v>
      </c>
      <c r="C576" t="s">
        <v>1790</v>
      </c>
      <c r="D576" s="3">
        <v>26839</v>
      </c>
      <c r="E576" t="s">
        <v>1386</v>
      </c>
      <c r="F576">
        <v>208</v>
      </c>
      <c r="G576" s="3">
        <v>37214</v>
      </c>
      <c r="H576" t="s">
        <v>1794</v>
      </c>
      <c r="J576" t="s">
        <v>1687</v>
      </c>
      <c r="K576" t="s">
        <v>70</v>
      </c>
      <c r="L576" s="3">
        <v>72686</v>
      </c>
      <c r="M576" s="3">
        <v>46887</v>
      </c>
      <c r="N576" t="s">
        <v>1795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3162</v>
      </c>
      <c r="C577" t="s">
        <v>3159</v>
      </c>
      <c r="D577" s="3">
        <v>29626</v>
      </c>
      <c r="E577" t="s">
        <v>1386</v>
      </c>
      <c r="F577">
        <v>37</v>
      </c>
      <c r="G577" s="3">
        <v>37193</v>
      </c>
      <c r="H577" t="s">
        <v>3163</v>
      </c>
      <c r="J577" t="s">
        <v>1412</v>
      </c>
      <c r="K577" t="s">
        <v>67</v>
      </c>
      <c r="L577" s="3">
        <v>72686</v>
      </c>
      <c r="M577" s="3">
        <v>46742</v>
      </c>
      <c r="N577" t="s">
        <v>3164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1633</v>
      </c>
      <c r="C578" t="s">
        <v>1217</v>
      </c>
      <c r="D578" s="3">
        <v>28371</v>
      </c>
      <c r="E578" t="s">
        <v>1386</v>
      </c>
      <c r="F578">
        <v>340</v>
      </c>
      <c r="G578" s="3">
        <v>37047</v>
      </c>
      <c r="H578" t="s">
        <v>1900</v>
      </c>
      <c r="J578" t="s">
        <v>1560</v>
      </c>
      <c r="K578" t="s">
        <v>52</v>
      </c>
      <c r="L578" s="3">
        <v>47726</v>
      </c>
      <c r="M578" s="3">
        <v>46028</v>
      </c>
      <c r="N578" t="s">
        <v>1901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1837</v>
      </c>
      <c r="C579" t="s">
        <v>1832</v>
      </c>
      <c r="D579" s="3">
        <v>25829</v>
      </c>
      <c r="E579" t="s">
        <v>1386</v>
      </c>
      <c r="F579">
        <v>578</v>
      </c>
      <c r="G579" s="3">
        <v>37018</v>
      </c>
      <c r="H579" t="s">
        <v>1838</v>
      </c>
      <c r="J579" t="s">
        <v>1501</v>
      </c>
      <c r="K579" t="s">
        <v>64</v>
      </c>
      <c r="L579" s="3">
        <v>47607</v>
      </c>
      <c r="M579" s="3">
        <v>46005</v>
      </c>
      <c r="N579" t="s">
        <v>1839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1664</v>
      </c>
      <c r="C580" t="s">
        <v>1655</v>
      </c>
      <c r="D580" s="3">
        <v>26636</v>
      </c>
      <c r="E580" t="s">
        <v>1386</v>
      </c>
      <c r="F580">
        <v>237</v>
      </c>
      <c r="G580" s="3">
        <v>36998</v>
      </c>
      <c r="I580">
        <v>92300557</v>
      </c>
      <c r="J580" t="s">
        <v>1492</v>
      </c>
      <c r="K580" t="s">
        <v>64</v>
      </c>
      <c r="L580" s="3">
        <v>72686</v>
      </c>
      <c r="M580" s="3">
        <v>46182</v>
      </c>
      <c r="N580" t="s">
        <v>1665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1481</v>
      </c>
      <c r="C581" t="s">
        <v>2639</v>
      </c>
      <c r="D581" s="3">
        <v>29008</v>
      </c>
      <c r="E581" t="s">
        <v>1386</v>
      </c>
      <c r="F581">
        <v>140</v>
      </c>
      <c r="G581" s="3">
        <v>36948</v>
      </c>
      <c r="I581">
        <v>477886484</v>
      </c>
      <c r="J581" t="s">
        <v>1427</v>
      </c>
      <c r="K581" t="s">
        <v>61</v>
      </c>
      <c r="L581" s="3">
        <v>47635</v>
      </c>
      <c r="M581" s="3">
        <v>47615</v>
      </c>
      <c r="N581" t="s">
        <v>2648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3017</v>
      </c>
      <c r="C582" t="s">
        <v>3132</v>
      </c>
      <c r="D582" s="3">
        <v>25548</v>
      </c>
      <c r="E582" t="s">
        <v>1386</v>
      </c>
      <c r="F582">
        <v>56</v>
      </c>
      <c r="G582" s="3">
        <v>36948</v>
      </c>
      <c r="H582" t="s">
        <v>3133</v>
      </c>
      <c r="J582" t="s">
        <v>1560</v>
      </c>
      <c r="K582" t="s">
        <v>52</v>
      </c>
      <c r="L582" s="3">
        <v>47622</v>
      </c>
      <c r="M582" s="3">
        <v>47615</v>
      </c>
      <c r="N582" t="s">
        <v>3134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3436</v>
      </c>
      <c r="C583" t="s">
        <v>3431</v>
      </c>
      <c r="D583" s="3">
        <v>22182</v>
      </c>
      <c r="E583" t="s">
        <v>1386</v>
      </c>
      <c r="F583">
        <v>236</v>
      </c>
      <c r="G583" s="3">
        <v>36923</v>
      </c>
      <c r="H583" t="s">
        <v>3437</v>
      </c>
      <c r="I583">
        <v>92262940</v>
      </c>
      <c r="J583" t="s">
        <v>1560</v>
      </c>
      <c r="K583" t="s">
        <v>73</v>
      </c>
      <c r="L583" s="3">
        <v>72686</v>
      </c>
      <c r="M583" s="3">
        <v>72686</v>
      </c>
      <c r="N583" t="s">
        <v>3438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1490</v>
      </c>
      <c r="C584" t="s">
        <v>556</v>
      </c>
      <c r="D584" s="3">
        <v>28294</v>
      </c>
      <c r="E584" t="s">
        <v>1386</v>
      </c>
      <c r="F584">
        <v>188</v>
      </c>
      <c r="G584" s="3">
        <v>36923</v>
      </c>
      <c r="H584" t="s">
        <v>1491</v>
      </c>
      <c r="J584" t="s">
        <v>1492</v>
      </c>
      <c r="K584" t="s">
        <v>64</v>
      </c>
      <c r="L584" s="3">
        <v>73050</v>
      </c>
      <c r="M584" s="3">
        <v>46866</v>
      </c>
      <c r="N584" t="s">
        <v>1493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3089</v>
      </c>
      <c r="C585" t="s">
        <v>2413</v>
      </c>
      <c r="D585" s="3">
        <v>27540</v>
      </c>
      <c r="E585" t="s">
        <v>1386</v>
      </c>
      <c r="F585">
        <v>536</v>
      </c>
      <c r="G585" s="3">
        <v>36853</v>
      </c>
      <c r="H585" t="s">
        <v>3090</v>
      </c>
      <c r="J585" t="s">
        <v>1555</v>
      </c>
      <c r="K585" t="s">
        <v>55</v>
      </c>
      <c r="L585" s="3">
        <v>47583</v>
      </c>
      <c r="M585" s="3">
        <v>47568</v>
      </c>
      <c r="N585" t="s">
        <v>3091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2269</v>
      </c>
      <c r="C586" t="s">
        <v>2265</v>
      </c>
      <c r="D586" s="3">
        <v>23480</v>
      </c>
      <c r="E586" t="s">
        <v>1386</v>
      </c>
      <c r="F586">
        <v>633</v>
      </c>
      <c r="G586" s="3">
        <v>36815</v>
      </c>
      <c r="H586" t="s">
        <v>2270</v>
      </c>
      <c r="J586" t="s">
        <v>1509</v>
      </c>
      <c r="K586" t="s">
        <v>58</v>
      </c>
      <c r="L586" s="3">
        <v>47698</v>
      </c>
      <c r="M586" s="3">
        <v>47678</v>
      </c>
      <c r="N586" t="s">
        <v>2271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2264</v>
      </c>
      <c r="C587" t="s">
        <v>1348</v>
      </c>
      <c r="D587" s="3">
        <v>28745</v>
      </c>
      <c r="E587" t="s">
        <v>1386</v>
      </c>
      <c r="F587">
        <v>417</v>
      </c>
      <c r="G587" s="3">
        <v>36759</v>
      </c>
      <c r="H587" t="s">
        <v>2488</v>
      </c>
      <c r="J587" t="s">
        <v>1440</v>
      </c>
      <c r="K587" t="s">
        <v>73</v>
      </c>
      <c r="L587" s="3">
        <v>47356</v>
      </c>
      <c r="M587" s="3">
        <v>47351</v>
      </c>
      <c r="N587" t="s">
        <v>2489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3075</v>
      </c>
      <c r="C588" t="s">
        <v>2413</v>
      </c>
      <c r="D588" s="3">
        <v>25839</v>
      </c>
      <c r="E588" t="s">
        <v>1386</v>
      </c>
      <c r="F588">
        <v>176</v>
      </c>
      <c r="G588" s="3">
        <v>36690</v>
      </c>
      <c r="H588" t="s">
        <v>3076</v>
      </c>
      <c r="J588" t="s">
        <v>1505</v>
      </c>
      <c r="K588" t="s">
        <v>58</v>
      </c>
      <c r="L588" s="3">
        <v>47337</v>
      </c>
      <c r="M588" s="3">
        <v>47328</v>
      </c>
      <c r="N588" t="s">
        <v>3077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1557</v>
      </c>
      <c r="C589" t="s">
        <v>1558</v>
      </c>
      <c r="D589" s="3">
        <v>28780</v>
      </c>
      <c r="E589" t="s">
        <v>1386</v>
      </c>
      <c r="F589">
        <v>397</v>
      </c>
      <c r="G589" s="3">
        <v>36654</v>
      </c>
      <c r="H589" t="s">
        <v>1559</v>
      </c>
      <c r="J589" t="s">
        <v>1560</v>
      </c>
      <c r="K589" t="s">
        <v>67</v>
      </c>
      <c r="L589" s="3">
        <v>73050</v>
      </c>
      <c r="M589" s="3">
        <v>47460</v>
      </c>
      <c r="N589" t="s">
        <v>1561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2401</v>
      </c>
      <c r="C590" t="s">
        <v>2402</v>
      </c>
      <c r="D590" s="3">
        <v>23853</v>
      </c>
      <c r="E590" t="s">
        <v>1386</v>
      </c>
      <c r="F590">
        <v>214</v>
      </c>
      <c r="G590" s="3">
        <v>36612</v>
      </c>
      <c r="H590" t="s">
        <v>2403</v>
      </c>
      <c r="I590">
        <v>92312370</v>
      </c>
      <c r="J590" t="s">
        <v>1643</v>
      </c>
      <c r="K590" t="s">
        <v>73</v>
      </c>
      <c r="L590" s="3">
        <v>47400</v>
      </c>
      <c r="M590" s="3">
        <v>47399</v>
      </c>
      <c r="N590" t="s">
        <v>2404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1998</v>
      </c>
      <c r="C591" t="s">
        <v>1999</v>
      </c>
      <c r="D591" s="3">
        <v>25467</v>
      </c>
      <c r="E591" t="s">
        <v>1386</v>
      </c>
      <c r="F591">
        <v>165</v>
      </c>
      <c r="G591" s="3">
        <v>36542</v>
      </c>
      <c r="H591" t="s">
        <v>2000</v>
      </c>
      <c r="J591" t="s">
        <v>1560</v>
      </c>
      <c r="K591" t="s">
        <v>73</v>
      </c>
      <c r="L591" s="3">
        <v>47338</v>
      </c>
      <c r="M591" s="3">
        <v>47251</v>
      </c>
      <c r="N591" t="s">
        <v>2001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2072</v>
      </c>
      <c r="C592" t="s">
        <v>2073</v>
      </c>
      <c r="D592" s="3">
        <v>27991</v>
      </c>
      <c r="E592" t="s">
        <v>1386</v>
      </c>
      <c r="F592">
        <v>333</v>
      </c>
      <c r="G592" s="3">
        <v>36388</v>
      </c>
      <c r="H592" t="s">
        <v>2074</v>
      </c>
      <c r="I592">
        <v>92324068</v>
      </c>
      <c r="J592" t="s">
        <v>1505</v>
      </c>
      <c r="K592" t="s">
        <v>73</v>
      </c>
      <c r="L592" s="3">
        <v>47639</v>
      </c>
      <c r="M592" s="3">
        <v>46974</v>
      </c>
      <c r="N592" t="s">
        <v>2075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1824</v>
      </c>
      <c r="C593" t="s">
        <v>2858</v>
      </c>
      <c r="D593" s="3">
        <v>23283</v>
      </c>
      <c r="E593" t="s">
        <v>1386</v>
      </c>
      <c r="F593">
        <v>632</v>
      </c>
      <c r="G593" s="3">
        <v>36332</v>
      </c>
      <c r="H593" t="s">
        <v>2859</v>
      </c>
      <c r="J593" t="s">
        <v>1509</v>
      </c>
      <c r="K593" t="s">
        <v>55</v>
      </c>
      <c r="L593" s="3">
        <v>47659</v>
      </c>
      <c r="M593" s="3">
        <v>46974</v>
      </c>
      <c r="N593" t="s">
        <v>2860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2788</v>
      </c>
      <c r="C594" t="s">
        <v>2789</v>
      </c>
      <c r="D594" s="3">
        <v>27019</v>
      </c>
      <c r="E594" t="s">
        <v>1386</v>
      </c>
      <c r="F594">
        <v>246</v>
      </c>
      <c r="G594" s="3">
        <v>36311</v>
      </c>
      <c r="H594" t="s">
        <v>2790</v>
      </c>
      <c r="J594" t="s">
        <v>1687</v>
      </c>
      <c r="K594" t="s">
        <v>55</v>
      </c>
      <c r="L594" s="3">
        <v>72686</v>
      </c>
      <c r="M594" s="3">
        <v>47189</v>
      </c>
      <c r="N594" t="s">
        <v>2791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2354</v>
      </c>
      <c r="C595" t="s">
        <v>2355</v>
      </c>
      <c r="D595" s="3">
        <v>24187</v>
      </c>
      <c r="E595" t="s">
        <v>1386</v>
      </c>
      <c r="F595">
        <v>325</v>
      </c>
      <c r="G595" s="3">
        <v>36262</v>
      </c>
      <c r="H595" t="s">
        <v>2356</v>
      </c>
      <c r="J595" t="s">
        <v>1687</v>
      </c>
      <c r="K595" t="s">
        <v>73</v>
      </c>
      <c r="L595" s="3">
        <v>45938</v>
      </c>
      <c r="M595" s="3">
        <v>46938</v>
      </c>
      <c r="N595" t="s">
        <v>2357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2618</v>
      </c>
      <c r="C596" t="s">
        <v>2619</v>
      </c>
      <c r="D596" s="3">
        <v>27316</v>
      </c>
      <c r="E596" t="s">
        <v>1386</v>
      </c>
      <c r="F596">
        <v>9</v>
      </c>
      <c r="G596" s="3">
        <v>36227</v>
      </c>
      <c r="H596" t="s">
        <v>2620</v>
      </c>
      <c r="J596" t="s">
        <v>1560</v>
      </c>
      <c r="K596" t="s">
        <v>58</v>
      </c>
      <c r="L596" s="3">
        <v>46880</v>
      </c>
      <c r="M596" s="3">
        <v>46853</v>
      </c>
      <c r="N596" t="s">
        <v>2621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2272</v>
      </c>
      <c r="C597" t="s">
        <v>2273</v>
      </c>
      <c r="D597" s="3">
        <v>23986</v>
      </c>
      <c r="E597" t="s">
        <v>1386</v>
      </c>
      <c r="F597">
        <v>181</v>
      </c>
      <c r="G597" s="3">
        <v>36227</v>
      </c>
      <c r="H597" t="s">
        <v>2274</v>
      </c>
      <c r="I597">
        <v>93622072</v>
      </c>
      <c r="J597" t="s">
        <v>1492</v>
      </c>
      <c r="K597" t="s">
        <v>67</v>
      </c>
      <c r="L597" s="3">
        <v>73050</v>
      </c>
      <c r="M597" s="3">
        <v>45902</v>
      </c>
      <c r="N597" t="s">
        <v>2275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2686</v>
      </c>
      <c r="C598" t="s">
        <v>2687</v>
      </c>
      <c r="D598" s="3">
        <v>27384</v>
      </c>
      <c r="E598" t="s">
        <v>1386</v>
      </c>
      <c r="F598">
        <v>48</v>
      </c>
      <c r="G598" s="3">
        <v>36080</v>
      </c>
      <c r="H598" t="s">
        <v>2688</v>
      </c>
      <c r="J598" t="s">
        <v>1440</v>
      </c>
      <c r="K598" t="s">
        <v>64</v>
      </c>
      <c r="L598" s="3">
        <v>47614</v>
      </c>
      <c r="M598" s="3">
        <v>46704</v>
      </c>
      <c r="N598" t="s">
        <v>2689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2045</v>
      </c>
      <c r="C599" t="s">
        <v>2046</v>
      </c>
      <c r="D599" s="3">
        <v>28038</v>
      </c>
      <c r="E599" t="s">
        <v>1386</v>
      </c>
      <c r="F599">
        <v>534</v>
      </c>
      <c r="G599" s="3">
        <v>35948</v>
      </c>
      <c r="H599" t="s">
        <v>2047</v>
      </c>
      <c r="J599" t="s">
        <v>1611</v>
      </c>
      <c r="K599" t="s">
        <v>55</v>
      </c>
      <c r="L599" s="3">
        <v>45928</v>
      </c>
      <c r="M599" s="3">
        <v>46623</v>
      </c>
      <c r="N599" t="s">
        <v>2048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1459</v>
      </c>
      <c r="C600" t="s">
        <v>1460</v>
      </c>
      <c r="D600" s="3">
        <v>25268</v>
      </c>
      <c r="E600" t="s">
        <v>1386</v>
      </c>
      <c r="F600">
        <v>332</v>
      </c>
      <c r="G600" s="3">
        <v>35948</v>
      </c>
      <c r="H600" t="s">
        <v>1461</v>
      </c>
      <c r="J600" t="s">
        <v>1462</v>
      </c>
      <c r="K600" t="s">
        <v>55</v>
      </c>
      <c r="L600" s="3">
        <v>73050</v>
      </c>
      <c r="M600" s="3">
        <v>46887</v>
      </c>
      <c r="N600" t="s">
        <v>1463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1543</v>
      </c>
      <c r="C601" t="s">
        <v>1544</v>
      </c>
      <c r="D601" s="3">
        <v>24256</v>
      </c>
      <c r="E601" t="s">
        <v>1386</v>
      </c>
      <c r="F601">
        <v>107</v>
      </c>
      <c r="G601" s="3">
        <v>35891</v>
      </c>
      <c r="H601" t="s">
        <v>1545</v>
      </c>
      <c r="J601" t="s">
        <v>1492</v>
      </c>
      <c r="K601" t="s">
        <v>67</v>
      </c>
      <c r="L601" s="3">
        <v>73050</v>
      </c>
      <c r="M601" s="3">
        <v>46791</v>
      </c>
      <c r="N601" t="s">
        <v>1546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2025-09-26T07:06:55Z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