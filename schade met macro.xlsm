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3.xml" ContentType="application/vnd.openxmlformats-officedocument.drawing+xml"/>
  <Override PartName="/xl/timelines/timeline2.xml" ContentType="application/vnd.ms-excel.timelin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717" documentId="13_ncr:1_{10FCACA5-8197-478D-90D3-5F83063FB753}" xr6:coauthVersionLast="47" xr6:coauthVersionMax="47" xr10:uidLastSave="{F23391D1-084C-41DB-9CF1-284602EA0F56}"/>
  <bookViews>
    <workbookView xWindow="-14040" yWindow="-16320" windowWidth="29040" windowHeight="15720" tabRatio="656" activeTab="2" xr2:uid="{D7AB5F58-0F25-45E4-9869-1B2DB4C7BDA0}"/>
  </bookViews>
  <sheets>
    <sheet name="OLD" sheetId="11" r:id="rId1"/>
    <sheet name="naar word" sheetId="12" state="hidden" r:id="rId2"/>
    <sheet name="BRON" sheetId="1" r:id="rId3"/>
    <sheet name="Blad1" sheetId="14" r:id="rId4"/>
    <sheet name="contact" sheetId="13" state="hidden" r:id="rId5"/>
    <sheet name="archief 2024" sheetId="10" state="hidden" r:id="rId6"/>
    <sheet name="data hastus" sheetId="3" state="hidden" r:id="rId7"/>
  </sheets>
  <functionGroups builtInGroupCount="19"/>
  <externalReferences>
    <externalReference r:id="rId8"/>
  </externalReferences>
  <definedNames>
    <definedName name="_xlnm._FilterDatabase" localSheetId="2" hidden="1">BRON!$A$1:$E$1</definedName>
    <definedName name="_xlnm._FilterDatabase" localSheetId="6" hidden="1">'data hastus'!$A$1:$T$1</definedName>
    <definedName name="OorspronkelijkeTijdlijn_Datum">#N/A</definedName>
    <definedName name="OorspronkelijkeTijdlijn_Datum1">#N/A</definedName>
    <definedName name="Slicer_teamcoach">#N/A</definedName>
  </definedNames>
  <calcPr calcId="191029"/>
  <pivotCaches>
    <pivotCache cacheId="13" r:id="rId9"/>
  </pivotCaches>
  <extLst>
    <ext xmlns:x14="http://schemas.microsoft.com/office/spreadsheetml/2009/9/main" uri="{BBE1A952-AA13-448e-AADC-164F8A28A991}">
      <x14:slicerCaches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1"/>
        <x15:timelineCacheRef r:id="rId12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B979" i="1" s="1"/>
  <c r="D979" i="1"/>
  <c r="E979" i="1"/>
  <c r="S979" i="1"/>
  <c r="C978" i="1"/>
  <c r="B978" i="1" s="1"/>
  <c r="D978" i="1"/>
  <c r="E978" i="1"/>
  <c r="S978" i="1"/>
  <c r="C977" i="1"/>
  <c r="B977" i="1" s="1"/>
  <c r="D977" i="1"/>
  <c r="E977" i="1"/>
  <c r="S977" i="1"/>
  <c r="B976" i="1"/>
  <c r="C976" i="1"/>
  <c r="D976" i="1"/>
  <c r="E976" i="1"/>
  <c r="S976" i="1"/>
  <c r="C975" i="1"/>
  <c r="B975" i="1" s="1"/>
  <c r="D975" i="1"/>
  <c r="E975" i="1"/>
  <c r="S975" i="1"/>
  <c r="C974" i="1"/>
  <c r="D974" i="1"/>
  <c r="E974" i="1"/>
  <c r="S974" i="1"/>
  <c r="C973" i="1"/>
  <c r="B973" i="1" s="1"/>
  <c r="D973" i="1"/>
  <c r="E973" i="1"/>
  <c r="S973" i="1"/>
  <c r="C972" i="1"/>
  <c r="D972" i="1"/>
  <c r="E972" i="1"/>
  <c r="S972" i="1"/>
  <c r="C964" i="1"/>
  <c r="D964" i="1"/>
  <c r="E964" i="1"/>
  <c r="S964" i="1"/>
  <c r="C971" i="1"/>
  <c r="D971" i="1"/>
  <c r="E971" i="1"/>
  <c r="S971" i="1"/>
  <c r="C955" i="1"/>
  <c r="D955" i="1"/>
  <c r="E955" i="1"/>
  <c r="S955" i="1"/>
  <c r="C951" i="1"/>
  <c r="D951" i="1"/>
  <c r="E951" i="1"/>
  <c r="S951" i="1"/>
  <c r="C952" i="1"/>
  <c r="D952" i="1"/>
  <c r="E952" i="1"/>
  <c r="S952" i="1"/>
  <c r="C947" i="1"/>
  <c r="D947" i="1"/>
  <c r="E947" i="1"/>
  <c r="S947" i="1"/>
  <c r="C909" i="1"/>
  <c r="D909" i="1"/>
  <c r="E909" i="1"/>
  <c r="S909" i="1"/>
  <c r="C968" i="1"/>
  <c r="D968" i="1"/>
  <c r="E968" i="1"/>
  <c r="S968" i="1"/>
  <c r="C962" i="1"/>
  <c r="D962" i="1"/>
  <c r="E962" i="1"/>
  <c r="S962" i="1"/>
  <c r="C950" i="1"/>
  <c r="D950" i="1"/>
  <c r="E950" i="1"/>
  <c r="S950" i="1"/>
  <c r="C970" i="1"/>
  <c r="D970" i="1"/>
  <c r="E970" i="1"/>
  <c r="S970" i="1"/>
  <c r="C965" i="1"/>
  <c r="D965" i="1"/>
  <c r="E965" i="1"/>
  <c r="S965" i="1"/>
  <c r="C967" i="1"/>
  <c r="D967" i="1"/>
  <c r="E967" i="1"/>
  <c r="S967" i="1"/>
  <c r="C961" i="1"/>
  <c r="D961" i="1"/>
  <c r="E961" i="1"/>
  <c r="S961" i="1"/>
  <c r="C969" i="1"/>
  <c r="D969" i="1"/>
  <c r="E969" i="1"/>
  <c r="S969" i="1"/>
  <c r="C966" i="1"/>
  <c r="D966" i="1"/>
  <c r="E966" i="1"/>
  <c r="S966" i="1"/>
  <c r="C960" i="1"/>
  <c r="D960" i="1"/>
  <c r="E960" i="1"/>
  <c r="S960" i="1"/>
  <c r="C959" i="1"/>
  <c r="D959" i="1"/>
  <c r="E959" i="1"/>
  <c r="S959" i="1"/>
  <c r="C963" i="1"/>
  <c r="D963" i="1"/>
  <c r="E963" i="1"/>
  <c r="S963" i="1"/>
  <c r="C958" i="1"/>
  <c r="D958" i="1"/>
  <c r="E958" i="1"/>
  <c r="S958" i="1"/>
  <c r="C957" i="1"/>
  <c r="D957" i="1"/>
  <c r="E957" i="1"/>
  <c r="S957" i="1"/>
  <c r="C954" i="1"/>
  <c r="D954" i="1"/>
  <c r="E954" i="1"/>
  <c r="S954" i="1"/>
  <c r="C956" i="1"/>
  <c r="D956" i="1"/>
  <c r="E956" i="1"/>
  <c r="S956" i="1"/>
  <c r="C949" i="1"/>
  <c r="D949" i="1"/>
  <c r="E949" i="1"/>
  <c r="S949" i="1"/>
  <c r="C953" i="1"/>
  <c r="D953" i="1"/>
  <c r="E953" i="1"/>
  <c r="S953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72" i="1" l="1"/>
  <c r="B974" i="1"/>
  <c r="B963" i="1"/>
  <c r="B967" i="1"/>
  <c r="B957" i="1"/>
  <c r="B960" i="1"/>
  <c r="B970" i="1"/>
  <c r="B962" i="1"/>
  <c r="B964" i="1"/>
  <c r="B966" i="1"/>
  <c r="B961" i="1"/>
  <c r="B965" i="1"/>
  <c r="B950" i="1"/>
  <c r="B971" i="1"/>
  <c r="B968" i="1"/>
  <c r="B969" i="1"/>
  <c r="B954" i="1"/>
  <c r="B949" i="1"/>
  <c r="B959" i="1"/>
  <c r="B958" i="1"/>
  <c r="B956" i="1"/>
  <c r="B947" i="1"/>
  <c r="B955" i="1"/>
  <c r="B951" i="1"/>
  <c r="B909" i="1"/>
  <c r="B952" i="1"/>
  <c r="B944" i="1"/>
  <c r="B948" i="1"/>
  <c r="B945" i="1"/>
  <c r="B953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AB823" i="1" s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AB420" i="1" s="1"/>
  <c r="B422" i="1"/>
  <c r="B137" i="1"/>
  <c r="B56" i="1"/>
  <c r="B288" i="1"/>
  <c r="B16" i="1"/>
  <c r="B19" i="1"/>
  <c r="B184" i="1"/>
  <c r="B205" i="1"/>
  <c r="AB205" i="1" s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AB772" i="1" s="1"/>
  <c r="B762" i="1"/>
  <c r="B754" i="1"/>
  <c r="B763" i="1"/>
  <c r="B779" i="1"/>
  <c r="B790" i="1"/>
  <c r="B793" i="1"/>
  <c r="B764" i="1"/>
  <c r="B721" i="1"/>
  <c r="AB721" i="1" s="1"/>
  <c r="B80" i="10"/>
  <c r="B88" i="10"/>
  <c r="B376" i="1"/>
  <c r="B139" i="1"/>
  <c r="B115" i="1"/>
  <c r="B452" i="1"/>
  <c r="B777" i="1"/>
  <c r="B784" i="1"/>
  <c r="AB784" i="1" s="1"/>
  <c r="B782" i="1"/>
  <c r="B780" i="1"/>
  <c r="B788" i="1"/>
  <c r="B800" i="1"/>
  <c r="B803" i="1"/>
  <c r="B805" i="1"/>
  <c r="B720" i="1"/>
  <c r="AB334" i="1" l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8" i="1"/>
  <c r="AB959" i="1"/>
  <c r="AB966" i="1"/>
  <c r="AB952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0" i="1"/>
  <c r="AB944" i="1"/>
  <c r="AB965" i="1"/>
  <c r="AB948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0" i="1"/>
  <c r="AB947" i="1"/>
  <c r="AB956" i="1"/>
  <c r="AB978" i="1"/>
  <c r="AB977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7" i="1"/>
  <c r="AB969" i="1"/>
  <c r="AB909" i="1"/>
  <c r="AB976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2" i="1"/>
  <c r="AB954" i="1"/>
  <c r="AB974" i="1"/>
  <c r="AB949" i="1"/>
  <c r="AB975" i="1"/>
  <c r="AB973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5" i="1"/>
  <c r="AB961" i="1"/>
  <c r="AB967" i="1"/>
  <c r="AB958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4" i="1"/>
  <c r="AB971" i="1"/>
  <c r="AB953" i="1"/>
  <c r="AB970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3" i="1"/>
  <c r="AB962" i="1"/>
  <c r="AB951" i="1"/>
  <c r="AB945" i="1"/>
  <c r="AB984" i="1"/>
  <c r="AB150" i="1"/>
  <c r="AB927" i="1"/>
  <c r="AB887" i="1"/>
  <c r="M42" i="1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<sst xmlns="http://schemas.openxmlformats.org/spreadsheetml/2006/main" count="9532" uniqueCount="3860">
  <si>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</si>
  <si>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</si>
  <si>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</si>
  <si>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</si>
  <si>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</si>
  <si>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</si>
  <si>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</si>
  <si>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</si>
  <si>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</si>
  <si>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</si>
  <si>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</si>
  <si>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</si>
  <si>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</si>
  <si>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</si>
  <si>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</si>
  <si>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</si>
  <si>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</si>
  <si>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</si>
  <si>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</si>
  <si>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</si>
  <si>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</si>
  <si>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</si>
  <si>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</si>
  <si>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</si>
  <si>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</si>
  <si>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</si>
  <si>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</si>
  <si>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</si>
  <si>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</si>
  <si>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</si>
  <si>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</si>
  <si>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</si>
  <si>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</si>
  <si>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</si>
  <si>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</si>
  <si>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</si>
  <si>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</si>
  <si>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</si>
  <si>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</si>
  <si>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</si>
  <si>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</si>
  <si>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</si>
  <si>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</si>
  <si>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</si>
  <si>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</si>
  <si>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</si>
  <si>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</si>
  <si>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</si>
  <si>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</si>
  <si>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</si>
  <si>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</si>
  <si>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</si>
  <si>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</si>
  <si>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</si>
  <si>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</si>
  <si>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</si>
  <si>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</si>
  <si>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</si>
  <si>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</si>
  <si>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</si>
  <si>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</si>
  <si>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</si>
  <si>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</si>
  <si>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</si>
  <si>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</si>
  <si>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</si>
  <si>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</si>
  <si>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</si>
  <si>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</si>
  <si>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</si>
  <si>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</si>
  <si>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</si>
  <si>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</si>
  <si>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</si>
  <si>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</si>
  <si>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</si>
  <si>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</si>
  <si>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</si>
  <si>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</si>
  <si>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</si>
  <si>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</si>
  <si>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</si>
  <si>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</si>
  <si>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</si>
  <si>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</si>
  <si>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</si>
  <si>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</si>
  <si>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</si>
  <si>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</si>
  <si>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</si>
  <si>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</si>
  <si>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</si>
  <si>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</si>
  <si>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</si>
  <si>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</si>
  <si>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</si>
  <si>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</si>
  <si>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</si>
  <si>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</si>
  <si>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</si>
  <si>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</si>
  <si>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</si>
  <si>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</si>
  <si>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</si>
  <si>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</si>
  <si>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</si>
  <si>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</si>
  <si>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</si>
  <si>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</si>
  <si>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</si>
  <si>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</si>
  <si>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</si>
  <si>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</si>
  <si>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</si>
  <si>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</si>
  <si>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</si>
  <si>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</si>
  <si>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</si>
  <si>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</si>
  <si>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</si>
  <si>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</si>
  <si>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</si>
  <si>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</si>
  <si>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</si>
  <si>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</si>
  <si>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</si>
  <si>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</si>
  <si>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</si>
  <si>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</si>
  <si>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</si>
  <si>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</si>
  <si>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</si>
  <si>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</si>
  <si>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</si>
  <si>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</si>
  <si>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</si>
  <si>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</si>
  <si>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</si>
  <si>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</si>
  <si>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</si>
  <si>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</si>
  <si>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</si>
  <si>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</si>
  <si>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</si>
  <si>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</si>
  <si>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</si>
  <si>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</si>
  <si>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</si>
  <si>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</si>
  <si>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</si>
  <si>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</si>
  <si>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</si>
  <si>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</si>
  <si>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</si>
  <si>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</si>
  <si>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</si>
  <si>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</si>
  <si>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</si>
  <si>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</si>
  <si>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</si>
  <si>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</si>
  <si>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</si>
  <si>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</si>
  <si>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</si>
  <si>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</si>
  <si>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</si>
  <si>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</si>
  <si>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</si>
  <si>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</si>
  <si>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</si>
  <si>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</si>
  <si>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</si>
  <si>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</si>
  <si>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</si>
  <si>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</si>
  <si>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</si>
  <si>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</si>
  <si>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</si>
  <si>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</si>
  <si>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</si>
  <si>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</si>
  <si>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</si>
  <si>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</si>
  <si>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</si>
  <si>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</si>
  <si>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</si>
  <si>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</si>
  <si>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</si>
  <si>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</si>
  <si>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</si>
  <si>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</si>
  <si>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</si>
  <si>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</si>
  <si>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</si>
  <si>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</si>
  <si>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</si>
  <si>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</si>
  <si>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</si>
  <si>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</si>
  <si>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</si>
  <si>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</si>
  <si>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</si>
  <si>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</si>
  <si>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</si>
  <si>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</si>
  <si>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</si>
  <si>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</si>
  <si>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</si>
  <si>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</si>
  <si>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</si>
  <si>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</si>
  <si>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</si>
  <si>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</si>
  <si>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</si>
  <si>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</si>
  <si>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</si>
  <si>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</si>
  <si>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</si>
  <si>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</si>
  <si>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</si>
  <si>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</si>
  <si>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</si>
  <si>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</si>
  <si>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</si>
  <si>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</si>
  <si>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</si>
  <si>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</si>
  <si>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</si>
  <si>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</si>
  <si>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</si>
  <si>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</si>
  <si>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</si>
  <si>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</si>
  <si>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</si>
  <si>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</si>
  <si>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</si>
  <si>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</si>
  <si>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</si>
  <si>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</si>
  <si>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</si>
  <si>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</si>
  <si>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</si>
  <si>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</si>
  <si>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</si>
  <si>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</si>
  <si>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</si>
  <si>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</si>
  <si>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</si>
  <si>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</si>
  <si>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</si>
  <si>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</si>
  <si>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</si>
  <si>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</si>
  <si>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</si>
  <si>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</si>
  <si>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</si>
  <si>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</si>
  <si>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</si>
  <si>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</si>
  <si>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</si>
  <si>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</si>
  <si>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</si>
  <si>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</si>
  <si>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</si>
  <si>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</si>
  <si>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</si>
  <si>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</si>
  <si>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</si>
  <si>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</si>
  <si>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</si>
  <si>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</si>
  <si>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</si>
  <si>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</si>
  <si>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</si>
  <si>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</si>
  <si>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</si>
  <si>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</si>
  <si>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</si>
  <si>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</si>
  <si>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</si>
  <si>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</si>
  <si>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</si>
  <si>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</si>
  <si>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</si>
  <si>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</si>
  <si>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</si>
  <si>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</si>
  <si>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</si>
  <si>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</si>
  <si>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</si>
  <si>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</si>
  <si>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</si>
  <si>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</si>
  <si>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</si>
  <si>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</si>
  <si>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</si>
  <si>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</si>
  <si>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</si>
  <si>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</si>
  <si>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</si>
  <si>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</si>
  <si>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</si>
  <si>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</si>
  <si>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</si>
  <si>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</si>
  <si>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</si>
  <si>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</si>
  <si>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</si>
  <si>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</si>
  <si>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</si>
  <si>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</si>
  <si>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</si>
  <si>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</si>
  <si>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</si>
  <si>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</si>
  <si>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</si>
  <si>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</si>
  <si>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</si>
  <si>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</si>
  <si>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</si>
  <si>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</si>
  <si>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</si>
  <si>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</si>
  <si>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</si>
  <si>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</si>
  <si>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</si>
  <si>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</si>
  <si>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</si>
  <si>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</si>
  <si>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</si>
  <si>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</si>
  <si>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</si>
  <si>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</si>
  <si>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</si>
  <si>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</si>
  <si>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</si>
  <si>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</si>
  <si>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</si>
  <si>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</si>
  <si>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</si>
  <si>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</si>
  <si>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</si>
  <si>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</si>
  <si>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</si>
  <si>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</si>
  <si>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</si>
  <si>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</si>
  <si>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</si>
  <si>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</si>
  <si>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</si>
  <si>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</si>
  <si>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</si>
  <si>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</si>
  <si>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</si>
  <si>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</si>
  <si>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</si>
  <si>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</si>
  <si>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</si>
  <si>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</si>
  <si>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</si>
  <si>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</si>
  <si>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</si>
  <si>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</si>
  <si>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</si>
  <si>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</si>
  <si>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</si>
  <si>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</si>
  <si>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</si>
  <si>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</si>
  <si>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</si>
  <si>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</si>
  <si>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</si>
  <si>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</si>
  <si>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</si>
  <si>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</si>
  <si>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</si>
  <si>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</si>
  <si>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</si>
  <si>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</si>
  <si>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</si>
  <si>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</si>
  <si>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</si>
  <si>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</si>
  <si>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</si>
  <si>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</si>
  <si>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</si>
  <si>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</si>
  <si>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</si>
  <si>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</si>
  <si>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</si>
  <si>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</si>
  <si>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</si>
  <si>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</si>
  <si>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</si>
  <si>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</si>
  <si>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</si>
  <si>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</si>
  <si>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</si>
  <si>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</si>
  <si>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</si>
  <si>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</si>
  <si>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</si>
  <si>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</si>
  <si>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</si>
  <si>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</si>
  <si>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</si>
  <si>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</si>
  <si>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</si>
  <si>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</si>
  <si>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</si>
  <si>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</si>
  <si>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</si>
  <si>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</si>
  <si>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</si>
  <si>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</si>
  <si>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</si>
  <si>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</si>
  <si>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</si>
  <si>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</si>
  <si>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</si>
  <si>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</si>
  <si>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</si>
  <si>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</si>
  <si>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</si>
  <si>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</si>
  <si>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</si>
  <si>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</si>
  <si>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</si>
  <si>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</si>
  <si>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</si>
  <si>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</si>
  <si>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</si>
  <si>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</si>
  <si>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</si>
  <si>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</si>
  <si>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</si>
  <si>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</si>
  <si>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</si>
  <si>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</si>
  <si>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</si>
  <si>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</si>
  <si>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</si>
  <si>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</si>
  <si>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</si>
  <si>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</si>
  <si>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</si>
  <si>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</si>
  <si>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</si>
  <si>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</si>
  <si>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</si>
  <si>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</si>
  <si>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</si>
  <si>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</si>
  <si>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</si>
  <si>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</si>
  <si>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</si>
  <si>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</si>
  <si>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</si>
  <si>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</si>
  <si>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</si>
  <si>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</si>
  <si>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</si>
  <si>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</si>
  <si>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</si>
  <si>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</si>
  <si>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</si>
  <si>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</si>
  <si>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</si>
  <si>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</si>
  <si>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</si>
  <si>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</si>
  <si>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</si>
  <si>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</si>
  <si>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</si>
  <si>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</si>
  <si>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</si>
  <si>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</si>
  <si>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</si>
  <si>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</si>
  <si>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</si>
  <si>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</si>
  <si>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</si>
  <si>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</si>
  <si>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</si>
  <si>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</si>
  <si>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</si>
  <si>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</si>
  <si>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</si>
  <si>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</si>
  <si>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</si>
  <si>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</si>
  <si>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</si>
  <si>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</si>
  <si>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</si>
  <si>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</si>
  <si>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</si>
  <si>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</si>
  <si>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</si>
  <si>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</si>
  <si>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</si>
  <si>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</si>
  <si>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</si>
  <si>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</si>
  <si>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</si>
  <si>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</si>
  <si>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</si>
  <si>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</si>
  <si>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</si>
  <si>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</si>
  <si>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</si>
  <si>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</si>
  <si>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</si>
  <si>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</si>
  <si>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</si>
  <si>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</si>
  <si>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</si>
  <si>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</si>
  <si>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</si>
  <si>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</si>
  <si>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</si>
  <si>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</si>
  <si>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</si>
  <si>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</si>
  <si>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</si>
  <si>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</si>
  <si>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</si>
  <si>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</si>
  <si>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</si>
  <si>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</si>
  <si>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</si>
  <si>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</si>
  <si>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</si>
  <si>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</si>
  <si>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</si>
  <si>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</si>
  <si>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</si>
  <si>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</si>
  <si>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</si>
  <si>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</si>
  <si>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</si>
  <si>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</si>
  <si>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</si>
  <si>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</si>
  <si>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</si>
  <si>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</si>
  <si>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</si>
  <si>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</si>
  <si>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</si>
  <si>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</si>
  <si>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</si>
  <si>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</si>
  <si>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</si>
  <si>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</si>
  <si>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</si>
  <si>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</si>
  <si>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</si>
  <si>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</si>
  <si>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</si>
  <si>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</si>
  <si>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</si>
  <si>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</si>
  <si>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</si>
  <si>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</si>
  <si>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</si>
  <si>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</si>
  <si>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</si>
  <si>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</si>
  <si>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</si>
  <si>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</si>
  <si>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</si>
  <si>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</si>
  <si>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</si>
  <si>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</si>
  <si>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</si>
  <si>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</si>
  <si>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</si>
  <si>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</si>
  <si>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</si>
  <si>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</si>
  <si>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</si>
  <si>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</si>
  <si>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</si>
  <si>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</si>
  <si>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</si>
  <si>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</si>
  <si>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</si>
  <si>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</si>
  <si>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</si>
  <si>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</si>
  <si>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</si>
  <si>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</si>
  <si>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</si>
  <si>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</si>
  <si>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</si>
  <si>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</si>
  <si>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</si>
  <si>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</si>
  <si>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</si>
  <si>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</si>
  <si>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</si>
  <si>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</si>
  <si>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</si>
  <si>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</si>
  <si>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</si>
  <si>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</si>
  <si>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</si>
  <si>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</si>
  <si>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</si>
  <si>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</si>
  <si>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</si>
  <si>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</si>
  <si>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</si>
  <si>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</si>
  <si>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</si>
  <si>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</si>
  <si>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</si>
  <si>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</si>
  <si>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</si>
  <si>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</si>
  <si>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</si>
  <si>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</si>
  <si>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</si>
  <si>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</si>
  <si>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</si>
  <si>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</si>
  <si>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</si>
  <si>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</si>
  <si>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</si>
  <si>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</si>
  <si>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</si>
  <si>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</si>
  <si>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</si>
  <si>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</si>
  <si>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</si>
  <si>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</si>
  <si>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</si>
  <si>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</si>
  <si>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</si>
  <si>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</si>
  <si>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</si>
  <si>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</si>
  <si>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</si>
  <si>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</si>
  <si>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</si>
  <si>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</si>
  <si>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</si>
  <si>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</si>
  <si>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</si>
  <si>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</si>
  <si>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</si>
  <si>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</si>
  <si>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</si>
  <si>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</si>
  <si>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</si>
  <si>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</si>
  <si>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</si>
  <si>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</si>
  <si>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</si>
  <si>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</si>
  <si>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</si>
  <si>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</si>
  <si>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</si>
  <si>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</si>
  <si>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</si>
  <si>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</si>
  <si>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</si>
  <si>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</si>
  <si>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</si>
  <si>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</si>
  <si>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</si>
  <si>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</si>
  <si>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</si>
  <si>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</si>
  <si>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</si>
  <si>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</si>
  <si>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</si>
  <si>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</si>
  <si>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</si>
  <si>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</si>
  <si>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</si>
  <si>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</si>
  <si>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</si>
  <si>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</si>
  <si>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</si>
  <si>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</si>
  <si>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</si>
  <si>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</si>
  <si>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</si>
  <si>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</si>
  <si>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</si>
  <si>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</si>
  <si>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</si>
  <si>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</si>
  <si>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</si>
  <si>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</si>
  <si>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</si>
  <si>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</si>
  <si>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</si>
  <si>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</si>
  <si>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</si>
  <si>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</si>
  <si>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</si>
  <si>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</si>
  <si>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</si>
  <si>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</si>
  <si>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</si>
  <si>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</si>
  <si>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</si>
  <si>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</si>
  <si>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</si>
  <si>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</si>
  <si>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</si>
  <si>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</si>
  <si>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</si>
  <si>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</si>
  <si>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</si>
  <si>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</si>
  <si>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</si>
  <si>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</si>
  <si>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</si>
  <si>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</si>
  <si>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</si>
  <si>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</si>
  <si>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</si>
  <si>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</si>
  <si>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</si>
  <si>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</si>
  <si>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</si>
  <si>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</si>
  <si>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</si>
  <si>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</si>
  <si>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</si>
  <si>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</si>
  <si>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</si>
  <si>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</si>
  <si>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</si>
  <si>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</si>
  <si>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</si>
  <si>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</si>
  <si>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</si>
  <si>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</si>
  <si>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</si>
  <si>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</si>
  <si>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</si>
  <si>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</si>
  <si>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</si>
  <si>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</si>
  <si>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</si>
  <si>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</si>
  <si>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</si>
  <si>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</si>
  <si>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</si>
  <si>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</si>
  <si>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</si>
  <si>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</si>
  <si>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</si>
  <si>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</si>
  <si>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</si>
  <si>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</si>
  <si>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</si>
  <si>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</si>
  <si>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</si>
  <si>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</si>
  <si>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</si>
  <si>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</si>
  <si>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</si>
  <si>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</si>
  <si>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</si>
  <si>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</si>
  <si>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</si>
  <si>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</si>
  <si>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</si>
  <si>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</si>
  <si>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</si>
  <si>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</si>
  <si>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</si>
  <si>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</si>
  <si>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</si>
  <si>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</si>
  <si>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</si>
  <si>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</si>
  <si>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</si>
  <si>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</si>
  <si>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</si>
  <si>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</si>
  <si>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</si>
  <si>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</si>
  <si>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</si>
  <si>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</si>
  <si>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</si>
  <si>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</si>
  <si>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</si>
  <si>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</si>
  <si>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</si>
  <si>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</si>
  <si>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</si>
  <si>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</si>
  <si>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</si>
  <si>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</si>
  <si>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</si>
  <si>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</si>
  <si>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</si>
  <si>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</si>
  <si>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</si>
  <si>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</si>
  <si>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</si>
  <si>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</si>
  <si>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</si>
  <si>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</si>
  <si>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</si>
  <si>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</si>
  <si>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</si>
  <si>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</si>
  <si>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</si>
  <si>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</si>
  <si>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</si>
  <si>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</si>
  <si>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</si>
  <si>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</si>
  <si>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</si>
  <si>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</si>
  <si>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</si>
  <si>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</si>
  <si>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</si>
  <si>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</si>
  <si>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</si>
  <si>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</si>
  <si>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</si>
  <si>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</si>
  <si>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</si>
  <si>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</si>
  <si>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</si>
  <si>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</si>
  <si>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</si>
  <si>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</si>
  <si>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</si>
  <si>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</si>
  <si>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</si>
  <si>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</si>
  <si>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</si>
  <si>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</si>
  <si>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</si>
  <si>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</si>
  <si>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</si>
  <si>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</si>
  <si>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</si>
  <si>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</si>
  <si>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</si>
  <si>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</si>
  <si>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</si>
  <si>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</si>
  <si>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</si>
  <si>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</si>
  <si>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</si>
  <si>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</si>
  <si>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</si>
  <si>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</si>
  <si>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</si>
  <si>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</si>
  <si>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</si>
  <si>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</si>
  <si>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</si>
  <si>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</si>
  <si>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</si>
  <si>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</si>
  <si>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</si>
  <si>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</si>
  <si>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</si>
  <si>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</si>
  <si>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</si>
  <si>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</si>
  <si>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</si>
  <si>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</si>
  <si>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</si>
  <si>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</si>
  <si>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</si>
  <si>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</si>
  <si>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</si>
  <si>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</si>
  <si>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</si>
  <si>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</si>
  <si>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</si>
  <si>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</si>
  <si>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</si>
  <si>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</si>
  <si>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</si>
  <si>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</si>
  <si>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</si>
  <si>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</si>
  <si>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</si>
  <si>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</si>
  <si>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</si>
  <si>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</si>
  <si>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</si>
  <si>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</si>
  <si>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</si>
  <si>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</si>
  <si>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</si>
  <si>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</si>
  <si>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</si>
  <si>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</si>
  <si>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</si>
  <si>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</si>
  <si>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</si>
  <si>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</si>
  <si>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</si>
  <si>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</si>
  <si>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</si>
  <si>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</si>
  <si>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</si>
  <si>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</si>
  <si>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</si>
  <si>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</si>
  <si>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</si>
  <si>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</si>
  <si>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</si>
  <si>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</si>
  <si>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</si>
  <si>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</si>
  <si>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</si>
  <si>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</si>
  <si>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</si>
  <si>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</si>
  <si>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</si>
  <si>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</si>
  <si>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</si>
  <si>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</si>
  <si>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</si>
  <si>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</si>
  <si>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</si>
  <si>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</si>
  <si>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</si>
  <si>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</si>
  <si>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</si>
  <si>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</si>
  <si>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</si>
  <si>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</si>
  <si>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</si>
  <si>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</si>
  <si>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</si>
  <si>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</si>
  <si>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</si>
  <si>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</si>
  <si>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</si>
  <si>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</si>
  <si>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</si>
  <si>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</si>
  <si>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</si>
  <si>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</si>
  <si>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</si>
  <si>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</si>
  <si>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</si>
  <si>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</si>
  <si>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</si>
  <si>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</si>
  <si>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</si>
  <si>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</si>
  <si>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</si>
  <si>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</si>
  <si>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</si>
  <si>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</si>
  <si>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</si>
  <si>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</si>
  <si>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</si>
  <si>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</si>
  <si>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</si>
  <si>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</si>
  <si>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</si>
  <si>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</si>
  <si>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</si>
  <si>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</si>
  <si>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</si>
  <si>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</si>
  <si>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</si>
  <si>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</si>
  <si>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</si>
  <si>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</si>
  <si>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</si>
  <si>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</si>
  <si>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</si>
  <si>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</si>
  <si>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</si>
  <si>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</si>
  <si>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</si>
  <si>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</si>
  <si>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</si>
  <si>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</si>
  <si>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</si>
  <si>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</si>
  <si>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</si>
  <si>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</si>
  <si>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</si>
  <si>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</si>
  <si>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</si>
  <si>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</si>
  <si>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</si>
  <si>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</si>
  <si>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</si>
  <si>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</si>
  <si>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</si>
  <si>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</si>
  <si>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</si>
  <si>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</si>
  <si>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</si>
  <si>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</si>
  <si>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</si>
  <si>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</si>
  <si>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</si>
  <si>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</si>
  <si>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</si>
  <si>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</si>
  <si>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</si>
  <si>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</si>
  <si>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</si>
  <si>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</si>
  <si>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</si>
  <si>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</si>
  <si>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</si>
  <si>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</si>
  <si>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</si>
  <si>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</si>
  <si>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</si>
  <si>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</si>
  <si>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</si>
  <si>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</si>
  <si>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</si>
  <si>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</si>
  <si>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</si>
  <si>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</si>
  <si>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</si>
  <si>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</si>
  <si>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</si>
  <si>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</si>
  <si>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</si>
  <si>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</si>
  <si>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</si>
  <si>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</si>
  <si>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</si>
  <si>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</si>
  <si>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</si>
  <si>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</si>
  <si>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</si>
  <si>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</si>
  <si>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</si>
  <si>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</si>
  <si>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</si>
  <si>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</si>
  <si>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</si>
  <si>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</si>
  <si>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</si>
  <si>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</si>
  <si>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</si>
  <si>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</si>
  <si>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</si>
  <si>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</si>
  <si>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</si>
  <si>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</si>
  <si>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</si>
  <si>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</si>
  <si>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</si>
  <si>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</si>
  <si>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</si>
  <si>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</si>
  <si>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</si>
  <si>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</si>
  <si>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</si>
  <si>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</si>
  <si>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</si>
  <si>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</si>
  <si>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</si>
  <si>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</si>
  <si>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</si>
  <si>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</si>
  <si>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</si>
  <si>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</si>
  <si>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</si>
  <si>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</si>
  <si>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</si>
  <si>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</si>
  <si>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</si>
  <si>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</si>
  <si>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</si>
  <si>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</si>
  <si>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</si>
  <si>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</si>
  <si>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</si>
  <si>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</si>
  <si>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</si>
  <si>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</si>
  <si>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</si>
  <si>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</si>
  <si>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</si>
  <si>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</si>
  <si>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</si>
  <si>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</si>
  <si>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</si>
  <si>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</si>
  <si>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</si>
  <si>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</si>
  <si>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</si>
  <si>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</si>
  <si>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</si>
  <si>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</si>
  <si>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</si>
  <si>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</si>
  <si>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</si>
  <si>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</si>
  <si>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</si>
  <si>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</si>
  <si>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</si>
  <si>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</si>
  <si>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</si>
  <si>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</si>
  <si>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</si>
  <si>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</si>
  <si>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</si>
  <si>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</si>
  <si>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</si>
  <si>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</si>
  <si>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</si>
  <si>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</si>
  <si>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</si>
  <si>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</si>
  <si>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</si>
  <si>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</si>
  <si>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</si>
  <si>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</si>
  <si>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</si>
  <si>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</si>
  <si>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</si>
  <si>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</si>
  <si>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</si>
  <si>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</si>
  <si>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</si>
  <si>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</si>
  <si>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</si>
  <si>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</si>
  <si>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</si>
  <si>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</si>
  <si>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</si>
  <si>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</si>
  <si>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</si>
  <si>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</si>
  <si>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</si>
  <si>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</si>
  <si>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</si>
  <si>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</si>
  <si>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</si>
  <si>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</si>
  <si>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</si>
  <si>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</si>
  <si>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</si>
  <si>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</si>
  <si>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</si>
  <si>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</si>
  <si>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</si>
  <si>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</si>
  <si>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</si>
  <si>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</si>
  <si>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</si>
  <si>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</si>
  <si>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</si>
  <si>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</si>
  <si>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</si>
  <si>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</si>
  <si>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</si>
  <si>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</si>
  <si>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</si>
  <si>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</si>
  <si>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</si>
  <si>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</si>
  <si>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</si>
  <si>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</si>
  <si>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</si>
  <si>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</si>
  <si>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</si>
  <si>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</si>
  <si>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</si>
  <si>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</si>
  <si>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</si>
  <si>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</si>
  <si>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</si>
  <si>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</si>
  <si>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</si>
  <si>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</si>
  <si>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</si>
  <si>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</si>
  <si>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</si>
  <si>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</si>
  <si>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</si>
  <si>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</si>
  <si>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</si>
  <si>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</si>
  <si>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</si>
  <si>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</si>
  <si>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</si>
  <si>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</si>
  <si>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</si>
  <si>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</si>
  <si>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</si>
  <si>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</si>
  <si>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</si>
  <si>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</si>
  <si>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</si>
  <si>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</si>
  <si>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</si>
  <si>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</si>
  <si>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</si>
  <si>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</si>
  <si>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</si>
  <si>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</si>
  <si>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</si>
  <si>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</si>
  <si>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</si>
  <si>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</si>
  <si>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</si>
  <si>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</si>
  <si>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</si>
  <si>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</si>
  <si>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</si>
  <si>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</si>
  <si>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</si>
  <si>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</si>
  <si>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</si>
  <si>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</si>
  <si>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</si>
  <si>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</si>
  <si>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</si>
  <si>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</si>
  <si>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</si>
  <si>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</si>
  <si>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</si>
  <si>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</si>
  <si>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</si>
  <si>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</si>
  <si>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</si>
  <si>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</si>
  <si>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</si>
  <si>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</si>
  <si>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</si>
  <si>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</si>
  <si>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</si>
  <si>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</si>
  <si>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</si>
  <si>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</si>
  <si>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</si>
  <si>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</si>
  <si>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</si>
  <si>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</si>
  <si>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</si>
  <si>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</si>
  <si>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</si>
  <si>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</si>
  <si>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</si>
  <si>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</si>
  <si>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</si>
  <si>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</si>
  <si>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</si>
  <si>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</si>
  <si>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</si>
  <si>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</si>
  <si>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</si>
  <si>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</si>
  <si>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</si>
  <si>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</si>
  <si>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</si>
  <si>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</si>
  <si>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</si>
  <si>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</si>
  <si>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</si>
  <si>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</si>
  <si>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</si>
  <si>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</si>
  <si>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</si>
  <si>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</si>
  <si>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</si>
  <si>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</si>
  <si>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</si>
  <si>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</si>
  <si>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</si>
  <si>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</si>
  <si>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</si>
  <si>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</si>
  <si>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</si>
  <si>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</si>
  <si>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</si>
  <si>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</si>
  <si>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</si>
  <si>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</si>
  <si>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</si>
  <si>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</si>
  <si>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</si>
  <si>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</si>
  <si>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</si>
  <si>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</si>
  <si>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</si>
  <si>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</si>
  <si>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</si>
  <si>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</si>
  <si>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</si>
  <si>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</si>
  <si>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</si>
  <si>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</si>
  <si>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</si>
  <si>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</si>
  <si>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</si>
  <si>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</si>
  <si>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</si>
  <si>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</si>
  <si>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</si>
  <si>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</si>
  <si>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</si>
  <si>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</si>
  <si>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</si>
  <si>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</si>
  <si>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</si>
  <si>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</si>
  <si>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</si>
  <si>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</si>
  <si>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</si>
  <si>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</si>
  <si>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</si>
  <si>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</si>
  <si>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</si>
  <si>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</si>
  <si>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</si>
  <si>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</si>
  <si>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</si>
  <si>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</si>
  <si>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</si>
  <si>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</si>
  <si>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</si>
  <si>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</si>
  <si>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</si>
  <si>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</si>
  <si>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</si>
  <si>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</si>
  <si>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</si>
  <si>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</si>
  <si>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</si>
  <si>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</si>
  <si>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</si>
  <si>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</si>
  <si>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</si>
  <si>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</si>
  <si>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</si>
  <si>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</si>
  <si>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</si>
  <si>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</si>
  <si>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</si>
  <si>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</si>
  <si>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</si>
  <si>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</si>
  <si>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</si>
  <si>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</si>
  <si>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</si>
  <si>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</si>
  <si>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</si>
  <si>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</si>
  <si>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</si>
  <si>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</si>
  <si>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</si>
  <si>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</si>
  <si>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</si>
  <si>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</si>
  <si>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</si>
  <si>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</si>
  <si>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</si>
  <si>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</si>
  <si>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</si>
  <si>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</si>
  <si>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</si>
  <si>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</si>
  <si>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</si>
  <si>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</si>
  <si>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</si>
  <si>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</si>
  <si>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</si>
  <si>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</si>
  <si>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</si>
  <si>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</si>
  <si>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</si>
  <si>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</si>
  <si>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</si>
  <si>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</si>
  <si>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</si>
  <si>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</si>
  <si>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</si>
  <si>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</si>
  <si>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</si>
  <si>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</si>
  <si>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</si>
  <si>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</si>
  <si>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</si>
  <si>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</si>
  <si>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</si>
  <si>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</si>
  <si>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</si>
  <si>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</si>
  <si>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</si>
  <si>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</si>
  <si>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</si>
  <si>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</si>
  <si>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</si>
  <si>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</si>
  <si>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</si>
  <si>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</si>
  <si>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</si>
  <si>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</si>
  <si>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</si>
  <si>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</si>
  <si>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</si>
  <si>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</si>
  <si>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</si>
  <si>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</si>
  <si>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</si>
  <si>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</si>
  <si>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</si>
  <si>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</si>
  <si>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</si>
  <si>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</si>
  <si>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</si>
  <si>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</si>
  <si>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</si>
  <si>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</si>
  <si>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</si>
  <si>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</si>
  <si>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</si>
  <si>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</si>
  <si>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</si>
  <si>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</si>
  <si>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</si>
  <si>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</si>
  <si>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</si>
  <si>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</si>
  <si>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</si>
  <si>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</si>
  <si>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</si>
  <si>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</si>
  <si>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</si>
  <si>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</si>
  <si>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</si>
  <si>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</si>
  <si>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</si>
  <si>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</si>
  <si>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</si>
  <si>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</si>
  <si>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</si>
  <si>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</si>
  <si>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</si>
  <si>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</si>
  <si>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</si>
  <si>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</si>
  <si>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</si>
  <si>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</si>
  <si>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</si>
  <si>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</si>
  <si>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</si>
  <si>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</si>
  <si>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</si>
  <si>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</si>
  <si>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</si>
  <si>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</si>
  <si>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</si>
  <si>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</si>
  <si>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</si>
  <si>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</si>
  <si>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</si>
  <si>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</si>
  <si>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</si>
  <si>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</si>
  <si>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</si>
  <si>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</si>
  <si>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</si>
  <si>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</si>
  <si>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</si>
  <si>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</si>
  <si>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</si>
  <si>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</si>
  <si>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</si>
  <si>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</si>
  <si>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</si>
  <si>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</si>
  <si>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</si>
  <si>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</si>
  <si>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</si>
  <si>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</si>
  <si>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</si>
  <si>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</si>
  <si>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</si>
  <si>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</si>
  <si>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</si>
  <si>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</si>
  <si>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</si>
  <si>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</si>
  <si>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</si>
  <si>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</si>
  <si>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</si>
  <si>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</si>
  <si>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</si>
  <si>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</si>
  <si>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</si>
  <si>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</si>
  <si>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</si>
  <si>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</si>
  <si>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</si>
  <si>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</si>
  <si>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</si>
  <si>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</si>
  <si>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</si>
  <si>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</si>
  <si>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</si>
  <si>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</si>
  <si>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</si>
  <si>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</si>
  <si>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</si>
  <si>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</si>
  <si>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</si>
  <si>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</si>
  <si>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</si>
  <si>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</si>
  <si>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</si>
  <si>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</si>
  <si>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</si>
  <si>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</si>
  <si>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</si>
  <si>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</si>
  <si>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</si>
  <si>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</si>
  <si>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</si>
  <si>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</si>
  <si>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</si>
  <si>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</si>
  <si>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</si>
  <si>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</si>
  <si>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</si>
  <si>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</si>
  <si>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</si>
  <si>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</si>
  <si>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</si>
  <si>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</si>
  <si>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</si>
  <si>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</si>
  <si>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</si>
  <si>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</si>
  <si>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</si>
  <si>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</si>
  <si>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</si>
  <si>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</si>
  <si>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</si>
  <si>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</si>
  <si>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</si>
  <si>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</si>
  <si>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</si>
  <si>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</si>
  <si>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</si>
  <si>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</si>
  <si>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</si>
  <si>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</si>
  <si>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</si>
  <si>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</si>
  <si>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</si>
  <si>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</si>
  <si>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</si>
  <si>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</si>
  <si>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</si>
  <si>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</si>
  <si>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</si>
  <si>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</si>
  <si>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</si>
  <si>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</si>
  <si>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</si>
  <si>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</si>
  <si>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</si>
  <si>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</si>
  <si>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</si>
  <si>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</si>
  <si>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</si>
  <si>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</si>
  <si>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</si>
  <si>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</si>
  <si>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</si>
  <si>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</si>
  <si>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</si>
  <si>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</si>
  <si>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</si>
  <si>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</si>
  <si>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</si>
  <si>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</si>
  <si>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</si>
  <si>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</si>
  <si>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</si>
  <si>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</si>
  <si>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</si>
  <si>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</si>
  <si>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</si>
  <si>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</si>
  <si>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</si>
  <si>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</si>
  <si>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</si>
  <si>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</si>
  <si>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</si>
  <si>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</si>
  <si>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</si>
  <si>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</si>
  <si>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</si>
  <si>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</si>
  <si>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</si>
  <si>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</si>
  <si>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</si>
  <si>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</si>
  <si>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</si>
  <si>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</si>
  <si>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</si>
  <si>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</si>
  <si>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</si>
  <si>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</si>
  <si>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</si>
  <si>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</si>
  <si>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</si>
  <si>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</si>
  <si>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</si>
  <si>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</si>
  <si>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</si>
  <si>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</si>
  <si>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</si>
  <si>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</si>
  <si>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</si>
  <si>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</si>
  <si>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</si>
  <si>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</si>
  <si>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</si>
  <si>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</si>
  <si>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</si>
  <si>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</si>
  <si>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</si>
  <si>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</si>
  <si>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</si>
  <si>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</si>
  <si>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</si>
  <si>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</si>
  <si>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</si>
  <si>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</si>
  <si>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</si>
  <si>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</si>
  <si>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</si>
  <si>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</si>
  <si>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</si>
  <si>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</si>
  <si>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</si>
  <si>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</si>
  <si>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</si>
  <si>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</si>
  <si>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</si>
  <si>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</si>
  <si>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</si>
  <si>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</si>
  <si>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</si>
  <si>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</si>
  <si>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</si>
  <si>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</si>
  <si>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</si>
  <si>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</si>
  <si>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</si>
  <si>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</si>
  <si>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</si>
  <si>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</si>
  <si>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</si>
  <si>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</si>
  <si>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</si>
  <si>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</si>
  <si>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</si>
  <si>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</si>
  <si>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</si>
  <si>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</si>
  <si>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</si>
  <si>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</si>
  <si>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</si>
  <si>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</si>
  <si>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</si>
  <si>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</si>
  <si>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</si>
  <si>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</si>
  <si>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</si>
  <si>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</si>
  <si>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</si>
  <si>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</si>
  <si>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</si>
  <si>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</si>
  <si>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</si>
  <si>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</si>
  <si>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</si>
  <si>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</si>
  <si>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</si>
  <si>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</si>
  <si>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</si>
  <si>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</si>
  <si>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</si>
  <si>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</si>
  <si>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</si>
  <si>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</si>
  <si>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</si>
  <si>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</si>
  <si>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</si>
  <si>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</si>
  <si>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</si>
  <si>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</si>
  <si>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</si>
  <si>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</si>
  <si>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</si>
  <si>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</si>
  <si>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</si>
  <si>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</si>
  <si>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</si>
  <si>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</si>
  <si>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</si>
  <si>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</si>
  <si>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</si>
  <si>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</si>
  <si>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</si>
  <si>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</si>
  <si>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</si>
  <si>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</si>
  <si>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</si>
  <si>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</si>
  <si>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</si>
  <si>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</si>
  <si>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</si>
  <si>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</si>
  <si>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</si>
  <si>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</si>
  <si>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</si>
  <si>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</si>
  <si>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</si>
  <si>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</si>
  <si>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</si>
  <si>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</si>
  <si>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</si>
  <si>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</si>
  <si>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</si>
  <si>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</si>
  <si>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</si>
  <si>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</si>
  <si>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</si>
  <si>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</si>
  <si>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</si>
  <si>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</si>
  <si>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</si>
  <si>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</si>
  <si>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</si>
  <si>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</si>
  <si>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</si>
  <si>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</si>
  <si>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</si>
  <si>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</si>
  <si>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</si>
  <si>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</si>
  <si>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</si>
  <si>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</si>
  <si>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</si>
  <si>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</si>
  <si>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</si>
  <si>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</si>
  <si>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</si>
  <si>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</si>
  <si>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</si>
  <si>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</si>
  <si>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</si>
  <si>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</si>
  <si>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</si>
  <si>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</si>
  <si>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</si>
  <si>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</si>
  <si>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</si>
  <si>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</si>
  <si>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</si>
  <si>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</si>
  <si>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</si>
  <si>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</si>
  <si>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</si>
  <si>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</si>
  <si>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</si>
  <si>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</si>
  <si>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</si>
  <si>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</si>
  <si>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</si>
  <si>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</si>
  <si>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</si>
  <si>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</si>
  <si>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</si>
  <si>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</si>
  <si>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</si>
  <si>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</si>
  <si>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</si>
  <si>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</si>
  <si>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</si>
  <si>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</si>
  <si>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</si>
  <si>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</si>
  <si>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</si>
  <si>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</si>
  <si>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</si>
  <si>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</si>
  <si>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</si>
  <si>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</si>
  <si>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</si>
  <si>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</si>
  <si>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</si>
  <si>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</si>
  <si>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</si>
  <si>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</si>
  <si>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</si>
  <si>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</si>
  <si>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</si>
  <si>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</si>
  <si>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</si>
  <si>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</si>
  <si>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</si>
  <si>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</si>
  <si>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</si>
  <si>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</si>
  <si>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</si>
  <si>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</si>
  <si>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</si>
  <si>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</si>
  <si>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</si>
  <si>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</si>
  <si>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</si>
  <si>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</si>
  <si>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</si>
  <si>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</si>
  <si>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</si>
  <si>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</si>
  <si>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</si>
  <si>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</si>
  <si>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</si>
  <si>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</si>
  <si>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</si>
  <si>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</si>
  <si>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</si>
  <si>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</si>
  <si>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</si>
  <si>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</si>
  <si>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</si>
  <si>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</si>
  <si>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</si>
  <si>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</si>
  <si>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</si>
  <si>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</si>
  <si>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</si>
  <si>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</si>
  <si>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</si>
  <si>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</si>
  <si>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</si>
  <si>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</si>
  <si>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</si>
  <si>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</si>
  <si>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</si>
  <si>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</si>
  <si>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</si>
  <si>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</si>
  <si>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</si>
  <si>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</si>
  <si>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</si>
  <si>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</si>
  <si>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</si>
  <si>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</si>
  <si>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</si>
  <si>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</si>
  <si>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</si>
  <si>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</si>
  <si>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</si>
  <si>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</si>
  <si>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</si>
  <si>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</si>
  <si>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</si>
  <si>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</si>
  <si>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</si>
  <si>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</si>
  <si>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</si>
  <si>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</si>
  <si>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</si>
  <si>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</si>
  <si>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</si>
  <si>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</si>
  <si>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</si>
  <si>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</si>
  <si>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</si>
  <si>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</si>
  <si>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</si>
  <si>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</si>
  <si>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</si>
  <si>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</si>
  <si>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</si>
  <si>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</si>
  <si>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</si>
  <si>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</si>
  <si>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</si>
  <si>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</si>
  <si>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</si>
  <si>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</si>
  <si>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</si>
  <si>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</si>
  <si>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</si>
  <si>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</si>
  <si>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</si>
  <si>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</si>
  <si>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</si>
  <si>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</si>
  <si>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</si>
  <si>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</si>
  <si>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</si>
  <si>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</si>
  <si>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</si>
  <si>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</si>
  <si>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</si>
  <si>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</si>
  <si>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</si>
  <si>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</si>
  <si>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</si>
  <si>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</si>
  <si>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</si>
  <si>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</si>
  <si>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</si>
  <si>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</si>
  <si>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</si>
  <si>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</si>
  <si>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</si>
  <si>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</si>
  <si>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</si>
  <si>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</si>
  <si>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</si>
  <si>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</si>
  <si>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</si>
  <si>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</si>
  <si>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</si>
  <si>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</si>
  <si>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</si>
  <si>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</si>
  <si>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</si>
  <si>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</si>
  <si>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</si>
  <si>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</si>
  <si>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</si>
  <si>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</si>
  <si>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</si>
  <si>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</si>
  <si>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</si>
  <si>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</si>
  <si>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</si>
  <si>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</si>
  <si>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</si>
  <si>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</si>
  <si>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</si>
  <si>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</si>
  <si>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</si>
  <si>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</si>
  <si>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</si>
  <si>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</si>
  <si>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</si>
  <si>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</si>
  <si>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</si>
  <si>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</si>
  <si>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</si>
  <si>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</si>
  <si>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</si>
  <si>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</si>
  <si>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</si>
  <si>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</si>
  <si>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</si>
  <si>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</si>
  <si>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</si>
  <si>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</si>
  <si>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</si>
  <si>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</si>
  <si>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</si>
  <si>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</si>
  <si>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</si>
  <si>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</si>
  <si>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</si>
  <si>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</si>
  <si>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</si>
  <si>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</si>
  <si>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</si>
  <si>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</si>
  <si>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</si>
  <si>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</si>
  <si>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</si>
  <si>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</si>
  <si>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</si>
  <si>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</si>
  <si>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</si>
  <si>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</si>
  <si>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</si>
  <si>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</si>
  <si>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</si>
  <si>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</si>
  <si>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</si>
  <si>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</si>
  <si>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</si>
  <si>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</si>
  <si>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</si>
  <si>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</si>
  <si>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</si>
  <si>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</si>
  <si>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</si>
  <si>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</si>
  <si>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</si>
  <si>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</si>
  <si>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</si>
  <si>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</si>
  <si>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</si>
  <si>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</si>
  <si>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</si>
  <si>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</si>
  <si>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</si>
  <si>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</si>
  <si>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</si>
  <si>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</si>
  <si>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</si>
  <si>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</si>
  <si>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</si>
  <si>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</si>
  <si>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</si>
  <si>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</si>
  <si>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</si>
  <si>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</si>
  <si>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</si>
  <si>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</si>
  <si>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</si>
  <si>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</si>
  <si>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</si>
  <si>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</si>
  <si>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</si>
  <si>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</si>
  <si>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</si>
  <si>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</si>
  <si>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</si>
  <si>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</si>
  <si>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</si>
  <si>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</si>
  <si>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</si>
  <si>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</si>
  <si>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</si>
  <si>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</si>
  <si>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</si>
  <si>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</si>
  <si>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</si>
  <si>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</si>
  <si>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</si>
  <si>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</si>
  <si>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</si>
  <si>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</si>
  <si>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</si>
  <si>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</si>
  <si>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</si>
  <si>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</si>
  <si>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</si>
  <si>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</si>
  <si>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</si>
  <si>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</si>
  <si>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</si>
  <si>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</si>
  <si>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</si>
  <si>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</si>
  <si>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</si>
  <si>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</si>
  <si>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</si>
  <si>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</si>
  <si>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</si>
  <si>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</si>
  <si>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</si>
  <si>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</si>
  <si>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</si>
  <si>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</si>
  <si>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</si>
  <si>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</si>
  <si>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</si>
  <si>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</si>
  <si>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</si>
  <si>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</si>
  <si>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</si>
  <si>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</si>
  <si>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</si>
  <si>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</si>
  <si>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</si>
  <si>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</si>
  <si>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</si>
  <si>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</si>
  <si>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</si>
  <si>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</si>
  <si>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</si>
  <si>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</si>
  <si>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</si>
  <si>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</si>
  <si>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</si>
  <si>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</si>
  <si>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</si>
  <si>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</si>
  <si>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</si>
  <si>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</si>
  <si>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</si>
  <si>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</si>
  <si>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</si>
  <si>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</si>
  <si>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</si>
  <si>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</si>
  <si>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</si>
  <si>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</si>
  <si>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</si>
  <si>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</si>
  <si>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</si>
  <si>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</si>
  <si>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</si>
  <si>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</si>
  <si>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</si>
  <si>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</si>
  <si>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</si>
  <si>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</si>
  <si>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</si>
  <si>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</si>
  <si>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</si>
  <si>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</si>
  <si>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</si>
  <si>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</si>
  <si>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</si>
  <si>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</si>
  <si>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</si>
  <si>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</si>
  <si>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</si>
  <si>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</si>
  <si>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</si>
  <si>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</si>
  <si>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</si>
  <si>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</si>
  <si>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</si>
  <si>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</si>
  <si>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</si>
  <si>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</si>
  <si>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</si>
  <si>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</si>
  <si>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</si>
  <si>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</si>
  <si>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</si>
  <si>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</si>
  <si>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</si>
  <si>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</si>
  <si>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</si>
  <si>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</si>
  <si>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</si>
  <si>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</si>
  <si>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</si>
  <si>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</si>
  <si>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</si>
  <si>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</si>
  <si>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</si>
  <si>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</si>
  <si>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</si>
  <si>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</si>
  <si>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</si>
  <si>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</si>
  <si>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</si>
  <si>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</si>
  <si>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</si>
  <si>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</si>
  <si>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</si>
  <si>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</si>
  <si>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</si>
  <si>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</si>
  <si>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</si>
  <si>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</si>
  <si>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</si>
  <si>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</si>
  <si>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</si>
  <si>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</si>
  <si>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</si>
  <si>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</si>
  <si>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</si>
  <si>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</si>
  <si>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</si>
  <si>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</si>
  <si>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</si>
  <si>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</si>
  <si>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</si>
  <si>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</si>
  <si>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</si>
  <si>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</si>
  <si>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</si>
  <si>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</si>
  <si>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</si>
  <si>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</si>
  <si>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</si>
  <si>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</si>
  <si>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</si>
  <si>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</si>
  <si>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</si>
  <si>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</si>
  <si>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</si>
  <si>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</si>
  <si>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</si>
  <si>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</si>
  <si>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</si>
  <si>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</si>
  <si>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</si>
  <si>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</si>
  <si>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</si>
  <si>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</si>
  <si>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</si>
  <si>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</si>
  <si>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</si>
  <si>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</si>
  <si>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</si>
  <si>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</si>
  <si>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</si>
  <si>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</si>
  <si>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</si>
  <si>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</si>
  <si>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</si>
  <si>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</si>
  <si>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</si>
  <si>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</si>
  <si>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</si>
  <si>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</si>
  <si>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</si>
  <si>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</si>
  <si>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</si>
  <si>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</si>
  <si>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</si>
  <si>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</si>
  <si>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</si>
  <si>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</si>
  <si>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</si>
  <si>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</si>
  <si>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</si>
  <si>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</si>
  <si>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</si>
  <si>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</si>
  <si>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</si>
  <si>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</si>
  <si>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</si>
  <si>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</si>
  <si>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</si>
  <si>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</si>
  <si>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</si>
  <si>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</si>
  <si>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</si>
  <si>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</si>
  <si>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</si>
  <si>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</si>
  <si>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</si>
  <si>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</si>
  <si>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</si>
  <si>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</si>
  <si>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</si>
  <si>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</si>
  <si>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</si>
  <si>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</si>
  <si>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</si>
  <si>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</si>
  <si>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</si>
  <si>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</si>
  <si>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</si>
  <si>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</si>
  <si>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</si>
  <si>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</si>
  <si>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</si>
  <si>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</si>
  <si>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</si>
  <si>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</si>
  <si>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</si>
  <si>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</si>
  <si>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</si>
  <si>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</si>
  <si>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</si>
  <si>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</si>
  <si>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</si>
  <si>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</si>
  <si>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</si>
  <si>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</si>
  <si>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</si>
  <si>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</si>
  <si>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</si>
  <si>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</si>
  <si>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</si>
  <si>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</si>
  <si>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</si>
  <si>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</si>
  <si>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</si>
  <si>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</si>
  <si>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</si>
  <si>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</si>
  <si>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</si>
  <si>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</si>
  <si>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</si>
  <si>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</si>
  <si>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</si>
  <si>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</si>
  <si>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</si>
  <si>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</si>
  <si>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</si>
  <si>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</si>
  <si>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</si>
  <si>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</si>
  <si>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</si>
  <si>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</si>
  <si>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</si>
  <si>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</si>
  <si>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</si>
  <si>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</si>
  <si>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</si>
  <si>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</si>
  <si>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</si>
  <si>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</si>
  <si>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</si>
  <si>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</si>
  <si>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</si>
  <si>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</si>
  <si>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</si>
  <si>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</si>
  <si>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</si>
  <si>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</si>
  <si>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</si>
  <si>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</si>
  <si>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</si>
  <si>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</si>
  <si>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</si>
  <si>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</si>
  <si>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</si>
  <si>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</si>
  <si>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</si>
  <si>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</si>
  <si>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</si>
  <si>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</si>
  <si>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</si>
  <si>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</si>
  <si>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</si>
  <si>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</si>
  <si>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</si>
  <si>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</si>
  <si>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</si>
  <si>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</si>
  <si>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</si>
  <si>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</si>
  <si>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</si>
  <si>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</si>
  <si>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</si>
  <si>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</si>
  <si>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</si>
  <si>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</si>
  <si>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</si>
  <si>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</si>
  <si>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</si>
  <si>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</si>
  <si>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</si>
  <si>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</si>
  <si>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</si>
  <si>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</si>
  <si>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</si>
  <si>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</si>
  <si>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</si>
  <si>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</si>
  <si>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</si>
  <si>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</si>
  <si>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</si>
  <si>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</si>
  <si>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</si>
  <si>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</si>
  <si>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</si>
  <si>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</si>
  <si>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</si>
  <si>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</si>
  <si>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</si>
  <si>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</si>
  <si>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</si>
  <si>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</si>
  <si>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</si>
  <si>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</si>
  <si>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</si>
  <si>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</si>
  <si>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</si>
  <si>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</si>
  <si>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</si>
  <si>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</si>
  <si>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</si>
  <si>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</si>
  <si>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</si>
  <si>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</si>
  <si>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</si>
  <si>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</si>
  <si>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</si>
  <si>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</si>
  <si>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</si>
  <si>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</si>
  <si>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</si>
  <si>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</si>
  <si>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</si>
  <si>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</si>
  <si>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</si>
  <si>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</si>
  <si>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</si>
  <si>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</si>
  <si>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</si>
  <si>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</si>
  <si>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</si>
  <si>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</si>
  <si>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</si>
  <si>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</si>
  <si>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</si>
  <si>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</si>
  <si>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</si>
  <si>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</si>
  <si>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</si>
  <si>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</si>
  <si>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</si>
  <si>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</si>
  <si>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</si>
  <si>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</si>
  <si>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</si>
  <si>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</si>
  <si>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</si>
  <si>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</si>
  <si>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</si>
  <si>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</si>
  <si>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</si>
  <si>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</si>
  <si>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</si>
  <si>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</si>
  <si>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</si>
  <si>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</si>
  <si>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</si>
  <si>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</si>
  <si>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</si>
  <si>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</si>
  <si>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</si>
  <si>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</si>
  <si>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</si>
  <si>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</si>
  <si>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</si>
  <si>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</si>
  <si>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</si>
  <si>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</si>
  <si>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</si>
  <si>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</si>
  <si>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</si>
  <si>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</si>
  <si>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</si>
  <si>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</si>
  <si>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</si>
  <si>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</si>
  <si>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</si>
  <si>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</si>
  <si>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</si>
  <si>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</si>
  <si>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</si>
  <si>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</si>
  <si>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</si>
  <si>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</si>
  <si>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</si>
  <si>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</si>
  <si>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</si>
  <si>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</si>
  <si>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</si>
  <si>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</si>
  <si>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</si>
  <si>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</si>
  <si>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</si>
  <si>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</si>
  <si>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</si>
  <si>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</si>
  <si>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</si>
  <si>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</si>
  <si>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</si>
  <si>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</si>
  <si>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</si>
  <si>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</si>
  <si>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</si>
  <si>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</si>
  <si>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</si>
  <si>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</si>
  <si>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</si>
  <si>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</si>
  <si>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</si>
  <si>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</si>
  <si>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</si>
  <si>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</si>
  <si>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</si>
  <si>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</si>
  <si>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</si>
  <si>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</si>
  <si>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</si>
  <si>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</si>
  <si>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</si>
  <si>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</si>
  <si>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</si>
  <si>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</si>
  <si>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</si>
  <si>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</si>
  <si>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</si>
  <si>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</si>
  <si>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</si>
  <si>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</si>
  <si>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</si>
  <si>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</si>
  <si>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</si>
  <si>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</si>
  <si>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</si>
  <si>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</si>
  <si>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</si>
  <si>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</si>
  <si>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</si>
  <si>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</si>
  <si>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</si>
  <si>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</si>
  <si>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</si>
  <si>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</si>
  <si>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</si>
  <si>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</si>
  <si>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</si>
  <si>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</si>
  <si>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</si>
  <si>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</si>
  <si>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</si>
  <si>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</si>
  <si>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</si>
  <si>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</si>
  <si>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</si>
  <si>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</si>
  <si>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</si>
  <si>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</si>
  <si>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</si>
  <si>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</si>
  <si>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</si>
  <si>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</si>
  <si>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</si>
  <si>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</si>
  <si>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</si>
  <si>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</si>
  <si>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</si>
  <si>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</si>
  <si>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</si>
  <si>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</si>
  <si>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</si>
  <si>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</si>
  <si>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</si>
  <si>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</si>
  <si>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</si>
  <si>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</si>
  <si>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</si>
  <si>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</si>
  <si>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</si>
  <si>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</si>
  <si>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</si>
  <si>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</si>
  <si>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</si>
  <si>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</si>
  <si>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</si>
  <si>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</si>
  <si>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</si>
  <si>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</si>
  <si>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</si>
  <si>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</si>
  <si>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</si>
  <si>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</si>
  <si>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</si>
  <si>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</si>
  <si>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</si>
  <si>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</si>
  <si>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</si>
  <si>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</si>
  <si>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</si>
  <si>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</si>
  <si>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</si>
  <si>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</si>
  <si>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</si>
  <si>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</si>
  <si>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</si>
  <si>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</si>
  <si>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</si>
  <si>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</si>
  <si>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</si>
  <si>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</si>
  <si>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</si>
  <si>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</si>
  <si>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</si>
  <si>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</si>
  <si>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</si>
  <si>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</si>
  <si>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</si>
  <si>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</si>
  <si>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</si>
  <si>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</si>
  <si>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</si>
  <si>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</si>
  <si>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</si>
  <si>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</si>
  <si>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</si>
  <si>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</si>
  <si>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</si>
  <si>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</si>
  <si>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</si>
  <si>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</si>
  <si>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</si>
  <si>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</si>
  <si>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</si>
  <si>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</si>
  <si>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</si>
  <si>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</si>
  <si>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</si>
  <si>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</si>
  <si>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</si>
  <si>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</si>
  <si>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</si>
  <si>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</si>
  <si>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</si>
  <si>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</si>
  <si>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</si>
  <si>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</si>
  <si>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</si>
  <si>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</si>
  <si>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</si>
  <si>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</si>
  <si>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</si>
  <si>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</si>
  <si>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</si>
  <si>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</si>
  <si>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</si>
  <si>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</si>
  <si>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</si>
  <si>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</si>
  <si>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</si>
  <si>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</si>
  <si>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</si>
  <si>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</si>
  <si>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</si>
  <si>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</si>
  <si>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</si>
  <si>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</si>
  <si>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</si>
  <si>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</si>
  <si>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</si>
  <si>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</si>
  <si>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</si>
  <si>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</si>
  <si>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</si>
  <si>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</si>
  <si>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</si>
  <si>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</si>
  <si>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</si>
  <si>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</si>
  <si>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</si>
  <si>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</si>
  <si>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</si>
  <si>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</si>
  <si>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</si>
  <si>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</si>
  <si>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</si>
  <si>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</si>
  <si>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</si>
  <si>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</si>
  <si>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</si>
  <si>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</si>
  <si>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</si>
  <si>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</si>
  <si>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</si>
  <si>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</si>
  <si>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</si>
  <si>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</si>
  <si>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</si>
  <si>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</si>
  <si>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</si>
  <si>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</si>
  <si>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</si>
  <si>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</si>
  <si>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</si>
  <si>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</si>
  <si>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</si>
  <si>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</si>
  <si>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</si>
  <si>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</si>
  <si>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</si>
  <si>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</si>
  <si>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</si>
  <si>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</si>
  <si>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</si>
  <si>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</si>
  <si>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</si>
  <si>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</si>
  <si>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</si>
  <si>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</si>
  <si>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</si>
  <si>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</si>
  <si>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</si>
  <si>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</si>
  <si>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</si>
  <si>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</si>
  <si>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</si>
  <si>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</si>
  <si>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</si>
  <si>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</si>
  <si>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</si>
  <si>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</si>
  <si>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</si>
  <si>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</si>
  <si>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</si>
  <si>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</si>
  <si>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</si>
  <si>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</si>
  <si>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</si>
  <si>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</si>
  <si>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</si>
  <si>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</si>
  <si>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</si>
  <si>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</si>
  <si>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</si>
  <si>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</si>
  <si>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</si>
  <si>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</si>
  <si>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</si>
  <si>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</si>
  <si>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</si>
  <si>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</si>
  <si>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</si>
  <si>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</si>
  <si>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</si>
  <si>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</si>
  <si>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</si>
  <si>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</si>
  <si>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</si>
  <si>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</si>
  <si>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</si>
  <si>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</si>
  <si>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</si>
  <si>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</si>
  <si>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</si>
  <si>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</si>
  <si>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</si>
  <si>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</si>
  <si>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</si>
  <si>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</si>
  <si>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</si>
  <si>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</si>
  <si>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</si>
  <si>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</si>
  <si>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</si>
  <si>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</si>
  <si>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</si>
  <si>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</si>
  <si>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</si>
  <si>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</si>
  <si>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</si>
  <si>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</si>
  <si>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</si>
  <si>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</si>
  <si>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</si>
  <si>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</si>
  <si>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</si>
  <si>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</si>
  <si>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</si>
  <si>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</si>
  <si>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</si>
  <si>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</si>
  <si>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</si>
  <si>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</si>
  <si>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</si>
  <si>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</si>
  <si>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</si>
  <si>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</si>
  <si>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</si>
  <si>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</si>
  <si>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</si>
  <si>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</si>
  <si>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</si>
  <si>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</si>
  <si>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</si>
  <si>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</si>
  <si>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</si>
  <si>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</si>
  <si>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</si>
  <si>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</si>
  <si>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</si>
  <si>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</si>
  <si>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</si>
  <si>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</si>
  <si>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</si>
  <si>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</si>
  <si>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</si>
  <si>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</si>
  <si>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</si>
  <si>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</si>
  <si>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</si>
  <si>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</si>
  <si>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</si>
  <si>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</si>
  <si>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</si>
  <si>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</si>
  <si>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</si>
  <si>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</si>
  <si>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</si>
  <si>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</si>
  <si>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</si>
  <si>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</si>
  <si>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</si>
  <si>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</si>
  <si>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</si>
  <si>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</si>
  <si>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</si>
  <si>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</si>
  <si>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</si>
  <si>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</si>
  <si>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</si>
  <si>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</si>
  <si>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</si>
  <si>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</si>
  <si>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</si>
  <si>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</si>
  <si>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</si>
  <si>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</si>
  <si>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</si>
  <si>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</si>
  <si>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</si>
  <si>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</si>
  <si>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</si>
  <si>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</si>
  <si>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</si>
  <si>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</si>
  <si>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</si>
  <si>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</si>
  <si>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</si>
  <si>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</si>
  <si>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</si>
  <si>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</si>
  <si>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</si>
  <si>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</si>
  <si>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</si>
  <si>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</si>
  <si>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</si>
  <si>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</si>
  <si>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</si>
  <si>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</si>
  <si>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</si>
  <si>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</si>
  <si>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</si>
  <si>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</si>
  <si>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</si>
  <si>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</si>
  <si>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</si>
  <si>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</si>
  <si>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</si>
  <si>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</si>
  <si>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</si>
  <si>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</si>
  <si>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</si>
  <si>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</si>
  <si>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</si>
  <si>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</si>
  <si>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</si>
  <si>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</si>
  <si>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</si>
  <si>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</si>
  <si>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</si>
  <si>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</si>
  <si>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</si>
  <si>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</si>
  <si>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</si>
  <si>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</si>
  <si>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</si>
  <si>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</si>
  <si>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</si>
  <si>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</si>
  <si>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</si>
  <si>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</si>
  <si>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</si>
  <si>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</si>
  <si>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</si>
  <si>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</si>
  <si>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</si>
  <si>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</si>
  <si>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</si>
  <si>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</si>
  <si>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</si>
  <si>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</si>
  <si>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</si>
  <si>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</si>
  <si>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</si>
  <si>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</si>
  <si>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</si>
  <si>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</si>
  <si>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</si>
  <si>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</si>
  <si>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</si>
  <si>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</si>
  <si>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</si>
  <si>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</si>
  <si>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</si>
  <si>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</si>
  <si>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</si>
  <si>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</si>
  <si>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</si>
  <si>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</si>
  <si>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</si>
  <si>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</si>
  <si>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</si>
  <si>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</si>
  <si>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</si>
  <si>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</si>
  <si>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</si>
  <si>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</si>
  <si>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</si>
  <si>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</si>
  <si>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</si>
  <si>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</si>
  <si>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</si>
  <si>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</si>
  <si>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</si>
  <si>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</si>
  <si>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</si>
  <si>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</si>
  <si>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</si>
  <si>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</si>
  <si>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</si>
  <si>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</si>
  <si>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</si>
  <si>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</si>
  <si>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</si>
  <si>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</si>
  <si>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</si>
  <si>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</si>
  <si>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</si>
  <si>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</si>
  <si>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</si>
  <si>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</si>
  <si>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</si>
  <si>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</si>
  <si>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</si>
  <si>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</si>
  <si>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</si>
  <si>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</si>
  <si>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</si>
  <si>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</si>
  <si>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</si>
  <si>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</si>
  <si>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</si>
  <si>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</si>
  <si>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</si>
  <si>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</si>
  <si>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</si>
  <si>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</si>
  <si>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</si>
  <si>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</si>
  <si>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</si>
  <si>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</si>
  <si>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</si>
  <si>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</si>
  <si>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</si>
  <si>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</si>
  <si>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</si>
  <si>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</si>
  <si>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</si>
  <si>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</si>
  <si>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</si>
  <si>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</si>
  <si>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</si>
  <si>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</si>
  <si>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</si>
  <si>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</si>
  <si>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</si>
  <si>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</si>
  <si>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</si>
  <si>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</si>
  <si>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</si>
  <si>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</si>
  <si>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</si>
  <si>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</si>
  <si>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</si>
  <si>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</si>
  <si>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</si>
  <si>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</si>
  <si>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</si>
  <si>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</si>
  <si>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</si>
  <si>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</si>
  <si>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</si>
  <si>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</si>
  <si>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</si>
  <si>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</si>
  <si>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</si>
  <si>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</si>
  <si>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</si>
  <si>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</si>
  <si>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</si>
  <si>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</si>
  <si>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</si>
  <si>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</si>
  <si>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</si>
  <si>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</si>
  <si>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</si>
  <si>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</si>
  <si>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</si>
  <si>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</si>
  <si>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</si>
  <si>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</si>
  <si>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</si>
  <si>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</si>
  <si>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</si>
  <si>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</si>
  <si>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</si>
  <si>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</si>
  <si>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</si>
  <si>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</si>
  <si>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</si>
  <si>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</si>
  <si>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</si>
  <si>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</si>
  <si>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</si>
  <si>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</si>
  <si>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</si>
  <si>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</si>
  <si>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</si>
  <si>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</si>
  <si>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</si>
  <si>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</si>
  <si>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</si>
  <si>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</si>
  <si>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</si>
  <si>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</si>
  <si>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</si>
  <si>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</si>
  <si>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</si>
  <si>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</si>
  <si>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</si>
  <si>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</si>
  <si>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</si>
  <si>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</si>
  <si>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</si>
  <si>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</si>
  <si>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</si>
  <si>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</si>
  <si>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</si>
  <si>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</si>
  <si>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</si>
  <si>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</si>
  <si>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</si>
  <si>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</si>
  <si>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</si>
  <si>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</si>
  <si>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</si>
  <si>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</si>
  <si>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</si>
  <si>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</si>
  <si>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</si>
  <si>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</si>
  <si>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</si>
  <si>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</si>
  <si>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</si>
  <si>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</si>
  <si>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</si>
  <si>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</si>
  <si>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</si>
  <si>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</si>
  <si>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</si>
  <si>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</si>
  <si>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</si>
  <si>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</si>
  <si>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</si>
  <si>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</si>
  <si>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</si>
  <si>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</si>
  <si>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</si>
  <si>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</si>
  <si>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</si>
  <si>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</si>
  <si>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</si>
  <si>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</si>
  <si>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</si>
  <si>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</si>
  <si>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</si>
  <si>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</si>
  <si>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</si>
  <si>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</si>
  <si>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</si>
  <si>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</si>
  <si>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</si>
  <si>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</si>
  <si>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</si>
  <si>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</si>
  <si>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</si>
  <si>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</si>
  <si>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</si>
  <si>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</si>
  <si>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</si>
  <si>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</si>
  <si>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</si>
  <si>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</si>
  <si>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</si>
  <si>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</si>
  <si>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</si>
  <si>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</si>
  <si>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</si>
  <si>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</si>
  <si>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</si>
  <si>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</si>
  <si>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</si>
  <si>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</si>
  <si>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</si>
  <si>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</si>
  <si>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</si>
  <si>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</si>
  <si>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</si>
  <si>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</si>
  <si>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</si>
  <si>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</si>
  <si>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</si>
  <si>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</si>
  <si>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</si>
  <si>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</si>
  <si>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</si>
  <si>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</si>
  <si>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</si>
  <si>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</si>
  <si>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</si>
  <si>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</si>
  <si>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</si>
  <si>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</si>
  <si>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</si>
  <si>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</si>
  <si>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</si>
  <si>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</si>
  <si>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</si>
  <si>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</si>
  <si>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</si>
  <si>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</si>
  <si>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</si>
  <si>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</si>
  <si>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</si>
  <si>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</si>
  <si>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</si>
  <si>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</si>
  <si>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</si>
  <si>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</si>
  <si>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</si>
  <si>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</si>
  <si>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</si>
  <si>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</si>
  <si>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</si>
  <si>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</si>
  <si>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</si>
  <si>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</si>
  <si>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</si>
  <si>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</si>
  <si>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</si>
  <si>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</si>
  <si>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</si>
  <si>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</si>
  <si>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</si>
  <si>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</si>
  <si>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</si>
  <si>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</si>
  <si>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</si>
  <si>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</si>
  <si>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</si>
  <si>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</si>
  <si>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</si>
  <si>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</si>
  <si>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</si>
  <si>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</si>
  <si>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</si>
  <si>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</si>
  <si>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</si>
  <si>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</si>
  <si>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</si>
  <si>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</si>
  <si>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</si>
  <si>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</si>
  <si>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</si>
  <si>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</si>
  <si>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</si>
  <si>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</si>
  <si>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</si>
  <si>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</si>
  <si>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</si>
  <si>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</si>
  <si>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</si>
  <si>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</si>
  <si>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</si>
  <si>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</si>
  <si>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</si>
  <si>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</si>
  <si>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</si>
  <si>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</si>
  <si>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</si>
  <si>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</si>
  <si>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</si>
  <si>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</si>
  <si>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</si>
  <si>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</si>
  <si>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</si>
  <si>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</si>
  <si>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</si>
  <si>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</si>
  <si>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</si>
  <si>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</si>
  <si>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</si>
  <si>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</si>
  <si>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</si>
  <si>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</si>
  <si>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</si>
  <si>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</si>
  <si>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</si>
  <si>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</si>
  <si>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</si>
  <si>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</si>
  <si>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</si>
  <si>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</si>
  <si>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</si>
  <si>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</si>
  <si>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</si>
  <si>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</si>
  <si>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</si>
  <si>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</si>
  <si>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</si>
  <si>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</si>
  <si>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</si>
  <si>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</si>
  <si>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</si>
  <si>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</si>
  <si>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</si>
  <si>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</si>
  <si>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</si>
  <si>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</si>
  <si>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</si>
  <si>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</si>
  <si>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</si>
  <si>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</si>
  <si>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</si>
  <si>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</si>
  <si>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</si>
  <si>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</si>
  <si>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</si>
  <si>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</si>
  <si>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</si>
  <si>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</si>
  <si>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</si>
  <si>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</si>
  <si>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</si>
  <si>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</si>
  <si>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</si>
  <si>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</si>
  <si>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</si>
  <si>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</si>
  <si>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</si>
  <si>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</si>
  <si>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</si>
  <si>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</si>
  <si>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</si>
  <si>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</si>
  <si>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</si>
  <si>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</si>
  <si>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</si>
  <si>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</si>
  <si>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</si>
  <si>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</si>
  <si>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</si>
  <si>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</si>
  <si>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</si>
  <si>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</si>
  <si>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</si>
  <si>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</si>
  <si>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</si>
  <si>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</si>
  <si>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</si>
  <si>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</si>
  <si>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</si>
  <si>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</si>
  <si>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</si>
  <si>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</si>
  <si>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</si>
  <si>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</si>
  <si>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</si>
  <si>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</si>
  <si>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</si>
  <si>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</si>
  <si>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</si>
  <si>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</si>
  <si>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</si>
  <si>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</si>
  <si>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</si>
  <si>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</si>
  <si>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</si>
  <si>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</si>
  <si>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</si>
  <si>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</si>
  <si>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</si>
  <si>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</si>
  <si>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</si>
  <si>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</si>
  <si>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</si>
  <si>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</si>
  <si>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</si>
  <si>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</si>
  <si>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</si>
  <si>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</si>
  <si>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</si>
  <si>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</si>
  <si>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</si>
  <si>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</si>
  <si>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</si>
  <si>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</si>
  <si>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</si>
  <si>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</si>
  <si>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</si>
  <si>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</si>
  <si>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</si>
  <si>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</si>
  <si>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</si>
  <si>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</si>
  <si>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</si>
  <si>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</si>
  <si>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</si>
  <si>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</si>
  <si>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</si>
  <si>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</si>
  <si>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</si>
  <si>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</si>
  <si>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</si>
  <si>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</si>
  <si>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</si>
  <si>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</si>
  <si>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</si>
  <si>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</si>
  <si>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</si>
  <si>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</si>
  <si>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</si>
  <si>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</si>
  <si>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</si>
  <si>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</si>
  <si>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</si>
  <si>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</si>
  <si>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</si>
  <si>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</si>
  <si>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</si>
  <si>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</si>
  <si>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</si>
  <si>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</si>
  <si>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</si>
  <si>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</si>
  <si>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</si>
  <si>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</si>
  <si>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</si>
  <si>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</si>
  <si>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</si>
  <si>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</si>
  <si>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</si>
  <si>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</si>
  <si>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</si>
  <si>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</si>
  <si>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</si>
  <si>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</si>
  <si>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</si>
  <si>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</si>
  <si>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</si>
  <si>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</si>
  <si>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</si>
  <si>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</si>
  <si>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</si>
  <si>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</si>
  <si>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</si>
  <si>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</si>
  <si>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</si>
  <si>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</si>
  <si>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</si>
  <si>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</si>
  <si>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</si>
  <si>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</si>
  <si>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</si>
  <si>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</si>
  <si>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</si>
  <si>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</si>
  <si>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</si>
  <si>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</si>
  <si>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</si>
  <si>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</si>
  <si>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</si>
  <si>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</si>
  <si>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</si>
  <si>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</si>
  <si>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</si>
  <si>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</si>
  <si>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</si>
  <si>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</si>
  <si>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</si>
  <si>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</si>
  <si>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</si>
  <si>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</si>
  <si>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</si>
  <si>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</si>
  <si>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</si>
  <si>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</si>
  <si>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</si>
  <si>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</si>
  <si>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</si>
  <si>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</si>
  <si>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</si>
  <si>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</si>
  <si>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</si>
  <si>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</si>
  <si>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</si>
  <si>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</si>
  <si>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</si>
  <si>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</si>
  <si>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</si>
  <si>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</si>
  <si>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</si>
  <si>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</si>
  <si>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</si>
  <si>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</si>
  <si>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</si>
  <si>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</si>
  <si>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</si>
  <si>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</si>
  <si>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</si>
  <si>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</si>
  <si>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</si>
  <si>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</si>
  <si>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</si>
  <si>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</si>
  <si>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</si>
  <si>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</si>
  <si>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</si>
  <si>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</si>
  <si>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</si>
  <si>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</si>
  <si>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</si>
  <si>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</si>
  <si>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</si>
  <si>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</si>
  <si>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</si>
  <si>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</si>
  <si>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</si>
  <si>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</si>
  <si>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</si>
  <si>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</si>
  <si>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</si>
  <si>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</si>
  <si>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</si>
  <si>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</si>
  <si>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</si>
  <si>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</si>
  <si>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</si>
  <si>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</si>
  <si>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</si>
  <si>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</si>
  <si>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</si>
  <si>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</si>
  <si>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</si>
  <si>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</si>
  <si>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</si>
  <si>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</si>
  <si>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</si>
  <si>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</si>
  <si>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</si>
  <si>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</si>
  <si>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</si>
  <si>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</si>
  <si>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</si>
  <si>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</si>
  <si>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</si>
  <si>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</si>
  <si>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</si>
  <si>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</si>
  <si>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</si>
  <si>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</si>
  <si>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</si>
  <si>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</si>
  <si>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</si>
  <si>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</si>
  <si>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</si>
  <si>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</si>
  <si>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</si>
  <si>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</si>
  <si>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</si>
  <si>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</si>
  <si>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</si>
  <si>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</si>
  <si>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</si>
  <si>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</si>
  <si>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</si>
  <si>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</si>
  <si>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</si>
  <si>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</si>
  <si>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</si>
  <si>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</si>
  <si>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</si>
  <si>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</si>
  <si>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</si>
  <si>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</si>
  <si>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</si>
  <si>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</si>
  <si>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</si>
  <si>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</si>
  <si>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</si>
  <si>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</si>
  <si>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</si>
  <si>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</si>
  <si>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</si>
  <si>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</si>
  <si>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</si>
  <si>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</si>
  <si>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</si>
  <si>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</si>
  <si>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</si>
  <si>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</si>
  <si>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</si>
  <si>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</si>
  <si>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</si>
  <si>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</si>
  <si>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</si>
  <si>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</si>
  <si>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</si>
  <si>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</si>
  <si>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</si>
  <si>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</si>
  <si>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</si>
  <si>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</si>
  <si>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</si>
  <si>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</si>
  <si>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</si>
  <si>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</si>
  <si>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</si>
  <si>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</si>
  <si>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</si>
  <si>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</si>
  <si>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</si>
  <si>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</si>
  <si>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</si>
  <si>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</si>
  <si>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</si>
  <si>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</si>
  <si>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</si>
  <si>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</si>
  <si>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</si>
  <si>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</si>
  <si>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</si>
  <si>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</si>
  <si>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</si>
  <si>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</si>
  <si>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</si>
  <si>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</si>
  <si>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</si>
  <si>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</si>
  <si>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</si>
  <si>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</si>
  <si>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</si>
  <si>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</si>
  <si>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</si>
  <si>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</si>
  <si>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</si>
  <si>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</si>
  <si>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</si>
  <si>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</si>
  <si>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</si>
  <si>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</si>
  <si>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</si>
  <si>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</si>
  <si>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</si>
  <si>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</si>
  <si>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</si>
  <si>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</si>
  <si>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</si>
  <si>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</si>
  <si>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</si>
  <si>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</si>
  <si>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</si>
  <si>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</si>
  <si>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</si>
  <si>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</si>
  <si>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</si>
  <si>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</si>
  <si>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</si>
  <si>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</si>
  <si>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</si>
  <si>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</si>
  <si>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</si>
  <si>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</si>
  <si>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</si>
  <si>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</si>
  <si>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</si>
  <si>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</si>
  <si>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</si>
  <si>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</si>
  <si>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</si>
  <si>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</si>
  <si>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</si>
  <si>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</si>
  <si>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</si>
  <si>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</si>
  <si>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</si>
  <si>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</si>
  <si>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</si>
  <si>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</si>
  <si>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</si>
  <si>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</si>
  <si>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</si>
  <si>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</si>
  <si>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</si>
  <si>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</si>
  <si>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</si>
  <si>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</si>
  <si>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</si>
  <si>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</si>
  <si>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</si>
  <si>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</si>
  <si>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</si>
  <si>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</si>
  <si>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</si>
  <si>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</si>
  <si>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</si>
  <si>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</si>
  <si>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</si>
  <si>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</si>
  <si>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</si>
  <si>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</si>
  <si>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</si>
  <si>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</si>
  <si>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</si>
  <si>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</si>
  <si>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</si>
  <si>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</si>
  <si>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</si>
  <si>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</si>
  <si>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</si>
  <si>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</si>
  <si>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</si>
  <si>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</si>
  <si>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</si>
  <si>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</si>
  <si>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</si>
  <si>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</si>
  <si>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</si>
  <si>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</si>
  <si>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</si>
  <si>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</si>
  <si>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</si>
  <si>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</si>
  <si>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</si>
  <si>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</si>
  <si>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</si>
  <si>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</si>
  <si>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</si>
  <si>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</si>
  <si>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</si>
  <si>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</si>
  <si>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</si>
  <si>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</si>
  <si>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</si>
  <si>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</si>
  <si>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</si>
  <si>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</si>
  <si>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</si>
  <si>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</si>
  <si>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</si>
  <si>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</si>
  <si>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</si>
  <si>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</si>
  <si>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</si>
  <si>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</si>
  <si>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</si>
  <si>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</si>
  <si>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</si>
  <si>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</si>
  <si>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</si>
  <si>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</si>
  <si>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</si>
  <si>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</si>
  <si>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</si>
  <si>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</si>
  <si>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</si>
  <si>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</si>
  <si>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</si>
  <si>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</si>
  <si>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</si>
  <si>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</si>
  <si>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</si>
  <si>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</si>
  <si>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</si>
  <si>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</si>
  <si>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</si>
  <si>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</si>
  <si>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</si>
  <si>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</si>
  <si>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</si>
  <si>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</si>
  <si>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</si>
  <si>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</si>
  <si>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</si>
  <si>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</si>
  <si>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</si>
  <si>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</si>
  <si>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</si>
  <si>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</si>
  <si>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</si>
  <si>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</si>
  <si>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</si>
  <si>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</si>
  <si>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</si>
  <si>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</si>
  <si>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</si>
  <si>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</si>
  <si>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</si>
  <si>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</si>
  <si>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</si>
  <si>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</si>
  <si>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</si>
  <si>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</si>
  <si>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</si>
  <si>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</si>
  <si>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</si>
  <si>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</si>
  <si>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</si>
  <si>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</si>
  <si>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</si>
  <si>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</si>
  <si>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</si>
  <si>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</si>
  <si>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</si>
  <si>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</si>
  <si>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</si>
  <si>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</si>
  <si>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</si>
  <si>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</si>
  <si>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</si>
  <si>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</si>
  <si>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</si>
  <si>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</si>
  <si>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</si>
  <si>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</si>
  <si>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</si>
  <si>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</si>
  <si>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</si>
  <si>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</si>
  <si>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</si>
  <si>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</si>
  <si>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</si>
  <si>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</si>
  <si>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</si>
  <si>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</si>
  <si>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</si>
  <si>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</si>
  <si>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</si>
  <si>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</si>
  <si>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</si>
  <si>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</si>
  <si>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</si>
  <si>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</si>
  <si>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</si>
  <si>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</si>
  <si>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</si>
  <si>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</si>
  <si>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</si>
  <si>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</si>
  <si>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</si>
  <si>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</si>
  <si>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</si>
  <si>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</si>
  <si>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</si>
  <si>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</si>
  <si>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</si>
  <si>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</si>
  <si>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</si>
  <si>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</si>
  <si>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</si>
  <si>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</si>
  <si>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</si>
  <si>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</si>
  <si>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</si>
  <si>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</si>
  <si>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</si>
  <si>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</si>
  <si>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</si>
  <si>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</si>
  <si>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</si>
  <si>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</si>
  <si>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</si>
  <si>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</si>
  <si>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</si>
  <si>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</si>
  <si>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</si>
  <si>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</si>
  <si>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</si>
  <si>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</si>
  <si>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</si>
  <si>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</si>
  <si>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</si>
  <si>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</si>
  <si>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</si>
  <si>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</si>
  <si>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</si>
  <si>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</si>
  <si>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</si>
  <si>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</si>
  <si>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</si>
  <si>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</si>
  <si>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</si>
  <si>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</si>
  <si>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</si>
  <si>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</si>
  <si>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</si>
  <si>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</si>
  <si>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</si>
  <si>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</si>
  <si>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</si>
  <si>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</si>
  <si>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</si>
  <si>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</si>
  <si>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</si>
  <si>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</si>
  <si>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</si>
  <si>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</si>
  <si>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</si>
  <si>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</si>
  <si>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</si>
  <si>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</si>
  <si>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</si>
  <si>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</si>
  <si>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</si>
  <si>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</si>
  <si>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</si>
  <si>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</si>
  <si>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</si>
  <si>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</si>
  <si>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</si>
  <si>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</si>
  <si>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</si>
  <si>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</si>
  <si>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</si>
  <si>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</si>
  <si>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</si>
  <si>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</si>
  <si>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</si>
  <si>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</si>
  <si>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</si>
  <si>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</si>
  <si>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</si>
  <si>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</si>
  <si>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</si>
  <si>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</si>
  <si>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</si>
  <si>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</si>
  <si>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</si>
  <si>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</si>
  <si>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(Alle)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</si>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</sst>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  <xf numFmtId="0" fontId="0" fillId="11" borderId="0" xfId="0" applyFill="1"/>
  </cellXfs>
  <cellStyles count="2">
    <cellStyle name="Hyperlink" xfId="1" builtinId="8"/>
    <cellStyle name="Standaard" xfId="0" builtinId="0"/>
  </cellStyles>
  <dxfs count="151"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1/relationships/timelineCache" Target="timelineCaches/timelineCache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1/relationships/timelineCache" Target="timelineCaches/timelineCache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macro.xlsm]OLD!Draaitabel4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OLD!$J$12:$J$13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OLD!$J$14:$J$25</c:f>
              <c:numCache>
                <c:formatCode>General</c:formatCode>
                <c:ptCount val="12"/>
                <c:pt idx="0">
                  <c:v>10</c:v>
                </c:pt>
                <c:pt idx="1">
                  <c:v>8</c:v>
                </c:pt>
                <c:pt idx="2">
                  <c:v>6</c:v>
                </c:pt>
                <c:pt idx="3">
                  <c:v>10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OLD!$K$12:$K$13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OLD!$K$14:$K$25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14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OLD!$L$12:$L$13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OLD!$L$14:$L$25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OLD!$M$12:$M$13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OLD!$M$14:$M$25</c:f>
              <c:numCache>
                <c:formatCode>General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4</c:v>
                </c:pt>
                <c:pt idx="6">
                  <c:v>7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macro.xlsm]OLD!Draaitabel3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OLD!$J$27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OLD!$I$28:$I$39</c:f>
              <c:strCache>
                <c:ptCount val="11"/>
                <c:pt idx="0">
                  <c:v>Dominique De Clercq</c:v>
                </c:pt>
                <c:pt idx="1">
                  <c:v>Christoff Rotty</c:v>
                </c:pt>
                <c:pt idx="2">
                  <c:v>Bart Van Der Beken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Lucie Vande Velde</c:v>
                </c:pt>
                <c:pt idx="7">
                  <c:v>Steven Storm</c:v>
                </c:pt>
                <c:pt idx="8">
                  <c:v>uit dienst</c:v>
                </c:pt>
                <c:pt idx="9">
                  <c:v>Jarne Stubbe</c:v>
                </c:pt>
                <c:pt idx="10">
                  <c:v>0</c:v>
                </c:pt>
              </c:strCache>
            </c:strRef>
          </c:cat>
          <c:val>
            <c:numRef>
              <c:f>OLD!$J$28:$J$39</c:f>
              <c:numCache>
                <c:formatCode>General</c:formatCode>
                <c:ptCount val="11"/>
                <c:pt idx="0">
                  <c:v>75</c:v>
                </c:pt>
                <c:pt idx="1">
                  <c:v>73</c:v>
                </c:pt>
                <c:pt idx="2">
                  <c:v>70</c:v>
                </c:pt>
                <c:pt idx="3">
                  <c:v>56</c:v>
                </c:pt>
                <c:pt idx="4">
                  <c:v>53</c:v>
                </c:pt>
                <c:pt idx="5">
                  <c:v>42</c:v>
                </c:pt>
                <c:pt idx="6">
                  <c:v>39</c:v>
                </c:pt>
                <c:pt idx="7">
                  <c:v>39</c:v>
                </c:pt>
                <c:pt idx="8">
                  <c:v>9</c:v>
                </c:pt>
                <c:pt idx="9">
                  <c:v>4</c:v>
                </c:pt>
                <c:pt idx="1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13</xdr:col>
      <xdr:colOff>205319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15</xdr:col>
      <xdr:colOff>133349</xdr:colOff>
      <xdr:row>7</xdr:row>
      <xdr:rowOff>38100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um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7.43923773148" createdVersion="8" refreshedVersion="8" minRefreshableVersion="3" recordCount="983" xr:uid="{A79F02F4-7057-403C-BA1E-F048587AF0EA}">
  <cacheSource type="worksheet">
    <worksheetSource name="bron"/>
  </cacheSource>
  <cacheFields count="33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42336 Camgöz Furkan"/>
        <s v="8918 De Graeve Marc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8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n v="0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1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m/>
      </sharedItems>
      <fieldGroup par="32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6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42277"/>
    <x v="404"/>
    <s v="Güler"/>
    <s v="Ender"/>
    <x v="11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</r>
  <r>
    <n v="42145"/>
    <x v="369"/>
    <s v="Gys"/>
    <s v="Shayya"/>
    <x v="9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</r>
  <r>
    <n v="42336"/>
    <x v="411"/>
    <s v="Camgöz"/>
    <s v="Furkan"/>
    <x v="11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</r>
  <r>
    <n v="39558"/>
    <x v="75"/>
    <s v="De Groote"/>
    <s v="Cedric"/>
    <x v="9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</r>
  <r>
    <n v="8918"/>
    <x v="412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1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9" firstHeaderRow="1" firstDataRow="1" firstDataCol="1"/>
  <pivotFields count="33">
    <pivotField showAll="0"/>
    <pivotField showAll="0"/>
    <pivotField showAll="0"/>
    <pivotField showAll="0"/>
    <pivotField axis="axisRow" showAll="0" sortType="descending">
      <items count="19">
        <item m="1" x="17"/>
        <item x="4"/>
        <item m="1" x="13"/>
        <item x="5"/>
        <item m="1" x="14"/>
        <item x="7"/>
        <item x="2"/>
        <item x="3"/>
        <item x="1"/>
        <item m="1" x="16"/>
        <item m="1" x="15"/>
        <item x="6"/>
        <item m="1" x="12"/>
        <item x="9"/>
        <item x="0"/>
        <item x="8"/>
        <item x="10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4"/>
  </rowFields>
  <rowItems count="12">
    <i>
      <x v="5"/>
    </i>
    <i>
      <x v="3"/>
    </i>
    <i>
      <x v="1"/>
    </i>
    <i>
      <x v="7"/>
    </i>
    <i>
      <x v="8"/>
    </i>
    <i>
      <x v="6"/>
    </i>
    <i>
      <x v="11"/>
    </i>
    <i>
      <x v="13"/>
    </i>
    <i>
      <x v="14"/>
    </i>
    <i>
      <x v="16"/>
    </i>
    <i>
      <x v="17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13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207" firstHeaderRow="1" firstDataRow="1" firstDataCol="1"/>
  <pivotFields count="33">
    <pivotField showAll="0"/>
    <pivotField showAll="0"/>
    <pivotField showAll="0"/>
    <pivotField showAll="0"/>
    <pivotField showAll="0">
      <items count="19">
        <item x="11"/>
        <item m="1" x="17"/>
        <item x="4"/>
        <item m="1" x="13"/>
        <item x="5"/>
        <item m="1" x="14"/>
        <item x="7"/>
        <item x="2"/>
        <item x="3"/>
        <item x="10"/>
        <item x="1"/>
        <item m="1" x="16"/>
        <item m="1" x="15"/>
        <item x="6"/>
        <item m="1" x="12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showAll="0"/>
    <pivotField axis="axisRow" showAll="0" sortType="descending">
      <items count="267">
        <item m="1" x="265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4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4"/>
        <item x="253"/>
        <item x="255"/>
        <item x="256"/>
        <item x="257"/>
        <item x="258"/>
        <item x="259"/>
        <item x="260"/>
        <item x="261"/>
        <item x="262"/>
        <item x="26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24"/>
  </rowFields>
  <rowItems count="195">
    <i>
      <x v="25"/>
    </i>
    <i>
      <x v="62"/>
    </i>
    <i>
      <x v="189"/>
    </i>
    <i>
      <x v="190"/>
    </i>
    <i>
      <x v="63"/>
    </i>
    <i>
      <x v="168"/>
    </i>
    <i>
      <x v="223"/>
    </i>
    <i>
      <x v="134"/>
    </i>
    <i>
      <x v="43"/>
    </i>
    <i>
      <x v="209"/>
    </i>
    <i>
      <x v="37"/>
    </i>
    <i>
      <x v="188"/>
    </i>
    <i>
      <x v="146"/>
    </i>
    <i>
      <x v="147"/>
    </i>
    <i>
      <x v="91"/>
    </i>
    <i>
      <x v="218"/>
    </i>
    <i>
      <x v="77"/>
    </i>
    <i>
      <x v="90"/>
    </i>
    <i>
      <x v="42"/>
    </i>
    <i>
      <x v="23"/>
    </i>
    <i>
      <x v="35"/>
    </i>
    <i>
      <x v="196"/>
    </i>
    <i>
      <x v="88"/>
    </i>
    <i>
      <x v="119"/>
    </i>
    <i>
      <x v="95"/>
    </i>
    <i>
      <x v="50"/>
    </i>
    <i>
      <x v="16"/>
    </i>
    <i>
      <x v="132"/>
    </i>
    <i>
      <x v="186"/>
    </i>
    <i>
      <x v="15"/>
    </i>
    <i>
      <x v="151"/>
    </i>
    <i>
      <x v="103"/>
    </i>
    <i>
      <x v="183"/>
    </i>
    <i>
      <x v="47"/>
    </i>
    <i>
      <x v="187"/>
    </i>
    <i>
      <x v="3"/>
    </i>
    <i>
      <x v="30"/>
    </i>
    <i>
      <x v="24"/>
    </i>
    <i>
      <x v="220"/>
    </i>
    <i>
      <x v="137"/>
    </i>
    <i>
      <x v="64"/>
    </i>
    <i>
      <x v="138"/>
    </i>
    <i>
      <x v="66"/>
    </i>
    <i>
      <x v="38"/>
    </i>
    <i>
      <x v="144"/>
    </i>
    <i>
      <x v="240"/>
    </i>
    <i>
      <x v="197"/>
    </i>
    <i>
      <x v="184"/>
    </i>
    <i>
      <x v="81"/>
    </i>
    <i>
      <x v="224"/>
    </i>
    <i>
      <x v="82"/>
    </i>
    <i>
      <x v="247"/>
    </i>
    <i>
      <x v="31"/>
    </i>
    <i>
      <x v="61"/>
    </i>
    <i>
      <x v="33"/>
    </i>
    <i>
      <x v="26"/>
    </i>
    <i>
      <x v="102"/>
    </i>
    <i>
      <x v="237"/>
    </i>
    <i>
      <x v="5"/>
    </i>
    <i>
      <x v="242"/>
    </i>
    <i>
      <x v="118"/>
    </i>
    <i>
      <x v="162"/>
    </i>
    <i>
      <x v="6"/>
    </i>
    <i>
      <x v="54"/>
    </i>
    <i>
      <x v="123"/>
    </i>
    <i>
      <x v="192"/>
    </i>
    <i>
      <x v="127"/>
    </i>
    <i>
      <x v="201"/>
    </i>
    <i>
      <x v="128"/>
    </i>
    <i>
      <x v="222"/>
    </i>
    <i>
      <x v="129"/>
    </i>
    <i>
      <x v="231"/>
    </i>
    <i>
      <x v="133"/>
    </i>
    <i>
      <x v="239"/>
    </i>
    <i>
      <x v="17"/>
    </i>
    <i>
      <x v="241"/>
    </i>
    <i>
      <x v="136"/>
    </i>
    <i>
      <x v="244"/>
    </i>
    <i>
      <x v="45"/>
    </i>
    <i>
      <x v="255"/>
    </i>
    <i>
      <x v="155"/>
    </i>
    <i>
      <x v="181"/>
    </i>
    <i>
      <x v="213"/>
    </i>
    <i>
      <x v="248"/>
    </i>
    <i>
      <x v="232"/>
    </i>
    <i>
      <x v="12"/>
    </i>
    <i>
      <x v="87"/>
    </i>
    <i>
      <x v="89"/>
    </i>
    <i>
      <x v="112"/>
    </i>
    <i>
      <x v="131"/>
    </i>
    <i>
      <x v="84"/>
    </i>
    <i>
      <x v="41"/>
    </i>
    <i>
      <x v="256"/>
    </i>
    <i>
      <x v="78"/>
    </i>
    <i>
      <x v="207"/>
    </i>
    <i>
      <x v="34"/>
    </i>
    <i>
      <x v="109"/>
    </i>
    <i>
      <x v="135"/>
    </i>
    <i>
      <x v="228"/>
    </i>
    <i>
      <x v="14"/>
    </i>
    <i>
      <x v="236"/>
    </i>
    <i>
      <x v="19"/>
    </i>
    <i>
      <x v="86"/>
    </i>
    <i>
      <x v="97"/>
    </i>
    <i>
      <x v="252"/>
    </i>
    <i>
      <x v="140"/>
    </i>
    <i>
      <x v="260"/>
    </i>
    <i>
      <x v="141"/>
    </i>
    <i>
      <x v="205"/>
    </i>
    <i>
      <x v="142"/>
    </i>
    <i>
      <x v="211"/>
    </i>
    <i>
      <x v="265"/>
    </i>
    <i>
      <x v="216"/>
    </i>
    <i>
      <x v="2"/>
    </i>
    <i>
      <x v="111"/>
    </i>
    <i>
      <x v="46"/>
    </i>
    <i>
      <x v="226"/>
    </i>
    <i>
      <x v="22"/>
    </i>
    <i>
      <x v="230"/>
    </i>
    <i>
      <x v="148"/>
    </i>
    <i>
      <x v="234"/>
    </i>
    <i>
      <x v="149"/>
    </i>
    <i>
      <x v="238"/>
    </i>
    <i>
      <x v="49"/>
    </i>
    <i>
      <x v="122"/>
    </i>
    <i>
      <x v="98"/>
    </i>
    <i>
      <x v="246"/>
    </i>
    <i>
      <x v="157"/>
    </i>
    <i>
      <x v="250"/>
    </i>
    <i>
      <x v="158"/>
    </i>
    <i>
      <x v="254"/>
    </i>
    <i>
      <x v="160"/>
    </i>
    <i>
      <x v="258"/>
    </i>
    <i>
      <x v="99"/>
    </i>
    <i>
      <x v="262"/>
    </i>
    <i>
      <x v="163"/>
    </i>
    <i>
      <x v="203"/>
    </i>
    <i>
      <x v="166"/>
    </i>
    <i>
      <x v="206"/>
    </i>
    <i>
      <x v="7"/>
    </i>
    <i>
      <x v="1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65"/>
    </i>
    <i>
      <x v="176"/>
    </i>
    <i>
      <x v="29"/>
    </i>
    <i>
      <x v="177"/>
    </i>
    <i>
      <x v="225"/>
    </i>
    <i>
      <x v="180"/>
    </i>
    <i>
      <x v="227"/>
    </i>
    <i>
      <x v="264"/>
    </i>
    <i>
      <x v="229"/>
    </i>
    <i>
      <x v="67"/>
    </i>
    <i>
      <x v="113"/>
    </i>
    <i>
      <x v="100"/>
    </i>
    <i>
      <x v="233"/>
    </i>
    <i>
      <x v="185"/>
    </i>
    <i>
      <x v="235"/>
    </i>
    <i>
      <x v="101"/>
    </i>
    <i>
      <x v="115"/>
    </i>
    <i>
      <x v="55"/>
    </i>
    <i>
      <x v="74"/>
    </i>
    <i>
      <x v="58"/>
    </i>
    <i>
      <x v="121"/>
    </i>
    <i>
      <x v="60"/>
    </i>
    <i>
      <x v="243"/>
    </i>
    <i>
      <x v="79"/>
    </i>
    <i>
      <x v="245"/>
    </i>
    <i>
      <x v="68"/>
    </i>
    <i>
      <x v="125"/>
    </i>
    <i>
      <x v="193"/>
    </i>
    <i>
      <x v="249"/>
    </i>
    <i>
      <x v="194"/>
    </i>
    <i>
      <x v="251"/>
    </i>
    <i>
      <x v="195"/>
    </i>
    <i>
      <x v="253"/>
    </i>
    <i>
      <x v="9"/>
    </i>
    <i>
      <x v="126"/>
    </i>
    <i>
      <x v="104"/>
    </i>
    <i>
      <x v="257"/>
    </i>
    <i>
      <x v="198"/>
    </i>
    <i>
      <x v="259"/>
    </i>
    <i>
      <x v="199"/>
    </i>
    <i>
      <x v="261"/>
    </i>
    <i>
      <x v="200"/>
    </i>
    <i>
      <x v="263"/>
    </i>
    <i>
      <x v="108"/>
    </i>
    <i>
      <x v="202"/>
    </i>
    <i>
      <x v="52"/>
    </i>
    <i>
      <x v="14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1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77" firstHeaderRow="1" firstDataRow="1" firstDataCol="1"/>
  <pivotFields count="33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92"/>
        <item x="280"/>
        <item x="237"/>
        <item x="265"/>
        <item x="311"/>
        <item x="283"/>
        <item x="249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48"/>
        <item x="355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2"/>
        <item x="373"/>
        <item x="125"/>
        <item x="306"/>
        <item m="1" x="518"/>
        <item x="286"/>
        <item m="1" x="491"/>
        <item h="1" m="1" x="421"/>
        <item h="1" m="1" x="424"/>
        <item h="1" m="1" x="423"/>
        <item h="1" m="1" x="427"/>
        <item h="1" m="1" x="426"/>
        <item h="1" m="1" x="425"/>
        <item h="1" m="1" x="428"/>
        <item h="1" x="43"/>
        <item h="1" x="0"/>
        <item x="359"/>
        <item x="363"/>
        <item x="353"/>
        <item x="366"/>
        <item h="1" m="1" x="419"/>
        <item h="1" m="1" x="42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2"/>
        <item h="1" x="404"/>
        <item h="1" x="406"/>
        <item h="1" x="410"/>
        <item h="1" x="4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9">
        <item x="11"/>
        <item m="1" x="17"/>
        <item x="4"/>
        <item m="1" x="13"/>
        <item x="5"/>
        <item m="1" x="14"/>
        <item x="7"/>
        <item x="2"/>
        <item x="3"/>
        <item x="10"/>
        <item x="1"/>
        <item m="1" x="16"/>
        <item m="1" x="15"/>
        <item x="6"/>
        <item m="1" x="12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1"/>
  </rowFields>
  <rowItems count="265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17"/>
    </i>
    <i>
      <x v="156"/>
    </i>
    <i>
      <x v="478"/>
    </i>
    <i>
      <x v="280"/>
    </i>
    <i>
      <x v="342"/>
    </i>
    <i>
      <x v="483"/>
    </i>
    <i>
      <x v="358"/>
    </i>
    <i>
      <x v="504"/>
    </i>
    <i>
      <x v="380"/>
    </i>
    <i>
      <x v="341"/>
    </i>
    <i>
      <x v="579"/>
    </i>
    <i>
      <x v="481"/>
    </i>
    <i>
      <x v="514"/>
    </i>
    <i>
      <x v="118"/>
    </i>
    <i>
      <x v="518"/>
    </i>
    <i>
      <x v="202"/>
    </i>
    <i>
      <x v="523"/>
    </i>
    <i>
      <x v="219"/>
    </i>
    <i>
      <x v="442"/>
    </i>
    <i>
      <x v="325"/>
    </i>
    <i>
      <x v="471"/>
    </i>
    <i>
      <x v="69"/>
    </i>
    <i>
      <x v="412"/>
    </i>
    <i>
      <x v="520"/>
    </i>
    <i>
      <x v="438"/>
    </i>
    <i>
      <x v="440"/>
    </i>
    <i>
      <x v="531"/>
    </i>
    <i>
      <x v="43"/>
    </i>
    <i>
      <x v="270"/>
    </i>
    <i>
      <x v="490"/>
    </i>
    <i>
      <x v="344"/>
    </i>
    <i>
      <x v="321"/>
    </i>
    <i>
      <x v="586"/>
    </i>
    <i>
      <x v="480"/>
    </i>
    <i>
      <x v="355"/>
    </i>
    <i>
      <x v="498"/>
    </i>
    <i>
      <x v="18"/>
    </i>
    <i>
      <x v="510"/>
    </i>
    <i>
      <x v="362"/>
    </i>
    <i>
      <x v="521"/>
    </i>
    <i>
      <x v="372"/>
    </i>
    <i>
      <x v="232"/>
    </i>
    <i>
      <x v="374"/>
    </i>
    <i>
      <x v="250"/>
    </i>
    <i>
      <x v="375"/>
    </i>
    <i>
      <x v="496"/>
    </i>
    <i>
      <x v="377"/>
    </i>
    <i>
      <x v="502"/>
    </i>
    <i>
      <x v="157"/>
    </i>
    <i>
      <x v="101"/>
    </i>
    <i>
      <x v="397"/>
    </i>
    <i>
      <x v="317"/>
    </i>
    <i>
      <x v="529"/>
    </i>
    <i>
      <x v="329"/>
    </i>
    <i>
      <x v="159"/>
    </i>
    <i>
      <x v="148"/>
    </i>
    <i>
      <x v="411"/>
    </i>
    <i>
      <x v="472"/>
    </i>
    <i>
      <x v="184"/>
    </i>
    <i>
      <x v="236"/>
    </i>
    <i>
      <x v="415"/>
    </i>
    <i>
      <x v="240"/>
    </i>
    <i>
      <x v="417"/>
    </i>
    <i>
      <x v="486"/>
    </i>
    <i>
      <x v="428"/>
    </i>
    <i>
      <x v="494"/>
    </i>
    <i>
      <x v="431"/>
    </i>
    <i>
      <x v="255"/>
    </i>
    <i>
      <x v="432"/>
    </i>
    <i>
      <x v="266"/>
    </i>
    <i>
      <x v="435"/>
    </i>
    <i>
      <x v="267"/>
    </i>
    <i>
      <x v="188"/>
    </i>
    <i>
      <x v="506"/>
    </i>
    <i>
      <x v="81"/>
    </i>
    <i>
      <x v="508"/>
    </i>
    <i>
      <x v="207"/>
    </i>
    <i>
      <x v="309"/>
    </i>
    <i>
      <x v="447"/>
    </i>
    <i>
      <x v="513"/>
    </i>
    <i>
      <x v="451"/>
    </i>
    <i>
      <x v="112"/>
    </i>
    <i>
      <x v="452"/>
    </i>
    <i>
      <x v="333"/>
    </i>
    <i>
      <x v="460"/>
    </i>
    <i>
      <x v="11"/>
    </i>
    <i>
      <x v="469"/>
    </i>
    <i>
      <x v="470"/>
    </i>
    <i>
      <x v="405"/>
    </i>
    <i>
      <x v="581"/>
    </i>
    <i>
      <x v="407"/>
    </i>
    <i>
      <x v="348"/>
    </i>
    <i>
      <x v="67"/>
    </i>
    <i>
      <x v="459"/>
    </i>
    <i>
      <x v="282"/>
    </i>
    <i>
      <x v="285"/>
    </i>
    <i>
      <x v="488"/>
    </i>
    <i>
      <x v="288"/>
    </i>
    <i>
      <x v="528"/>
    </i>
    <i>
      <x v="289"/>
    </i>
    <i>
      <x v="446"/>
    </i>
    <i>
      <x v="290"/>
    </i>
    <i>
      <x v="217"/>
    </i>
    <i>
      <x v="292"/>
    </i>
    <i>
      <x v="239"/>
    </i>
    <i>
      <x v="294"/>
    </i>
    <i>
      <x v="14"/>
    </i>
    <i>
      <x v="303"/>
    </i>
    <i>
      <x v="559"/>
    </i>
    <i>
      <x v="305"/>
    </i>
    <i>
      <x v="39"/>
    </i>
    <i>
      <x v="307"/>
    </i>
    <i>
      <x v="192"/>
    </i>
    <i>
      <x v="308"/>
    </i>
    <i>
      <x v="467"/>
    </i>
    <i>
      <x v="97"/>
    </i>
    <i>
      <x v="224"/>
    </i>
    <i>
      <x v="312"/>
    </i>
    <i>
      <x v="10"/>
    </i>
    <i>
      <x v="314"/>
    </i>
    <i>
      <x v="505"/>
    </i>
    <i>
      <x v="315"/>
    </i>
    <i>
      <x v="264"/>
    </i>
    <i>
      <x v="316"/>
    </i>
    <i>
      <x v="524"/>
    </i>
    <i>
      <x v="98"/>
    </i>
    <i>
      <x v="534"/>
    </i>
    <i>
      <x v="320"/>
    </i>
    <i>
      <x v="567"/>
    </i>
    <i>
      <x v="8"/>
    </i>
    <i>
      <x v="182"/>
    </i>
    <i>
      <x v="323"/>
    </i>
    <i>
      <x v="443"/>
    </i>
    <i>
      <x v="103"/>
    </i>
    <i>
      <x v="449"/>
    </i>
    <i>
      <x v="19"/>
    </i>
    <i>
      <x v="453"/>
    </i>
    <i>
      <x v="330"/>
    </i>
    <i>
      <x v="462"/>
    </i>
    <i>
      <x v="23"/>
    </i>
    <i>
      <x v="9"/>
    </i>
    <i>
      <x v="338"/>
    </i>
    <i>
      <x v="51"/>
    </i>
    <i>
      <x v="119"/>
    </i>
    <i>
      <x v="484"/>
    </i>
    <i>
      <x v="126"/>
    </i>
    <i>
      <x v="230"/>
    </i>
    <i>
      <x v="128"/>
    </i>
    <i>
      <x v="238"/>
    </i>
    <i>
      <x v="346"/>
    </i>
    <i>
      <x v="243"/>
    </i>
    <i>
      <x v="585"/>
    </i>
    <i>
      <x v="65"/>
    </i>
    <i>
      <x v="130"/>
    </i>
    <i>
      <x v="260"/>
    </i>
    <i>
      <x v="352"/>
    </i>
    <i>
      <x v="516"/>
    </i>
    <i>
      <x v="353"/>
    </i>
    <i>
      <x v="83"/>
    </i>
    <i>
      <x v="131"/>
    </i>
    <i>
      <x v="526"/>
    </i>
    <i>
      <x v="356"/>
    </i>
    <i>
      <x v="277"/>
    </i>
    <i>
      <x v="357"/>
    </i>
    <i>
      <x v="549"/>
    </i>
    <i>
      <x v="132"/>
    </i>
    <i>
      <x v="563"/>
    </i>
    <i>
      <x v="359"/>
    </i>
    <i>
      <x v="17"/>
    </i>
    <i>
      <x v="134"/>
    </i>
    <i>
      <x v="283"/>
    </i>
    <i>
      <x v="363"/>
    </i>
    <i>
      <x v="439"/>
    </i>
    <i>
      <x v="364"/>
    </i>
    <i>
      <x v="185"/>
    </i>
    <i>
      <x v="366"/>
    </i>
    <i>
      <x v="444"/>
    </i>
    <i>
      <x v="368"/>
    </i>
    <i>
      <x v="40"/>
    </i>
    <i>
      <x v="369"/>
    </i>
    <i>
      <x v="450"/>
    </i>
    <i>
      <x v="138"/>
    </i>
    <i>
      <x v="193"/>
    </i>
    <i>
      <x v="373"/>
    </i>
    <i>
      <x v="457"/>
    </i>
    <i>
      <x v="143"/>
    </i>
    <i>
      <x v="197"/>
    </i>
    <i>
      <x v="26"/>
    </i>
    <i>
      <x v="465"/>
    </i>
    <i>
      <x v="376"/>
    </i>
    <i>
      <x v="41"/>
    </i>
    <i>
      <x v="150"/>
    </i>
    <i>
      <x v="210"/>
    </i>
    <i>
      <x v="152"/>
    </i>
    <i>
      <x v="218"/>
    </i>
    <i>
      <x v="382"/>
    </i>
    <i>
      <x v="223"/>
    </i>
    <i>
      <x v="385"/>
    </i>
    <i>
      <x v="225"/>
    </i>
    <i>
      <x v="387"/>
    </i>
    <i>
      <x v="227"/>
    </i>
    <i>
      <x v="388"/>
    </i>
    <i>
      <x v="489"/>
    </i>
    <i>
      <x v="389"/>
    </i>
    <i>
      <x v="55"/>
    </i>
    <i>
      <x v="392"/>
    </i>
    <i>
      <x v="237"/>
    </i>
    <i>
      <x v="31"/>
    </i>
    <i>
      <x v="499"/>
    </i>
    <i>
      <x v="398"/>
    </i>
    <i>
      <x v="59"/>
    </i>
    <i>
      <x v="399"/>
    </i>
    <i>
      <x v="245"/>
    </i>
    <i>
      <x v="402"/>
    </i>
    <i>
      <x v="247"/>
    </i>
    <i>
      <x v="404"/>
    </i>
    <i>
      <x v="254"/>
    </i>
    <i>
      <x v="34"/>
    </i>
    <i>
      <x v="256"/>
    </i>
    <i>
      <x v="406"/>
    </i>
    <i>
      <x v="262"/>
    </i>
    <i>
      <x v="37"/>
    </i>
    <i>
      <x v="515"/>
    </i>
    <i>
      <x v="410"/>
    </i>
    <i>
      <x v="7"/>
    </i>
    <i>
      <x v="160"/>
    </i>
    <i>
      <x v="268"/>
    </i>
    <i>
      <x v="162"/>
    </i>
    <i>
      <x v="271"/>
    </i>
    <i>
      <x v="413"/>
    </i>
    <i>
      <x v="525"/>
    </i>
    <i>
      <x v="414"/>
    </i>
    <i>
      <x v="527"/>
    </i>
    <i>
      <x v="167"/>
    </i>
    <i>
      <x v="273"/>
    </i>
    <i>
      <x v="170"/>
    </i>
    <i>
      <x v="533"/>
    </i>
    <i>
      <x v="427"/>
    </i>
    <i>
      <x v="542"/>
    </i>
    <i>
      <x v="173"/>
    </i>
    <i>
      <x v="553"/>
    </i>
    <i>
      <x v="429"/>
    </i>
    <i>
      <x v="562"/>
    </i>
    <i>
      <x v="430"/>
    </i>
    <i>
      <x v="565"/>
    </i>
    <i>
      <x v="177"/>
    </i>
    <i>
      <x v="578"/>
    </i>
    <i>
      <x v="179"/>
    </i>
    <i>
      <x v="580"/>
    </i>
    <i>
      <x v="433"/>
    </i>
    <i>
      <x v="584"/>
    </i>
    <i>
      <x v="180"/>
    </i>
    <i>
      <x v="437"/>
    </i>
    <i>
      <x v="6"/>
    </i>
    <i>
      <x v="350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150">
      <pivotArea dataOnly="0" labelOnly="1" fieldPosition="0">
        <references count="1">
          <reference field="1" count="1">
            <x v="511"/>
          </reference>
        </references>
      </pivotArea>
    </format>
    <format dxfId="149">
      <pivotArea dataOnly="0" labelOnly="1" fieldPosition="0">
        <references count="1">
          <reference field="1" count="1">
            <x v="473"/>
          </reference>
        </references>
      </pivotArea>
    </format>
    <format dxfId="148">
      <pivotArea dataOnly="0" labelOnly="1" fieldPosition="0">
        <references count="1">
          <reference field="1" count="1">
            <x v="497"/>
          </reference>
        </references>
      </pivotArea>
    </format>
    <format dxfId="147">
      <pivotArea dataOnly="0" labelOnly="1" fieldPosition="0">
        <references count="1">
          <reference field="1" count="1">
            <x v="512"/>
          </reference>
        </references>
      </pivotArea>
    </format>
    <format dxfId="146">
      <pivotArea dataOnly="0" labelOnly="1" fieldPosition="0">
        <references count="1">
          <reference field="1" count="1">
            <x v="504"/>
          </reference>
        </references>
      </pivotArea>
    </format>
    <format dxfId="145">
      <pivotArea dataOnly="0" labelOnly="1" fieldPosition="0">
        <references count="1">
          <reference field="1" count="1">
            <x v="90"/>
          </reference>
        </references>
      </pivotArea>
    </format>
    <format dxfId="144">
      <pivotArea dataOnly="0" labelOnly="1" fieldPosition="0">
        <references count="1">
          <reference field="1" count="1">
            <x v="280"/>
          </reference>
        </references>
      </pivotArea>
    </format>
    <format dxfId="143">
      <pivotArea dataOnly="0" labelOnly="1" fieldPosition="0">
        <references count="1">
          <reference field="1" count="1">
            <x v="514"/>
          </reference>
        </references>
      </pivotArea>
    </format>
    <format dxfId="142">
      <pivotArea dataOnly="0" labelOnly="1" fieldPosition="0">
        <references count="1">
          <reference field="1" count="1">
            <x v="478"/>
          </reference>
        </references>
      </pivotArea>
    </format>
    <format dxfId="141">
      <pivotArea dataOnly="0" labelOnly="1" fieldPosition="0">
        <references count="1">
          <reference field="1" count="1">
            <x v="510"/>
          </reference>
        </references>
      </pivotArea>
    </format>
    <format dxfId="140">
      <pivotArea dataOnly="0" labelOnly="1" fieldPosition="0">
        <references count="1">
          <reference field="1" count="1">
            <x v="481"/>
          </reference>
        </references>
      </pivotArea>
    </format>
    <format dxfId="139">
      <pivotArea dataOnly="0" labelOnly="1" fieldPosition="0">
        <references count="1">
          <reference field="1" count="1">
            <x v="435"/>
          </reference>
        </references>
      </pivotArea>
    </format>
    <format dxfId="138">
      <pivotArea dataOnly="0" labelOnly="1" fieldPosition="0">
        <references count="1">
          <reference field="1" count="1">
            <x v="112"/>
          </reference>
        </references>
      </pivotArea>
    </format>
    <format dxfId="137">
      <pivotArea dataOnly="0" labelOnly="1" fieldPosition="0">
        <references count="1">
          <reference field="1" count="1">
            <x v="157"/>
          </reference>
        </references>
      </pivotArea>
    </format>
    <format dxfId="136">
      <pivotArea dataOnly="0" labelOnly="1" fieldPosition="0">
        <references count="1">
          <reference field="1" count="1">
            <x v="490"/>
          </reference>
        </references>
      </pivotArea>
    </format>
    <format dxfId="135">
      <pivotArea dataOnly="0" labelOnly="1" fieldPosition="0">
        <references count="1">
          <reference field="1" count="1">
            <x v="506"/>
          </reference>
        </references>
      </pivotArea>
    </format>
    <format dxfId="134">
      <pivotArea dataOnly="0" labelOnly="1" fieldPosition="0">
        <references count="1">
          <reference field="1" count="1">
            <x v="520"/>
          </reference>
        </references>
      </pivotArea>
    </format>
    <format dxfId="133">
      <pivotArea dataOnly="0" labelOnly="1" fieldPosition="0">
        <references count="1">
          <reference field="1" count="1">
            <x v="250"/>
          </reference>
        </references>
      </pivotArea>
    </format>
    <format dxfId="132">
      <pivotArea dataOnly="0" labelOnly="1" fieldPosition="0">
        <references count="1">
          <reference field="1" count="1">
            <x v="432"/>
          </reference>
        </references>
      </pivotArea>
    </format>
    <format dxfId="131">
      <pivotArea dataOnly="0" labelOnly="1" fieldPosition="0">
        <references count="1">
          <reference field="1" count="1">
            <x v="440"/>
          </reference>
        </references>
      </pivotArea>
    </format>
    <format dxfId="130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129">
      <pivotArea dataOnly="0" labelOnly="1" fieldPosition="0">
        <references count="1">
          <reference field="1" count="1">
            <x v="348"/>
          </reference>
        </references>
      </pivotArea>
    </format>
    <format dxfId="128">
      <pivotArea dataOnly="0" labelOnly="1" fieldPosition="0">
        <references count="1">
          <reference field="1" count="1">
            <x v="355"/>
          </reference>
        </references>
      </pivotArea>
    </format>
    <format dxfId="127">
      <pivotArea dataOnly="0" labelOnly="1" fieldPosition="0">
        <references count="1">
          <reference field="1" count="1">
            <x v="498"/>
          </reference>
        </references>
      </pivotArea>
    </format>
    <format dxfId="126">
      <pivotArea dataOnly="0" labelOnly="1" fieldPosition="0">
        <references count="1">
          <reference field="1" count="1">
            <x v="508"/>
          </reference>
        </references>
      </pivotArea>
    </format>
    <format dxfId="125">
      <pivotArea dataOnly="0" labelOnly="1" fieldPosition="0">
        <references count="1">
          <reference field="1" count="1">
            <x v="397"/>
          </reference>
        </references>
      </pivotArea>
    </format>
    <format dxfId="124">
      <pivotArea dataOnly="0" labelOnly="1" fieldPosition="0">
        <references count="1">
          <reference field="1" count="1">
            <x v="513"/>
          </reference>
        </references>
      </pivotArea>
    </format>
    <format dxfId="123">
      <pivotArea dataOnly="0" labelOnly="1" fieldPosition="0">
        <references count="1">
          <reference field="1" count="1">
            <x v="412"/>
          </reference>
        </references>
      </pivotArea>
    </format>
    <format dxfId="122">
      <pivotArea dataOnly="0" labelOnly="1" fieldPosition="0">
        <references count="1">
          <reference field="1" count="1">
            <x v="507"/>
          </reference>
        </references>
      </pivotArea>
    </format>
    <format dxfId="121">
      <pivotArea dataOnly="0" labelOnly="1" fieldPosition="0">
        <references count="1">
          <reference field="1" count="1">
            <x v="507"/>
          </reference>
        </references>
      </pivotArea>
    </format>
    <format dxfId="120">
      <pivotArea dataOnly="0" labelOnly="1" fieldPosition="0">
        <references count="1">
          <reference field="1" count="1">
            <x v="342"/>
          </reference>
        </references>
      </pivotArea>
    </format>
    <format dxfId="119">
      <pivotArea dataOnly="0" labelOnly="1" fieldPosition="0">
        <references count="1">
          <reference field="1" count="1">
            <x v="501"/>
          </reference>
        </references>
      </pivotArea>
    </format>
    <format dxfId="118">
      <pivotArea dataOnly="0" labelOnly="1" fieldPosition="0">
        <references count="1">
          <reference field="1" count="1">
            <x v="351"/>
          </reference>
        </references>
      </pivotArea>
    </format>
    <format dxfId="117">
      <pivotArea dataOnly="0" labelOnly="1" fieldPosition="0">
        <references count="1">
          <reference field="1" count="1">
            <x v="156"/>
          </reference>
        </references>
      </pivotArea>
    </format>
    <format dxfId="116">
      <pivotArea dataOnly="0" labelOnly="1" fieldPosition="0">
        <references count="1">
          <reference field="1" count="1">
            <x v="358"/>
          </reference>
        </references>
      </pivotArea>
    </format>
    <format dxfId="115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114">
      <pivotArea dataOnly="0" labelOnly="1" fieldPosition="0">
        <references count="1">
          <reference field="1" count="1">
            <x v="438"/>
          </reference>
        </references>
      </pivotArea>
    </format>
    <format dxfId="113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112">
      <pivotArea dataOnly="0" labelOnly="1" fieldPosition="0">
        <references count="1">
          <reference field="1" count="1">
            <x v="309"/>
          </reference>
        </references>
      </pivotArea>
    </format>
    <format dxfId="111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110">
      <pivotArea dataOnly="0" labelOnly="1" fieldPosition="0">
        <references count="1">
          <reference field="1" count="1">
            <x v="374"/>
          </reference>
        </references>
      </pivotArea>
    </format>
    <format dxfId="109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08">
      <pivotArea dataOnly="0" labelOnly="1" fieldPosition="0">
        <references count="1">
          <reference field="1" count="1">
            <x v="407"/>
          </reference>
        </references>
      </pivotArea>
    </format>
    <format dxfId="107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13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M25" firstHeaderRow="1" firstDataRow="2" firstDataCol="1"/>
  <pivotFields count="33">
    <pivotField showAll="0"/>
    <pivotField showAll="0"/>
    <pivotField showAll="0"/>
    <pivotField showAll="0"/>
    <pivotField showAll="0">
      <items count="19">
        <item x="11"/>
        <item m="1" x="17"/>
        <item x="4"/>
        <item m="1" x="13"/>
        <item x="5"/>
        <item m="1" x="14"/>
        <item x="7"/>
        <item x="2"/>
        <item x="3"/>
        <item x="10"/>
        <item x="1"/>
        <item m="1" x="16"/>
        <item m="1" x="15"/>
        <item x="6"/>
        <item m="1" x="12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6"/>
        <item x="2"/>
        <item x="3"/>
        <item x="4"/>
        <item x="5"/>
        <item m="1" x="7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4">
    <i>
      <x v="3"/>
    </i>
    <i>
      <x v="4"/>
    </i>
    <i>
      <x v="5"/>
    </i>
    <i>
      <x v="6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1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F21:G286" firstHeaderRow="1" firstDataRow="1" firstDataCol="1"/>
  <pivotFields count="33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7">
        <item m="1" x="265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4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265">
    <i>
      <x v="73"/>
    </i>
    <i>
      <x v="30"/>
    </i>
    <i>
      <x v="42"/>
    </i>
    <i>
      <x v="224"/>
    </i>
    <i>
      <x v="223"/>
    </i>
    <i>
      <x v="230"/>
    </i>
    <i>
      <x v="75"/>
    </i>
    <i>
      <x v="264"/>
    </i>
    <i>
      <x v="197"/>
    </i>
    <i>
      <x v="168"/>
    </i>
    <i>
      <x v="26"/>
    </i>
    <i>
      <x v="106"/>
    </i>
    <i>
      <x v="221"/>
    </i>
    <i>
      <x v="28"/>
    </i>
    <i>
      <x v="156"/>
    </i>
    <i>
      <x v="48"/>
    </i>
    <i>
      <x v="90"/>
    </i>
    <i>
      <x v="104"/>
    </i>
    <i>
      <x v="121"/>
    </i>
    <i>
      <x v="245"/>
    </i>
    <i>
      <x v="107"/>
    </i>
    <i>
      <x v="139"/>
    </i>
    <i>
      <x v="128"/>
    </i>
    <i>
      <x v="46"/>
    </i>
    <i>
      <x v="78"/>
    </i>
    <i>
      <x v="171"/>
    </i>
    <i>
      <x v="257"/>
    </i>
    <i>
      <x v="232"/>
    </i>
    <i>
      <x v="55"/>
    </i>
    <i>
      <x v="16"/>
    </i>
    <i>
      <x v="47"/>
    </i>
    <i>
      <x v="57"/>
    </i>
    <i>
      <x v="160"/>
    </i>
    <i>
      <x v="35"/>
    </i>
    <i>
      <x v="169"/>
    </i>
    <i>
      <x v="18"/>
    </i>
    <i>
      <x v="116"/>
    </i>
    <i>
      <x v="206"/>
    </i>
    <i>
      <x v="212"/>
    </i>
    <i>
      <x v="76"/>
    </i>
    <i>
      <x v="173"/>
    </i>
    <i>
      <x v="255"/>
    </i>
    <i>
      <x v="40"/>
    </i>
    <i>
      <x v="256"/>
    </i>
    <i>
      <x v="147"/>
    </i>
    <i>
      <x v="154"/>
    </i>
    <i>
      <x v="226"/>
    </i>
    <i>
      <x v="119"/>
    </i>
    <i>
      <x v="113"/>
    </i>
    <i>
      <x v="191"/>
    </i>
    <i>
      <x v="159"/>
    </i>
    <i>
      <x v="140"/>
    </i>
    <i>
      <x v="126"/>
    </i>
    <i>
      <x v="43"/>
    </i>
    <i>
      <x v="138"/>
    </i>
    <i>
      <x v="217"/>
    </i>
    <i>
      <x v="189"/>
    </i>
    <i>
      <x v="260"/>
    </i>
    <i>
      <x v="162"/>
    </i>
    <i>
      <x v="61"/>
    </i>
    <i>
      <x v="166"/>
    </i>
    <i>
      <x v="72"/>
    </i>
    <i>
      <x v="77"/>
    </i>
    <i>
      <x v="95"/>
    </i>
    <i>
      <x v="29"/>
    </i>
    <i>
      <x v="66"/>
    </i>
    <i>
      <x v="193"/>
    </i>
    <i>
      <x v="241"/>
    </i>
    <i>
      <x v="194"/>
    </i>
    <i>
      <x v="92"/>
    </i>
    <i>
      <x v="52"/>
    </i>
    <i>
      <x v="4"/>
    </i>
    <i>
      <x v="149"/>
    </i>
    <i>
      <x v="263"/>
    </i>
    <i>
      <x v="122"/>
    </i>
    <i>
      <x v="231"/>
    </i>
    <i>
      <x v="214"/>
    </i>
    <i>
      <x v="235"/>
    </i>
    <i>
      <x v="216"/>
    </i>
    <i>
      <x v="71"/>
    </i>
    <i>
      <x v="155"/>
    </i>
    <i>
      <x v="50"/>
    </i>
    <i>
      <x v="219"/>
    </i>
    <i>
      <x v="115"/>
    </i>
    <i>
      <x v="220"/>
    </i>
    <i>
      <x v="3"/>
    </i>
    <i>
      <x v="135"/>
    </i>
    <i>
      <x v="129"/>
    </i>
    <i>
      <x v="150"/>
    </i>
    <i>
      <x v="31"/>
    </i>
    <i>
      <x v="100"/>
    </i>
    <i>
      <x v="111"/>
    </i>
    <i>
      <x v="94"/>
    </i>
    <i>
      <x v="38"/>
    </i>
    <i>
      <x v="236"/>
    </i>
    <i>
      <x v="68"/>
    </i>
    <i>
      <x v="36"/>
    </i>
    <i>
      <x v="70"/>
    </i>
    <i>
      <x v="143"/>
    </i>
    <i>
      <x v="177"/>
    </i>
    <i>
      <x v="229"/>
    </i>
    <i>
      <x v="180"/>
    </i>
    <i>
      <x v="233"/>
    </i>
    <i>
      <x v="184"/>
    </i>
    <i>
      <x v="242"/>
    </i>
    <i>
      <x v="187"/>
    </i>
    <i>
      <x v="102"/>
    </i>
    <i>
      <x v="117"/>
    </i>
    <i>
      <x v="65"/>
    </i>
    <i>
      <x v="190"/>
    </i>
    <i>
      <x v="33"/>
    </i>
    <i>
      <x v="6"/>
    </i>
    <i>
      <x v="145"/>
    </i>
    <i>
      <x v="192"/>
    </i>
    <i>
      <x v="148"/>
    </i>
    <i>
      <x v="19"/>
    </i>
    <i>
      <x v="5"/>
    </i>
    <i>
      <x v="25"/>
    </i>
    <i>
      <x v="151"/>
    </i>
    <i>
      <x v="8"/>
    </i>
    <i>
      <x v="153"/>
    </i>
    <i>
      <x v="12"/>
    </i>
    <i>
      <x v="96"/>
    </i>
    <i>
      <x v="210"/>
    </i>
    <i>
      <x v="97"/>
    </i>
    <i>
      <x v="265"/>
    </i>
    <i>
      <x v="158"/>
    </i>
    <i>
      <x v="213"/>
    </i>
    <i>
      <x v="60"/>
    </i>
    <i>
      <x v="134"/>
    </i>
    <i>
      <x v="165"/>
    </i>
    <i>
      <x v="13"/>
    </i>
    <i>
      <x v="14"/>
    </i>
    <i>
      <x v="132"/>
    </i>
    <i>
      <x v="1"/>
    </i>
    <i>
      <x v="120"/>
    </i>
    <i>
      <x v="215"/>
    </i>
    <i>
      <x v="136"/>
    </i>
    <i>
      <x v="247"/>
    </i>
    <i>
      <x v="137"/>
    </i>
    <i>
      <x v="207"/>
    </i>
    <i>
      <x v="22"/>
    </i>
    <i>
      <x v="59"/>
    </i>
    <i>
      <x v="39"/>
    </i>
    <i>
      <x v="239"/>
    </i>
    <i>
      <x v="23"/>
    </i>
    <i>
      <x v="21"/>
    </i>
    <i>
      <x v="141"/>
    </i>
    <i>
      <x v="203"/>
    </i>
    <i>
      <x v="142"/>
    </i>
    <i>
      <x v="211"/>
    </i>
    <i>
      <x v="41"/>
    </i>
    <i>
      <x v="112"/>
    </i>
    <i>
      <x v="144"/>
    </i>
    <i>
      <x v="227"/>
    </i>
    <i>
      <x v="74"/>
    </i>
    <i>
      <x v="123"/>
    </i>
    <i>
      <x v="146"/>
    </i>
    <i>
      <x v="243"/>
    </i>
    <i>
      <x v="24"/>
    </i>
    <i>
      <x v="251"/>
    </i>
    <i>
      <x v="2"/>
    </i>
    <i>
      <x v="259"/>
    </i>
    <i>
      <x v="44"/>
    </i>
    <i>
      <x v="201"/>
    </i>
    <i>
      <x v="45"/>
    </i>
    <i>
      <x v="205"/>
    </i>
    <i>
      <x v="79"/>
    </i>
    <i>
      <x v="209"/>
    </i>
    <i>
      <x v="152"/>
    </i>
    <i>
      <x v="108"/>
    </i>
    <i>
      <x v="80"/>
    </i>
    <i>
      <x v="32"/>
    </i>
    <i>
      <x v="81"/>
    </i>
    <i>
      <x v="114"/>
    </i>
    <i>
      <x v="82"/>
    </i>
    <i>
      <x v="225"/>
    </i>
    <i>
      <x v="83"/>
    </i>
    <i>
      <x v="118"/>
    </i>
    <i>
      <x v="157"/>
    </i>
    <i>
      <x v="64"/>
    </i>
    <i>
      <x v="84"/>
    </i>
    <i>
      <x v="237"/>
    </i>
    <i>
      <x v="85"/>
    </i>
    <i>
      <x v="125"/>
    </i>
    <i>
      <x v="86"/>
    </i>
    <i>
      <x v="127"/>
    </i>
    <i>
      <x v="161"/>
    </i>
    <i>
      <x v="249"/>
    </i>
    <i>
      <x v="87"/>
    </i>
    <i>
      <x v="253"/>
    </i>
    <i>
      <x v="163"/>
    </i>
    <i>
      <x v="130"/>
    </i>
    <i>
      <x v="164"/>
    </i>
    <i>
      <x v="261"/>
    </i>
    <i>
      <x v="88"/>
    </i>
    <i>
      <x v="37"/>
    </i>
    <i>
      <x v="89"/>
    </i>
    <i>
      <x v="202"/>
    </i>
    <i>
      <x v="167"/>
    </i>
    <i>
      <x v="204"/>
    </i>
    <i>
      <x v="9"/>
    </i>
    <i>
      <x v="105"/>
    </i>
    <i>
      <x v="91"/>
    </i>
    <i>
      <x v="208"/>
    </i>
    <i>
      <x v="170"/>
    </i>
    <i>
      <x v="11"/>
    </i>
    <i>
      <x v="27"/>
    </i>
    <i>
      <x v="56"/>
    </i>
    <i>
      <x v="93"/>
    </i>
    <i>
      <x v="109"/>
    </i>
    <i>
      <x v="174"/>
    </i>
    <i>
      <x v="110"/>
    </i>
    <i>
      <x v="175"/>
    </i>
    <i>
      <x v="218"/>
    </i>
    <i>
      <x v="176"/>
    </i>
    <i>
      <x v="58"/>
    </i>
    <i>
      <x v="15"/>
    </i>
    <i>
      <x v="222"/>
    </i>
    <i>
      <x v="178"/>
    </i>
    <i>
      <x v="7"/>
    </i>
    <i>
      <x v="179"/>
    </i>
    <i>
      <x v="34"/>
    </i>
    <i>
      <x v="49"/>
    </i>
    <i>
      <x v="228"/>
    </i>
    <i>
      <x v="181"/>
    </i>
    <i>
      <x v="62"/>
    </i>
    <i>
      <x v="182"/>
    </i>
    <i>
      <x v="63"/>
    </i>
    <i>
      <x v="183"/>
    </i>
    <i>
      <x v="234"/>
    </i>
    <i>
      <x v="10"/>
    </i>
    <i>
      <x v="124"/>
    </i>
    <i>
      <x v="185"/>
    </i>
    <i>
      <x v="238"/>
    </i>
    <i>
      <x v="186"/>
    </i>
    <i>
      <x v="240"/>
    </i>
    <i>
      <x v="51"/>
    </i>
    <i>
      <x v="20"/>
    </i>
    <i>
      <x v="188"/>
    </i>
    <i>
      <x v="244"/>
    </i>
    <i>
      <x v="98"/>
    </i>
    <i>
      <x v="246"/>
    </i>
    <i>
      <x v="99"/>
    </i>
    <i>
      <x v="248"/>
    </i>
    <i>
      <x v="17"/>
    </i>
    <i>
      <x v="250"/>
    </i>
    <i>
      <x v="101"/>
    </i>
    <i>
      <x v="252"/>
    </i>
    <i>
      <x v="53"/>
    </i>
    <i>
      <x v="254"/>
    </i>
    <i>
      <x v="103"/>
    </i>
    <i>
      <x v="67"/>
    </i>
    <i>
      <x v="195"/>
    </i>
    <i>
      <x v="258"/>
    </i>
    <i>
      <x v="196"/>
    </i>
    <i>
      <x v="131"/>
    </i>
    <i>
      <x v="54"/>
    </i>
    <i>
      <x v="262"/>
    </i>
    <i>
      <x v="198"/>
    </i>
    <i>
      <x v="133"/>
    </i>
    <i>
      <x v="199"/>
    </i>
    <i>
      <x v="69"/>
    </i>
    <i>
      <x v="200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1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1:G16" firstHeaderRow="1" firstDataRow="1" firstDataCol="1"/>
  <pivotFields count="33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1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1:D297" firstHeaderRow="1" firstDataRow="1" firstDataCol="1" rowPageCount="1" colPageCount="1"/>
  <pivotFields count="33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2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Page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compact="0" subtotalTop="0" showAll="0" defaultSubtotal="0">
      <items count="8">
        <item m="1" x="7"/>
        <item x="0"/>
        <item x="5"/>
        <item x="4"/>
        <item x="2"/>
        <item x="3"/>
        <item x="1"/>
        <item x="6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6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543"/>
    </i>
    <i>
      <x v="282"/>
    </i>
    <i>
      <x v="551"/>
    </i>
    <i>
      <x v="23"/>
    </i>
    <i>
      <x v="605"/>
    </i>
    <i>
      <x v="399"/>
    </i>
    <i>
      <x v="547"/>
    </i>
    <i>
      <x v="453"/>
    </i>
    <i>
      <x v="230"/>
    </i>
    <i>
      <x v="514"/>
    </i>
    <i>
      <x v="39"/>
    </i>
    <i>
      <x v="457"/>
    </i>
    <i>
      <x v="541"/>
    </i>
    <i>
      <x v="402"/>
    </i>
    <i>
      <x v="433"/>
    </i>
    <i>
      <x v="460"/>
    </i>
    <i>
      <x v="9"/>
    </i>
    <i>
      <x v="289"/>
    </i>
    <i>
      <x v="227"/>
    </i>
    <i>
      <x v="188"/>
    </i>
    <i>
      <x v="179"/>
    </i>
    <i>
      <x v="126"/>
    </i>
    <i>
      <x v="586"/>
    </i>
    <i>
      <x v="521"/>
    </i>
    <i>
      <x v="603"/>
    </i>
    <i>
      <x v="294"/>
    </i>
    <i>
      <x v="40"/>
    </i>
    <i>
      <x v="193"/>
    </i>
    <i>
      <x v="98"/>
    </i>
    <i>
      <x v="471"/>
    </i>
    <i>
      <x v="544"/>
    </i>
    <i>
      <x v="247"/>
    </i>
    <i>
      <x v="546"/>
    </i>
    <i>
      <x v="197"/>
    </i>
    <i>
      <x v="548"/>
    </i>
    <i>
      <x v="8"/>
    </i>
    <i>
      <x v="177"/>
    </i>
    <i>
      <x v="51"/>
    </i>
    <i>
      <x v="552"/>
    </i>
    <i>
      <x v="312"/>
    </i>
    <i>
      <x v="271"/>
    </i>
    <i>
      <x v="210"/>
    </i>
    <i>
      <x v="565"/>
    </i>
    <i>
      <x v="315"/>
    </i>
    <i>
      <x v="14"/>
    </i>
    <i>
      <x v="31"/>
    </i>
    <i>
      <x v="585"/>
    </i>
    <i>
      <x v="429"/>
    </i>
    <i>
      <x v="446"/>
    </i>
    <i>
      <x v="536"/>
    </i>
    <i>
      <x v="346"/>
    </i>
    <i>
      <x v="162"/>
    </i>
    <i>
      <x v="604"/>
    </i>
    <i>
      <x v="97"/>
    </i>
    <i>
      <x v="606"/>
    </i>
    <i>
      <x v="539"/>
    </i>
    <i>
      <x v="540"/>
    </i>
    <i t="grand">
      <x/>
    </i>
  </rowItems>
  <colItems count="1">
    <i/>
  </colItems>
  <pageFields count="1">
    <pageField fld="19" hier="-1"/>
  </pageField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5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8">
        <i x="11" s="1"/>
        <i x="4" s="1"/>
        <i x="5" s="1"/>
        <i x="7" s="1"/>
        <i x="2" s="1"/>
        <i x="3" s="1"/>
        <i x="10" s="1"/>
        <i x="1" s="1"/>
        <i x="6" s="1"/>
        <i x="9" s="1"/>
        <i x="0" s="1"/>
        <i x="17" s="1" nd="1"/>
        <i x="13" s="1" nd="1"/>
        <i x="14" s="1" nd="1"/>
        <i x="16" s="1" nd="1"/>
        <i x="15" s="1" nd="1"/>
        <i x="12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06"/>
    <tableColumn id="5" xr3:uid="{DF37AD45-FC5C-478A-989D-9143E744CEEA}" name="voornaam" dataDxfId="105">
      <calculatedColumnFormula>VLOOKUP(Tabel2[[#This Row],[nr]],'data hastus'!A:C,3,FALSE)</calculatedColumnFormula>
    </tableColumn>
    <tableColumn id="6" xr3:uid="{4098FAFB-9B09-4A81-8B22-18CC90B5F979}" name="achternaam" dataDxfId="10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103">
  <autoFilter ref="A1:AB984" xr:uid="{2FDE3AF6-1CE1-4F38-BD72-1F03CD30F4FC}">
    <filterColumn colId="19">
      <filters>
        <dateGroupItem year="2025" month="1" dateTimeGrouping="month"/>
        <dateGroupItem year="2025" month="2" dateTimeGrouping="month"/>
        <dateGroupItem year="2025" month="3" dateTimeGrouping="month"/>
        <dateGroupItem year="2025" month="4" dateTimeGrouping="month"/>
        <dateGroupItem year="2025" month="5" dateTimeGrouping="month"/>
        <dateGroupItem year="2025" month="6" dateTimeGrouping="month"/>
      </filters>
    </filterColumn>
    <filterColumn colId="23">
      <filters>
        <filter val="Flexity"/>
        <filter val="Hermelijn"/>
      </filters>
    </filterColumn>
  </autoFilter>
  <sortState xmlns:xlrd2="http://schemas.microsoft.com/office/spreadsheetml/2017/richdata2" ref="A515:AA976">
    <sortCondition ref="T1:T976"/>
  </sortState>
  <tableColumns count="28">
    <tableColumn id="1" xr3:uid="{A89FCEBD-EFF0-43A5-BEAC-9201FF09453E}" name="personeelsnr"/>
    <tableColumn id="23" xr3:uid="{3989647C-F1EB-4322-A586-1EC53B4E823E}" name="volledige naam" dataDxfId="102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01"/>
    <tableColumn id="11" xr3:uid="{97ECF1D5-48DC-4487-B3C2-17232CC8E19E}" name="Januari" dataDxfId="100"/>
    <tableColumn id="12" xr3:uid="{7B2FF520-A575-45C0-BB5A-19B87DDB4EA0}" name="Februari" dataDxfId="99"/>
    <tableColumn id="13" xr3:uid="{4E6C30D1-FB72-4AB2-900F-14A3D53F34DE}" name="Maart" dataDxfId="98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97">
      <calculatedColumnFormula>SUM(bron[[#This Row],[Januari]:[December]])</calculatedColumnFormula>
    </tableColumn>
    <tableColumn id="10" xr3:uid="{8D9646BD-38B6-4F4D-9859-B3933369346B}" name="Datum" dataDxfId="96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  <tableColumn id="28" xr3:uid="{F72DC24A-B2EB-4B60-B43B-9E1E6F64B37E}" name="totaal" dataDxfId="0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5" Type="http://schemas.microsoft.com/office/2011/relationships/timeline" Target="../timelines/timeline2.xm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20.28515625" style="27" bestFit="1" customWidth="1"/>
    <col min="10" max="10" width="14.5703125" style="27" bestFit="1" customWidth="1"/>
    <col min="11" max="11" width="10" style="27" bestFit="1" customWidth="1"/>
    <col min="12" max="12" width="7.5703125" style="27" bestFit="1" customWidth="1"/>
    <col min="13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9</v>
      </c>
      <c r="F13" s="2" t="s">
        <v>5</v>
      </c>
      <c r="G13" s="45">
        <v>26</v>
      </c>
      <c r="I13" s="1" t="s">
        <v>6</v>
      </c>
      <c r="J13" t="s">
        <v>3547</v>
      </c>
      <c r="K13" t="s">
        <v>3512</v>
      </c>
      <c r="L13" t="s">
        <v>3511</v>
      </c>
      <c r="M13" t="s">
        <v>3548</v>
      </c>
      <c r="N13"/>
      <c r="O13"/>
    </row>
    <row r="14" spans="3:19" x14ac:dyDescent="0.25">
      <c r="C14" s="31" t="s">
        <v>4</v>
      </c>
      <c r="D14" s="45">
        <v>7</v>
      </c>
      <c r="F14" s="2" t="s">
        <v>10</v>
      </c>
      <c r="G14" s="45">
        <v>20</v>
      </c>
      <c r="I14" s="2" t="s">
        <v>11</v>
      </c>
      <c r="J14" s="45">
        <v>10</v>
      </c>
      <c r="K14" s="45">
        <v>16</v>
      </c>
      <c r="L14" s="45">
        <v>13</v>
      </c>
      <c r="M14" s="45">
        <v>5</v>
      </c>
      <c r="N14"/>
      <c r="O14"/>
    </row>
    <row r="15" spans="3:19" x14ac:dyDescent="0.25">
      <c r="C15" s="2" t="s">
        <v>239</v>
      </c>
      <c r="D15" s="45">
        <v>5</v>
      </c>
      <c r="F15" s="2" t="s">
        <v>13</v>
      </c>
      <c r="G15" s="45">
        <v>13</v>
      </c>
      <c r="I15" s="2" t="s">
        <v>14</v>
      </c>
      <c r="J15" s="45">
        <v>8</v>
      </c>
      <c r="K15" s="45">
        <v>18</v>
      </c>
      <c r="L15" s="45">
        <v>22</v>
      </c>
      <c r="M15" s="45">
        <v>2</v>
      </c>
      <c r="N15"/>
      <c r="O1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6</v>
      </c>
      <c r="K16" s="45">
        <v>19</v>
      </c>
      <c r="L16" s="45">
        <v>13</v>
      </c>
      <c r="M16" s="45">
        <v>2</v>
      </c>
      <c r="N16"/>
      <c r="O16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10</v>
      </c>
      <c r="K17" s="45">
        <v>14</v>
      </c>
      <c r="L17" s="45">
        <v>14</v>
      </c>
      <c r="M17" s="45">
        <v>5</v>
      </c>
      <c r="N17"/>
      <c r="O17"/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>
        <v>5</v>
      </c>
      <c r="K18" s="45">
        <v>9</v>
      </c>
      <c r="L18" s="45">
        <v>14</v>
      </c>
      <c r="M18" s="45">
        <v>2</v>
      </c>
      <c r="N18"/>
      <c r="O18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5</v>
      </c>
      <c r="K19" s="45">
        <v>16</v>
      </c>
      <c r="L19" s="45">
        <v>12</v>
      </c>
      <c r="M19" s="45">
        <v>4</v>
      </c>
      <c r="N19"/>
      <c r="O19"/>
    </row>
    <row r="20" spans="2:15" x14ac:dyDescent="0.25">
      <c r="C20" s="2" t="s">
        <v>188</v>
      </c>
      <c r="D20" s="45">
        <v>4</v>
      </c>
      <c r="F20" s="2" t="s">
        <v>48</v>
      </c>
      <c r="G20" s="45">
        <v>9</v>
      </c>
      <c r="I20" s="2" t="s">
        <v>29</v>
      </c>
      <c r="J20" s="45">
        <v>5</v>
      </c>
      <c r="K20" s="45">
        <v>11</v>
      </c>
      <c r="L20" s="45">
        <v>24</v>
      </c>
      <c r="M20" s="45">
        <v>7</v>
      </c>
      <c r="N20"/>
      <c r="O20"/>
    </row>
    <row r="21" spans="2:15" x14ac:dyDescent="0.25">
      <c r="C21" s="31" t="s">
        <v>21</v>
      </c>
      <c r="D21" s="45">
        <v>4</v>
      </c>
      <c r="F21" s="2" t="s">
        <v>28</v>
      </c>
      <c r="G21" s="45">
        <v>8</v>
      </c>
      <c r="I21" s="2" t="s">
        <v>32</v>
      </c>
      <c r="J21" s="45">
        <v>5</v>
      </c>
      <c r="K21" s="45">
        <v>5</v>
      </c>
      <c r="L21" s="45">
        <v>14</v>
      </c>
      <c r="M21" s="45">
        <v>1</v>
      </c>
      <c r="N21"/>
      <c r="O21"/>
    </row>
    <row r="22" spans="2:15" x14ac:dyDescent="0.25">
      <c r="C22" s="2" t="s">
        <v>337</v>
      </c>
      <c r="D22" s="45">
        <v>4</v>
      </c>
      <c r="F22" s="2" t="s">
        <v>40</v>
      </c>
      <c r="G22" s="45">
        <v>8</v>
      </c>
      <c r="I22" s="2" t="s">
        <v>35</v>
      </c>
      <c r="J22" s="45">
        <v>4</v>
      </c>
      <c r="K22" s="45">
        <v>8</v>
      </c>
      <c r="L22" s="45">
        <v>7</v>
      </c>
      <c r="M22" s="45">
        <v>1</v>
      </c>
      <c r="N22"/>
      <c r="O22"/>
    </row>
    <row r="23" spans="2:15" x14ac:dyDescent="0.25">
      <c r="C23" s="34" t="s">
        <v>42</v>
      </c>
      <c r="D23" s="45">
        <v>3</v>
      </c>
      <c r="F23" s="2" t="s">
        <v>34</v>
      </c>
      <c r="G23" s="45">
        <v>8</v>
      </c>
      <c r="I23" s="2" t="s">
        <v>38</v>
      </c>
      <c r="J23" s="45"/>
      <c r="K23" s="45"/>
      <c r="L23" s="45"/>
      <c r="M23" s="45"/>
      <c r="N23"/>
      <c r="O23"/>
    </row>
    <row r="24" spans="2:15" x14ac:dyDescent="0.25">
      <c r="C24" s="31" t="s">
        <v>45</v>
      </c>
      <c r="D24" s="45">
        <v>3</v>
      </c>
      <c r="F24" s="2" t="s">
        <v>37</v>
      </c>
      <c r="G24" s="45">
        <v>7</v>
      </c>
      <c r="I24" s="2" t="s">
        <v>41</v>
      </c>
      <c r="J24" s="45"/>
      <c r="K24" s="45"/>
      <c r="L24" s="45"/>
      <c r="M24" s="45"/>
      <c r="N24"/>
      <c r="O24"/>
    </row>
    <row r="25" spans="2:15" x14ac:dyDescent="0.25">
      <c r="C25" s="33" t="s">
        <v>24</v>
      </c>
      <c r="D25" s="45">
        <v>3</v>
      </c>
      <c r="F25" s="2" t="s">
        <v>22</v>
      </c>
      <c r="G25" s="45">
        <v>7</v>
      </c>
      <c r="I25" s="2" t="s">
        <v>44</v>
      </c>
      <c r="J25" s="45"/>
      <c r="K25" s="45"/>
      <c r="L25" s="45"/>
      <c r="M25" s="45"/>
      <c r="N25"/>
      <c r="O25"/>
    </row>
    <row r="26" spans="2:15" x14ac:dyDescent="0.25">
      <c r="C26" s="34" t="s">
        <v>27</v>
      </c>
      <c r="D26" s="45">
        <v>3</v>
      </c>
      <c r="F26" s="2" t="s">
        <v>51</v>
      </c>
      <c r="G26" s="45">
        <v>7</v>
      </c>
    </row>
    <row r="27" spans="2:15" x14ac:dyDescent="0.25">
      <c r="C27" s="34" t="s">
        <v>112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47</v>
      </c>
      <c r="D28" s="45">
        <v>3</v>
      </c>
      <c r="F28" s="2" t="s">
        <v>84</v>
      </c>
      <c r="G28" s="45">
        <v>6</v>
      </c>
      <c r="I28" s="2" t="s">
        <v>52</v>
      </c>
      <c r="J28" s="45">
        <v>75</v>
      </c>
    </row>
    <row r="29" spans="2:15" x14ac:dyDescent="0.25">
      <c r="C29" s="31" t="s">
        <v>30</v>
      </c>
      <c r="D29" s="45">
        <v>3</v>
      </c>
      <c r="F29" s="2" t="s">
        <v>100</v>
      </c>
      <c r="G29" s="45">
        <v>6</v>
      </c>
      <c r="I29" s="2" t="s">
        <v>61</v>
      </c>
      <c r="J29" s="45">
        <v>73</v>
      </c>
    </row>
    <row r="30" spans="2:15" x14ac:dyDescent="0.25">
      <c r="C30" s="34" t="s">
        <v>118</v>
      </c>
      <c r="D30" s="45">
        <v>3</v>
      </c>
      <c r="F30" s="2" t="s">
        <v>72</v>
      </c>
      <c r="G30" s="45">
        <v>6</v>
      </c>
      <c r="I30" s="2" t="s">
        <v>55</v>
      </c>
      <c r="J30" s="45">
        <v>70</v>
      </c>
    </row>
    <row r="31" spans="2:15" x14ac:dyDescent="0.25">
      <c r="B31" s="30">
        <f>AVERAGE(D13:D196)</f>
        <v>1.8641304347826086</v>
      </c>
      <c r="C31" s="2" t="s">
        <v>252</v>
      </c>
      <c r="D31" s="45">
        <v>3</v>
      </c>
      <c r="F31" s="2" t="s">
        <v>43</v>
      </c>
      <c r="G31" s="45">
        <v>5</v>
      </c>
      <c r="I31" s="2" t="s">
        <v>58</v>
      </c>
      <c r="J31" s="45">
        <v>56</v>
      </c>
    </row>
    <row r="32" spans="2:15" x14ac:dyDescent="0.25">
      <c r="C32" s="2" t="s">
        <v>356</v>
      </c>
      <c r="D32" s="45">
        <v>3</v>
      </c>
      <c r="F32" s="2" t="s">
        <v>113</v>
      </c>
      <c r="G32" s="45">
        <v>5</v>
      </c>
      <c r="I32" s="2" t="s">
        <v>64</v>
      </c>
      <c r="J32" s="45">
        <v>53</v>
      </c>
    </row>
    <row r="33" spans="3:15" x14ac:dyDescent="0.25">
      <c r="C33" s="31" t="s">
        <v>80</v>
      </c>
      <c r="D33" s="45">
        <v>3</v>
      </c>
      <c r="F33" s="2" t="s">
        <v>75</v>
      </c>
      <c r="G33" s="45">
        <v>5</v>
      </c>
      <c r="I33" s="2" t="s">
        <v>70</v>
      </c>
      <c r="J33" s="45">
        <v>42</v>
      </c>
    </row>
    <row r="34" spans="3:15" x14ac:dyDescent="0.25">
      <c r="C34" s="31" t="s">
        <v>39</v>
      </c>
      <c r="D34" s="45">
        <v>3</v>
      </c>
      <c r="F34" s="2" t="s">
        <v>54</v>
      </c>
      <c r="G34" s="45">
        <v>5</v>
      </c>
      <c r="I34" s="2" t="s">
        <v>73</v>
      </c>
      <c r="J34" s="45">
        <v>39</v>
      </c>
    </row>
    <row r="35" spans="3:15" x14ac:dyDescent="0.25">
      <c r="C35" s="2" t="s">
        <v>320</v>
      </c>
      <c r="D35" s="45">
        <v>3</v>
      </c>
      <c r="F35" s="2" t="s">
        <v>119</v>
      </c>
      <c r="G35" s="45">
        <v>4</v>
      </c>
      <c r="I35" s="2" t="s">
        <v>67</v>
      </c>
      <c r="J35" s="45">
        <v>39</v>
      </c>
    </row>
    <row r="36" spans="3:15" x14ac:dyDescent="0.25">
      <c r="C36" s="2" t="s">
        <v>254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83</v>
      </c>
      <c r="D37" s="45">
        <v>3</v>
      </c>
      <c r="F37" s="2" t="s">
        <v>78</v>
      </c>
      <c r="G37" s="45">
        <v>4</v>
      </c>
      <c r="I37" s="2" t="s">
        <v>76</v>
      </c>
      <c r="J37" s="45">
        <v>4</v>
      </c>
    </row>
    <row r="38" spans="3:15" x14ac:dyDescent="0.25">
      <c r="C38" s="34" t="s">
        <v>132</v>
      </c>
      <c r="D38" s="45">
        <v>3</v>
      </c>
      <c r="F38" s="2" t="s">
        <v>106</v>
      </c>
      <c r="G38" s="45">
        <v>4</v>
      </c>
      <c r="I38" s="2">
        <v>0</v>
      </c>
      <c r="J38" s="45">
        <v>2</v>
      </c>
    </row>
    <row r="39" spans="3:15" x14ac:dyDescent="0.25">
      <c r="C39" s="2" t="s">
        <v>311</v>
      </c>
      <c r="D39" s="45">
        <v>3</v>
      </c>
      <c r="F39" s="2" t="s">
        <v>608</v>
      </c>
      <c r="G39" s="45">
        <v>3</v>
      </c>
      <c r="I39" s="2" t="s">
        <v>82</v>
      </c>
      <c r="J39" s="45">
        <v>462</v>
      </c>
    </row>
    <row r="40" spans="3:15" x14ac:dyDescent="0.25">
      <c r="C40" s="34" t="s">
        <v>103</v>
      </c>
      <c r="D40" s="45">
        <v>3</v>
      </c>
      <c r="F40" s="2" t="s">
        <v>218</v>
      </c>
      <c r="G40" s="45">
        <v>3</v>
      </c>
    </row>
    <row r="41" spans="3:15" x14ac:dyDescent="0.25">
      <c r="C41" s="34" t="s">
        <v>105</v>
      </c>
      <c r="D41" s="45">
        <v>3</v>
      </c>
      <c r="F41" s="2" t="s">
        <v>108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2" t="s">
        <v>223</v>
      </c>
      <c r="D42" s="45">
        <v>3</v>
      </c>
      <c r="F42" s="2" t="s">
        <v>117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192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31" t="s">
        <v>130</v>
      </c>
      <c r="D44" s="45">
        <v>3</v>
      </c>
      <c r="F44" s="2" t="s">
        <v>163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31" t="s">
        <v>68</v>
      </c>
      <c r="D45" s="45">
        <v>3</v>
      </c>
      <c r="F45" s="2" t="s">
        <v>88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34" t="s">
        <v>99</v>
      </c>
      <c r="D46" s="45">
        <v>3</v>
      </c>
      <c r="F46" s="2" t="s">
        <v>131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31" t="s">
        <v>74</v>
      </c>
      <c r="D47" s="45">
        <v>3</v>
      </c>
      <c r="F47" s="2" t="s">
        <v>57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34" t="s">
        <v>95</v>
      </c>
      <c r="D48" s="45">
        <v>3</v>
      </c>
      <c r="F48" s="2" t="s">
        <v>60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4" t="s">
        <v>53</v>
      </c>
      <c r="D49" s="45">
        <v>2</v>
      </c>
      <c r="F49" s="2" t="s">
        <v>69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170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3" t="s">
        <v>62</v>
      </c>
      <c r="D51" s="45">
        <v>2</v>
      </c>
      <c r="F51" s="2" t="s">
        <v>666</v>
      </c>
      <c r="G51" s="45">
        <v>3</v>
      </c>
    </row>
    <row r="52" spans="3:15" x14ac:dyDescent="0.25">
      <c r="C52" s="2" t="s">
        <v>260</v>
      </c>
      <c r="D52" s="45">
        <v>2</v>
      </c>
      <c r="F52" s="2" t="s">
        <v>133</v>
      </c>
      <c r="G52" s="45">
        <v>3</v>
      </c>
    </row>
    <row r="53" spans="3:15" x14ac:dyDescent="0.25">
      <c r="C53" s="2" t="s">
        <v>3668</v>
      </c>
      <c r="D53" s="45">
        <v>2</v>
      </c>
      <c r="F53" s="2" t="s">
        <v>748</v>
      </c>
      <c r="G53" s="45">
        <v>3</v>
      </c>
    </row>
    <row r="54" spans="3:15" x14ac:dyDescent="0.25">
      <c r="C54" s="2" t="s">
        <v>360</v>
      </c>
      <c r="D54" s="45">
        <v>2</v>
      </c>
      <c r="F54" s="2" t="s">
        <v>242</v>
      </c>
      <c r="G54" s="45">
        <v>3</v>
      </c>
    </row>
    <row r="55" spans="3:15" x14ac:dyDescent="0.25">
      <c r="C55" s="31" t="s">
        <v>107</v>
      </c>
      <c r="D55" s="45">
        <v>2</v>
      </c>
      <c r="F55" s="2" t="s">
        <v>66</v>
      </c>
      <c r="G55" s="45">
        <v>3</v>
      </c>
    </row>
    <row r="56" spans="3:15" x14ac:dyDescent="0.25">
      <c r="C56" s="31" t="s">
        <v>114</v>
      </c>
      <c r="D56" s="45">
        <v>2</v>
      </c>
      <c r="F56" s="2" t="s">
        <v>663</v>
      </c>
      <c r="G56" s="45">
        <v>3</v>
      </c>
    </row>
    <row r="57" spans="3:15" x14ac:dyDescent="0.25">
      <c r="C57" s="31" t="s">
        <v>85</v>
      </c>
      <c r="D57" s="45">
        <v>2</v>
      </c>
      <c r="F57" s="2" t="s">
        <v>63</v>
      </c>
      <c r="G57" s="45">
        <v>3</v>
      </c>
    </row>
    <row r="58" spans="3:15" x14ac:dyDescent="0.25">
      <c r="C58" s="31" t="s">
        <v>97</v>
      </c>
      <c r="D58" s="45">
        <v>2</v>
      </c>
      <c r="F58" s="2" t="s">
        <v>3550</v>
      </c>
      <c r="G58" s="45">
        <v>2</v>
      </c>
    </row>
    <row r="59" spans="3:15" x14ac:dyDescent="0.25">
      <c r="C59" s="31" t="s">
        <v>91</v>
      </c>
      <c r="D59" s="45">
        <v>2</v>
      </c>
      <c r="F59" s="2" t="s">
        <v>578</v>
      </c>
      <c r="G59" s="45">
        <v>2</v>
      </c>
    </row>
    <row r="60" spans="3:15" x14ac:dyDescent="0.25">
      <c r="C60" s="2" t="s">
        <v>355</v>
      </c>
      <c r="D60" s="45">
        <v>2</v>
      </c>
      <c r="F60" s="2" t="s">
        <v>965</v>
      </c>
      <c r="G60" s="45">
        <v>2</v>
      </c>
    </row>
    <row r="61" spans="3:15" x14ac:dyDescent="0.25">
      <c r="C61" s="2" t="s">
        <v>196</v>
      </c>
      <c r="D61" s="45">
        <v>2</v>
      </c>
      <c r="F61" s="2" t="s">
        <v>236</v>
      </c>
      <c r="G61" s="45">
        <v>2</v>
      </c>
    </row>
    <row r="62" spans="3:15" x14ac:dyDescent="0.25">
      <c r="C62" s="2" t="s">
        <v>362</v>
      </c>
      <c r="D62" s="45">
        <v>2</v>
      </c>
      <c r="F62" s="2" t="s">
        <v>96</v>
      </c>
      <c r="G62" s="45">
        <v>2</v>
      </c>
    </row>
    <row r="63" spans="3:15" x14ac:dyDescent="0.25">
      <c r="C63" s="34" t="s">
        <v>87</v>
      </c>
      <c r="D63" s="45">
        <v>2</v>
      </c>
      <c r="F63" s="2" t="s">
        <v>111</v>
      </c>
      <c r="G63" s="45">
        <v>2</v>
      </c>
    </row>
    <row r="64" spans="3:15" x14ac:dyDescent="0.25">
      <c r="C64" s="34" t="s">
        <v>138</v>
      </c>
      <c r="D64" s="45">
        <v>2</v>
      </c>
      <c r="F64" s="2" t="s">
        <v>3658</v>
      </c>
      <c r="G64" s="45">
        <v>2</v>
      </c>
    </row>
    <row r="65" spans="3:7" x14ac:dyDescent="0.25">
      <c r="C65" s="31" t="s">
        <v>93</v>
      </c>
      <c r="D65" s="45">
        <v>2</v>
      </c>
      <c r="F65" s="2" t="s">
        <v>1323</v>
      </c>
      <c r="G65" s="45">
        <v>2</v>
      </c>
    </row>
    <row r="66" spans="3:7" x14ac:dyDescent="0.25">
      <c r="C66" s="2" t="s">
        <v>316</v>
      </c>
      <c r="D66" s="45">
        <v>2</v>
      </c>
      <c r="F66" s="2" t="s">
        <v>857</v>
      </c>
      <c r="G66" s="45">
        <v>2</v>
      </c>
    </row>
    <row r="67" spans="3:7" x14ac:dyDescent="0.25">
      <c r="C67" s="2" t="s">
        <v>235</v>
      </c>
      <c r="D67" s="45">
        <v>2</v>
      </c>
      <c r="F67" s="2" t="s">
        <v>250</v>
      </c>
      <c r="G67" s="45">
        <v>2</v>
      </c>
    </row>
    <row r="68" spans="3:7" x14ac:dyDescent="0.25">
      <c r="C68" s="2" t="s">
        <v>3687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120</v>
      </c>
      <c r="D69" s="45">
        <v>2</v>
      </c>
      <c r="F69" s="2" t="s">
        <v>487</v>
      </c>
      <c r="G69" s="45">
        <v>2</v>
      </c>
    </row>
    <row r="70" spans="3:7" x14ac:dyDescent="0.25">
      <c r="C70" s="31" t="s">
        <v>77</v>
      </c>
      <c r="D70" s="45">
        <v>2</v>
      </c>
      <c r="F70" s="2" t="s">
        <v>3502</v>
      </c>
      <c r="G70" s="45">
        <v>2</v>
      </c>
    </row>
    <row r="71" spans="3:7" x14ac:dyDescent="0.25">
      <c r="C71" s="2" t="s">
        <v>3664</v>
      </c>
      <c r="D71" s="45">
        <v>2</v>
      </c>
      <c r="F71" s="2" t="s">
        <v>226</v>
      </c>
      <c r="G71" s="45">
        <v>2</v>
      </c>
    </row>
    <row r="72" spans="3:7" x14ac:dyDescent="0.25">
      <c r="C72" s="31" t="s">
        <v>122</v>
      </c>
      <c r="D72" s="45">
        <v>2</v>
      </c>
      <c r="F72" s="2" t="s">
        <v>3626</v>
      </c>
      <c r="G72" s="45">
        <v>2</v>
      </c>
    </row>
    <row r="73" spans="3:7" x14ac:dyDescent="0.25">
      <c r="C73" s="2" t="s">
        <v>229</v>
      </c>
      <c r="D73" s="45">
        <v>2</v>
      </c>
      <c r="F73" s="2" t="s">
        <v>737</v>
      </c>
      <c r="G73" s="45">
        <v>2</v>
      </c>
    </row>
    <row r="74" spans="3:7" x14ac:dyDescent="0.25">
      <c r="C74" s="2" t="s">
        <v>3660</v>
      </c>
      <c r="D74" s="45">
        <v>2</v>
      </c>
      <c r="F74" s="2" t="s">
        <v>285</v>
      </c>
      <c r="G74" s="45">
        <v>2</v>
      </c>
    </row>
    <row r="75" spans="3:7" x14ac:dyDescent="0.25">
      <c r="C75" s="2" t="s">
        <v>3669</v>
      </c>
      <c r="D75" s="45">
        <v>2</v>
      </c>
      <c r="F75" s="2" t="s">
        <v>86</v>
      </c>
      <c r="G75" s="45">
        <v>2</v>
      </c>
    </row>
    <row r="76" spans="3:7" x14ac:dyDescent="0.25">
      <c r="C76" s="2" t="s">
        <v>334</v>
      </c>
      <c r="D76" s="45">
        <v>2</v>
      </c>
      <c r="F76" s="2" t="s">
        <v>125</v>
      </c>
      <c r="G76" s="45">
        <v>2</v>
      </c>
    </row>
    <row r="77" spans="3:7" x14ac:dyDescent="0.25">
      <c r="C77" s="34" t="s">
        <v>71</v>
      </c>
      <c r="D77" s="45">
        <v>2</v>
      </c>
      <c r="F77" s="2" t="s">
        <v>135</v>
      </c>
      <c r="G77" s="45">
        <v>2</v>
      </c>
    </row>
    <row r="78" spans="3:7" x14ac:dyDescent="0.25">
      <c r="C78" s="2" t="s">
        <v>348</v>
      </c>
      <c r="D78" s="45">
        <v>2</v>
      </c>
      <c r="F78" s="2" t="s">
        <v>240</v>
      </c>
      <c r="G78" s="45">
        <v>2</v>
      </c>
    </row>
    <row r="79" spans="3:7" x14ac:dyDescent="0.25">
      <c r="C79" s="2" t="s">
        <v>307</v>
      </c>
      <c r="D79" s="45">
        <v>2</v>
      </c>
      <c r="F79" s="2" t="s">
        <v>92</v>
      </c>
      <c r="G79" s="45">
        <v>2</v>
      </c>
    </row>
    <row r="80" spans="3:7" x14ac:dyDescent="0.25">
      <c r="C80" s="2" t="s">
        <v>282</v>
      </c>
      <c r="D80" s="45">
        <v>2</v>
      </c>
      <c r="F80" s="2" t="s">
        <v>121</v>
      </c>
      <c r="G80" s="45">
        <v>2</v>
      </c>
    </row>
    <row r="81" spans="3:7" x14ac:dyDescent="0.25">
      <c r="C81" s="2" t="s">
        <v>160</v>
      </c>
      <c r="D81" s="45">
        <v>2</v>
      </c>
      <c r="F81" s="2" t="s">
        <v>207</v>
      </c>
      <c r="G81" s="45">
        <v>2</v>
      </c>
    </row>
    <row r="82" spans="3:7" x14ac:dyDescent="0.25">
      <c r="C82" s="2" t="s">
        <v>270</v>
      </c>
      <c r="D82" s="45">
        <v>2</v>
      </c>
      <c r="F82" s="2" t="s">
        <v>127</v>
      </c>
      <c r="G82" s="45">
        <v>2</v>
      </c>
    </row>
    <row r="83" spans="3:7" x14ac:dyDescent="0.25">
      <c r="C83" s="2" t="s">
        <v>247</v>
      </c>
      <c r="D83" s="45">
        <v>2</v>
      </c>
      <c r="F83" s="2" t="s">
        <v>94</v>
      </c>
      <c r="G83" s="45">
        <v>2</v>
      </c>
    </row>
    <row r="84" spans="3:7" x14ac:dyDescent="0.25">
      <c r="C84" s="2" t="s">
        <v>204</v>
      </c>
      <c r="D84" s="45">
        <v>2</v>
      </c>
      <c r="F84" s="2" t="s">
        <v>199</v>
      </c>
      <c r="G84" s="45">
        <v>2</v>
      </c>
    </row>
    <row r="85" spans="3:7" x14ac:dyDescent="0.25">
      <c r="C85" s="2" t="s">
        <v>3672</v>
      </c>
      <c r="D85" s="45">
        <v>2</v>
      </c>
      <c r="F85" s="2" t="s">
        <v>98</v>
      </c>
      <c r="G85" s="45">
        <v>2</v>
      </c>
    </row>
    <row r="86" spans="3:7" x14ac:dyDescent="0.25">
      <c r="C86" s="34" t="s">
        <v>134</v>
      </c>
      <c r="D86" s="45">
        <v>2</v>
      </c>
      <c r="F86" s="2" t="s">
        <v>3508</v>
      </c>
      <c r="G86" s="45">
        <v>2</v>
      </c>
    </row>
    <row r="87" spans="3:7" x14ac:dyDescent="0.25">
      <c r="C87" s="34" t="s">
        <v>116</v>
      </c>
      <c r="D87" s="45">
        <v>2</v>
      </c>
      <c r="F87" s="2" t="s">
        <v>102</v>
      </c>
      <c r="G87" s="45">
        <v>2</v>
      </c>
    </row>
    <row r="88" spans="3:7" x14ac:dyDescent="0.25">
      <c r="C88" s="2" t="s">
        <v>3659</v>
      </c>
      <c r="D88" s="45">
        <v>2</v>
      </c>
      <c r="F88" s="2" t="s">
        <v>3563</v>
      </c>
      <c r="G88" s="45">
        <v>2</v>
      </c>
    </row>
    <row r="89" spans="3:7" x14ac:dyDescent="0.25">
      <c r="C89" s="2" t="s">
        <v>347</v>
      </c>
      <c r="D89" s="45">
        <v>2</v>
      </c>
      <c r="F89" s="2" t="s">
        <v>234</v>
      </c>
      <c r="G89" s="45">
        <v>2</v>
      </c>
    </row>
    <row r="90" spans="3:7" x14ac:dyDescent="0.25">
      <c r="C90" s="31" t="s">
        <v>136</v>
      </c>
      <c r="D90" s="45">
        <v>2</v>
      </c>
      <c r="F90" s="2" t="s">
        <v>3636</v>
      </c>
      <c r="G90" s="45">
        <v>2</v>
      </c>
    </row>
    <row r="91" spans="3:7" x14ac:dyDescent="0.25">
      <c r="C91" s="2" t="s">
        <v>158</v>
      </c>
      <c r="D91" s="45">
        <v>2</v>
      </c>
      <c r="F91" s="2" t="s">
        <v>129</v>
      </c>
      <c r="G91" s="45">
        <v>2</v>
      </c>
    </row>
    <row r="92" spans="3:7" x14ac:dyDescent="0.25">
      <c r="C92" s="31" t="s">
        <v>56</v>
      </c>
      <c r="D92" s="45">
        <v>2</v>
      </c>
      <c r="F92" s="2" t="s">
        <v>3754</v>
      </c>
      <c r="G92" s="45">
        <v>2</v>
      </c>
    </row>
    <row r="93" spans="3:7" x14ac:dyDescent="0.25">
      <c r="C93" s="2" t="s">
        <v>162</v>
      </c>
      <c r="D93" s="45">
        <v>2</v>
      </c>
      <c r="F93" s="2" t="s">
        <v>123</v>
      </c>
      <c r="G93" s="45">
        <v>2</v>
      </c>
    </row>
    <row r="94" spans="3:7" x14ac:dyDescent="0.25">
      <c r="C94" s="2" t="s">
        <v>3771</v>
      </c>
      <c r="D94" s="45">
        <v>2</v>
      </c>
      <c r="F94" s="2" t="s">
        <v>104</v>
      </c>
      <c r="G94" s="45">
        <v>2</v>
      </c>
    </row>
    <row r="95" spans="3:7" x14ac:dyDescent="0.25">
      <c r="C95" s="31" t="s">
        <v>50</v>
      </c>
      <c r="D95" s="45">
        <v>2</v>
      </c>
      <c r="F95" s="2" t="s">
        <v>271</v>
      </c>
      <c r="G95" s="45">
        <v>1</v>
      </c>
    </row>
    <row r="96" spans="3:7" x14ac:dyDescent="0.25">
      <c r="C96" s="2" t="s">
        <v>314</v>
      </c>
      <c r="D96" s="45">
        <v>2</v>
      </c>
      <c r="F96" s="2" t="s">
        <v>3707</v>
      </c>
      <c r="G96" s="45">
        <v>1</v>
      </c>
    </row>
    <row r="97" spans="3:7" x14ac:dyDescent="0.25">
      <c r="C97" s="31" t="s">
        <v>124</v>
      </c>
      <c r="D97" s="45">
        <v>2</v>
      </c>
      <c r="F97" s="2" t="s">
        <v>1286</v>
      </c>
      <c r="G97" s="45">
        <v>1</v>
      </c>
    </row>
    <row r="98" spans="3:7" x14ac:dyDescent="0.25">
      <c r="C98" s="2" t="s">
        <v>309</v>
      </c>
      <c r="D98" s="45">
        <v>2</v>
      </c>
      <c r="F98" s="2" t="s">
        <v>283</v>
      </c>
      <c r="G98" s="45">
        <v>1</v>
      </c>
    </row>
    <row r="99" spans="3:7" x14ac:dyDescent="0.25">
      <c r="C99" s="34" t="s">
        <v>101</v>
      </c>
      <c r="D99" s="45">
        <v>2</v>
      </c>
      <c r="F99" s="2" t="s">
        <v>165</v>
      </c>
      <c r="G99" s="45">
        <v>1</v>
      </c>
    </row>
    <row r="100" spans="3:7" x14ac:dyDescent="0.25">
      <c r="C100" s="2" t="s">
        <v>144</v>
      </c>
      <c r="D100" s="45">
        <v>2</v>
      </c>
      <c r="F100" s="2" t="s">
        <v>279</v>
      </c>
      <c r="G100" s="45">
        <v>1</v>
      </c>
    </row>
    <row r="101" spans="3:7" x14ac:dyDescent="0.25">
      <c r="C101" s="31" t="s">
        <v>128</v>
      </c>
      <c r="D101" s="45">
        <v>2</v>
      </c>
      <c r="F101" s="2" t="s">
        <v>179</v>
      </c>
      <c r="G101" s="45">
        <v>1</v>
      </c>
    </row>
    <row r="102" spans="3:7" x14ac:dyDescent="0.25">
      <c r="C102" s="2" t="s">
        <v>215</v>
      </c>
      <c r="D102" s="45">
        <v>2</v>
      </c>
      <c r="F102" s="2" t="s">
        <v>214</v>
      </c>
      <c r="G102" s="45">
        <v>1</v>
      </c>
    </row>
    <row r="103" spans="3:7" x14ac:dyDescent="0.25">
      <c r="C103" s="31" t="s">
        <v>65</v>
      </c>
      <c r="D103" s="45">
        <v>2</v>
      </c>
      <c r="F103" s="2" t="s">
        <v>248</v>
      </c>
      <c r="G103" s="45">
        <v>1</v>
      </c>
    </row>
    <row r="104" spans="3:7" x14ac:dyDescent="0.25">
      <c r="C104" s="2" t="s">
        <v>298</v>
      </c>
      <c r="D104" s="45">
        <v>2</v>
      </c>
      <c r="F104" s="2" t="s">
        <v>185</v>
      </c>
      <c r="G104" s="45">
        <v>1</v>
      </c>
    </row>
    <row r="105" spans="3:7" x14ac:dyDescent="0.25">
      <c r="C105" s="2" t="s">
        <v>245</v>
      </c>
      <c r="D105" s="45">
        <v>2</v>
      </c>
      <c r="F105" s="2" t="s">
        <v>3758</v>
      </c>
      <c r="G105" s="45">
        <v>1</v>
      </c>
    </row>
    <row r="106" spans="3:7" x14ac:dyDescent="0.25">
      <c r="C106" s="2" t="s">
        <v>301</v>
      </c>
      <c r="D106" s="45">
        <v>2</v>
      </c>
      <c r="F106" s="2" t="s">
        <v>232</v>
      </c>
      <c r="G106" s="45">
        <v>1</v>
      </c>
    </row>
    <row r="107" spans="3:7" x14ac:dyDescent="0.25">
      <c r="C107" s="2" t="s">
        <v>59</v>
      </c>
      <c r="D107" s="45">
        <v>2</v>
      </c>
      <c r="F107" s="2" t="s">
        <v>263</v>
      </c>
      <c r="G107" s="45">
        <v>1</v>
      </c>
    </row>
    <row r="108" spans="3:7" x14ac:dyDescent="0.25">
      <c r="C108" s="2" t="s">
        <v>305</v>
      </c>
      <c r="D108" s="45">
        <v>2</v>
      </c>
      <c r="F108" s="2" t="s">
        <v>253</v>
      </c>
      <c r="G108" s="45">
        <v>1</v>
      </c>
    </row>
    <row r="109" spans="3:7" x14ac:dyDescent="0.25">
      <c r="C109" s="2" t="s">
        <v>3684</v>
      </c>
      <c r="D109" s="45">
        <v>2</v>
      </c>
      <c r="F109" s="2" t="s">
        <v>171</v>
      </c>
      <c r="G109" s="45">
        <v>1</v>
      </c>
    </row>
    <row r="110" spans="3:7" x14ac:dyDescent="0.25">
      <c r="C110" s="2" t="s">
        <v>340</v>
      </c>
      <c r="D110" s="45">
        <v>2</v>
      </c>
      <c r="F110" s="2" t="s">
        <v>230</v>
      </c>
      <c r="G110" s="45">
        <v>1</v>
      </c>
    </row>
    <row r="111" spans="3:7" x14ac:dyDescent="0.25">
      <c r="C111" s="2" t="s">
        <v>358</v>
      </c>
      <c r="D111" s="45">
        <v>2</v>
      </c>
      <c r="F111" s="2" t="s">
        <v>141</v>
      </c>
      <c r="G111" s="45">
        <v>1</v>
      </c>
    </row>
    <row r="112" spans="3:7" x14ac:dyDescent="0.25">
      <c r="C112" s="34" t="s">
        <v>126</v>
      </c>
      <c r="D112" s="45">
        <v>2</v>
      </c>
      <c r="F112" s="2" t="s">
        <v>187</v>
      </c>
      <c r="G112" s="45">
        <v>1</v>
      </c>
    </row>
    <row r="113" spans="3:7" x14ac:dyDescent="0.25">
      <c r="C113" s="31" t="s">
        <v>110</v>
      </c>
      <c r="D113" s="45">
        <v>2</v>
      </c>
      <c r="F113" s="2" t="s">
        <v>3510</v>
      </c>
      <c r="G113" s="45">
        <v>1</v>
      </c>
    </row>
    <row r="114" spans="3:7" x14ac:dyDescent="0.25">
      <c r="C114" s="2" t="s">
        <v>331</v>
      </c>
      <c r="D114" s="45">
        <v>1</v>
      </c>
      <c r="F114" s="2" t="s">
        <v>181</v>
      </c>
      <c r="G114" s="45">
        <v>1</v>
      </c>
    </row>
    <row r="115" spans="3:7" x14ac:dyDescent="0.25">
      <c r="C115" s="2" t="s">
        <v>176</v>
      </c>
      <c r="D115" s="45">
        <v>1</v>
      </c>
      <c r="F115" s="2" t="s">
        <v>255</v>
      </c>
      <c r="G115" s="45">
        <v>1</v>
      </c>
    </row>
    <row r="116" spans="3:7" x14ac:dyDescent="0.25">
      <c r="C116" s="2" t="s">
        <v>182</v>
      </c>
      <c r="D116" s="45">
        <v>1</v>
      </c>
      <c r="F116" s="2" t="s">
        <v>143</v>
      </c>
      <c r="G116" s="45">
        <v>1</v>
      </c>
    </row>
    <row r="117" spans="3:7" x14ac:dyDescent="0.25">
      <c r="C117" s="2" t="s">
        <v>190</v>
      </c>
      <c r="D117" s="45">
        <v>1</v>
      </c>
      <c r="F117" s="2" t="s">
        <v>3741</v>
      </c>
      <c r="G117" s="45">
        <v>1</v>
      </c>
    </row>
    <row r="118" spans="3:7" x14ac:dyDescent="0.25">
      <c r="C118" s="2" t="s">
        <v>231</v>
      </c>
      <c r="D118" s="45">
        <v>1</v>
      </c>
      <c r="F118" s="2" t="s">
        <v>669</v>
      </c>
      <c r="G118" s="45">
        <v>1</v>
      </c>
    </row>
    <row r="119" spans="3:7" x14ac:dyDescent="0.25">
      <c r="C119" s="2" t="s">
        <v>194</v>
      </c>
      <c r="D119" s="45">
        <v>1</v>
      </c>
      <c r="F119" s="2" t="s">
        <v>3798</v>
      </c>
      <c r="G119" s="45">
        <v>1</v>
      </c>
    </row>
    <row r="120" spans="3:7" x14ac:dyDescent="0.25">
      <c r="C120" s="2" t="s">
        <v>262</v>
      </c>
      <c r="D120" s="45">
        <v>1</v>
      </c>
      <c r="F120" s="2" t="s">
        <v>1291</v>
      </c>
      <c r="G120" s="45">
        <v>1</v>
      </c>
    </row>
    <row r="121" spans="3:7" x14ac:dyDescent="0.25">
      <c r="C121" s="2" t="s">
        <v>3772</v>
      </c>
      <c r="D121" s="45">
        <v>1</v>
      </c>
      <c r="F121" s="2" t="s">
        <v>197</v>
      </c>
      <c r="G121" s="45">
        <v>1</v>
      </c>
    </row>
    <row r="122" spans="3:7" x14ac:dyDescent="0.25">
      <c r="C122" s="2" t="s">
        <v>3680</v>
      </c>
      <c r="D122" s="45">
        <v>1</v>
      </c>
      <c r="F122" s="2" t="s">
        <v>246</v>
      </c>
      <c r="G122" s="45">
        <v>1</v>
      </c>
    </row>
    <row r="123" spans="3:7" x14ac:dyDescent="0.25">
      <c r="C123" s="2" t="s">
        <v>198</v>
      </c>
      <c r="D123" s="45">
        <v>1</v>
      </c>
      <c r="F123" s="2" t="s">
        <v>267</v>
      </c>
      <c r="G123" s="45">
        <v>1</v>
      </c>
    </row>
    <row r="124" spans="3:7" x14ac:dyDescent="0.25">
      <c r="C124" s="2" t="s">
        <v>3670</v>
      </c>
      <c r="D124" s="45">
        <v>1</v>
      </c>
      <c r="F124" s="2" t="s">
        <v>3826</v>
      </c>
      <c r="G124" s="45">
        <v>1</v>
      </c>
    </row>
    <row r="125" spans="3:7" x14ac:dyDescent="0.25">
      <c r="C125" s="2" t="s">
        <v>202</v>
      </c>
      <c r="D125" s="45">
        <v>1</v>
      </c>
      <c r="F125" s="2" t="s">
        <v>275</v>
      </c>
      <c r="G125" s="45">
        <v>1</v>
      </c>
    </row>
    <row r="126" spans="3:7" x14ac:dyDescent="0.25">
      <c r="C126" s="2" t="s">
        <v>329</v>
      </c>
      <c r="D126" s="45">
        <v>1</v>
      </c>
      <c r="F126" s="2" t="s">
        <v>297</v>
      </c>
      <c r="G126" s="45">
        <v>1</v>
      </c>
    </row>
    <row r="127" spans="3:7" x14ac:dyDescent="0.25">
      <c r="C127" s="2" t="s">
        <v>3663</v>
      </c>
      <c r="D127" s="45">
        <v>1</v>
      </c>
      <c r="F127" s="2" t="s">
        <v>175</v>
      </c>
      <c r="G127" s="45">
        <v>1</v>
      </c>
    </row>
    <row r="128" spans="3:7" x14ac:dyDescent="0.25">
      <c r="C128" s="2" t="s">
        <v>3779</v>
      </c>
      <c r="D128" s="45">
        <v>1</v>
      </c>
      <c r="F128" s="2" t="s">
        <v>212</v>
      </c>
      <c r="G128" s="45">
        <v>1</v>
      </c>
    </row>
    <row r="129" spans="3:7" x14ac:dyDescent="0.25">
      <c r="C129" s="2" t="s">
        <v>206</v>
      </c>
      <c r="D129" s="45">
        <v>1</v>
      </c>
      <c r="F129" s="2" t="s">
        <v>209</v>
      </c>
      <c r="G129" s="45">
        <v>1</v>
      </c>
    </row>
    <row r="130" spans="3:7" x14ac:dyDescent="0.25">
      <c r="C130" s="2" t="s">
        <v>352</v>
      </c>
      <c r="D130" s="45">
        <v>1</v>
      </c>
      <c r="F130" s="2" t="s">
        <v>397</v>
      </c>
      <c r="G130" s="45">
        <v>1</v>
      </c>
    </row>
    <row r="131" spans="3:7" x14ac:dyDescent="0.25">
      <c r="C131" s="2" t="s">
        <v>210</v>
      </c>
      <c r="D131" s="45">
        <v>1</v>
      </c>
      <c r="F131" s="2" t="s">
        <v>195</v>
      </c>
      <c r="G131" s="45">
        <v>1</v>
      </c>
    </row>
    <row r="132" spans="3:7" x14ac:dyDescent="0.25">
      <c r="C132" s="2" t="s">
        <v>3786</v>
      </c>
      <c r="D132" s="45">
        <v>1</v>
      </c>
      <c r="F132" s="2" t="s">
        <v>261</v>
      </c>
      <c r="G132" s="45">
        <v>1</v>
      </c>
    </row>
    <row r="133" spans="3:7" x14ac:dyDescent="0.25">
      <c r="C133" s="2" t="s">
        <v>213</v>
      </c>
      <c r="D133" s="45">
        <v>1</v>
      </c>
      <c r="F133" s="2" t="s">
        <v>3504</v>
      </c>
      <c r="G133" s="45">
        <v>1</v>
      </c>
    </row>
    <row r="134" spans="3:7" x14ac:dyDescent="0.25">
      <c r="C134" s="2" t="s">
        <v>286</v>
      </c>
      <c r="D134" s="45">
        <v>1</v>
      </c>
      <c r="F134" s="2" t="s">
        <v>425</v>
      </c>
      <c r="G134" s="45">
        <v>1</v>
      </c>
    </row>
    <row r="135" spans="3:7" x14ac:dyDescent="0.25">
      <c r="C135" s="2" t="s">
        <v>217</v>
      </c>
      <c r="D135" s="45">
        <v>1</v>
      </c>
      <c r="F135" s="2" t="s">
        <v>3557</v>
      </c>
      <c r="G135" s="45">
        <v>1</v>
      </c>
    </row>
    <row r="136" spans="3:7" x14ac:dyDescent="0.25">
      <c r="C136" s="2" t="s">
        <v>156</v>
      </c>
      <c r="D136" s="45">
        <v>1</v>
      </c>
      <c r="F136" s="2" t="s">
        <v>203</v>
      </c>
      <c r="G136" s="45">
        <v>1</v>
      </c>
    </row>
    <row r="137" spans="3:7" x14ac:dyDescent="0.25">
      <c r="C137" s="2" t="s">
        <v>3780</v>
      </c>
      <c r="D137" s="45">
        <v>1</v>
      </c>
      <c r="F137" s="2" t="s">
        <v>1330</v>
      </c>
      <c r="G137" s="45">
        <v>1</v>
      </c>
    </row>
    <row r="138" spans="3:7" x14ac:dyDescent="0.25">
      <c r="C138" s="2" t="s">
        <v>142</v>
      </c>
      <c r="D138" s="45">
        <v>1</v>
      </c>
      <c r="F138" s="2" t="s">
        <v>147</v>
      </c>
      <c r="G138" s="45">
        <v>1</v>
      </c>
    </row>
    <row r="139" spans="3:7" x14ac:dyDescent="0.25">
      <c r="C139" s="2" t="s">
        <v>3776</v>
      </c>
      <c r="D139" s="45">
        <v>1</v>
      </c>
      <c r="F139" s="2" t="s">
        <v>3654</v>
      </c>
      <c r="G139" s="45">
        <v>1</v>
      </c>
    </row>
    <row r="140" spans="3:7" x14ac:dyDescent="0.25">
      <c r="C140" s="2" t="s">
        <v>310</v>
      </c>
      <c r="D140" s="45">
        <v>1</v>
      </c>
      <c r="F140" s="2" t="s">
        <v>273</v>
      </c>
      <c r="G140" s="45">
        <v>1</v>
      </c>
    </row>
    <row r="141" spans="3:7" x14ac:dyDescent="0.25">
      <c r="C141" s="2" t="s">
        <v>225</v>
      </c>
      <c r="D141" s="45">
        <v>1</v>
      </c>
      <c r="F141" s="2" t="s">
        <v>3727</v>
      </c>
      <c r="G141" s="45">
        <v>1</v>
      </c>
    </row>
    <row r="142" spans="3:7" x14ac:dyDescent="0.25">
      <c r="C142" s="2" t="s">
        <v>243</v>
      </c>
      <c r="D142" s="45">
        <v>1</v>
      </c>
      <c r="F142" s="2" t="s">
        <v>277</v>
      </c>
      <c r="G142" s="45">
        <v>1</v>
      </c>
    </row>
    <row r="143" spans="3:7" x14ac:dyDescent="0.25">
      <c r="C143" s="2" t="s">
        <v>3778</v>
      </c>
      <c r="D143" s="45">
        <v>1</v>
      </c>
      <c r="F143" s="2" t="s">
        <v>3751</v>
      </c>
      <c r="G143" s="45">
        <v>1</v>
      </c>
    </row>
    <row r="144" spans="3:7" x14ac:dyDescent="0.25">
      <c r="C144" s="2" t="s">
        <v>154</v>
      </c>
      <c r="D144" s="45">
        <v>1</v>
      </c>
      <c r="F144" s="2" t="s">
        <v>281</v>
      </c>
      <c r="G144" s="45">
        <v>1</v>
      </c>
    </row>
    <row r="145" spans="3:7" x14ac:dyDescent="0.25">
      <c r="C145" s="2" t="s">
        <v>3665</v>
      </c>
      <c r="D145" s="45">
        <v>1</v>
      </c>
      <c r="F145" s="2" t="s">
        <v>3768</v>
      </c>
      <c r="G145" s="45">
        <v>1</v>
      </c>
    </row>
    <row r="146" spans="3:7" x14ac:dyDescent="0.25">
      <c r="C146" s="2" t="s">
        <v>258</v>
      </c>
      <c r="D146" s="45">
        <v>1</v>
      </c>
      <c r="F146" s="2" t="s">
        <v>151</v>
      </c>
      <c r="G146" s="45">
        <v>1</v>
      </c>
    </row>
    <row r="147" spans="3:7" x14ac:dyDescent="0.25">
      <c r="C147" s="2" t="s">
        <v>3782</v>
      </c>
      <c r="D147" s="45">
        <v>1</v>
      </c>
      <c r="F147" s="2" t="s">
        <v>3812</v>
      </c>
      <c r="G147" s="45">
        <v>1</v>
      </c>
    </row>
    <row r="148" spans="3:7" x14ac:dyDescent="0.25">
      <c r="C148" s="2" t="s">
        <v>349</v>
      </c>
      <c r="D148" s="45">
        <v>1</v>
      </c>
      <c r="F148" s="2" t="s">
        <v>289</v>
      </c>
      <c r="G148" s="45">
        <v>1</v>
      </c>
    </row>
    <row r="149" spans="3:7" x14ac:dyDescent="0.25">
      <c r="C149" s="2" t="s">
        <v>3667</v>
      </c>
      <c r="D149" s="45">
        <v>1</v>
      </c>
      <c r="F149" s="2" t="s">
        <v>259</v>
      </c>
      <c r="G149" s="45">
        <v>1</v>
      </c>
    </row>
    <row r="150" spans="3:7" x14ac:dyDescent="0.25">
      <c r="C150" s="2" t="s">
        <v>354</v>
      </c>
      <c r="D150" s="45">
        <v>1</v>
      </c>
      <c r="F150" s="2" t="s">
        <v>623</v>
      </c>
      <c r="G150" s="45">
        <v>1</v>
      </c>
    </row>
    <row r="151" spans="3:7" x14ac:dyDescent="0.25">
      <c r="C151" s="2" t="s">
        <v>3784</v>
      </c>
      <c r="D151" s="45">
        <v>1</v>
      </c>
      <c r="F151" s="2" t="s">
        <v>960</v>
      </c>
      <c r="G151" s="45">
        <v>1</v>
      </c>
    </row>
    <row r="152" spans="3:7" x14ac:dyDescent="0.25">
      <c r="C152" s="2" t="s">
        <v>208</v>
      </c>
      <c r="D152" s="45">
        <v>1</v>
      </c>
      <c r="F152" s="2" t="s">
        <v>269</v>
      </c>
      <c r="G152" s="45">
        <v>1</v>
      </c>
    </row>
    <row r="153" spans="3:7" x14ac:dyDescent="0.25">
      <c r="C153" s="2" t="s">
        <v>233</v>
      </c>
      <c r="D153" s="45">
        <v>1</v>
      </c>
      <c r="F153" s="2" t="s">
        <v>1289</v>
      </c>
      <c r="G153" s="45">
        <v>1</v>
      </c>
    </row>
    <row r="154" spans="3:7" x14ac:dyDescent="0.25">
      <c r="C154" s="2" t="s">
        <v>3679</v>
      </c>
      <c r="D154" s="45">
        <v>1</v>
      </c>
      <c r="F154" s="2" t="s">
        <v>295</v>
      </c>
      <c r="G154" s="45">
        <v>1</v>
      </c>
    </row>
    <row r="155" spans="3:7" x14ac:dyDescent="0.25">
      <c r="C155" s="2" t="s">
        <v>3666</v>
      </c>
      <c r="D155" s="45">
        <v>1</v>
      </c>
      <c r="F155" s="2" t="s">
        <v>201</v>
      </c>
      <c r="G155" s="45">
        <v>1</v>
      </c>
    </row>
    <row r="156" spans="3:7" x14ac:dyDescent="0.25">
      <c r="C156" s="2" t="s">
        <v>294</v>
      </c>
      <c r="D156" s="45">
        <v>1</v>
      </c>
      <c r="F156" s="2" t="s">
        <v>173</v>
      </c>
      <c r="G156" s="45">
        <v>1</v>
      </c>
    </row>
    <row r="157" spans="3:7" x14ac:dyDescent="0.25">
      <c r="C157" s="2" t="s">
        <v>256</v>
      </c>
      <c r="D157" s="45">
        <v>1</v>
      </c>
      <c r="F157" s="2" t="s">
        <v>149</v>
      </c>
      <c r="G157" s="45">
        <v>1</v>
      </c>
    </row>
    <row r="158" spans="3:7" x14ac:dyDescent="0.25">
      <c r="C158" s="2" t="s">
        <v>3781</v>
      </c>
      <c r="D158" s="45">
        <v>1</v>
      </c>
      <c r="F158" s="2" t="s">
        <v>216</v>
      </c>
      <c r="G158" s="45">
        <v>1</v>
      </c>
    </row>
    <row r="159" spans="3:7" x14ac:dyDescent="0.25">
      <c r="C159" s="2" t="s">
        <v>241</v>
      </c>
      <c r="D159" s="45">
        <v>1</v>
      </c>
      <c r="F159" s="2" t="s">
        <v>517</v>
      </c>
      <c r="G159" s="45">
        <v>1</v>
      </c>
    </row>
    <row r="160" spans="3:7" x14ac:dyDescent="0.25">
      <c r="C160" s="2" t="s">
        <v>219</v>
      </c>
      <c r="D160" s="45">
        <v>1</v>
      </c>
      <c r="F160" s="2" t="s">
        <v>153</v>
      </c>
      <c r="G160" s="45">
        <v>1</v>
      </c>
    </row>
    <row r="161" spans="3:7" x14ac:dyDescent="0.25">
      <c r="C161" s="2" t="s">
        <v>3850</v>
      </c>
      <c r="D161" s="45">
        <v>1</v>
      </c>
      <c r="F161" s="2" t="s">
        <v>257</v>
      </c>
      <c r="G161" s="45">
        <v>1</v>
      </c>
    </row>
    <row r="162" spans="3:7" x14ac:dyDescent="0.25">
      <c r="C162" s="2" t="s">
        <v>3692</v>
      </c>
      <c r="D162" s="45">
        <v>1</v>
      </c>
      <c r="F162" s="2" t="s">
        <v>220</v>
      </c>
      <c r="G162" s="45">
        <v>1</v>
      </c>
    </row>
    <row r="163" spans="3:7" x14ac:dyDescent="0.25">
      <c r="C163" s="2" t="s">
        <v>249</v>
      </c>
      <c r="D163" s="45">
        <v>1</v>
      </c>
      <c r="F163" s="2" t="s">
        <v>211</v>
      </c>
      <c r="G163" s="45">
        <v>1</v>
      </c>
    </row>
    <row r="164" spans="3:7" x14ac:dyDescent="0.25">
      <c r="C164" s="2" t="s">
        <v>3774</v>
      </c>
      <c r="D164" s="45">
        <v>1</v>
      </c>
      <c r="F164" s="2" t="s">
        <v>177</v>
      </c>
      <c r="G164" s="45">
        <v>1</v>
      </c>
    </row>
    <row r="165" spans="3:7" x14ac:dyDescent="0.25">
      <c r="C165" s="2" t="s">
        <v>3673</v>
      </c>
      <c r="D165" s="45">
        <v>1</v>
      </c>
      <c r="F165" s="2" t="s">
        <v>1321</v>
      </c>
      <c r="G165" s="45">
        <v>1</v>
      </c>
    </row>
    <row r="166" spans="3:7" x14ac:dyDescent="0.25">
      <c r="C166" s="2" t="s">
        <v>313</v>
      </c>
      <c r="D166" s="45">
        <v>1</v>
      </c>
      <c r="F166" s="2" t="s">
        <v>224</v>
      </c>
      <c r="G166" s="45">
        <v>1</v>
      </c>
    </row>
    <row r="167" spans="3:7" x14ac:dyDescent="0.25">
      <c r="C167" s="2" t="s">
        <v>3674</v>
      </c>
      <c r="D167" s="45">
        <v>1</v>
      </c>
      <c r="F167" s="2" t="s">
        <v>287</v>
      </c>
      <c r="G167" s="45">
        <v>1</v>
      </c>
    </row>
    <row r="168" spans="3:7" x14ac:dyDescent="0.25">
      <c r="C168" s="2" t="s">
        <v>3787</v>
      </c>
      <c r="D168" s="45">
        <v>1</v>
      </c>
      <c r="F168" s="2" t="s">
        <v>3824</v>
      </c>
      <c r="G168" s="45">
        <v>1</v>
      </c>
    </row>
    <row r="169" spans="3:7" x14ac:dyDescent="0.25">
      <c r="C169" s="2" t="s">
        <v>3676</v>
      </c>
      <c r="D169" s="45">
        <v>1</v>
      </c>
      <c r="F169" s="2" t="s">
        <v>291</v>
      </c>
      <c r="G169" s="45">
        <v>1</v>
      </c>
    </row>
    <row r="170" spans="3:7" x14ac:dyDescent="0.25">
      <c r="C170" s="2" t="s">
        <v>327</v>
      </c>
      <c r="D170" s="45">
        <v>1</v>
      </c>
      <c r="F170" s="2" t="s">
        <v>293</v>
      </c>
      <c r="G170" s="45">
        <v>1</v>
      </c>
    </row>
    <row r="171" spans="3:7" x14ac:dyDescent="0.25">
      <c r="C171" s="2" t="s">
        <v>3851</v>
      </c>
      <c r="D171" s="45">
        <v>1</v>
      </c>
      <c r="F171" s="2" t="s">
        <v>183</v>
      </c>
      <c r="G171" s="45">
        <v>1</v>
      </c>
    </row>
    <row r="172" spans="3:7" x14ac:dyDescent="0.25">
      <c r="C172" s="2" t="s">
        <v>333</v>
      </c>
      <c r="D172" s="45">
        <v>1</v>
      </c>
      <c r="F172" s="2" t="s">
        <v>155</v>
      </c>
      <c r="G172" s="45">
        <v>1</v>
      </c>
    </row>
    <row r="173" spans="3:7" x14ac:dyDescent="0.25">
      <c r="C173" s="2" t="s">
        <v>308</v>
      </c>
      <c r="D173" s="45">
        <v>1</v>
      </c>
      <c r="F173" s="2" t="s">
        <v>1338</v>
      </c>
      <c r="G173" s="45">
        <v>1</v>
      </c>
    </row>
    <row r="174" spans="3:7" x14ac:dyDescent="0.25">
      <c r="C174" s="2" t="s">
        <v>148</v>
      </c>
      <c r="D174" s="45">
        <v>1</v>
      </c>
      <c r="F174" s="2" t="s">
        <v>558</v>
      </c>
      <c r="G174" s="45">
        <v>1</v>
      </c>
    </row>
    <row r="175" spans="3:7" x14ac:dyDescent="0.25">
      <c r="C175" s="2" t="s">
        <v>317</v>
      </c>
      <c r="D175" s="45">
        <v>1</v>
      </c>
      <c r="F175" s="2" t="s">
        <v>3497</v>
      </c>
      <c r="G175" s="45">
        <v>1</v>
      </c>
    </row>
    <row r="176" spans="3:7" x14ac:dyDescent="0.25">
      <c r="C176" s="2" t="s">
        <v>146</v>
      </c>
      <c r="D176" s="45">
        <v>1</v>
      </c>
      <c r="F176" s="2" t="s">
        <v>159</v>
      </c>
      <c r="G176" s="45">
        <v>1</v>
      </c>
    </row>
    <row r="177" spans="3:7" x14ac:dyDescent="0.25">
      <c r="C177" s="2" t="s">
        <v>276</v>
      </c>
      <c r="D177" s="45">
        <v>1</v>
      </c>
      <c r="F177" s="2" t="s">
        <v>728</v>
      </c>
      <c r="G177" s="45">
        <v>1</v>
      </c>
    </row>
    <row r="178" spans="3:7" x14ac:dyDescent="0.25">
      <c r="C178" s="2" t="s">
        <v>164</v>
      </c>
      <c r="D178" s="45">
        <v>1</v>
      </c>
      <c r="F178" s="2" t="s">
        <v>1332</v>
      </c>
      <c r="G178" s="45">
        <v>1</v>
      </c>
    </row>
    <row r="179" spans="3:7" x14ac:dyDescent="0.25">
      <c r="C179" s="2" t="s">
        <v>280</v>
      </c>
      <c r="D179" s="45">
        <v>1</v>
      </c>
      <c r="F179" s="2" t="s">
        <v>228</v>
      </c>
      <c r="G179" s="45">
        <v>1</v>
      </c>
    </row>
    <row r="180" spans="3:7" x14ac:dyDescent="0.25">
      <c r="C180" s="2" t="s">
        <v>237</v>
      </c>
      <c r="D180" s="45">
        <v>1</v>
      </c>
      <c r="F180" s="2" t="s">
        <v>533</v>
      </c>
      <c r="G180" s="45">
        <v>1</v>
      </c>
    </row>
    <row r="181" spans="3:7" x14ac:dyDescent="0.25">
      <c r="C181" s="2" t="s">
        <v>339</v>
      </c>
      <c r="D181" s="45">
        <v>1</v>
      </c>
      <c r="F181" s="2" t="s">
        <v>191</v>
      </c>
      <c r="G181" s="45">
        <v>1</v>
      </c>
    </row>
    <row r="182" spans="3:7" x14ac:dyDescent="0.25">
      <c r="C182" s="2" t="s">
        <v>140</v>
      </c>
      <c r="D182" s="45">
        <v>1</v>
      </c>
      <c r="F182" s="2" t="s">
        <v>238</v>
      </c>
      <c r="G182" s="45">
        <v>1</v>
      </c>
    </row>
    <row r="183" spans="3:7" x14ac:dyDescent="0.25">
      <c r="C183" s="2" t="s">
        <v>288</v>
      </c>
      <c r="D183" s="45">
        <v>1</v>
      </c>
      <c r="F183" s="2" t="s">
        <v>3630</v>
      </c>
      <c r="G183" s="45">
        <v>1</v>
      </c>
    </row>
    <row r="184" spans="3:7" x14ac:dyDescent="0.25">
      <c r="C184" s="2" t="s">
        <v>174</v>
      </c>
      <c r="D184" s="45">
        <v>1</v>
      </c>
      <c r="F184" s="2" t="s">
        <v>157</v>
      </c>
      <c r="G184" s="45">
        <v>1</v>
      </c>
    </row>
    <row r="185" spans="3:7" x14ac:dyDescent="0.25">
      <c r="C185" s="2" t="s">
        <v>292</v>
      </c>
      <c r="D185" s="45">
        <v>1</v>
      </c>
      <c r="F185" s="2" t="s">
        <v>3648</v>
      </c>
      <c r="G185" s="45">
        <v>1</v>
      </c>
    </row>
    <row r="186" spans="3:7" x14ac:dyDescent="0.25">
      <c r="C186" s="2" t="s">
        <v>296</v>
      </c>
      <c r="D186" s="45">
        <v>1</v>
      </c>
      <c r="F186" s="2" t="s">
        <v>139</v>
      </c>
      <c r="G186" s="45">
        <v>1</v>
      </c>
    </row>
    <row r="187" spans="3:7" x14ac:dyDescent="0.25">
      <c r="C187" s="2" t="s">
        <v>3683</v>
      </c>
      <c r="D187" s="45">
        <v>1</v>
      </c>
      <c r="F187" s="2" t="s">
        <v>815</v>
      </c>
      <c r="G187" s="45">
        <v>1</v>
      </c>
    </row>
    <row r="188" spans="3:7" x14ac:dyDescent="0.25">
      <c r="C188" s="2" t="s">
        <v>3695</v>
      </c>
      <c r="D188" s="45">
        <v>1</v>
      </c>
      <c r="F188" s="2" t="s">
        <v>145</v>
      </c>
      <c r="G188" s="45">
        <v>1</v>
      </c>
    </row>
    <row r="189" spans="3:7" x14ac:dyDescent="0.25">
      <c r="C189" s="2" t="s">
        <v>353</v>
      </c>
      <c r="D189" s="45">
        <v>1</v>
      </c>
      <c r="F189" s="2" t="s">
        <v>3723</v>
      </c>
      <c r="G189" s="45">
        <v>1</v>
      </c>
    </row>
    <row r="190" spans="3:7" x14ac:dyDescent="0.25">
      <c r="C190" s="2" t="s">
        <v>284</v>
      </c>
      <c r="D190" s="45">
        <v>1</v>
      </c>
      <c r="F190" s="2" t="s">
        <v>244</v>
      </c>
      <c r="G190" s="45">
        <v>1</v>
      </c>
    </row>
    <row r="191" spans="3:7" x14ac:dyDescent="0.25">
      <c r="C191" s="2" t="s">
        <v>178</v>
      </c>
      <c r="D191" s="45">
        <v>1</v>
      </c>
      <c r="F191" s="2" t="s">
        <v>3729</v>
      </c>
      <c r="G191" s="45">
        <v>1</v>
      </c>
    </row>
    <row r="192" spans="3:7" x14ac:dyDescent="0.25">
      <c r="C192" s="2" t="s">
        <v>186</v>
      </c>
      <c r="D192" s="45">
        <v>1</v>
      </c>
      <c r="F192" s="2" t="s">
        <v>189</v>
      </c>
      <c r="G192" s="45">
        <v>1</v>
      </c>
    </row>
    <row r="193" spans="3:7" x14ac:dyDescent="0.25">
      <c r="C193" s="2" t="s">
        <v>357</v>
      </c>
      <c r="D193" s="45">
        <v>1</v>
      </c>
      <c r="F193" s="2" t="s">
        <v>3747</v>
      </c>
      <c r="G193" s="45">
        <v>1</v>
      </c>
    </row>
    <row r="194" spans="3:7" x14ac:dyDescent="0.25">
      <c r="C194" s="2" t="s">
        <v>172</v>
      </c>
      <c r="D194" s="45">
        <v>1</v>
      </c>
      <c r="F194" s="2" t="s">
        <v>205</v>
      </c>
      <c r="G194" s="45">
        <v>1</v>
      </c>
    </row>
    <row r="195" spans="3:7" x14ac:dyDescent="0.25">
      <c r="C195" s="2" t="s">
        <v>359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3661</v>
      </c>
      <c r="D196" s="45">
        <v>1</v>
      </c>
      <c r="F196" s="2" t="s">
        <v>1318</v>
      </c>
      <c r="G196" s="45">
        <v>1</v>
      </c>
    </row>
    <row r="197" spans="3:7" x14ac:dyDescent="0.25">
      <c r="C197" s="2" t="s">
        <v>3681</v>
      </c>
      <c r="D197" s="45">
        <v>1</v>
      </c>
      <c r="F197" s="2" t="s">
        <v>3764</v>
      </c>
      <c r="G197" s="45">
        <v>1</v>
      </c>
    </row>
    <row r="198" spans="3:7" x14ac:dyDescent="0.25">
      <c r="C198" s="2" t="s">
        <v>290</v>
      </c>
      <c r="D198" s="45">
        <v>1</v>
      </c>
      <c r="F198" s="2" t="s">
        <v>161</v>
      </c>
      <c r="G198" s="45">
        <v>1</v>
      </c>
    </row>
    <row r="199" spans="3:7" x14ac:dyDescent="0.25">
      <c r="C199" s="2" t="s">
        <v>361</v>
      </c>
      <c r="D199" s="45">
        <v>1</v>
      </c>
      <c r="F199" s="2" t="s">
        <v>3770</v>
      </c>
      <c r="G199" s="45">
        <v>1</v>
      </c>
    </row>
    <row r="200" spans="3:7" x14ac:dyDescent="0.25">
      <c r="C200" s="2" t="s">
        <v>3773</v>
      </c>
      <c r="D200" s="45">
        <v>1</v>
      </c>
      <c r="F200" s="2" t="s">
        <v>251</v>
      </c>
      <c r="G200" s="45">
        <v>1</v>
      </c>
    </row>
    <row r="201" spans="3:7" x14ac:dyDescent="0.25">
      <c r="C201" s="2" t="s">
        <v>3682</v>
      </c>
      <c r="D201" s="45">
        <v>1</v>
      </c>
      <c r="F201" s="2" t="s">
        <v>3805</v>
      </c>
      <c r="G201" s="45">
        <v>1</v>
      </c>
    </row>
    <row r="202" spans="3:7" x14ac:dyDescent="0.25">
      <c r="C202" s="2" t="s">
        <v>3662</v>
      </c>
      <c r="D202" s="45">
        <v>1</v>
      </c>
      <c r="F202" s="2" t="s">
        <v>193</v>
      </c>
      <c r="G202" s="45">
        <v>1</v>
      </c>
    </row>
    <row r="203" spans="3:7" x14ac:dyDescent="0.25">
      <c r="C203" s="2" t="s">
        <v>221</v>
      </c>
      <c r="D203" s="45">
        <v>1</v>
      </c>
      <c r="F203" s="2" t="s">
        <v>3819</v>
      </c>
      <c r="G203" s="45">
        <v>1</v>
      </c>
    </row>
    <row r="204" spans="3:7" x14ac:dyDescent="0.25">
      <c r="C204" s="2" t="s">
        <v>3783</v>
      </c>
      <c r="D204" s="45">
        <v>1</v>
      </c>
      <c r="F204" s="2" t="s">
        <v>167</v>
      </c>
      <c r="G204" s="45">
        <v>1</v>
      </c>
    </row>
    <row r="205" spans="3:7" x14ac:dyDescent="0.25">
      <c r="C205" s="2" t="s">
        <v>312</v>
      </c>
      <c r="D205" s="45">
        <v>1</v>
      </c>
      <c r="F205" s="2" t="s">
        <v>137</v>
      </c>
      <c r="G205" s="45">
        <v>1</v>
      </c>
    </row>
    <row r="206" spans="3:7" x14ac:dyDescent="0.25">
      <c r="C206" s="2" t="s">
        <v>3852</v>
      </c>
      <c r="D206" s="45">
        <v>1</v>
      </c>
      <c r="F206" s="2" t="s">
        <v>222</v>
      </c>
      <c r="G206" s="45">
        <v>1</v>
      </c>
    </row>
    <row r="207" spans="3:7" x14ac:dyDescent="0.25">
      <c r="C207" s="2" t="s">
        <v>3689</v>
      </c>
      <c r="D207" s="45">
        <v>1</v>
      </c>
      <c r="F207" s="2" t="s">
        <v>1305</v>
      </c>
      <c r="G207" s="45">
        <v>1</v>
      </c>
    </row>
    <row r="208" spans="3:7" x14ac:dyDescent="0.25">
      <c r="C208" s="2" t="s">
        <v>3853</v>
      </c>
      <c r="D208" s="45">
        <v>1</v>
      </c>
      <c r="F208"/>
      <c r="G208"/>
    </row>
    <row r="209" spans="3:7" x14ac:dyDescent="0.25">
      <c r="C209" s="2" t="s">
        <v>272</v>
      </c>
      <c r="D209" s="45">
        <v>1</v>
      </c>
      <c r="F209"/>
      <c r="G209"/>
    </row>
    <row r="210" spans="3:7" x14ac:dyDescent="0.25">
      <c r="C210" s="2" t="s">
        <v>303</v>
      </c>
      <c r="D210" s="45">
        <v>1</v>
      </c>
      <c r="F210"/>
      <c r="G210"/>
    </row>
    <row r="211" spans="3:7" x14ac:dyDescent="0.25">
      <c r="C211" s="2" t="s">
        <v>318</v>
      </c>
      <c r="D211" s="45">
        <v>1</v>
      </c>
      <c r="F211"/>
      <c r="G211"/>
    </row>
    <row r="212" spans="3:7" x14ac:dyDescent="0.25">
      <c r="C212" s="2" t="s">
        <v>180</v>
      </c>
      <c r="D212" s="45">
        <v>1</v>
      </c>
      <c r="F212"/>
      <c r="G212"/>
    </row>
    <row r="213" spans="3:7" x14ac:dyDescent="0.25">
      <c r="C213" s="2" t="s">
        <v>264</v>
      </c>
      <c r="D213" s="45">
        <v>1</v>
      </c>
      <c r="F213"/>
      <c r="G213"/>
    </row>
    <row r="214" spans="3:7" x14ac:dyDescent="0.25">
      <c r="C214" s="2" t="s">
        <v>3686</v>
      </c>
      <c r="D214" s="45">
        <v>1</v>
      </c>
      <c r="F214"/>
      <c r="G214"/>
    </row>
    <row r="215" spans="3:7" x14ac:dyDescent="0.25">
      <c r="C215" s="2" t="s">
        <v>3694</v>
      </c>
      <c r="D215" s="45">
        <v>1</v>
      </c>
      <c r="F215"/>
      <c r="G215"/>
    </row>
    <row r="216" spans="3:7" x14ac:dyDescent="0.25">
      <c r="C216" s="2" t="s">
        <v>227</v>
      </c>
      <c r="D216" s="45">
        <v>1</v>
      </c>
      <c r="F216"/>
      <c r="G216"/>
    </row>
    <row r="217" spans="3:7" x14ac:dyDescent="0.25">
      <c r="C217" s="2" t="s">
        <v>322</v>
      </c>
      <c r="D217" s="45">
        <v>1</v>
      </c>
      <c r="F217"/>
      <c r="G217"/>
    </row>
    <row r="218" spans="3:7" x14ac:dyDescent="0.25">
      <c r="C218" s="2" t="s">
        <v>3688</v>
      </c>
      <c r="D218" s="45">
        <v>1</v>
      </c>
      <c r="F218"/>
      <c r="G218"/>
    </row>
    <row r="219" spans="3:7" x14ac:dyDescent="0.25">
      <c r="C219" s="2" t="s">
        <v>324</v>
      </c>
      <c r="D219" s="45">
        <v>1</v>
      </c>
      <c r="F219"/>
      <c r="G219"/>
    </row>
    <row r="220" spans="3:7" x14ac:dyDescent="0.25">
      <c r="C220" s="2" t="s">
        <v>184</v>
      </c>
      <c r="D220" s="45">
        <v>1</v>
      </c>
      <c r="F220"/>
      <c r="G220"/>
    </row>
    <row r="221" spans="3:7" x14ac:dyDescent="0.25">
      <c r="C221" s="2" t="s">
        <v>326</v>
      </c>
      <c r="D221" s="45">
        <v>1</v>
      </c>
      <c r="F221"/>
      <c r="G221"/>
    </row>
    <row r="222" spans="3:7" x14ac:dyDescent="0.25">
      <c r="C222" s="2" t="s">
        <v>3775</v>
      </c>
      <c r="D222" s="45">
        <v>1</v>
      </c>
      <c r="F222"/>
      <c r="G222"/>
    </row>
    <row r="223" spans="3:7" x14ac:dyDescent="0.25">
      <c r="C223" s="2" t="s">
        <v>328</v>
      </c>
      <c r="D223" s="45">
        <v>1</v>
      </c>
      <c r="F223"/>
      <c r="G223"/>
    </row>
    <row r="224" spans="3:7" x14ac:dyDescent="0.25">
      <c r="C224" s="2" t="s">
        <v>315</v>
      </c>
      <c r="D224" s="45">
        <v>1</v>
      </c>
      <c r="F224"/>
      <c r="G224"/>
    </row>
    <row r="225" spans="3:7" x14ac:dyDescent="0.25">
      <c r="C225" s="2" t="s">
        <v>330</v>
      </c>
      <c r="D225" s="45">
        <v>1</v>
      </c>
      <c r="F225"/>
      <c r="G225"/>
    </row>
    <row r="226" spans="3:7" x14ac:dyDescent="0.25">
      <c r="C226" s="2" t="s">
        <v>319</v>
      </c>
      <c r="D226" s="45">
        <v>1</v>
      </c>
      <c r="F226"/>
      <c r="G226"/>
    </row>
    <row r="227" spans="3:7" x14ac:dyDescent="0.25">
      <c r="C227" s="2" t="s">
        <v>332</v>
      </c>
      <c r="D227" s="45">
        <v>1</v>
      </c>
      <c r="F227"/>
      <c r="G227"/>
    </row>
    <row r="228" spans="3:7" x14ac:dyDescent="0.25">
      <c r="C228" s="2" t="s">
        <v>323</v>
      </c>
      <c r="D228" s="45">
        <v>1</v>
      </c>
      <c r="F228"/>
      <c r="G228"/>
    </row>
    <row r="229" spans="3:7" x14ac:dyDescent="0.25">
      <c r="C229" s="2" t="s">
        <v>3788</v>
      </c>
      <c r="D229" s="45">
        <v>1</v>
      </c>
      <c r="F229"/>
      <c r="G229"/>
    </row>
    <row r="230" spans="3:7" x14ac:dyDescent="0.25">
      <c r="C230" s="2" t="s">
        <v>321</v>
      </c>
      <c r="D230" s="45">
        <v>1</v>
      </c>
      <c r="F230"/>
      <c r="G230"/>
    </row>
    <row r="231" spans="3:7" x14ac:dyDescent="0.25">
      <c r="C231" s="2" t="s">
        <v>336</v>
      </c>
      <c r="D231" s="45">
        <v>1</v>
      </c>
      <c r="F231"/>
      <c r="G231"/>
    </row>
    <row r="232" spans="3:7" x14ac:dyDescent="0.25">
      <c r="C232" s="2" t="s">
        <v>325</v>
      </c>
      <c r="D232" s="45">
        <v>1</v>
      </c>
      <c r="F232"/>
      <c r="G232"/>
    </row>
    <row r="233" spans="3:7" x14ac:dyDescent="0.25">
      <c r="C233" s="2" t="s">
        <v>3829</v>
      </c>
      <c r="D233" s="45">
        <v>1</v>
      </c>
      <c r="F233"/>
      <c r="G233"/>
    </row>
    <row r="234" spans="3:7" x14ac:dyDescent="0.25">
      <c r="C234" s="2" t="s">
        <v>3690</v>
      </c>
      <c r="D234" s="45">
        <v>1</v>
      </c>
      <c r="F234"/>
      <c r="G234"/>
    </row>
    <row r="235" spans="3:7" x14ac:dyDescent="0.25">
      <c r="C235" s="2" t="s">
        <v>3691</v>
      </c>
      <c r="D235" s="45">
        <v>1</v>
      </c>
      <c r="F235"/>
      <c r="G235"/>
    </row>
    <row r="236" spans="3:7" x14ac:dyDescent="0.25">
      <c r="C236" s="2" t="s">
        <v>3675</v>
      </c>
      <c r="D236" s="45">
        <v>1</v>
      </c>
      <c r="F236"/>
      <c r="G236"/>
    </row>
    <row r="237" spans="3:7" x14ac:dyDescent="0.25">
      <c r="C237" s="2" t="s">
        <v>338</v>
      </c>
      <c r="D237" s="45">
        <v>1</v>
      </c>
      <c r="F237"/>
      <c r="G237"/>
    </row>
    <row r="238" spans="3:7" x14ac:dyDescent="0.25">
      <c r="C238" s="2" t="s">
        <v>341</v>
      </c>
      <c r="D238" s="45">
        <v>1</v>
      </c>
    </row>
    <row r="239" spans="3:7" x14ac:dyDescent="0.25">
      <c r="C239" s="2" t="s">
        <v>3671</v>
      </c>
      <c r="D239" s="45">
        <v>1</v>
      </c>
    </row>
    <row r="240" spans="3:7" x14ac:dyDescent="0.25">
      <c r="C240" s="2" t="s">
        <v>266</v>
      </c>
      <c r="D240" s="45">
        <v>1</v>
      </c>
    </row>
    <row r="241" spans="3:4" x14ac:dyDescent="0.25">
      <c r="C241" s="2" t="s">
        <v>342</v>
      </c>
      <c r="D241" s="45">
        <v>1</v>
      </c>
    </row>
    <row r="242" spans="3:4" x14ac:dyDescent="0.25">
      <c r="C242" s="2" t="s">
        <v>150</v>
      </c>
      <c r="D242" s="45">
        <v>1</v>
      </c>
    </row>
    <row r="243" spans="3:4" x14ac:dyDescent="0.25">
      <c r="C243" s="2" t="s">
        <v>3693</v>
      </c>
      <c r="D243" s="45">
        <v>1</v>
      </c>
    </row>
    <row r="244" spans="3:4" x14ac:dyDescent="0.25">
      <c r="C244" s="2" t="s">
        <v>335</v>
      </c>
      <c r="D244" s="45">
        <v>1</v>
      </c>
    </row>
    <row r="245" spans="3:4" x14ac:dyDescent="0.25">
      <c r="C245" s="2" t="s">
        <v>346</v>
      </c>
      <c r="D245" s="45">
        <v>1</v>
      </c>
    </row>
    <row r="246" spans="3:4" x14ac:dyDescent="0.25">
      <c r="C246" s="2" t="s">
        <v>3685</v>
      </c>
      <c r="D246" s="45">
        <v>1</v>
      </c>
    </row>
    <row r="247" spans="3:4" x14ac:dyDescent="0.25">
      <c r="C247" s="2" t="s">
        <v>3697</v>
      </c>
      <c r="D247" s="45">
        <v>1</v>
      </c>
    </row>
    <row r="248" spans="3:4" x14ac:dyDescent="0.25">
      <c r="C248" s="2" t="s">
        <v>166</v>
      </c>
      <c r="D248" s="45">
        <v>1</v>
      </c>
    </row>
    <row r="249" spans="3:4" x14ac:dyDescent="0.25">
      <c r="C249" s="2" t="s">
        <v>3790</v>
      </c>
      <c r="D249" s="45">
        <v>1</v>
      </c>
    </row>
    <row r="250" spans="3:4" x14ac:dyDescent="0.25">
      <c r="C250" s="2" t="s">
        <v>3828</v>
      </c>
      <c r="D250" s="45">
        <v>1</v>
      </c>
    </row>
    <row r="251" spans="3:4" x14ac:dyDescent="0.25">
      <c r="C251" s="2" t="s">
        <v>351</v>
      </c>
      <c r="D251" s="45">
        <v>1</v>
      </c>
    </row>
    <row r="252" spans="3:4" x14ac:dyDescent="0.25">
      <c r="C252" s="2" t="s">
        <v>343</v>
      </c>
      <c r="D252" s="45">
        <v>1</v>
      </c>
    </row>
    <row r="253" spans="3:4" x14ac:dyDescent="0.25">
      <c r="C253" s="2" t="s">
        <v>168</v>
      </c>
      <c r="D253" s="45">
        <v>1</v>
      </c>
    </row>
    <row r="254" spans="3:4" x14ac:dyDescent="0.25">
      <c r="C254" s="2" t="s">
        <v>345</v>
      </c>
      <c r="D254" s="45">
        <v>1</v>
      </c>
    </row>
    <row r="255" spans="3:4" x14ac:dyDescent="0.25">
      <c r="C255" s="2" t="s">
        <v>344</v>
      </c>
      <c r="D255" s="45">
        <v>1</v>
      </c>
    </row>
    <row r="256" spans="3:4" x14ac:dyDescent="0.25">
      <c r="C256" s="2" t="s">
        <v>3698</v>
      </c>
      <c r="D256" s="45">
        <v>1</v>
      </c>
    </row>
    <row r="257" spans="3:4" x14ac:dyDescent="0.25">
      <c r="C257" s="2" t="s">
        <v>350</v>
      </c>
      <c r="D257" s="45">
        <v>1</v>
      </c>
    </row>
    <row r="258" spans="3:4" x14ac:dyDescent="0.25">
      <c r="C258" s="2" t="s">
        <v>200</v>
      </c>
      <c r="D258" s="45">
        <v>1</v>
      </c>
    </row>
    <row r="259" spans="3:4" x14ac:dyDescent="0.25">
      <c r="C259" s="2" t="s">
        <v>274</v>
      </c>
      <c r="D259" s="45">
        <v>1</v>
      </c>
    </row>
    <row r="260" spans="3:4" x14ac:dyDescent="0.25">
      <c r="C260" s="2" t="s">
        <v>3777</v>
      </c>
      <c r="D260" s="45">
        <v>1</v>
      </c>
    </row>
    <row r="261" spans="3:4" x14ac:dyDescent="0.25">
      <c r="C261" s="2" t="s">
        <v>152</v>
      </c>
      <c r="D261" s="45">
        <v>1</v>
      </c>
    </row>
    <row r="262" spans="3:4" x14ac:dyDescent="0.25">
      <c r="C262" s="2" t="s">
        <v>300</v>
      </c>
      <c r="D262" s="45">
        <v>1</v>
      </c>
    </row>
    <row r="263" spans="3:4" x14ac:dyDescent="0.25">
      <c r="C263" s="2" t="s">
        <v>3789</v>
      </c>
      <c r="D263" s="45">
        <v>1</v>
      </c>
    </row>
    <row r="264" spans="3:4" x14ac:dyDescent="0.25">
      <c r="C264" s="2" t="s">
        <v>3854</v>
      </c>
      <c r="D264" s="45">
        <v>1</v>
      </c>
    </row>
    <row r="265" spans="3:4" x14ac:dyDescent="0.25">
      <c r="C265" s="2" t="s">
        <v>3696</v>
      </c>
      <c r="D265" s="45">
        <v>1</v>
      </c>
    </row>
    <row r="266" spans="3:4" x14ac:dyDescent="0.25">
      <c r="C266" s="2" t="s">
        <v>302</v>
      </c>
      <c r="D266" s="45">
        <v>1</v>
      </c>
    </row>
    <row r="267" spans="3:4" x14ac:dyDescent="0.25">
      <c r="C267" s="2" t="s">
        <v>3855</v>
      </c>
      <c r="D267" s="45">
        <v>1</v>
      </c>
    </row>
    <row r="268" spans="3:4" x14ac:dyDescent="0.25">
      <c r="C268" s="2" t="s">
        <v>304</v>
      </c>
      <c r="D268" s="45">
        <v>1</v>
      </c>
    </row>
    <row r="269" spans="3:4" x14ac:dyDescent="0.25">
      <c r="C269" s="2" t="s">
        <v>3785</v>
      </c>
      <c r="D269" s="45">
        <v>1</v>
      </c>
    </row>
    <row r="270" spans="3:4" x14ac:dyDescent="0.25">
      <c r="C270" s="2" t="s">
        <v>306</v>
      </c>
      <c r="D270" s="45">
        <v>1</v>
      </c>
    </row>
    <row r="271" spans="3:4" x14ac:dyDescent="0.25">
      <c r="C271" s="2" t="s">
        <v>3830</v>
      </c>
      <c r="D271" s="45">
        <v>1</v>
      </c>
    </row>
    <row r="272" spans="3:4" x14ac:dyDescent="0.25">
      <c r="C272" s="2" t="s">
        <v>3677</v>
      </c>
      <c r="D272" s="45">
        <v>1</v>
      </c>
    </row>
    <row r="273" spans="3:4" x14ac:dyDescent="0.25">
      <c r="C273" s="2" t="s">
        <v>278</v>
      </c>
      <c r="D273" s="45">
        <v>1</v>
      </c>
    </row>
    <row r="274" spans="3:4" x14ac:dyDescent="0.25">
      <c r="C274" s="2" t="s">
        <v>3699</v>
      </c>
      <c r="D274" s="45">
        <v>1</v>
      </c>
    </row>
    <row r="275" spans="3:4" x14ac:dyDescent="0.25">
      <c r="C275" s="2" t="s">
        <v>3678</v>
      </c>
      <c r="D275" s="45">
        <v>1</v>
      </c>
    </row>
    <row r="276" spans="3:4" x14ac:dyDescent="0.25">
      <c r="C276" s="2" t="s">
        <v>268</v>
      </c>
      <c r="D276" s="45">
        <v>1</v>
      </c>
    </row>
    <row r="277" spans="3:4" x14ac:dyDescent="0.25">
      <c r="C277" s="2" t="s">
        <v>82</v>
      </c>
      <c r="D277" s="45">
        <v>423</v>
      </c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tabSelected="1" zoomScale="85" zoomScaleNormal="85" workbookViewId="0">
      <pane ySplit="1" topLeftCell="A649" activePane="bottomLeft" state="frozen"/>
      <selection activeCell="F1" sqref="F1"/>
      <selection pane="bottomLeft" activeCell="X515" sqref="X515:X758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  <c r="AB1" s="45" t="s">
        <v>109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>
        <f>COUNTIF(B:B,bron[[#This Row],[volledige naam]])</f>
        <v>58</v>
      </c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  <c r="AB23">
        <f>COUNTIF(B:B,bron[[#This Row],[volledige naam]])</f>
        <v>3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  <c r="AB53">
        <f>COUNTIF(B:B,bron[[#This Row],[volledige naam]])</f>
        <v>26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  <c r="AB60">
        <f>COUNTIF(B:B,bron[[#This Row],[volledige naam]])</f>
        <v>3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  <c r="AB66">
        <f>COUNTIF(B:B,bron[[#This Row],[volledige naam]])</f>
        <v>26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  <c r="AB71">
        <f>COUNTIF(B:B,bron[[#This Row],[volledige naam]])</f>
        <v>26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  <c r="AB84">
        <f>COUNTIF(B:B,bron[[#This Row],[volledige naam]])</f>
        <v>3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  <c r="AB117">
        <f>COUNTIF(B:B,bron[[#This Row],[volledige naam]])</f>
        <v>26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  <c r="AB137">
        <f>COUNTIF(B:B,bron[[#This Row],[volledige naam]])</f>
        <v>3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  <c r="AB180">
        <f>COUNTIF(B:B,bron[[#This Row],[volledige naam]])</f>
        <v>26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  <c r="AB196">
        <f>COUNTIF(B:B,bron[[#This Row],[volledige naam]])</f>
        <v>2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  <c r="AB208">
        <f>COUNTIF(B:B,bron[[#This Row],[volledige naam]])</f>
        <v>2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  <c r="AB242">
        <f>COUNTIF(B:B,bron[[#This Row],[volledige naam]])</f>
        <v>2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  <c r="AB256">
        <f>COUNTIF(B:B,bron[[#This Row],[volledige naam]])</f>
        <v>3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  <c r="AB278">
        <f>COUNTIF(B:B,bron[[#This Row],[volledige naam]])</f>
        <v>26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  <c r="AB294">
        <f>COUNTIF(B:B,bron[[#This Row],[volledige naam]])</f>
        <v>2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  <c r="AB296">
        <f>COUNTIF(B:B,bron[[#This Row],[volledige naam]])</f>
        <v>3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  <c r="AB331">
        <f>COUNTIF(B:B,bron[[#This Row],[volledige naam]])</f>
        <v>26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  <c r="AB353">
        <f>COUNTIF(B:B,bron[[#This Row],[volledige naam]])</f>
        <v>3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  <c r="AB406">
        <f>COUNTIF(B:B,bron[[#This Row],[volledige naam]])</f>
        <v>26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  <c r="AB477">
        <f>COUNTIF(B:B,bron[[#This Row],[volledige naam]])</f>
        <v>26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  <c r="AB514">
        <f>COUNTIF(B:B,bron[[#This Row],[volledige naam]])</f>
        <v>6</v>
      </c>
    </row>
    <row r="515" spans="1:28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  <c r="AB515">
        <f>COUNTIF(B:B,bron[[#This Row],[volledige naam]])</f>
        <v>3</v>
      </c>
    </row>
    <row r="516" spans="1:28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  <c r="AB516">
        <f>COUNTIF(B:B,bron[[#This Row],[volledige naam]])</f>
        <v>1</v>
      </c>
    </row>
    <row r="517" spans="1:28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  <c r="AB517">
        <f>COUNTIF(B:B,bron[[#This Row],[volledige naam]])</f>
        <v>3</v>
      </c>
    </row>
    <row r="518" spans="1:28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  <c r="AB518">
        <f>COUNTIF(B:B,bron[[#This Row],[volledige naam]])</f>
        <v>3</v>
      </c>
    </row>
    <row r="519" spans="1:28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  <c r="AB519">
        <f>COUNTIF(B:B,bron[[#This Row],[volledige naam]])</f>
        <v>3</v>
      </c>
    </row>
    <row r="520" spans="1:28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  <c r="AB520">
        <f>COUNTIF(B:B,bron[[#This Row],[volledige naam]])</f>
        <v>5</v>
      </c>
    </row>
    <row r="521" spans="1:28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  <c r="AB521">
        <f>COUNTIF(B:B,bron[[#This Row],[volledige naam]])</f>
        <v>3</v>
      </c>
    </row>
    <row r="522" spans="1:28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  <c r="AB522">
        <f>COUNTIF(B:B,bron[[#This Row],[volledige naam]])</f>
        <v>3</v>
      </c>
    </row>
    <row r="523" spans="1:28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  <c r="AB523">
        <f>COUNTIF(B:B,bron[[#This Row],[volledige naam]])</f>
        <v>10</v>
      </c>
    </row>
    <row r="524" spans="1:28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  <c r="AB524">
        <f>COUNTIF(B:B,bron[[#This Row],[volledige naam]])</f>
        <v>3</v>
      </c>
    </row>
    <row r="525" spans="1:28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  <c r="AB525">
        <f>COUNTIF(B:B,bron[[#This Row],[volledige naam]])</f>
        <v>4</v>
      </c>
    </row>
    <row r="526" spans="1:28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  <c r="AB526">
        <f>COUNTIF(B:B,bron[[#This Row],[volledige naam]])</f>
        <v>10</v>
      </c>
    </row>
    <row r="527" spans="1:28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  <c r="AB527">
        <f>COUNTIF(B:B,bron[[#This Row],[volledige naam]])</f>
        <v>2</v>
      </c>
    </row>
    <row r="528" spans="1:28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  <c r="AB528">
        <f>COUNTIF(B:B,bron[[#This Row],[volledige naam]])</f>
        <v>3</v>
      </c>
    </row>
    <row r="529" spans="1:28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  <c r="AB529">
        <f>COUNTIF(B:B,bron[[#This Row],[volledige naam]])</f>
        <v>4</v>
      </c>
    </row>
    <row r="530" spans="1:28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  <c r="AB530">
        <f>COUNTIF(B:B,bron[[#This Row],[volledige naam]])</f>
        <v>5</v>
      </c>
    </row>
    <row r="531" spans="1:28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  <c r="AB531">
        <f>COUNTIF(B:B,bron[[#This Row],[volledige naam]])</f>
        <v>1</v>
      </c>
    </row>
    <row r="532" spans="1:28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  <c r="AB532">
        <f>COUNTIF(B:B,bron[[#This Row],[volledige naam]])</f>
        <v>1</v>
      </c>
    </row>
    <row r="533" spans="1:28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  <c r="AB533">
        <f>COUNTIF(B:B,bron[[#This Row],[volledige naam]])</f>
        <v>4</v>
      </c>
    </row>
    <row r="534" spans="1:28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  <c r="AB534">
        <f>COUNTIF(B:B,bron[[#This Row],[volledige naam]])</f>
        <v>10</v>
      </c>
    </row>
    <row r="535" spans="1:28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  <c r="AB535">
        <f>COUNTIF(B:B,bron[[#This Row],[volledige naam]])</f>
        <v>26</v>
      </c>
    </row>
    <row r="536" spans="1:28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  <c r="AB536">
        <f>COUNTIF(B:B,bron[[#This Row],[volledige naam]])</f>
        <v>3</v>
      </c>
    </row>
    <row r="537" spans="1:28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  <c r="AB537">
        <f>COUNTIF(B:B,bron[[#This Row],[volledige naam]])</f>
        <v>2</v>
      </c>
    </row>
    <row r="538" spans="1:28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  <c r="AB538">
        <f>COUNTIF(B:B,bron[[#This Row],[volledige naam]])</f>
        <v>10</v>
      </c>
    </row>
    <row r="539" spans="1:28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  <c r="AB539">
        <f>COUNTIF(B:B,bron[[#This Row],[volledige naam]])</f>
        <v>1</v>
      </c>
    </row>
    <row r="540" spans="1:28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  <c r="AB540">
        <f>COUNTIF(B:B,bron[[#This Row],[volledige naam]])</f>
        <v>4</v>
      </c>
    </row>
    <row r="541" spans="1:28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  <c r="AB541">
        <f>COUNTIF(B:B,bron[[#This Row],[volledige naam]])</f>
        <v>2</v>
      </c>
    </row>
    <row r="542" spans="1:28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  <c r="AB542">
        <f>COUNTIF(B:B,bron[[#This Row],[volledige naam]])</f>
        <v>3</v>
      </c>
    </row>
    <row r="543" spans="1:28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  <c r="AB543">
        <f>COUNTIF(B:B,bron[[#This Row],[volledige naam]])</f>
        <v>4</v>
      </c>
    </row>
    <row r="544" spans="1:28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  <c r="AB544">
        <f>COUNTIF(B:B,bron[[#This Row],[volledige naam]])</f>
        <v>10</v>
      </c>
    </row>
    <row r="545" spans="1:28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  <c r="AB545">
        <f>COUNTIF(B:B,bron[[#This Row],[volledige naam]])</f>
        <v>2</v>
      </c>
    </row>
    <row r="546" spans="1:28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  <c r="AB546">
        <f>COUNTIF(B:B,bron[[#This Row],[volledige naam]])</f>
        <v>5</v>
      </c>
    </row>
    <row r="547" spans="1:28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  <c r="AB547">
        <f>COUNTIF(B:B,bron[[#This Row],[volledige naam]])</f>
        <v>3</v>
      </c>
    </row>
    <row r="548" spans="1:28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  <c r="AB548">
        <f>COUNTIF(B:B,bron[[#This Row],[volledige naam]])</f>
        <v>6</v>
      </c>
    </row>
    <row r="549" spans="1:28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  <c r="AB549">
        <f>COUNTIF(B:B,bron[[#This Row],[volledige naam]])</f>
        <v>5</v>
      </c>
    </row>
    <row r="550" spans="1:28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  <c r="AB550">
        <f>COUNTIF(B:B,bron[[#This Row],[volledige naam]])</f>
        <v>3</v>
      </c>
    </row>
    <row r="551" spans="1:28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  <c r="AB551">
        <f>COUNTIF(B:B,bron[[#This Row],[volledige naam]])</f>
        <v>2</v>
      </c>
    </row>
    <row r="552" spans="1:28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  <c r="AB552">
        <f>COUNTIF(B:B,bron[[#This Row],[volledige naam]])</f>
        <v>1</v>
      </c>
    </row>
    <row r="553" spans="1:28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  <c r="AB553">
        <f>COUNTIF(B:B,bron[[#This Row],[volledige naam]])</f>
        <v>6</v>
      </c>
    </row>
    <row r="554" spans="1:28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  <c r="AB554">
        <f>COUNTIF(B:B,bron[[#This Row],[volledige naam]])</f>
        <v>3</v>
      </c>
    </row>
    <row r="555" spans="1:28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  <c r="AB555">
        <f>COUNTIF(B:B,bron[[#This Row],[volledige naam]])</f>
        <v>2</v>
      </c>
    </row>
    <row r="556" spans="1:28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  <c r="AB556">
        <f>COUNTIF(B:B,bron[[#This Row],[volledige naam]])</f>
        <v>10</v>
      </c>
    </row>
    <row r="557" spans="1:28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  <c r="AB557">
        <f>COUNTIF(B:B,bron[[#This Row],[volledige naam]])</f>
        <v>4</v>
      </c>
    </row>
    <row r="558" spans="1:28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  <c r="AB558">
        <f>COUNTIF(B:B,bron[[#This Row],[volledige naam]])</f>
        <v>2</v>
      </c>
    </row>
    <row r="559" spans="1:28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  <c r="AB559">
        <f>COUNTIF(B:B,bron[[#This Row],[volledige naam]])</f>
        <v>1</v>
      </c>
    </row>
    <row r="560" spans="1:28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  <c r="AB560">
        <f>COUNTIF(B:B,bron[[#This Row],[volledige naam]])</f>
        <v>7</v>
      </c>
    </row>
    <row r="561" spans="1:28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  <c r="AB561">
        <f>COUNTIF(B:B,bron[[#This Row],[volledige naam]])</f>
        <v>3</v>
      </c>
    </row>
    <row r="562" spans="1:28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  <c r="AB562">
        <f>COUNTIF(B:B,bron[[#This Row],[volledige naam]])</f>
        <v>6</v>
      </c>
    </row>
    <row r="563" spans="1:28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  <c r="AB563">
        <f>COUNTIF(B:B,bron[[#This Row],[volledige naam]])</f>
        <v>4</v>
      </c>
    </row>
    <row r="564" spans="1:28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  <c r="AB564">
        <f>COUNTIF(B:B,bron[[#This Row],[volledige naam]])</f>
        <v>1</v>
      </c>
    </row>
    <row r="565" spans="1:28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  <c r="AB565">
        <f>COUNTIF(B:B,bron[[#This Row],[volledige naam]])</f>
        <v>26</v>
      </c>
    </row>
    <row r="566" spans="1:28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  <c r="AB566">
        <f>COUNTIF(B:B,bron[[#This Row],[volledige naam]])</f>
        <v>2</v>
      </c>
    </row>
    <row r="567" spans="1:28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  <c r="AB567">
        <f>COUNTIF(B:B,bron[[#This Row],[volledige naam]])</f>
        <v>2</v>
      </c>
    </row>
    <row r="568" spans="1:28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  <c r="AB568">
        <f>COUNTIF(B:B,bron[[#This Row],[volledige naam]])</f>
        <v>3</v>
      </c>
    </row>
    <row r="569" spans="1:28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  <c r="AB569">
        <f>COUNTIF(B:B,bron[[#This Row],[volledige naam]])</f>
        <v>4</v>
      </c>
    </row>
    <row r="570" spans="1:28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  <c r="AB570">
        <f>COUNTIF(B:B,bron[[#This Row],[volledige naam]])</f>
        <v>8</v>
      </c>
    </row>
    <row r="571" spans="1:28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  <c r="AB571">
        <f>COUNTIF(B:B,bron[[#This Row],[volledige naam]])</f>
        <v>5</v>
      </c>
    </row>
    <row r="572" spans="1:28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  <c r="AB572">
        <f>COUNTIF(B:B,bron[[#This Row],[volledige naam]])</f>
        <v>1</v>
      </c>
    </row>
    <row r="573" spans="1:28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  <c r="AB573">
        <f>COUNTIF(B:B,bron[[#This Row],[volledige naam]])</f>
        <v>5</v>
      </c>
    </row>
    <row r="574" spans="1:28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  <c r="AB574">
        <f>COUNTIF(B:B,bron[[#This Row],[volledige naam]])</f>
        <v>4</v>
      </c>
    </row>
    <row r="575" spans="1:28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  <c r="AB575">
        <f>COUNTIF(B:B,bron[[#This Row],[volledige naam]])</f>
        <v>2</v>
      </c>
    </row>
    <row r="576" spans="1:28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  <c r="AB576">
        <f>COUNTIF(B:B,bron[[#This Row],[volledige naam]])</f>
        <v>3</v>
      </c>
    </row>
    <row r="577" spans="1:28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  <c r="AB577">
        <f>COUNTIF(B:B,bron[[#This Row],[volledige naam]])</f>
        <v>2</v>
      </c>
    </row>
    <row r="578" spans="1:28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  <c r="AB578">
        <f>COUNTIF(B:B,bron[[#This Row],[volledige naam]])</f>
        <v>8</v>
      </c>
    </row>
    <row r="579" spans="1:28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  <c r="AB579">
        <f>COUNTIF(B:B,bron[[#This Row],[volledige naam]])</f>
        <v>1</v>
      </c>
    </row>
    <row r="580" spans="1:28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  <c r="AB580">
        <f>COUNTIF(B:B,bron[[#This Row],[volledige naam]])</f>
        <v>1</v>
      </c>
    </row>
    <row r="581" spans="1:28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  <c r="AB581">
        <f>COUNTIF(B:B,bron[[#This Row],[volledige naam]])</f>
        <v>4</v>
      </c>
    </row>
    <row r="582" spans="1:28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  <c r="AB582">
        <f>COUNTIF(B:B,bron[[#This Row],[volledige naam]])</f>
        <v>4</v>
      </c>
    </row>
    <row r="583" spans="1:28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  <c r="AB583">
        <f>COUNTIF(B:B,bron[[#This Row],[volledige naam]])</f>
        <v>8</v>
      </c>
    </row>
    <row r="584" spans="1:28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  <c r="AB584">
        <f>COUNTIF(B:B,bron[[#This Row],[volledige naam]])</f>
        <v>1</v>
      </c>
    </row>
    <row r="585" spans="1:28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  <c r="AB585">
        <f>COUNTIF(B:B,bron[[#This Row],[volledige naam]])</f>
        <v>1</v>
      </c>
    </row>
    <row r="586" spans="1:28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  <c r="AB586">
        <f>COUNTIF(B:B,bron[[#This Row],[volledige naam]])</f>
        <v>6</v>
      </c>
    </row>
    <row r="587" spans="1:28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  <c r="AB587">
        <f>COUNTIF(B:B,bron[[#This Row],[volledige naam]])</f>
        <v>2</v>
      </c>
    </row>
    <row r="588" spans="1:28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  <c r="AB588">
        <f>COUNTIF(B:B,bron[[#This Row],[volledige naam]])</f>
        <v>1</v>
      </c>
    </row>
    <row r="589" spans="1:28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  <c r="AB589">
        <f>COUNTIF(B:B,bron[[#This Row],[volledige naam]])</f>
        <v>3</v>
      </c>
    </row>
    <row r="590" spans="1:28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  <c r="AB590">
        <f>COUNTIF(B:B,bron[[#This Row],[volledige naam]])</f>
        <v>2</v>
      </c>
    </row>
    <row r="591" spans="1:28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  <c r="AB591">
        <f>COUNTIF(B:B,bron[[#This Row],[volledige naam]])</f>
        <v>4</v>
      </c>
    </row>
    <row r="592" spans="1:28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  <c r="AB592">
        <f>COUNTIF(B:B,bron[[#This Row],[volledige naam]])</f>
        <v>5</v>
      </c>
    </row>
    <row r="593" spans="1:28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  <c r="AB593">
        <f>COUNTIF(B:B,bron[[#This Row],[volledige naam]])</f>
        <v>6</v>
      </c>
    </row>
    <row r="594" spans="1:28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  <c r="AB594">
        <f>COUNTIF(B:B,bron[[#This Row],[volledige naam]])</f>
        <v>26</v>
      </c>
    </row>
    <row r="595" spans="1:28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  <c r="AB595">
        <f>COUNTIF(B:B,bron[[#This Row],[volledige naam]])</f>
        <v>3</v>
      </c>
    </row>
    <row r="596" spans="1:28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  <c r="AB596">
        <f>COUNTIF(B:B,bron[[#This Row],[volledige naam]])</f>
        <v>4</v>
      </c>
    </row>
    <row r="597" spans="1:28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  <c r="AB597">
        <f>COUNTIF(B:B,bron[[#This Row],[volledige naam]])</f>
        <v>1</v>
      </c>
    </row>
    <row r="598" spans="1:28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  <c r="AB598">
        <f>COUNTIF(B:B,bron[[#This Row],[volledige naam]])</f>
        <v>6</v>
      </c>
    </row>
    <row r="599" spans="1:28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  <c r="AB599">
        <f>COUNTIF(B:B,bron[[#This Row],[volledige naam]])</f>
        <v>3</v>
      </c>
    </row>
    <row r="600" spans="1:28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  <c r="AB600">
        <f>COUNTIF(B:B,bron[[#This Row],[volledige naam]])</f>
        <v>26</v>
      </c>
    </row>
    <row r="601" spans="1:28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  <c r="AB601">
        <f>COUNTIF(B:B,bron[[#This Row],[volledige naam]])</f>
        <v>1</v>
      </c>
    </row>
    <row r="602" spans="1:28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  <c r="AB602">
        <f>COUNTIF(B:B,bron[[#This Row],[volledige naam]])</f>
        <v>1</v>
      </c>
    </row>
    <row r="603" spans="1:28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  <c r="AB603">
        <f>COUNTIF(B:B,bron[[#This Row],[volledige naam]])</f>
        <v>4</v>
      </c>
    </row>
    <row r="604" spans="1:28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  <c r="AB604">
        <f>COUNTIF(B:B,bron[[#This Row],[volledige naam]])</f>
        <v>8</v>
      </c>
    </row>
    <row r="605" spans="1:28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  <c r="AB605">
        <f>COUNTIF(B:B,bron[[#This Row],[volledige naam]])</f>
        <v>3</v>
      </c>
    </row>
    <row r="606" spans="1:28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  <c r="AB606">
        <f>COUNTIF(B:B,bron[[#This Row],[volledige naam]])</f>
        <v>2</v>
      </c>
    </row>
    <row r="607" spans="1:28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  <c r="AB607">
        <f>COUNTIF(B:B,bron[[#This Row],[volledige naam]])</f>
        <v>3</v>
      </c>
    </row>
    <row r="608" spans="1:28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  <c r="AB608">
        <f>COUNTIF(B:B,bron[[#This Row],[volledige naam]])</f>
        <v>7</v>
      </c>
    </row>
    <row r="609" spans="1:28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  <c r="AB609">
        <f>COUNTIF(B:B,bron[[#This Row],[volledige naam]])</f>
        <v>2</v>
      </c>
    </row>
    <row r="610" spans="1:28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  <c r="AB610">
        <f>COUNTIF(B:B,bron[[#This Row],[volledige naam]])</f>
        <v>6</v>
      </c>
    </row>
    <row r="611" spans="1:28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  <c r="AB611">
        <f>COUNTIF(B:B,bron[[#This Row],[volledige naam]])</f>
        <v>8</v>
      </c>
    </row>
    <row r="612" spans="1:28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  <c r="AB612">
        <f>COUNTIF(B:B,bron[[#This Row],[volledige naam]])</f>
        <v>10</v>
      </c>
    </row>
    <row r="613" spans="1:28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  <c r="AB613">
        <f>COUNTIF(B:B,bron[[#This Row],[volledige naam]])</f>
        <v>4</v>
      </c>
    </row>
    <row r="614" spans="1:28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  <c r="AB614">
        <f>COUNTIF(B:B,bron[[#This Row],[volledige naam]])</f>
        <v>4</v>
      </c>
    </row>
    <row r="615" spans="1:28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  <c r="AB615">
        <f>COUNTIF(B:B,bron[[#This Row],[volledige naam]])</f>
        <v>1</v>
      </c>
    </row>
    <row r="616" spans="1:28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  <c r="AB616">
        <f>COUNTIF(B:B,bron[[#This Row],[volledige naam]])</f>
        <v>1</v>
      </c>
    </row>
    <row r="617" spans="1:28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  <c r="AB617">
        <f>COUNTIF(B:B,bron[[#This Row],[volledige naam]])</f>
        <v>2</v>
      </c>
    </row>
    <row r="618" spans="1:28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  <c r="AB618">
        <f>COUNTIF(B:B,bron[[#This Row],[volledige naam]])</f>
        <v>2</v>
      </c>
    </row>
    <row r="619" spans="1:28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  <c r="AB619">
        <f>COUNTIF(B:B,bron[[#This Row],[volledige naam]])</f>
        <v>3</v>
      </c>
    </row>
    <row r="620" spans="1:28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  <c r="AB620">
        <f>COUNTIF(B:B,bron[[#This Row],[volledige naam]])</f>
        <v>1</v>
      </c>
    </row>
    <row r="621" spans="1:28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  <c r="AB621">
        <f>COUNTIF(B:B,bron[[#This Row],[volledige naam]])</f>
        <v>1</v>
      </c>
    </row>
    <row r="622" spans="1:28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  <c r="AB622">
        <f>COUNTIF(B:B,bron[[#This Row],[volledige naam]])</f>
        <v>8</v>
      </c>
    </row>
    <row r="623" spans="1:28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  <c r="AB623">
        <f>COUNTIF(B:B,bron[[#This Row],[volledige naam]])</f>
        <v>4</v>
      </c>
    </row>
    <row r="624" spans="1:28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  <c r="AB624">
        <f>COUNTIF(B:B,bron[[#This Row],[volledige naam]])</f>
        <v>2</v>
      </c>
    </row>
    <row r="625" spans="1:28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  <c r="AB625">
        <f>COUNTIF(B:B,bron[[#This Row],[volledige naam]])</f>
        <v>3</v>
      </c>
    </row>
    <row r="626" spans="1:28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  <c r="AB626">
        <f>COUNTIF(B:B,bron[[#This Row],[volledige naam]])</f>
        <v>4</v>
      </c>
    </row>
    <row r="627" spans="1:28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  <c r="AB627">
        <f>COUNTIF(B:B,bron[[#This Row],[volledige naam]])</f>
        <v>10</v>
      </c>
    </row>
    <row r="628" spans="1:28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  <c r="AB628">
        <f>COUNTIF(B:B,bron[[#This Row],[volledige naam]])</f>
        <v>6</v>
      </c>
    </row>
    <row r="629" spans="1:28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  <c r="AB629">
        <f>COUNTIF(B:B,bron[[#This Row],[volledige naam]])</f>
        <v>2</v>
      </c>
    </row>
    <row r="630" spans="1:28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  <c r="AB630">
        <f>COUNTIF(B:B,bron[[#This Row],[volledige naam]])</f>
        <v>8</v>
      </c>
    </row>
    <row r="631" spans="1:28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  <c r="AB631">
        <f>COUNTIF(B:B,bron[[#This Row],[volledige naam]])</f>
        <v>1</v>
      </c>
    </row>
    <row r="632" spans="1:28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  <c r="AB632">
        <f>COUNTIF(B:B,bron[[#This Row],[volledige naam]])</f>
        <v>3</v>
      </c>
    </row>
    <row r="633" spans="1:28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  <c r="AB633">
        <f>COUNTIF(B:B,bron[[#This Row],[volledige naam]])</f>
        <v>3</v>
      </c>
    </row>
    <row r="634" spans="1:28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  <c r="AB634">
        <f>COUNTIF(B:B,bron[[#This Row],[volledige naam]])</f>
        <v>2</v>
      </c>
    </row>
    <row r="635" spans="1:28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  <c r="AB635">
        <f>COUNTIF(B:B,bron[[#This Row],[volledige naam]])</f>
        <v>2</v>
      </c>
    </row>
    <row r="636" spans="1:28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  <c r="AB636">
        <f>COUNTIF(B:B,bron[[#This Row],[volledige naam]])</f>
        <v>2</v>
      </c>
    </row>
    <row r="637" spans="1:28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  <c r="AB637">
        <f>COUNTIF(B:B,bron[[#This Row],[volledige naam]])</f>
        <v>8</v>
      </c>
    </row>
    <row r="638" spans="1:28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  <c r="AB638">
        <f>COUNTIF(B:B,bron[[#This Row],[volledige naam]])</f>
        <v>1</v>
      </c>
    </row>
    <row r="639" spans="1:28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  <c r="AB639">
        <f>COUNTIF(B:B,bron[[#This Row],[volledige naam]])</f>
        <v>1</v>
      </c>
    </row>
    <row r="640" spans="1:28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  <c r="AB640">
        <f>COUNTIF(B:B,bron[[#This Row],[volledige naam]])</f>
        <v>4</v>
      </c>
    </row>
    <row r="641" spans="1:28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  <c r="AB641">
        <f>COUNTIF(B:B,bron[[#This Row],[volledige naam]])</f>
        <v>7</v>
      </c>
    </row>
    <row r="642" spans="1:28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  <c r="AB642">
        <f>COUNTIF(B:B,bron[[#This Row],[volledige naam]])</f>
        <v>3</v>
      </c>
    </row>
    <row r="643" spans="1:28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  <c r="AB643">
        <f>COUNTIF(B:B,bron[[#This Row],[volledige naam]])</f>
        <v>2</v>
      </c>
    </row>
    <row r="644" spans="1:28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  <c r="AB644">
        <f>COUNTIF(B:B,bron[[#This Row],[volledige naam]])</f>
        <v>2</v>
      </c>
    </row>
    <row r="645" spans="1:28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  <c r="AB645">
        <f>COUNTIF(B:B,bron[[#This Row],[volledige naam]])</f>
        <v>3</v>
      </c>
    </row>
    <row r="646" spans="1:28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  <c r="AB646">
        <f>COUNTIF(B:B,bron[[#This Row],[volledige naam]])</f>
        <v>2</v>
      </c>
    </row>
    <row r="647" spans="1:28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  <c r="AB647">
        <f>COUNTIF(B:B,bron[[#This Row],[volledige naam]])</f>
        <v>1</v>
      </c>
    </row>
    <row r="648" spans="1:28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  <c r="AB648">
        <f>COUNTIF(B:B,bron[[#This Row],[volledige naam]])</f>
        <v>2</v>
      </c>
    </row>
    <row r="649" spans="1:28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  <c r="AB649">
        <f>COUNTIF(B:B,bron[[#This Row],[volledige naam]])</f>
        <v>2</v>
      </c>
    </row>
    <row r="650" spans="1:28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  <c r="AB650">
        <f>COUNTIF(B:B,bron[[#This Row],[volledige naam]])</f>
        <v>26</v>
      </c>
    </row>
    <row r="651" spans="1:28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  <c r="AB651">
        <f>COUNTIF(B:B,bron[[#This Row],[volledige naam]])</f>
        <v>5</v>
      </c>
    </row>
    <row r="652" spans="1:28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  <c r="AB652">
        <f>COUNTIF(B:B,bron[[#This Row],[volledige naam]])</f>
        <v>5</v>
      </c>
    </row>
    <row r="653" spans="1:28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  <c r="AB653">
        <f>COUNTIF(B:B,bron[[#This Row],[volledige naam]])</f>
        <v>2</v>
      </c>
    </row>
    <row r="654" spans="1:28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  <c r="AB654">
        <f>COUNTIF(B:B,bron[[#This Row],[volledige naam]])</f>
        <v>3</v>
      </c>
    </row>
    <row r="655" spans="1:28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  <c r="AB655">
        <f>COUNTIF(B:B,bron[[#This Row],[volledige naam]])</f>
        <v>4</v>
      </c>
    </row>
    <row r="656" spans="1:28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  <c r="AB656">
        <f>COUNTIF(B:B,bron[[#This Row],[volledige naam]])</f>
        <v>6</v>
      </c>
    </row>
    <row r="657" spans="1:28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  <c r="AB657">
        <f>COUNTIF(B:B,bron[[#This Row],[volledige naam]])</f>
        <v>3</v>
      </c>
    </row>
    <row r="658" spans="1:28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  <c r="AB658">
        <f>COUNTIF(B:B,bron[[#This Row],[volledige naam]])</f>
        <v>1</v>
      </c>
    </row>
    <row r="659" spans="1:28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  <c r="AB659">
        <f>COUNTIF(B:B,bron[[#This Row],[volledige naam]])</f>
        <v>8</v>
      </c>
    </row>
    <row r="660" spans="1:28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  <c r="AB660">
        <f>COUNTIF(B:B,bron[[#This Row],[volledige naam]])</f>
        <v>1</v>
      </c>
    </row>
    <row r="661" spans="1:28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  <c r="AB661">
        <f>COUNTIF(B:B,bron[[#This Row],[volledige naam]])</f>
        <v>2</v>
      </c>
    </row>
    <row r="662" spans="1:28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  <c r="AB662">
        <f>COUNTIF(B:B,bron[[#This Row],[volledige naam]])</f>
        <v>1</v>
      </c>
    </row>
    <row r="663" spans="1:28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  <c r="AB663">
        <f>COUNTIF(B:B,bron[[#This Row],[volledige naam]])</f>
        <v>5</v>
      </c>
    </row>
    <row r="664" spans="1:28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  <c r="AB664">
        <f>COUNTIF(B:B,bron[[#This Row],[volledige naam]])</f>
        <v>9</v>
      </c>
    </row>
    <row r="665" spans="1:28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  <c r="AB665">
        <f>COUNTIF(B:B,bron[[#This Row],[volledige naam]])</f>
        <v>5</v>
      </c>
    </row>
    <row r="666" spans="1:28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  <c r="AB666">
        <f>COUNTIF(B:B,bron[[#This Row],[volledige naam]])</f>
        <v>1</v>
      </c>
    </row>
    <row r="667" spans="1:28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  <c r="AB667">
        <f>COUNTIF(B:B,bron[[#This Row],[volledige naam]])</f>
        <v>4</v>
      </c>
    </row>
    <row r="668" spans="1:28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  <c r="AB668">
        <f>COUNTIF(B:B,bron[[#This Row],[volledige naam]])</f>
        <v>2</v>
      </c>
    </row>
    <row r="669" spans="1:28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  <c r="AB669">
        <f>COUNTIF(B:B,bron[[#This Row],[volledige naam]])</f>
        <v>1</v>
      </c>
    </row>
    <row r="670" spans="1:28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  <c r="AB670">
        <f>COUNTIF(B:B,bron[[#This Row],[volledige naam]])</f>
        <v>1</v>
      </c>
    </row>
    <row r="671" spans="1:28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  <c r="AB671">
        <f>COUNTIF(B:B,bron[[#This Row],[volledige naam]])</f>
        <v>2</v>
      </c>
    </row>
    <row r="672" spans="1:28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  <c r="AB672">
        <f>COUNTIF(B:B,bron[[#This Row],[volledige naam]])</f>
        <v>5</v>
      </c>
    </row>
    <row r="673" spans="1:28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  <c r="AB673">
        <f>COUNTIF(B:B,bron[[#This Row],[volledige naam]])</f>
        <v>26</v>
      </c>
    </row>
    <row r="674" spans="1:28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  <c r="AB674">
        <f>COUNTIF(B:B,bron[[#This Row],[volledige naam]])</f>
        <v>1</v>
      </c>
    </row>
    <row r="675" spans="1:28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  <c r="AB675">
        <f>COUNTIF(B:B,bron[[#This Row],[volledige naam]])</f>
        <v>7</v>
      </c>
    </row>
    <row r="676" spans="1:28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  <c r="AB676">
        <f>COUNTIF(B:B,bron[[#This Row],[volledige naam]])</f>
        <v>2</v>
      </c>
    </row>
    <row r="677" spans="1:28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  <c r="AB677">
        <f>COUNTIF(B:B,bron[[#This Row],[volledige naam]])</f>
        <v>1</v>
      </c>
    </row>
    <row r="678" spans="1:28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  <c r="AB678">
        <f>COUNTIF(B:B,bron[[#This Row],[volledige naam]])</f>
        <v>7</v>
      </c>
    </row>
    <row r="679" spans="1:28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  <c r="AB679">
        <f>COUNTIF(B:B,bron[[#This Row],[volledige naam]])</f>
        <v>3</v>
      </c>
    </row>
    <row r="680" spans="1:28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  <c r="AB680">
        <f>COUNTIF(B:B,bron[[#This Row],[volledige naam]])</f>
        <v>4</v>
      </c>
    </row>
    <row r="681" spans="1:28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  <c r="AB681">
        <f>COUNTIF(B:B,bron[[#This Row],[volledige naam]])</f>
        <v>2</v>
      </c>
    </row>
    <row r="682" spans="1:28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  <c r="AB682">
        <f>COUNTIF(B:B,bron[[#This Row],[volledige naam]])</f>
        <v>3</v>
      </c>
    </row>
    <row r="683" spans="1:28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  <c r="AB683">
        <f>COUNTIF(B:B,bron[[#This Row],[volledige naam]])</f>
        <v>2</v>
      </c>
    </row>
    <row r="684" spans="1:28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  <c r="AB684">
        <f>COUNTIF(B:B,bron[[#This Row],[volledige naam]])</f>
        <v>26</v>
      </c>
    </row>
    <row r="685" spans="1:28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  <c r="AB685">
        <f>COUNTIF(B:B,bron[[#This Row],[volledige naam]])</f>
        <v>10</v>
      </c>
    </row>
    <row r="686" spans="1:28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  <c r="AB686">
        <f>COUNTIF(B:B,bron[[#This Row],[volledige naam]])</f>
        <v>4</v>
      </c>
    </row>
    <row r="687" spans="1:28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  <c r="AB687">
        <f>COUNTIF(B:B,bron[[#This Row],[volledige naam]])</f>
        <v>2</v>
      </c>
    </row>
    <row r="688" spans="1:28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  <c r="AB688">
        <f>COUNTIF(B:B,bron[[#This Row],[volledige naam]])</f>
        <v>2</v>
      </c>
    </row>
    <row r="689" spans="1:28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  <c r="AB689">
        <f>COUNTIF(B:B,bron[[#This Row],[volledige naam]])</f>
        <v>4</v>
      </c>
    </row>
    <row r="690" spans="1:28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  <c r="AB690">
        <f>COUNTIF(B:B,bron[[#This Row],[volledige naam]])</f>
        <v>4</v>
      </c>
    </row>
    <row r="691" spans="1:28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  <c r="AB691">
        <f>COUNTIF(B:B,bron[[#This Row],[volledige naam]])</f>
        <v>2</v>
      </c>
    </row>
    <row r="692" spans="1:28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  <c r="AB692">
        <f>COUNTIF(B:B,bron[[#This Row],[volledige naam]])</f>
        <v>1</v>
      </c>
    </row>
    <row r="693" spans="1:28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  <c r="AB693">
        <f>COUNTIF(B:B,bron[[#This Row],[volledige naam]])</f>
        <v>1</v>
      </c>
    </row>
    <row r="694" spans="1:28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  <c r="AB694">
        <f>COUNTIF(B:B,bron[[#This Row],[volledige naam]])</f>
        <v>2</v>
      </c>
    </row>
    <row r="695" spans="1:28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  <c r="AB695">
        <f>COUNTIF(B:B,bron[[#This Row],[volledige naam]])</f>
        <v>8</v>
      </c>
    </row>
    <row r="696" spans="1:28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  <c r="AB696">
        <f>COUNTIF(B:B,bron[[#This Row],[volledige naam]])</f>
        <v>3</v>
      </c>
    </row>
    <row r="697" spans="1:28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  <c r="AB697">
        <f>COUNTIF(B:B,bron[[#This Row],[volledige naam]])</f>
        <v>7</v>
      </c>
    </row>
    <row r="698" spans="1:28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  <c r="AB698">
        <f>COUNTIF(B:B,bron[[#This Row],[volledige naam]])</f>
        <v>7</v>
      </c>
    </row>
    <row r="699" spans="1:28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  <c r="AB699">
        <f>COUNTIF(B:B,bron[[#This Row],[volledige naam]])</f>
        <v>1</v>
      </c>
    </row>
    <row r="700" spans="1:28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  <c r="AB700">
        <f>COUNTIF(B:B,bron[[#This Row],[volledige naam]])</f>
        <v>10</v>
      </c>
    </row>
    <row r="701" spans="1:28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  <c r="AB701">
        <f>COUNTIF(B:B,bron[[#This Row],[volledige naam]])</f>
        <v>1</v>
      </c>
    </row>
    <row r="702" spans="1:28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  <c r="AB702">
        <f>COUNTIF(B:B,bron[[#This Row],[volledige naam]])</f>
        <v>2</v>
      </c>
    </row>
    <row r="703" spans="1:28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  <c r="AB703">
        <f>COUNTIF(B:B,bron[[#This Row],[volledige naam]])</f>
        <v>8</v>
      </c>
    </row>
    <row r="704" spans="1:28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  <c r="AB704">
        <f>COUNTIF(B:B,bron[[#This Row],[volledige naam]])</f>
        <v>4</v>
      </c>
    </row>
    <row r="705" spans="1:28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  <c r="AB705">
        <f>COUNTIF(B:B,bron[[#This Row],[volledige naam]])</f>
        <v>7</v>
      </c>
    </row>
    <row r="706" spans="1:28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  <c r="AB706">
        <f>COUNTIF(B:B,bron[[#This Row],[volledige naam]])</f>
        <v>4</v>
      </c>
    </row>
    <row r="707" spans="1:28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  <c r="AB707">
        <f>COUNTIF(B:B,bron[[#This Row],[volledige naam]])</f>
        <v>1</v>
      </c>
    </row>
    <row r="708" spans="1:28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  <c r="AB708">
        <f>COUNTIF(B:B,bron[[#This Row],[volledige naam]])</f>
        <v>2</v>
      </c>
    </row>
    <row r="709" spans="1:28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  <c r="AB709">
        <f>COUNTIF(B:B,bron[[#This Row],[volledige naam]])</f>
        <v>10</v>
      </c>
    </row>
    <row r="710" spans="1:28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  <c r="AB710">
        <f>COUNTIF(B:B,bron[[#This Row],[volledige naam]])</f>
        <v>2</v>
      </c>
    </row>
    <row r="711" spans="1:28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  <c r="AB711">
        <f>COUNTIF(B:B,bron[[#This Row],[volledige naam]])</f>
        <v>3</v>
      </c>
    </row>
    <row r="712" spans="1:28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  <c r="AB712">
        <f>COUNTIF(B:B,bron[[#This Row],[volledige naam]])</f>
        <v>5</v>
      </c>
    </row>
    <row r="713" spans="1:28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  <c r="AB713">
        <f>COUNTIF(B:B,bron[[#This Row],[volledige naam]])</f>
        <v>1</v>
      </c>
    </row>
    <row r="714" spans="1:28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  <c r="AB714">
        <f>COUNTIF(B:B,bron[[#This Row],[volledige naam]])</f>
        <v>2</v>
      </c>
    </row>
    <row r="715" spans="1:28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  <c r="AB715">
        <f>COUNTIF(B:B,bron[[#This Row],[volledige naam]])</f>
        <v>3</v>
      </c>
    </row>
    <row r="716" spans="1:28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  <c r="AB716">
        <f>COUNTIF(B:B,bron[[#This Row],[volledige naam]])</f>
        <v>4</v>
      </c>
    </row>
    <row r="717" spans="1:28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  <c r="AB717">
        <f>COUNTIF(B:B,bron[[#This Row],[volledige naam]])</f>
        <v>1</v>
      </c>
    </row>
    <row r="718" spans="1:28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  <c r="AB718">
        <f>COUNTIF(B:B,bron[[#This Row],[volledige naam]])</f>
        <v>1</v>
      </c>
    </row>
    <row r="719" spans="1:28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  <c r="AB719">
        <f>COUNTIF(B:B,bron[[#This Row],[volledige naam]])</f>
        <v>4</v>
      </c>
    </row>
    <row r="720" spans="1:28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  <c r="AB720">
        <f>COUNTIF(B:B,bron[[#This Row],[volledige naam]])</f>
        <v>4</v>
      </c>
    </row>
    <row r="721" spans="1:28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  <c r="AB721">
        <f>COUNTIF(B:B,bron[[#This Row],[volledige naam]])</f>
        <v>3</v>
      </c>
    </row>
    <row r="722" spans="1:28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  <c r="AB722">
        <f>COUNTIF(B:B,bron[[#This Row],[volledige naam]])</f>
        <v>2</v>
      </c>
    </row>
    <row r="723" spans="1:28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  <c r="AB723">
        <f>COUNTIF(B:B,bron[[#This Row],[volledige naam]])</f>
        <v>2</v>
      </c>
    </row>
    <row r="724" spans="1:28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  <c r="AB724">
        <f>COUNTIF(B:B,bron[[#This Row],[volledige naam]])</f>
        <v>3</v>
      </c>
    </row>
    <row r="725" spans="1:28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  <c r="AB725">
        <f>COUNTIF(B:B,bron[[#This Row],[volledige naam]])</f>
        <v>5</v>
      </c>
    </row>
    <row r="726" spans="1:28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  <c r="AB726">
        <f>COUNTIF(B:B,bron[[#This Row],[volledige naam]])</f>
        <v>3</v>
      </c>
    </row>
    <row r="727" spans="1:28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  <c r="AB727">
        <f>COUNTIF(B:B,bron[[#This Row],[volledige naam]])</f>
        <v>2</v>
      </c>
    </row>
    <row r="728" spans="1:28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  <c r="AB728">
        <f>COUNTIF(B:B,bron[[#This Row],[volledige naam]])</f>
        <v>2</v>
      </c>
    </row>
    <row r="729" spans="1:28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  <c r="AB729">
        <f>COUNTIF(B:B,bron[[#This Row],[volledige naam]])</f>
        <v>4</v>
      </c>
    </row>
    <row r="730" spans="1:28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  <c r="AB730">
        <f>COUNTIF(B:B,bron[[#This Row],[volledige naam]])</f>
        <v>4</v>
      </c>
    </row>
    <row r="731" spans="1:28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  <c r="AB731">
        <f>COUNTIF(B:B,bron[[#This Row],[volledige naam]])</f>
        <v>3</v>
      </c>
    </row>
    <row r="732" spans="1:28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  <c r="AB732">
        <f>COUNTIF(B:B,bron[[#This Row],[volledige naam]])</f>
        <v>1</v>
      </c>
    </row>
    <row r="733" spans="1:28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  <c r="AB733">
        <f>COUNTIF(B:B,bron[[#This Row],[volledige naam]])</f>
        <v>2</v>
      </c>
    </row>
    <row r="734" spans="1:28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  <c r="AB734">
        <f>COUNTIF(B:B,bron[[#This Row],[volledige naam]])</f>
        <v>3</v>
      </c>
    </row>
    <row r="735" spans="1:28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  <c r="AB735">
        <f>COUNTIF(B:B,bron[[#This Row],[volledige naam]])</f>
        <v>3</v>
      </c>
    </row>
    <row r="736" spans="1:28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  <c r="AB736">
        <f>COUNTIF(B:B,bron[[#This Row],[volledige naam]])</f>
        <v>2</v>
      </c>
    </row>
    <row r="737" spans="1:28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  <c r="AB737">
        <f>COUNTIF(B:B,bron[[#This Row],[volledige naam]])</f>
        <v>4</v>
      </c>
    </row>
    <row r="738" spans="1:28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  <c r="AB738">
        <f>COUNTIF(B:B,bron[[#This Row],[volledige naam]])</f>
        <v>4</v>
      </c>
    </row>
    <row r="739" spans="1:28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  <c r="AB739">
        <f>COUNTIF(B:B,bron[[#This Row],[volledige naam]])</f>
        <v>3</v>
      </c>
    </row>
    <row r="740" spans="1:28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  <c r="AB740">
        <f>COUNTIF(B:B,bron[[#This Row],[volledige naam]])</f>
        <v>1</v>
      </c>
    </row>
    <row r="741" spans="1:28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  <c r="AB741">
        <f>COUNTIF(B:B,bron[[#This Row],[volledige naam]])</f>
        <v>2</v>
      </c>
    </row>
    <row r="742" spans="1:28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  <c r="AB742">
        <f>COUNTIF(B:B,bron[[#This Row],[volledige naam]])</f>
        <v>3</v>
      </c>
    </row>
    <row r="743" spans="1:28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  <c r="AB743">
        <f>COUNTIF(B:B,bron[[#This Row],[volledige naam]])</f>
        <v>1</v>
      </c>
    </row>
    <row r="744" spans="1:28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  <c r="AB744">
        <f>COUNTIF(B:B,bron[[#This Row],[volledige naam]])</f>
        <v>1</v>
      </c>
    </row>
    <row r="745" spans="1:28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  <c r="AB745">
        <f>COUNTIF(B:B,bron[[#This Row],[volledige naam]])</f>
        <v>1</v>
      </c>
    </row>
    <row r="746" spans="1:28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  <c r="AB746">
        <f>COUNTIF(B:B,bron[[#This Row],[volledige naam]])</f>
        <v>1</v>
      </c>
    </row>
    <row r="747" spans="1:28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  <c r="AB747">
        <f>COUNTIF(B:B,bron[[#This Row],[volledige naam]])</f>
        <v>2</v>
      </c>
    </row>
    <row r="748" spans="1:28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  <c r="AB748">
        <f>COUNTIF(B:B,bron[[#This Row],[volledige naam]])</f>
        <v>3</v>
      </c>
    </row>
    <row r="749" spans="1:28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  <c r="AB749">
        <f>COUNTIF(B:B,bron[[#This Row],[volledige naam]])</f>
        <v>26</v>
      </c>
    </row>
    <row r="750" spans="1:28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  <c r="AB750">
        <f>COUNTIF(B:B,bron[[#This Row],[volledige naam]])</f>
        <v>1</v>
      </c>
    </row>
    <row r="751" spans="1:28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  <c r="AB751">
        <f>COUNTIF(B:B,bron[[#This Row],[volledige naam]])</f>
        <v>3</v>
      </c>
    </row>
    <row r="752" spans="1:28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  <c r="AB752">
        <f>COUNTIF(B:B,bron[[#This Row],[volledige naam]])</f>
        <v>1</v>
      </c>
    </row>
    <row r="753" spans="1:28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  <c r="AB753">
        <f>COUNTIF(B:B,bron[[#This Row],[volledige naam]])</f>
        <v>5</v>
      </c>
    </row>
    <row r="754" spans="1:28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  <c r="AB754">
        <f>COUNTIF(B:B,bron[[#This Row],[volledige naam]])</f>
        <v>10</v>
      </c>
    </row>
    <row r="755" spans="1:28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  <c r="AB755">
        <f>COUNTIF(B:B,bron[[#This Row],[volledige naam]])</f>
        <v>3</v>
      </c>
    </row>
    <row r="756" spans="1:28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  <c r="AB756">
        <f>COUNTIF(B:B,bron[[#This Row],[volledige naam]])</f>
        <v>3</v>
      </c>
    </row>
    <row r="757" spans="1:28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  <c r="AB757">
        <f>COUNTIF(B:B,bron[[#This Row],[volledige naam]])</f>
        <v>4</v>
      </c>
    </row>
    <row r="758" spans="1:28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  <c r="AB758">
        <f>COUNTIF(B:B,bron[[#This Row],[volledige naam]])</f>
        <v>3</v>
      </c>
    </row>
    <row r="759" spans="1:28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  <c r="AB759">
        <f>COUNTIF(B:B,bron[[#This Row],[volledige naam]])</f>
        <v>2</v>
      </c>
    </row>
    <row r="760" spans="1:28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  <c r="AB760">
        <f>COUNTIF(B:B,bron[[#This Row],[volledige naam]])</f>
        <v>3</v>
      </c>
    </row>
    <row r="761" spans="1:28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  <c r="AB761">
        <f>COUNTIF(B:B,bron[[#This Row],[volledige naam]])</f>
        <v>1</v>
      </c>
    </row>
    <row r="762" spans="1:28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  <c r="AB762">
        <f>COUNTIF(B:B,bron[[#This Row],[volledige naam]])</f>
        <v>2</v>
      </c>
    </row>
    <row r="763" spans="1:28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  <c r="AB763">
        <f>COUNTIF(B:B,bron[[#This Row],[volledige naam]])</f>
        <v>2</v>
      </c>
    </row>
    <row r="764" spans="1:28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  <c r="AB764">
        <f>COUNTIF(B:B,bron[[#This Row],[volledige naam]])</f>
        <v>8</v>
      </c>
    </row>
    <row r="765" spans="1:28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  <c r="AB765">
        <f>COUNTIF(B:B,bron[[#This Row],[volledige naam]])</f>
        <v>4</v>
      </c>
    </row>
    <row r="766" spans="1:28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  <c r="AB766">
        <f>COUNTIF(B:B,bron[[#This Row],[volledige naam]])</f>
        <v>6</v>
      </c>
    </row>
    <row r="767" spans="1:28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  <c r="AB767">
        <f>COUNTIF(B:B,bron[[#This Row],[volledige naam]])</f>
        <v>2</v>
      </c>
    </row>
    <row r="768" spans="1:28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  <c r="AB768">
        <f>COUNTIF(B:B,bron[[#This Row],[volledige naam]])</f>
        <v>5</v>
      </c>
    </row>
    <row r="769" spans="1:28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  <c r="AB769">
        <f>COUNTIF(B:B,bron[[#This Row],[volledige naam]])</f>
        <v>4</v>
      </c>
    </row>
    <row r="770" spans="1:28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  <c r="AB770">
        <f>COUNTIF(B:B,bron[[#This Row],[volledige naam]])</f>
        <v>4</v>
      </c>
    </row>
    <row r="771" spans="1:28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  <c r="AB771">
        <f>COUNTIF(B:B,bron[[#This Row],[volledige naam]])</f>
        <v>1</v>
      </c>
    </row>
    <row r="772" spans="1:28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  <c r="AB772">
        <f>COUNTIF(B:B,bron[[#This Row],[volledige naam]])</f>
        <v>3</v>
      </c>
    </row>
    <row r="773" spans="1:28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  <c r="AB773">
        <f>COUNTIF(B:B,bron[[#This Row],[volledige naam]])</f>
        <v>6</v>
      </c>
    </row>
    <row r="774" spans="1:28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  <c r="AB774">
        <f>COUNTIF(B:B,bron[[#This Row],[volledige naam]])</f>
        <v>1</v>
      </c>
    </row>
    <row r="775" spans="1:28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  <c r="AB775">
        <f>COUNTIF(B:B,bron[[#This Row],[volledige naam]])</f>
        <v>3</v>
      </c>
    </row>
    <row r="776" spans="1:28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  <c r="AB776">
        <f>COUNTIF(B:B,bron[[#This Row],[volledige naam]])</f>
        <v>1</v>
      </c>
    </row>
    <row r="777" spans="1:28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  <c r="AB777">
        <f>COUNTIF(B:B,bron[[#This Row],[volledige naam]])</f>
        <v>4</v>
      </c>
    </row>
    <row r="778" spans="1:28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  <c r="AB778">
        <f>COUNTIF(B:B,bron[[#This Row],[volledige naam]])</f>
        <v>1</v>
      </c>
    </row>
    <row r="779" spans="1:28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  <c r="AB779">
        <f>COUNTIF(B:B,bron[[#This Row],[volledige naam]])</f>
        <v>26</v>
      </c>
    </row>
    <row r="780" spans="1:28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  <c r="AB780">
        <f>COUNTIF(B:B,bron[[#This Row],[volledige naam]])</f>
        <v>1</v>
      </c>
    </row>
    <row r="781" spans="1:28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  <c r="AB781">
        <f>COUNTIF(B:B,bron[[#This Row],[volledige naam]])</f>
        <v>1</v>
      </c>
    </row>
    <row r="782" spans="1:28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  <c r="AB782">
        <f>COUNTIF(B:B,bron[[#This Row],[volledige naam]])</f>
        <v>3</v>
      </c>
    </row>
    <row r="783" spans="1:28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  <c r="AB783">
        <f>COUNTIF(B:B,bron[[#This Row],[volledige naam]])</f>
        <v>5</v>
      </c>
    </row>
    <row r="784" spans="1:28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  <c r="AB784">
        <f>COUNTIF(B:B,bron[[#This Row],[volledige naam]])</f>
        <v>2</v>
      </c>
    </row>
    <row r="785" spans="1:28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  <c r="AB785">
        <f>COUNTIF(B:B,bron[[#This Row],[volledige naam]])</f>
        <v>3</v>
      </c>
    </row>
    <row r="786" spans="1:28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  <c r="AB786">
        <f>COUNTIF(B:B,bron[[#This Row],[volledige naam]])</f>
        <v>2</v>
      </c>
    </row>
    <row r="787" spans="1:28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  <c r="AB787">
        <f>COUNTIF(B:B,bron[[#This Row],[volledige naam]])</f>
        <v>5</v>
      </c>
    </row>
    <row r="788" spans="1:28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  <c r="AB788">
        <f>COUNTIF(B:B,bron[[#This Row],[volledige naam]])</f>
        <v>5</v>
      </c>
    </row>
    <row r="789" spans="1:28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  <c r="AB789">
        <f>COUNTIF(B:B,bron[[#This Row],[volledige naam]])</f>
        <v>2</v>
      </c>
    </row>
    <row r="790" spans="1:28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  <c r="AB790">
        <f>COUNTIF(B:B,bron[[#This Row],[volledige naam]])</f>
        <v>1</v>
      </c>
    </row>
    <row r="791" spans="1:28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  <c r="AB791">
        <f>COUNTIF(B:B,bron[[#This Row],[volledige naam]])</f>
        <v>3</v>
      </c>
    </row>
    <row r="792" spans="1:28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  <c r="AB792">
        <f>COUNTIF(B:B,bron[[#This Row],[volledige naam]])</f>
        <v>10</v>
      </c>
    </row>
    <row r="793" spans="1:28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  <c r="AB793">
        <f>COUNTIF(B:B,bron[[#This Row],[volledige naam]])</f>
        <v>4</v>
      </c>
    </row>
    <row r="794" spans="1:28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  <c r="AB794">
        <f>COUNTIF(B:B,bron[[#This Row],[volledige naam]])</f>
        <v>1</v>
      </c>
    </row>
    <row r="795" spans="1:28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  <c r="AB795">
        <f>COUNTIF(B:B,bron[[#This Row],[volledige naam]])</f>
        <v>3</v>
      </c>
    </row>
    <row r="796" spans="1:28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  <c r="AB796">
        <f>COUNTIF(B:B,bron[[#This Row],[volledige naam]])</f>
        <v>1</v>
      </c>
    </row>
    <row r="797" spans="1:28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  <c r="AB797">
        <f>COUNTIF(B:B,bron[[#This Row],[volledige naam]])</f>
        <v>2</v>
      </c>
    </row>
    <row r="798" spans="1:28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  <c r="AB798">
        <f>COUNTIF(B:B,bron[[#This Row],[volledige naam]])</f>
        <v>5</v>
      </c>
    </row>
    <row r="799" spans="1:28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  <c r="AB799">
        <f>COUNTIF(B:B,bron[[#This Row],[volledige naam]])</f>
        <v>5</v>
      </c>
    </row>
    <row r="800" spans="1:28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  <c r="AB800">
        <f>COUNTIF(B:B,bron[[#This Row],[volledige naam]])</f>
        <v>1</v>
      </c>
    </row>
    <row r="801" spans="1:28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  <c r="AB801">
        <f>COUNTIF(B:B,bron[[#This Row],[volledige naam]])</f>
        <v>3</v>
      </c>
    </row>
    <row r="802" spans="1:28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  <c r="AB802">
        <f>COUNTIF(B:B,bron[[#This Row],[volledige naam]])</f>
        <v>2</v>
      </c>
    </row>
    <row r="803" spans="1:28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  <c r="AB803">
        <f>COUNTIF(B:B,bron[[#This Row],[volledige naam]])</f>
        <v>1</v>
      </c>
    </row>
    <row r="804" spans="1:28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  <c r="AB804">
        <f>COUNTIF(B:B,bron[[#This Row],[volledige naam]])</f>
        <v>3</v>
      </c>
    </row>
    <row r="805" spans="1:28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  <c r="AB805">
        <f>COUNTIF(B:B,bron[[#This Row],[volledige naam]])</f>
        <v>4</v>
      </c>
    </row>
    <row r="806" spans="1:28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  <c r="AB806">
        <f>COUNTIF(B:B,bron[[#This Row],[volledige naam]])</f>
        <v>1</v>
      </c>
    </row>
    <row r="807" spans="1:28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  <c r="AB807">
        <f>COUNTIF(B:B,bron[[#This Row],[volledige naam]])</f>
        <v>5</v>
      </c>
    </row>
    <row r="808" spans="1:28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  <c r="AB808">
        <f>COUNTIF(B:B,bron[[#This Row],[volledige naam]])</f>
        <v>3</v>
      </c>
    </row>
    <row r="809" spans="1:28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  <c r="AB809">
        <f>COUNTIF(B:B,bron[[#This Row],[volledige naam]])</f>
        <v>1</v>
      </c>
    </row>
    <row r="810" spans="1:28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  <c r="AB810">
        <f>COUNTIF(B:B,bron[[#This Row],[volledige naam]])</f>
        <v>2</v>
      </c>
    </row>
    <row r="811" spans="1:28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  <c r="AB811">
        <f>COUNTIF(B:B,bron[[#This Row],[volledige naam]])</f>
        <v>1</v>
      </c>
    </row>
    <row r="812" spans="1:28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  <c r="AB812">
        <f>COUNTIF(B:B,bron[[#This Row],[volledige naam]])</f>
        <v>1</v>
      </c>
    </row>
    <row r="813" spans="1:28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  <c r="AB813">
        <f>COUNTIF(B:B,bron[[#This Row],[volledige naam]])</f>
        <v>10</v>
      </c>
    </row>
    <row r="814" spans="1:28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  <c r="AB814">
        <f>COUNTIF(B:B,bron[[#This Row],[volledige naam]])</f>
        <v>4</v>
      </c>
    </row>
    <row r="815" spans="1:28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  <c r="AB815">
        <f>COUNTIF(B:B,bron[[#This Row],[volledige naam]])</f>
        <v>2</v>
      </c>
    </row>
    <row r="816" spans="1:28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  <c r="AB816">
        <f>COUNTIF(B:B,bron[[#This Row],[volledige naam]])</f>
        <v>3</v>
      </c>
    </row>
    <row r="817" spans="1:28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  <c r="AB817">
        <f>COUNTIF(B:B,bron[[#This Row],[volledige naam]])</f>
        <v>5</v>
      </c>
    </row>
    <row r="818" spans="1:28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  <c r="AB818">
        <f>COUNTIF(B:B,bron[[#This Row],[volledige naam]])</f>
        <v>2</v>
      </c>
    </row>
    <row r="819" spans="1:28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  <c r="AB819">
        <f>COUNTIF(B:B,bron[[#This Row],[volledige naam]])</f>
        <v>3</v>
      </c>
    </row>
    <row r="820" spans="1:28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  <c r="AB820">
        <f>COUNTIF(B:B,bron[[#This Row],[volledige naam]])</f>
        <v>8</v>
      </c>
    </row>
    <row r="821" spans="1:28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  <c r="AB821">
        <f>COUNTIF(B:B,bron[[#This Row],[volledige naam]])</f>
        <v>2</v>
      </c>
    </row>
    <row r="822" spans="1:28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  <c r="AB822">
        <f>COUNTIF(B:B,bron[[#This Row],[volledige naam]])</f>
        <v>1</v>
      </c>
    </row>
    <row r="823" spans="1:28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  <c r="AB823">
        <f>COUNTIF(B:B,bron[[#This Row],[volledige naam]])</f>
        <v>1</v>
      </c>
    </row>
    <row r="824" spans="1:28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  <c r="AB824">
        <f>COUNTIF(B:B,bron[[#This Row],[volledige naam]])</f>
        <v>2</v>
      </c>
    </row>
    <row r="825" spans="1:28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  <c r="AB825">
        <f>COUNTIF(B:B,bron[[#This Row],[volledige naam]])</f>
        <v>4</v>
      </c>
    </row>
    <row r="826" spans="1:28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  <c r="AB826">
        <f>COUNTIF(B:B,bron[[#This Row],[volledige naam]])</f>
        <v>3</v>
      </c>
    </row>
    <row r="827" spans="1:28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  <c r="AB827">
        <f>COUNTIF(B:B,bron[[#This Row],[volledige naam]])</f>
        <v>3</v>
      </c>
    </row>
    <row r="828" spans="1:28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  <c r="AB828">
        <f>COUNTIF(B:B,bron[[#This Row],[volledige naam]])</f>
        <v>1</v>
      </c>
    </row>
    <row r="829" spans="1:28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  <c r="AB829">
        <f>COUNTIF(B:B,bron[[#This Row],[volledige naam]])</f>
        <v>4</v>
      </c>
    </row>
    <row r="830" spans="1:28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  <c r="AB830">
        <f>COUNTIF(B:B,bron[[#This Row],[volledige naam]])</f>
        <v>2</v>
      </c>
    </row>
    <row r="831" spans="1:28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  <c r="AB831">
        <f>COUNTIF(B:B,bron[[#This Row],[volledige naam]])</f>
        <v>1</v>
      </c>
    </row>
    <row r="832" spans="1:28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  <c r="AB832">
        <f>COUNTIF(B:B,bron[[#This Row],[volledige naam]])</f>
        <v>3</v>
      </c>
    </row>
    <row r="833" spans="1:28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  <c r="AB833">
        <f>COUNTIF(B:B,bron[[#This Row],[volledige naam]])</f>
        <v>2</v>
      </c>
    </row>
    <row r="834" spans="1:28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  <c r="AB834">
        <f>COUNTIF(B:B,bron[[#This Row],[volledige naam]])</f>
        <v>2</v>
      </c>
    </row>
    <row r="835" spans="1:28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  <c r="AB835">
        <f>COUNTIF(B:B,bron[[#This Row],[volledige naam]])</f>
        <v>4</v>
      </c>
    </row>
    <row r="836" spans="1:28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  <c r="AB836">
        <f>COUNTIF(B:B,bron[[#This Row],[volledige naam]])</f>
        <v>6</v>
      </c>
    </row>
    <row r="837" spans="1:28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  <c r="AB837">
        <f>COUNTIF(B:B,bron[[#This Row],[volledige naam]])</f>
        <v>2</v>
      </c>
    </row>
    <row r="838" spans="1:28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  <c r="AB838">
        <f>COUNTIF(B:B,bron[[#This Row],[volledige naam]])</f>
        <v>5</v>
      </c>
    </row>
    <row r="839" spans="1:28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  <c r="AB839">
        <f>COUNTIF(B:B,bron[[#This Row],[volledige naam]])</f>
        <v>5</v>
      </c>
    </row>
    <row r="840" spans="1:28" hidden="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  <c r="AB840">
        <f>COUNTIF(B:B,bron[[#This Row],[volledige naam]])</f>
        <v>3</v>
      </c>
    </row>
    <row r="841" spans="1:28" hidden="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  <c r="AB841">
        <f>COUNTIF(B:B,bron[[#This Row],[volledige naam]])</f>
        <v>3</v>
      </c>
    </row>
    <row r="842" spans="1:28" hidden="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  <c r="AB842">
        <f>COUNTIF(B:B,bron[[#This Row],[volledige naam]])</f>
        <v>4</v>
      </c>
    </row>
    <row r="843" spans="1:28" hidden="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  <c r="AB843">
        <f>COUNTIF(B:B,bron[[#This Row],[volledige naam]])</f>
        <v>4</v>
      </c>
    </row>
    <row r="844" spans="1:28" hidden="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  <c r="AB844">
        <f>COUNTIF(B:B,bron[[#This Row],[volledige naam]])</f>
        <v>4</v>
      </c>
    </row>
    <row r="845" spans="1:28" hidden="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  <c r="AB845">
        <f>COUNTIF(B:B,bron[[#This Row],[volledige naam]])</f>
        <v>1</v>
      </c>
    </row>
    <row r="846" spans="1:28" hidden="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  <c r="AB846">
        <f>COUNTIF(B:B,bron[[#This Row],[volledige naam]])</f>
        <v>3</v>
      </c>
    </row>
    <row r="847" spans="1:28" hidden="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  <c r="AB847">
        <f>COUNTIF(B:B,bron[[#This Row],[volledige naam]])</f>
        <v>2</v>
      </c>
    </row>
    <row r="848" spans="1:28" hidden="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  <c r="AB848">
        <f>COUNTIF(B:B,bron[[#This Row],[volledige naam]])</f>
        <v>1</v>
      </c>
    </row>
    <row r="849" spans="1:28" hidden="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  <c r="AB849">
        <f>COUNTIF(B:B,bron[[#This Row],[volledige naam]])</f>
        <v>2</v>
      </c>
    </row>
    <row r="850" spans="1:28" hidden="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  <c r="AB850">
        <f>COUNTIF(B:B,bron[[#This Row],[volledige naam]])</f>
        <v>2</v>
      </c>
    </row>
    <row r="851" spans="1:28" hidden="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  <c r="AB851">
        <f>COUNTIF(B:B,bron[[#This Row],[volledige naam]])</f>
        <v>6</v>
      </c>
    </row>
    <row r="852" spans="1:28" hidden="1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  <c r="AB852">
        <f>COUNTIF(B:B,bron[[#This Row],[volledige naam]])</f>
        <v>2</v>
      </c>
    </row>
    <row r="853" spans="1:28" hidden="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  <c r="AB853">
        <f>COUNTIF(B:B,bron[[#This Row],[volledige naam]])</f>
        <v>1</v>
      </c>
    </row>
    <row r="854" spans="1:28" hidden="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  <c r="AB854">
        <f>COUNTIF(B:B,bron[[#This Row],[volledige naam]])</f>
        <v>6</v>
      </c>
    </row>
    <row r="855" spans="1:28" hidden="1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  <c r="AB855">
        <f>COUNTIF(B:B,bron[[#This Row],[volledige naam]])</f>
        <v>1</v>
      </c>
    </row>
    <row r="856" spans="1:28" hidden="1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  <c r="AB856">
        <f>COUNTIF(B:B,bron[[#This Row],[volledige naam]])</f>
        <v>1</v>
      </c>
    </row>
    <row r="857" spans="1:28" hidden="1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  <c r="AB857">
        <f>COUNTIF(B:B,bron[[#This Row],[volledige naam]])</f>
        <v>1</v>
      </c>
    </row>
    <row r="858" spans="1:28" hidden="1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  <c r="AB858">
        <f>COUNTIF(B:B,bron[[#This Row],[volledige naam]])</f>
        <v>1</v>
      </c>
    </row>
    <row r="859" spans="1:28" hidden="1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  <c r="AB859">
        <f>COUNTIF(B:B,bron[[#This Row],[volledige naam]])</f>
        <v>1</v>
      </c>
    </row>
    <row r="860" spans="1:28" hidden="1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  <c r="AB860">
        <f>COUNTIF(B:B,bron[[#This Row],[volledige naam]])</f>
        <v>2</v>
      </c>
    </row>
    <row r="861" spans="1:28" hidden="1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  <c r="AB861">
        <f>COUNTIF(B:B,bron[[#This Row],[volledige naam]])</f>
        <v>3</v>
      </c>
    </row>
    <row r="862" spans="1:28" hidden="1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  <c r="AB862">
        <f>COUNTIF(B:B,bron[[#This Row],[volledige naam]])</f>
        <v>4</v>
      </c>
    </row>
    <row r="863" spans="1:28" hidden="1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  <c r="AB863">
        <f>COUNTIF(B:B,bron[[#This Row],[volledige naam]])</f>
        <v>1</v>
      </c>
    </row>
    <row r="864" spans="1:28" hidden="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  <c r="AB864">
        <f>COUNTIF(B:B,bron[[#This Row],[volledige naam]])</f>
        <v>1</v>
      </c>
    </row>
    <row r="865" spans="1:28" hidden="1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  <c r="AB865">
        <f>COUNTIF(B:B,bron[[#This Row],[volledige naam]])</f>
        <v>2</v>
      </c>
    </row>
    <row r="866" spans="1:28" hidden="1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  <c r="AB866">
        <f>COUNTIF(B:B,bron[[#This Row],[volledige naam]])</f>
        <v>5</v>
      </c>
    </row>
    <row r="867" spans="1:28" hidden="1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  <c r="AB867">
        <f>COUNTIF(B:B,bron[[#This Row],[volledige naam]])</f>
        <v>5</v>
      </c>
    </row>
    <row r="868" spans="1:28" hidden="1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  <c r="AB868">
        <f>COUNTIF(B:B,bron[[#This Row],[volledige naam]])</f>
        <v>3</v>
      </c>
    </row>
    <row r="869" spans="1:28" hidden="1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  <c r="AB869">
        <f>COUNTIF(B:B,bron[[#This Row],[volledige naam]])</f>
        <v>2</v>
      </c>
    </row>
    <row r="870" spans="1:28" hidden="1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  <c r="AB870">
        <f>COUNTIF(B:B,bron[[#This Row],[volledige naam]])</f>
        <v>5</v>
      </c>
    </row>
    <row r="871" spans="1:28" hidden="1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  <c r="AB871">
        <f>COUNTIF(B:B,bron[[#This Row],[volledige naam]])</f>
        <v>6</v>
      </c>
    </row>
    <row r="872" spans="1:28" hidden="1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  <c r="AB872">
        <f>COUNTIF(B:B,bron[[#This Row],[volledige naam]])</f>
        <v>3</v>
      </c>
    </row>
    <row r="873" spans="1:28" hidden="1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  <c r="AB873">
        <f>COUNTIF(B:B,bron[[#This Row],[volledige naam]])</f>
        <v>1</v>
      </c>
    </row>
    <row r="874" spans="1:28" hidden="1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  <c r="AB874">
        <f>COUNTIF(B:B,bron[[#This Row],[volledige naam]])</f>
        <v>10</v>
      </c>
    </row>
    <row r="875" spans="1:28" hidden="1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  <c r="AB875">
        <f>COUNTIF(B:B,bron[[#This Row],[volledige naam]])</f>
        <v>2</v>
      </c>
    </row>
    <row r="876" spans="1:28" hidden="1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  <c r="AB876">
        <f>COUNTIF(B:B,bron[[#This Row],[volledige naam]])</f>
        <v>10</v>
      </c>
    </row>
    <row r="877" spans="1:28" hidden="1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  <c r="AB877">
        <f>COUNTIF(B:B,bron[[#This Row],[volledige naam]])</f>
        <v>7</v>
      </c>
    </row>
    <row r="878" spans="1:28" hidden="1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  <c r="AB878">
        <f>COUNTIF(B:B,bron[[#This Row],[volledige naam]])</f>
        <v>3</v>
      </c>
    </row>
    <row r="879" spans="1:28" hidden="1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  <c r="AB879">
        <f>COUNTIF(B:B,bron[[#This Row],[volledige naam]])</f>
        <v>2</v>
      </c>
    </row>
    <row r="880" spans="1:28" hidden="1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  <c r="AB880">
        <f>COUNTIF(B:B,bron[[#This Row],[volledige naam]])</f>
        <v>3</v>
      </c>
    </row>
    <row r="881" spans="1:28" hidden="1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  <c r="AB881">
        <f>COUNTIF(B:B,bron[[#This Row],[volledige naam]])</f>
        <v>2</v>
      </c>
    </row>
    <row r="882" spans="1:28" hidden="1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  <c r="AB882">
        <f>COUNTIF(B:B,bron[[#This Row],[volledige naam]])</f>
        <v>3</v>
      </c>
    </row>
    <row r="883" spans="1:28" hidden="1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  <c r="AB883">
        <f>COUNTIF(B:B,bron[[#This Row],[volledige naam]])</f>
        <v>3</v>
      </c>
    </row>
    <row r="884" spans="1:28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  <c r="AB884">
        <f>COUNTIF(B:B,bron[[#This Row],[volledige naam]])</f>
        <v>3</v>
      </c>
    </row>
    <row r="885" spans="1:28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  <c r="AB885">
        <f>COUNTIF(B:B,bron[[#This Row],[volledige naam]])</f>
        <v>2</v>
      </c>
    </row>
    <row r="886" spans="1:28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  <c r="AB886">
        <f>COUNTIF(B:B,bron[[#This Row],[volledige naam]])</f>
        <v>2</v>
      </c>
    </row>
    <row r="887" spans="1:28" hidden="1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  <c r="AB887">
        <f>COUNTIF(B:B,bron[[#This Row],[volledige naam]])</f>
        <v>1</v>
      </c>
    </row>
    <row r="888" spans="1:28" hidden="1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  <c r="AB888">
        <f>COUNTIF(B:B,bron[[#This Row],[volledige naam]])</f>
        <v>1</v>
      </c>
    </row>
    <row r="889" spans="1:28" hidden="1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  <c r="AB889">
        <f>COUNTIF(B:B,bron[[#This Row],[volledige naam]])</f>
        <v>3</v>
      </c>
    </row>
    <row r="890" spans="1:28" hidden="1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  <c r="AB890">
        <f>COUNTIF(B:B,bron[[#This Row],[volledige naam]])</f>
        <v>2</v>
      </c>
    </row>
    <row r="891" spans="1:28" hidden="1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  <c r="AB891">
        <f>COUNTIF(B:B,bron[[#This Row],[volledige naam]])</f>
        <v>3</v>
      </c>
    </row>
    <row r="892" spans="1:28" hidden="1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  <c r="AB892">
        <f>COUNTIF(B:B,bron[[#This Row],[volledige naam]])</f>
        <v>2</v>
      </c>
    </row>
    <row r="893" spans="1:28" hidden="1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  <c r="AB893">
        <f>COUNTIF(B:B,bron[[#This Row],[volledige naam]])</f>
        <v>1</v>
      </c>
    </row>
    <row r="894" spans="1:28" hidden="1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  <c r="AB894">
        <f>COUNTIF(B:B,bron[[#This Row],[volledige naam]])</f>
        <v>2</v>
      </c>
    </row>
    <row r="895" spans="1:28" hidden="1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  <c r="AB895">
        <f>COUNTIF(B:B,bron[[#This Row],[volledige naam]])</f>
        <v>3</v>
      </c>
    </row>
    <row r="896" spans="1:28" hidden="1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  <c r="AB896">
        <f>COUNTIF(B:B,bron[[#This Row],[volledige naam]])</f>
        <v>2</v>
      </c>
    </row>
    <row r="897" spans="1:28" hidden="1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  <c r="AB897">
        <f>COUNTIF(B:B,bron[[#This Row],[volledige naam]])</f>
        <v>2</v>
      </c>
    </row>
    <row r="898" spans="1:28" hidden="1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  <c r="AB898">
        <f>COUNTIF(B:B,bron[[#This Row],[volledige naam]])</f>
        <v>1</v>
      </c>
    </row>
    <row r="899" spans="1:28" hidden="1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  <c r="AB899">
        <f>COUNTIF(B:B,bron[[#This Row],[volledige naam]])</f>
        <v>1</v>
      </c>
    </row>
    <row r="900" spans="1:28" hidden="1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  <c r="AB900">
        <f>COUNTIF(B:B,bron[[#This Row],[volledige naam]])</f>
        <v>3</v>
      </c>
    </row>
    <row r="901" spans="1:28" hidden="1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  <c r="AB901">
        <f>COUNTIF(B:B,bron[[#This Row],[volledige naam]])</f>
        <v>2</v>
      </c>
    </row>
    <row r="902" spans="1:28" hidden="1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  <c r="AB902">
        <f>COUNTIF(B:B,bron[[#This Row],[volledige naam]])</f>
        <v>10</v>
      </c>
    </row>
    <row r="903" spans="1:28" hidden="1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  <c r="AB903">
        <f>COUNTIF(B:B,bron[[#This Row],[volledige naam]])</f>
        <v>9</v>
      </c>
    </row>
    <row r="904" spans="1:28" hidden="1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  <c r="AB904">
        <f>COUNTIF(B:B,bron[[#This Row],[volledige naam]])</f>
        <v>1</v>
      </c>
    </row>
    <row r="905" spans="1:28" hidden="1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  <c r="AB905">
        <f>COUNTIF(B:B,bron[[#This Row],[volledige naam]])</f>
        <v>2</v>
      </c>
    </row>
    <row r="906" spans="1:28" hidden="1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  <c r="AB906">
        <f>COUNTIF(B:B,bron[[#This Row],[volledige naam]])</f>
        <v>1</v>
      </c>
    </row>
    <row r="907" spans="1:28" hidden="1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  <c r="AB907">
        <f>COUNTIF(B:B,bron[[#This Row],[volledige naam]])</f>
        <v>3</v>
      </c>
    </row>
    <row r="908" spans="1:28" hidden="1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  <c r="AB908">
        <f>COUNTIF(B:B,bron[[#This Row],[volledige naam]])</f>
        <v>1</v>
      </c>
    </row>
    <row r="909" spans="1:28" hidden="1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  <c r="AB909">
        <f>COUNTIF(B:B,bron[[#This Row],[volledige naam]])</f>
        <v>3</v>
      </c>
    </row>
    <row r="910" spans="1:28" hidden="1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  <c r="AB910">
        <f>COUNTIF(B:B,bron[[#This Row],[volledige naam]])</f>
        <v>2</v>
      </c>
    </row>
    <row r="911" spans="1:28" hidden="1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  <c r="AB911">
        <f>COUNTIF(B:B,bron[[#This Row],[volledige naam]])</f>
        <v>1</v>
      </c>
    </row>
    <row r="912" spans="1:28" hidden="1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  <c r="AB912">
        <f>COUNTIF(B:B,bron[[#This Row],[volledige naam]])</f>
        <v>5</v>
      </c>
    </row>
    <row r="913" spans="1:28" hidden="1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  <c r="AB913">
        <f>COUNTIF(B:B,bron[[#This Row],[volledige naam]])</f>
        <v>5</v>
      </c>
    </row>
    <row r="914" spans="1:28" hidden="1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  <c r="AB914">
        <f>COUNTIF(B:B,bron[[#This Row],[volledige naam]])</f>
        <v>1</v>
      </c>
    </row>
    <row r="915" spans="1:28" hidden="1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  <c r="AB915">
        <f>COUNTIF(B:B,bron[[#This Row],[volledige naam]])</f>
        <v>1</v>
      </c>
    </row>
    <row r="916" spans="1:28" hidden="1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  <c r="AB916">
        <f>COUNTIF(B:B,bron[[#This Row],[volledige naam]])</f>
        <v>3</v>
      </c>
    </row>
    <row r="917" spans="1:28" hidden="1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  <c r="AB917">
        <f>COUNTIF(B:B,bron[[#This Row],[volledige naam]])</f>
        <v>4</v>
      </c>
    </row>
    <row r="918" spans="1:28" hidden="1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  <c r="AB918">
        <f>COUNTIF(B:B,bron[[#This Row],[volledige naam]])</f>
        <v>2</v>
      </c>
    </row>
    <row r="919" spans="1:28" hidden="1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  <c r="AB919">
        <f>COUNTIF(B:B,bron[[#This Row],[volledige naam]])</f>
        <v>10</v>
      </c>
    </row>
    <row r="920" spans="1:28" hidden="1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  <c r="AB920">
        <f>COUNTIF(B:B,bron[[#This Row],[volledige naam]])</f>
        <v>6</v>
      </c>
    </row>
    <row r="921" spans="1:28" hidden="1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  <c r="AB921">
        <f>COUNTIF(B:B,bron[[#This Row],[volledige naam]])</f>
        <v>4</v>
      </c>
    </row>
    <row r="922" spans="1:28" hidden="1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  <c r="AB922">
        <f>COUNTIF(B:B,bron[[#This Row],[volledige naam]])</f>
        <v>6</v>
      </c>
    </row>
    <row r="923" spans="1:28" hidden="1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  <c r="AB923">
        <f>COUNTIF(B:B,bron[[#This Row],[volledige naam]])</f>
        <v>3</v>
      </c>
    </row>
    <row r="924" spans="1:28" hidden="1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  <c r="AB924">
        <f>COUNTIF(B:B,bron[[#This Row],[volledige naam]])</f>
        <v>1</v>
      </c>
    </row>
    <row r="925" spans="1:28" hidden="1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  <c r="AB925">
        <f>COUNTIF(B:B,bron[[#This Row],[volledige naam]])</f>
        <v>1</v>
      </c>
    </row>
    <row r="926" spans="1:28" hidden="1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  <c r="AB926">
        <f>COUNTIF(B:B,bron[[#This Row],[volledige naam]])</f>
        <v>3</v>
      </c>
    </row>
    <row r="927" spans="1:28" hidden="1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  <c r="AB927">
        <f>COUNTIF(B:B,bron[[#This Row],[volledige naam]])</f>
        <v>2</v>
      </c>
    </row>
    <row r="928" spans="1:28" hidden="1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  <c r="AB928">
        <f>COUNTIF(B:B,bron[[#This Row],[volledige naam]])</f>
        <v>4</v>
      </c>
    </row>
    <row r="929" spans="1:28" hidden="1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  <c r="AB929">
        <f>COUNTIF(B:B,bron[[#This Row],[volledige naam]])</f>
        <v>3</v>
      </c>
    </row>
    <row r="930" spans="1:28" hidden="1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  <c r="AB930">
        <f>COUNTIF(B:B,bron[[#This Row],[volledige naam]])</f>
        <v>4</v>
      </c>
    </row>
    <row r="931" spans="1:28" hidden="1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  <c r="AB931">
        <f>COUNTIF(B:B,bron[[#This Row],[volledige naam]])</f>
        <v>4</v>
      </c>
    </row>
    <row r="932" spans="1:28" hidden="1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  <c r="AB932">
        <f>COUNTIF(B:B,bron[[#This Row],[volledige naam]])</f>
        <v>2</v>
      </c>
    </row>
    <row r="933" spans="1:28" hidden="1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  <c r="AB933">
        <f>COUNTIF(B:B,bron[[#This Row],[volledige naam]])</f>
        <v>1</v>
      </c>
    </row>
    <row r="934" spans="1:28" hidden="1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  <c r="AB934">
        <f>COUNTIF(B:B,bron[[#This Row],[volledige naam]])</f>
        <v>2</v>
      </c>
    </row>
    <row r="935" spans="1:28" hidden="1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  <c r="AB935">
        <f>COUNTIF(B:B,bron[[#This Row],[volledige naam]])</f>
        <v>1</v>
      </c>
    </row>
    <row r="936" spans="1:28" hidden="1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  <c r="AB936">
        <f>COUNTIF(B:B,bron[[#This Row],[volledige naam]])</f>
        <v>6</v>
      </c>
    </row>
    <row r="937" spans="1:28" hidden="1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  <c r="AB937">
        <f>COUNTIF(B:B,bron[[#This Row],[volledige naam]])</f>
        <v>4</v>
      </c>
    </row>
    <row r="938" spans="1:28" hidden="1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  <c r="AB938">
        <f>COUNTIF(B:B,bron[[#This Row],[volledige naam]])</f>
        <v>4</v>
      </c>
    </row>
    <row r="939" spans="1:28" hidden="1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  <c r="AB939">
        <f>COUNTIF(B:B,bron[[#This Row],[volledige naam]])</f>
        <v>1</v>
      </c>
    </row>
    <row r="940" spans="1:28" hidden="1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  <c r="AB940">
        <f>COUNTIF(B:B,bron[[#This Row],[volledige naam]])</f>
        <v>3</v>
      </c>
    </row>
    <row r="941" spans="1:28" hidden="1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  <c r="AB941">
        <f>COUNTIF(B:B,bron[[#This Row],[volledige naam]])</f>
        <v>1</v>
      </c>
    </row>
    <row r="942" spans="1:28" hidden="1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  <c r="AB942">
        <f>COUNTIF(B:B,bron[[#This Row],[volledige naam]])</f>
        <v>4</v>
      </c>
    </row>
    <row r="943" spans="1:28" hidden="1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  <c r="AB943">
        <f>COUNTIF(B:B,bron[[#This Row],[volledige naam]])</f>
        <v>1</v>
      </c>
    </row>
    <row r="944" spans="1:28" hidden="1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  <c r="AB944">
        <f>COUNTIF(B:B,bron[[#This Row],[volledige naam]])</f>
        <v>7</v>
      </c>
    </row>
    <row r="945" spans="1:28" hidden="1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  <c r="AB945">
        <f>COUNTIF(B:B,bron[[#This Row],[volledige naam]])</f>
        <v>2</v>
      </c>
    </row>
    <row r="946" spans="1:28" hidden="1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  <c r="AB946">
        <f>COUNTIF(B:B,bron[[#This Row],[volledige naam]])</f>
        <v>7</v>
      </c>
    </row>
    <row r="947" spans="1:28" hidden="1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  <c r="AB947">
        <f>COUNTIF(B:B,bron[[#This Row],[volledige naam]])</f>
        <v>3</v>
      </c>
    </row>
    <row r="948" spans="1:28" hidden="1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  <c r="AB948">
        <f>COUNTIF(B:B,bron[[#This Row],[volledige naam]])</f>
        <v>3</v>
      </c>
    </row>
    <row r="949" spans="1:28" hidden="1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  <c r="AB949">
        <f>COUNTIF(B:B,bron[[#This Row],[volledige naam]])</f>
        <v>1</v>
      </c>
    </row>
    <row r="950" spans="1:28" hidden="1" x14ac:dyDescent="0.25">
      <c r="A950">
        <v>36021</v>
      </c>
      <c r="B950" t="str">
        <f>_xlfn.CONCAT(bron[[#This Row],[personeelsnr]]," ",bron[[#This Row],[achternaam]]," ",bron[[#This Row],[voornaam]])</f>
        <v>36021 Boelaert Frederik</v>
      </c>
      <c r="C950" t="str">
        <f>VLOOKUP(bron[[#This Row],[personeelsnr]],'data hastus'!$A:$C,2,0)</f>
        <v>Boelaert</v>
      </c>
      <c r="D950" t="str">
        <f>VLOOKUP(bron[[#This Row],[personeelsnr]],'data hastus'!$A:$C,3,0)</f>
        <v>Frederik</v>
      </c>
      <c r="E950" s="2" t="str">
        <f>VLOOKUP(bron[[#This Row],[personeelsnr]],'data hastus'!A:K,11,FALSE)</f>
        <v>Lucie Vande Velde</v>
      </c>
      <c r="F950" s="10"/>
      <c r="G950" s="39"/>
      <c r="H950" s="39"/>
      <c r="I950" s="39"/>
      <c r="S950" s="44">
        <f>SUM(bron[[#This Row],[Januari]:[December]])</f>
        <v>0</v>
      </c>
      <c r="T950" s="41">
        <v>45968</v>
      </c>
      <c r="U950" s="5" t="s">
        <v>3814</v>
      </c>
      <c r="V950" s="37"/>
      <c r="W950" s="37"/>
      <c r="X950" t="s">
        <v>3513</v>
      </c>
      <c r="Y950" t="s">
        <v>663</v>
      </c>
      <c r="Z950" s="2">
        <v>5042</v>
      </c>
      <c r="AA950" s="43" t="s">
        <v>3558</v>
      </c>
      <c r="AB950">
        <f>COUNTIF(B:B,bron[[#This Row],[volledige naam]])</f>
        <v>2</v>
      </c>
    </row>
    <row r="951" spans="1:28" hidden="1" x14ac:dyDescent="0.25">
      <c r="A951">
        <v>29746</v>
      </c>
      <c r="B951" t="str">
        <f>_xlfn.CONCAT(bron[[#This Row],[personeelsnr]]," ",bron[[#This Row],[achternaam]]," ",bron[[#This Row],[voornaam]])</f>
        <v>29746 Huyse Annicke</v>
      </c>
      <c r="C951" t="str">
        <f>VLOOKUP(bron[[#This Row],[personeelsnr]],'data hastus'!$A:$C,2,0)</f>
        <v>Huyse</v>
      </c>
      <c r="D951" t="str">
        <f>VLOOKUP(bron[[#This Row],[personeelsnr]],'data hastus'!$A:$C,3,0)</f>
        <v>Annicke</v>
      </c>
      <c r="E951" s="2" t="str">
        <f>VLOOKUP(bron[[#This Row],[personeelsnr]],'data hastus'!A:K,11,FALSE)</f>
        <v>Bart Van Der Beken</v>
      </c>
      <c r="F951" s="10"/>
      <c r="G951" s="39"/>
      <c r="H951" s="39"/>
      <c r="I951" s="39"/>
      <c r="S951" s="44">
        <f>SUM(bron[[#This Row],[Januari]:[December]])</f>
        <v>0</v>
      </c>
      <c r="T951" s="41">
        <v>45971</v>
      </c>
      <c r="U951" s="5" t="s">
        <v>3794</v>
      </c>
      <c r="V951" s="37"/>
      <c r="W951" s="37"/>
      <c r="X951" t="s">
        <v>3548</v>
      </c>
      <c r="Y951" t="s">
        <v>40</v>
      </c>
      <c r="Z951" s="2">
        <v>6358</v>
      </c>
      <c r="AA951" s="43" t="s">
        <v>3559</v>
      </c>
      <c r="AB951">
        <f>COUNTIF(B:B,bron[[#This Row],[volledige naam]])</f>
        <v>3</v>
      </c>
    </row>
    <row r="952" spans="1:28" hidden="1" x14ac:dyDescent="0.25">
      <c r="A952">
        <v>40138</v>
      </c>
      <c r="B952" t="str">
        <f>_xlfn.CONCAT(bron[[#This Row],[personeelsnr]]," ",bron[[#This Row],[achternaam]]," ",bron[[#This Row],[voornaam]])</f>
        <v>40138 Moerman Tjimmy</v>
      </c>
      <c r="C952" t="str">
        <f>VLOOKUP(bron[[#This Row],[personeelsnr]],'data hastus'!$A:$C,2,0)</f>
        <v>Moerman</v>
      </c>
      <c r="D952" t="str">
        <f>VLOOKUP(bron[[#This Row],[personeelsnr]],'data hastus'!$A:$C,3,0)</f>
        <v>Tjimmy</v>
      </c>
      <c r="E952" s="2" t="str">
        <f>VLOOKUP(bron[[#This Row],[personeelsnr]],'data hastus'!A:K,11,FALSE)</f>
        <v>Christoff Rotty</v>
      </c>
      <c r="F952" s="10"/>
      <c r="G952" s="39"/>
      <c r="H952" s="39"/>
      <c r="I952" s="39"/>
      <c r="S952" s="44">
        <f>SUM(bron[[#This Row],[Januari]:[December]])</f>
        <v>0</v>
      </c>
      <c r="T952" s="41">
        <v>45972</v>
      </c>
      <c r="U952" s="5" t="s">
        <v>3793</v>
      </c>
      <c r="V952" s="37"/>
      <c r="W952" s="37"/>
      <c r="X952" t="s">
        <v>3513</v>
      </c>
      <c r="Y952" t="s">
        <v>117</v>
      </c>
      <c r="Z952" s="2">
        <v>5045</v>
      </c>
      <c r="AA952" s="43" t="s">
        <v>3558</v>
      </c>
      <c r="AB952">
        <f>COUNTIF(B:B,bron[[#This Row],[volledige naam]])</f>
        <v>10</v>
      </c>
    </row>
    <row r="953" spans="1:28" hidden="1" x14ac:dyDescent="0.25">
      <c r="A953">
        <v>32620</v>
      </c>
      <c r="B953" t="str">
        <f>_xlfn.CONCAT(bron[[#This Row],[personeelsnr]]," ",bron[[#This Row],[achternaam]]," ",bron[[#This Row],[voornaam]])</f>
        <v>32620 Saey Elias</v>
      </c>
      <c r="C953" t="str">
        <f>VLOOKUP(bron[[#This Row],[personeelsnr]],'data hastus'!$A:$C,2,0)</f>
        <v>Saey</v>
      </c>
      <c r="D953" t="str">
        <f>VLOOKUP(bron[[#This Row],[personeelsnr]],'data hastus'!$A:$C,3,0)</f>
        <v>Elias</v>
      </c>
      <c r="E953" s="2" t="str">
        <f>VLOOKUP(bron[[#This Row],[personeelsnr]],'data hastus'!A:K,11,FALSE)</f>
        <v>Els Vanhoe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3769</v>
      </c>
      <c r="V953" s="37"/>
      <c r="W953" s="37"/>
      <c r="X953" t="s">
        <v>3513</v>
      </c>
      <c r="Y953" t="s">
        <v>3770</v>
      </c>
      <c r="Z953" s="2">
        <v>5047</v>
      </c>
      <c r="AA953" s="43" t="s">
        <v>3559</v>
      </c>
      <c r="AB953">
        <f>COUNTIF(B:B,bron[[#This Row],[volledige naam]])</f>
        <v>3</v>
      </c>
    </row>
    <row r="954" spans="1:28" hidden="1" x14ac:dyDescent="0.25">
      <c r="A954">
        <v>13089</v>
      </c>
      <c r="B954" t="str">
        <f>_xlfn.CONCAT(bron[[#This Row],[personeelsnr]]," ",bron[[#This Row],[achternaam]]," ",bron[[#This Row],[voornaam]])</f>
        <v>13089 Oosterlinck Jan</v>
      </c>
      <c r="C954" t="str">
        <f>VLOOKUP(bron[[#This Row],[personeelsnr]],'data hastus'!$A:$C,2,0)</f>
        <v>Oosterlinck</v>
      </c>
      <c r="D954" t="str">
        <f>VLOOKUP(bron[[#This Row],[personeelsnr]],'data hastus'!$A:$C,3,0)</f>
        <v>Jan</v>
      </c>
      <c r="E954" s="2" t="str">
        <f>VLOOKUP(bron[[#This Row],[personeelsnr]],'data hastus'!A:K,11,FALSE)</f>
        <v>Christoff Rotty</v>
      </c>
      <c r="F954" s="10"/>
      <c r="G954" s="39"/>
      <c r="H954" s="39"/>
      <c r="I954" s="39"/>
      <c r="S954" s="44">
        <f>SUM(bron[[#This Row],[Januari]:[December]])</f>
        <v>0</v>
      </c>
      <c r="T954" s="41">
        <v>45973</v>
      </c>
      <c r="U954" s="5" t="s">
        <v>3800</v>
      </c>
      <c r="V954" s="37"/>
      <c r="W954" s="37"/>
      <c r="X954" t="s">
        <v>3512</v>
      </c>
      <c r="Y954" t="s">
        <v>48</v>
      </c>
      <c r="Z954" s="2">
        <v>5929</v>
      </c>
      <c r="AA954" s="43" t="s">
        <v>3559</v>
      </c>
      <c r="AB954">
        <f>COUNTIF(B:B,bron[[#This Row],[volledige naam]])</f>
        <v>1</v>
      </c>
    </row>
    <row r="955" spans="1:28" hidden="1" x14ac:dyDescent="0.25">
      <c r="A955">
        <v>40403</v>
      </c>
      <c r="B955" t="str">
        <f>_xlfn.CONCAT(bron[[#This Row],[personeelsnr]]," ",bron[[#This Row],[achternaam]]," ",bron[[#This Row],[voornaam]])</f>
        <v>40403 Prové Michaël</v>
      </c>
      <c r="C955" t="str">
        <f>VLOOKUP(bron[[#This Row],[personeelsnr]],'data hastus'!$A:$C,2,0)</f>
        <v>Prové</v>
      </c>
      <c r="D955" t="str">
        <f>VLOOKUP(bron[[#This Row],[personeelsnr]],'data hastus'!$A:$C,3,0)</f>
        <v>Michaël</v>
      </c>
      <c r="E955" s="2" t="str">
        <f>VLOOKUP(bron[[#This Row],[personeelsnr]],'data hastus'!A:K,11,FALSE)</f>
        <v>Dominique De Clercq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3795</v>
      </c>
      <c r="V955" s="37"/>
      <c r="W955" s="37"/>
      <c r="X955" t="s">
        <v>3513</v>
      </c>
      <c r="Y955" t="s">
        <v>106</v>
      </c>
      <c r="Z955" s="2">
        <v>5233</v>
      </c>
      <c r="AA955" s="43" t="s">
        <v>3558</v>
      </c>
      <c r="AB955">
        <f>COUNTIF(B:B,bron[[#This Row],[volledige naam]])</f>
        <v>3</v>
      </c>
    </row>
    <row r="956" spans="1:28" hidden="1" x14ac:dyDescent="0.25">
      <c r="A956">
        <v>42249</v>
      </c>
      <c r="B956" t="str">
        <f>_xlfn.CONCAT(bron[[#This Row],[personeelsnr]]," ",bron[[#This Row],[achternaam]]," ",bron[[#This Row],[voornaam]])</f>
        <v>42249 Bontinck Stephan</v>
      </c>
      <c r="C956" t="str">
        <f>VLOOKUP(bron[[#This Row],[personeelsnr]],'data hastus'!$A:$C,2,0)</f>
        <v>Bontinck</v>
      </c>
      <c r="D956" t="str">
        <f>VLOOKUP(bron[[#This Row],[personeelsnr]],'data hastus'!$A:$C,3,0)</f>
        <v>Stephan</v>
      </c>
      <c r="E956" s="2" t="str">
        <f>VLOOKUP(bron[[#This Row],[personeelsnr]],'data hastus'!A:K,11,FALSE)</f>
        <v>Kenneth De Rick</v>
      </c>
      <c r="F956" s="10"/>
      <c r="G956" s="39"/>
      <c r="H956" s="39"/>
      <c r="I956" s="39"/>
      <c r="S956" s="44">
        <f>SUM(bron[[#This Row],[Januari]:[December]])</f>
        <v>0</v>
      </c>
      <c r="T956" s="41">
        <v>45974</v>
      </c>
      <c r="U956" s="5" t="s">
        <v>3797</v>
      </c>
      <c r="V956" s="37"/>
      <c r="W956" s="37"/>
      <c r="X956" t="s">
        <v>3513</v>
      </c>
      <c r="Y956" t="s">
        <v>3798</v>
      </c>
      <c r="Z956" s="2" t="s">
        <v>3799</v>
      </c>
      <c r="AA956" s="43" t="s">
        <v>3631</v>
      </c>
      <c r="AB956">
        <f>COUNTIF(B:B,bron[[#This Row],[volledige naam]])</f>
        <v>1</v>
      </c>
    </row>
    <row r="957" spans="1:28" hidden="1" x14ac:dyDescent="0.25">
      <c r="A957">
        <v>36438</v>
      </c>
      <c r="B957" t="str">
        <f>_xlfn.CONCAT(bron[[#This Row],[personeelsnr]]," ",bron[[#This Row],[achternaam]]," ",bron[[#This Row],[voornaam]])</f>
        <v>36438 Agil Birol</v>
      </c>
      <c r="C957" t="str">
        <f>VLOOKUP(bron[[#This Row],[personeelsnr]],'data hastus'!$A:$C,2,0)</f>
        <v>Agil</v>
      </c>
      <c r="D957" t="str">
        <f>VLOOKUP(bron[[#This Row],[personeelsnr]],'data hastus'!$A:$C,3,0)</f>
        <v>Birol</v>
      </c>
      <c r="E957" s="2" t="str">
        <f>VLOOKUP(bron[[#This Row],[personeelsnr]],'data hastus'!A:K,11,FALSE)</f>
        <v>Bart Van Der Beken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3801</v>
      </c>
      <c r="V957" s="37"/>
      <c r="W957" s="37"/>
      <c r="X957" t="s">
        <v>3512</v>
      </c>
      <c r="Y957" t="s">
        <v>88</v>
      </c>
      <c r="Z957" s="2">
        <v>5969</v>
      </c>
      <c r="AA957" s="43" t="s">
        <v>3558</v>
      </c>
      <c r="AB957">
        <f>COUNTIF(B:B,bron[[#This Row],[volledige naam]])</f>
        <v>3</v>
      </c>
    </row>
    <row r="958" spans="1:28" hidden="1" x14ac:dyDescent="0.25">
      <c r="A958">
        <v>42145</v>
      </c>
      <c r="B958" t="str">
        <f>_xlfn.CONCAT(bron[[#This Row],[personeelsnr]]," ",bron[[#This Row],[achternaam]]," ",bron[[#This Row],[voornaam]])</f>
        <v>42145 Gys Shayya</v>
      </c>
      <c r="C958" t="str">
        <f>VLOOKUP(bron[[#This Row],[personeelsnr]],'data hastus'!$A:$C,2,0)</f>
        <v>Gys</v>
      </c>
      <c r="D958" t="str">
        <f>VLOOKUP(bron[[#This Row],[personeelsnr]],'data hastus'!$A:$C,3,0)</f>
        <v>Shayya</v>
      </c>
      <c r="E958" s="2" t="str">
        <f>VLOOKUP(bron[[#This Row],[personeelsnr]],'data hastus'!A:K,11,FALSE)</f>
        <v>Steven Storm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3803</v>
      </c>
      <c r="V958" s="37"/>
      <c r="W958" s="37"/>
      <c r="X958" t="s">
        <v>3512</v>
      </c>
      <c r="Y958" t="s">
        <v>78</v>
      </c>
      <c r="Z958" s="2">
        <v>550310</v>
      </c>
      <c r="AA958" s="43" t="s">
        <v>3558</v>
      </c>
      <c r="AB958">
        <f>COUNTIF(B:B,bron[[#This Row],[volledige naam]])</f>
        <v>2</v>
      </c>
    </row>
    <row r="959" spans="1:28" hidden="1" x14ac:dyDescent="0.25">
      <c r="A959">
        <v>31118</v>
      </c>
      <c r="B959" t="str">
        <f>_xlfn.CONCAT(bron[[#This Row],[personeelsnr]]," ",bron[[#This Row],[achternaam]]," ",bron[[#This Row],[voornaam]])</f>
        <v>31118 De Sutter Michiel</v>
      </c>
      <c r="C959" t="str">
        <f>VLOOKUP(bron[[#This Row],[personeelsnr]],'data hastus'!$A:$C,2,0)</f>
        <v>De Sutter</v>
      </c>
      <c r="D959" t="str">
        <f>VLOOKUP(bron[[#This Row],[personeelsnr]],'data hastus'!$A:$C,3,0)</f>
        <v>Michiel</v>
      </c>
      <c r="E959" s="2" t="str">
        <f>VLOOKUP(bron[[#This Row],[personeelsnr]],'data hastus'!A:K,11,FALSE)</f>
        <v>Els Dewulf</v>
      </c>
      <c r="F959" s="10"/>
      <c r="G959" s="39"/>
      <c r="H959" s="39"/>
      <c r="I959" s="39"/>
      <c r="S959" s="44">
        <f>SUM(bron[[#This Row],[Januari]:[December]])</f>
        <v>0</v>
      </c>
      <c r="T959" s="41">
        <v>45975</v>
      </c>
      <c r="U959" s="5" t="s">
        <v>3804</v>
      </c>
      <c r="V959" s="37"/>
      <c r="W959" s="37"/>
      <c r="X959" t="s">
        <v>3512</v>
      </c>
      <c r="Y959" t="s">
        <v>3805</v>
      </c>
      <c r="Z959" s="2">
        <v>5794</v>
      </c>
      <c r="AA959" s="43" t="s">
        <v>3558</v>
      </c>
      <c r="AB959">
        <f>COUNTIF(B:B,bron[[#This Row],[volledige naam]])</f>
        <v>2</v>
      </c>
    </row>
    <row r="960" spans="1:28" hidden="1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  <c r="AB960">
        <f>COUNTIF(B:B,bron[[#This Row],[volledige naam]])</f>
        <v>4</v>
      </c>
    </row>
    <row r="961" spans="1:28" hidden="1" x14ac:dyDescent="0.25">
      <c r="A961">
        <v>26524</v>
      </c>
      <c r="B961" t="str">
        <f>_xlfn.CONCAT(bron[[#This Row],[personeelsnr]]," ",bron[[#This Row],[achternaam]]," ",bron[[#This Row],[voornaam]])</f>
        <v>26524 Bolle Cynthia</v>
      </c>
      <c r="C961" t="str">
        <f>VLOOKUP(bron[[#This Row],[personeelsnr]],'data hastus'!$A:$C,2,0)</f>
        <v>Bolle</v>
      </c>
      <c r="D961" t="str">
        <f>VLOOKUP(bron[[#This Row],[personeelsnr]],'data hastus'!$A:$C,3,0)</f>
        <v>Cynthia</v>
      </c>
      <c r="E961" s="2" t="str">
        <f>VLOOKUP(bron[[#This Row],[personeelsnr]],'data hastus'!A:K,11,FALSE)</f>
        <v>Els Vanhoe</v>
      </c>
      <c r="F961" s="10"/>
      <c r="G961" s="39"/>
      <c r="H961" s="39"/>
      <c r="I961" s="39"/>
      <c r="S961" s="44">
        <f>SUM(bron[[#This Row],[Januari]:[December]])</f>
        <v>0</v>
      </c>
      <c r="T961" s="41">
        <v>45975</v>
      </c>
      <c r="U961" s="5" t="s">
        <v>3809</v>
      </c>
      <c r="V961" s="37"/>
      <c r="W961" s="37"/>
      <c r="X961" t="s">
        <v>3548</v>
      </c>
      <c r="Y961" t="s">
        <v>72</v>
      </c>
      <c r="Z961" s="2">
        <v>6362</v>
      </c>
      <c r="AA961" s="43" t="s">
        <v>3558</v>
      </c>
      <c r="AB961">
        <f>COUNTIF(B:B,bron[[#This Row],[volledige naam]])</f>
        <v>1</v>
      </c>
    </row>
    <row r="962" spans="1:28" hidden="1" x14ac:dyDescent="0.25">
      <c r="A962">
        <v>39901</v>
      </c>
      <c r="B962" t="str">
        <f>_xlfn.CONCAT(bron[[#This Row],[personeelsnr]]," ",bron[[#This Row],[achternaam]]," ",bron[[#This Row],[voornaam]])</f>
        <v>39901 Basha Izmir</v>
      </c>
      <c r="C962" t="str">
        <f>VLOOKUP(bron[[#This Row],[personeelsnr]],'data hastus'!$A:$C,2,0)</f>
        <v>Basha</v>
      </c>
      <c r="D962" t="str">
        <f>VLOOKUP(bron[[#This Row],[personeelsnr]],'data hastus'!$A:$C,3,0)</f>
        <v>Izmir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45975</v>
      </c>
      <c r="U962" s="8" t="s">
        <v>3815</v>
      </c>
      <c r="V962" s="37"/>
      <c r="W962" s="37"/>
      <c r="X962" t="s">
        <v>3513</v>
      </c>
      <c r="Y962" t="s">
        <v>669</v>
      </c>
      <c r="Z962" s="2">
        <v>5043</v>
      </c>
      <c r="AA962" s="43" t="s">
        <v>3559</v>
      </c>
      <c r="AB962">
        <f>COUNTIF(B:B,bron[[#This Row],[volledige naam]])</f>
        <v>1</v>
      </c>
    </row>
    <row r="963" spans="1:28" hidden="1" x14ac:dyDescent="0.25">
      <c r="A963">
        <v>36505</v>
      </c>
      <c r="B963" t="str">
        <f>_xlfn.CONCAT(bron[[#This Row],[personeelsnr]]," ",bron[[#This Row],[achternaam]]," ",bron[[#This Row],[voornaam]])</f>
        <v>36505 De Lange Ruben</v>
      </c>
      <c r="C963" t="str">
        <f>VLOOKUP(bron[[#This Row],[personeelsnr]],'data hastus'!$A:$C,2,0)</f>
        <v>De Lange</v>
      </c>
      <c r="D963" t="str">
        <f>VLOOKUP(bron[[#This Row],[personeelsnr]],'data hastus'!$A:$C,3,0)</f>
        <v>Ruben</v>
      </c>
      <c r="E963" s="2" t="str">
        <f>VLOOKUP(bron[[#This Row],[personeelsnr]],'data hastus'!A:K,11,FALSE)</f>
        <v>Kenneth De Rick</v>
      </c>
      <c r="F963" s="10"/>
      <c r="G963" s="39"/>
      <c r="H963" s="39"/>
      <c r="I963" s="39"/>
      <c r="S963" s="44">
        <f>SUM(bron[[#This Row],[Januari]:[December]])</f>
        <v>0</v>
      </c>
      <c r="T963" s="41">
        <v>45976</v>
      </c>
      <c r="U963" s="5" t="s">
        <v>3802</v>
      </c>
      <c r="V963" s="37"/>
      <c r="W963" s="37"/>
      <c r="X963" t="s">
        <v>3548</v>
      </c>
      <c r="Y963" t="s">
        <v>666</v>
      </c>
      <c r="Z963" s="2">
        <v>6359</v>
      </c>
      <c r="AA963" s="43" t="s">
        <v>3558</v>
      </c>
      <c r="AB963">
        <f>COUNTIF(B:B,bron[[#This Row],[volledige naam]])</f>
        <v>1</v>
      </c>
    </row>
    <row r="964" spans="1:28" hidden="1" x14ac:dyDescent="0.25">
      <c r="A964">
        <v>38807</v>
      </c>
      <c r="B964" t="str">
        <f>_xlfn.CONCAT(bron[[#This Row],[personeelsnr]]," ",bron[[#This Row],[achternaam]]," ",bron[[#This Row],[voornaam]])</f>
        <v>38807 Dossche Caroline</v>
      </c>
      <c r="C964" t="str">
        <f>VLOOKUP(bron[[#This Row],[personeelsnr]],'data hastus'!$A:$C,2,0)</f>
        <v>Dossche</v>
      </c>
      <c r="D964" t="str">
        <f>VLOOKUP(bron[[#This Row],[personeelsnr]],'data hastus'!$A:$C,3,0)</f>
        <v>Caroline</v>
      </c>
      <c r="E964" s="2" t="str">
        <f>VLOOKUP(bron[[#This Row],[personeelsnr]],'data hastus'!A:K,11,FALSE)</f>
        <v>Christoff Rotty</v>
      </c>
      <c r="F964" s="10"/>
      <c r="G964" s="39"/>
      <c r="H964" s="39"/>
      <c r="I964" s="39"/>
      <c r="S964" s="44">
        <f>SUM(bron[[#This Row],[Januari]:[December]])</f>
        <v>0</v>
      </c>
      <c r="T964" s="41">
        <v>45976</v>
      </c>
      <c r="U964" s="5" t="s">
        <v>3818</v>
      </c>
      <c r="V964" s="37"/>
      <c r="W964" s="37"/>
      <c r="X964" t="s">
        <v>3512</v>
      </c>
      <c r="Y964" t="s">
        <v>84</v>
      </c>
      <c r="Z964" s="2">
        <v>550822</v>
      </c>
      <c r="AA964" s="43" t="s">
        <v>3558</v>
      </c>
      <c r="AB964">
        <f>COUNTIF(B:B,bron[[#This Row],[volledige naam]])</f>
        <v>4</v>
      </c>
    </row>
    <row r="965" spans="1:28" hidden="1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  <c r="AB965">
        <f>COUNTIF(B:B,bron[[#This Row],[volledige naam]])</f>
        <v>3</v>
      </c>
    </row>
    <row r="966" spans="1:28" hidden="1" x14ac:dyDescent="0.25">
      <c r="A966">
        <v>38529</v>
      </c>
      <c r="B966" t="str">
        <f>_xlfn.CONCAT(bron[[#This Row],[personeelsnr]]," ",bron[[#This Row],[achternaam]]," ",bron[[#This Row],[voornaam]])</f>
        <v>38529 Huyghe Jan</v>
      </c>
      <c r="C966" t="str">
        <f>VLOOKUP(bron[[#This Row],[personeelsnr]],'data hastus'!$A:$C,2,0)</f>
        <v>Huyghe</v>
      </c>
      <c r="D966" t="str">
        <f>VLOOKUP(bron[[#This Row],[personeelsnr]],'data hastus'!$A:$C,3,0)</f>
        <v>Jan</v>
      </c>
      <c r="E966" s="2" t="str">
        <f>VLOOKUP(bron[[#This Row],[personeelsnr]],'data hastus'!A:K,11,FALSE)</f>
        <v>Els Dewulf</v>
      </c>
      <c r="F966" s="10"/>
      <c r="G966" s="39"/>
      <c r="H966" s="39"/>
      <c r="I966" s="39"/>
      <c r="S966" s="44">
        <f>SUM(bron[[#This Row],[Januari]:[December]])</f>
        <v>0</v>
      </c>
      <c r="T966" s="41">
        <v>45979</v>
      </c>
      <c r="U966" s="5" t="s">
        <v>3807</v>
      </c>
      <c r="V966" s="37"/>
      <c r="W966" s="37"/>
      <c r="X966" t="s">
        <v>3512</v>
      </c>
      <c r="Y966" t="s">
        <v>28</v>
      </c>
      <c r="Z966" s="2">
        <v>5932</v>
      </c>
      <c r="AA966" s="43" t="s">
        <v>3559</v>
      </c>
      <c r="AB966">
        <f>COUNTIF(B:B,bron[[#This Row],[volledige naam]])</f>
        <v>5</v>
      </c>
    </row>
    <row r="967" spans="1:28" hidden="1" x14ac:dyDescent="0.25">
      <c r="A967">
        <v>25733</v>
      </c>
      <c r="B967" t="str">
        <f>_xlfn.CONCAT(bron[[#This Row],[personeelsnr]]," ",bron[[#This Row],[achternaam]]," ",bron[[#This Row],[voornaam]])</f>
        <v>25733 Simsek Abdullah</v>
      </c>
      <c r="C967" t="str">
        <f>VLOOKUP(bron[[#This Row],[personeelsnr]],'data hastus'!$A:$C,2,0)</f>
        <v>Simsek</v>
      </c>
      <c r="D967" t="str">
        <f>VLOOKUP(bron[[#This Row],[personeelsnr]],'data hastus'!$A:$C,3,0)</f>
        <v>Abdullah</v>
      </c>
      <c r="E967" s="2" t="str">
        <f>VLOOKUP(bron[[#This Row],[personeelsnr]],'data hastus'!A:K,11,FALSE)</f>
        <v>Els Vanhoe</v>
      </c>
      <c r="F967" s="10"/>
      <c r="G967" s="39"/>
      <c r="H967" s="39"/>
      <c r="I967" s="39"/>
      <c r="S967" s="44">
        <f>SUM(bron[[#This Row],[Januari]:[December]])</f>
        <v>0</v>
      </c>
      <c r="T967" s="41">
        <v>45979</v>
      </c>
      <c r="U967" s="5" t="s">
        <v>3810</v>
      </c>
      <c r="V967" s="37"/>
      <c r="W967" s="37"/>
      <c r="X967" t="s">
        <v>3548</v>
      </c>
      <c r="Y967" t="s">
        <v>608</v>
      </c>
      <c r="Z967" s="2">
        <v>6365</v>
      </c>
      <c r="AA967" s="43" t="s">
        <v>3558</v>
      </c>
      <c r="AB967">
        <f>COUNTIF(B:B,bron[[#This Row],[volledige naam]])</f>
        <v>2</v>
      </c>
    </row>
    <row r="968" spans="1:28" hidden="1" x14ac:dyDescent="0.25">
      <c r="A968">
        <v>42218</v>
      </c>
      <c r="B968" t="str">
        <f>_xlfn.CONCAT(bron[[#This Row],[personeelsnr]]," ",bron[[#This Row],[achternaam]]," ",bron[[#This Row],[voornaam]])</f>
        <v>42218 Özer Metehan</v>
      </c>
      <c r="C968" t="str">
        <f>VLOOKUP(bron[[#This Row],[personeelsnr]],'data hastus'!$A:$C,2,0)</f>
        <v>Özer</v>
      </c>
      <c r="D968" t="str">
        <f>VLOOKUP(bron[[#This Row],[personeelsnr]],'data hastus'!$A:$C,3,0)</f>
        <v>Metehan</v>
      </c>
      <c r="E968" s="2" t="str">
        <f>VLOOKUP(bron[[#This Row],[personeelsnr]],'data hastus'!A:K,11,FALSE)</f>
        <v>Els Dewulf</v>
      </c>
      <c r="F968" s="10"/>
      <c r="G968" s="39"/>
      <c r="H968" s="39"/>
      <c r="I968" s="39"/>
      <c r="S968" s="44">
        <f>SUM(bron[[#This Row],[Januari]:[December]])</f>
        <v>0</v>
      </c>
      <c r="T968" s="41">
        <v>45979</v>
      </c>
      <c r="U968" s="5" t="s">
        <v>3816</v>
      </c>
      <c r="V968" s="37"/>
      <c r="W968" s="37"/>
      <c r="X968" t="s">
        <v>3512</v>
      </c>
      <c r="Y968" t="s">
        <v>218</v>
      </c>
      <c r="Z968" s="2">
        <v>5936</v>
      </c>
      <c r="AA968" s="43" t="s">
        <v>3558</v>
      </c>
      <c r="AB968">
        <f>COUNTIF(B:B,bron[[#This Row],[volledige naam]])</f>
        <v>1</v>
      </c>
    </row>
    <row r="969" spans="1:28" hidden="1" x14ac:dyDescent="0.25">
      <c r="A969">
        <v>33400</v>
      </c>
      <c r="B969" t="str">
        <f>_xlfn.CONCAT(bron[[#This Row],[personeelsnr]]," ",bron[[#This Row],[achternaam]]," ",bron[[#This Row],[voornaam]])</f>
        <v>33400 Petit Cynthia</v>
      </c>
      <c r="C969" t="str">
        <f>VLOOKUP(bron[[#This Row],[personeelsnr]],'data hastus'!$A:$C,2,0)</f>
        <v>Petit</v>
      </c>
      <c r="D969" t="str">
        <f>VLOOKUP(bron[[#This Row],[personeelsnr]],'data hastus'!$A:$C,3,0)</f>
        <v>Cynthia</v>
      </c>
      <c r="E969" s="2" t="str">
        <f>VLOOKUP(bron[[#This Row],[personeelsnr]],'data hastus'!A:K,11,FALSE)</f>
        <v>Christoff Rotty</v>
      </c>
      <c r="F969" s="10"/>
      <c r="G969" s="39"/>
      <c r="H969" s="39"/>
      <c r="I969" s="39"/>
      <c r="S969" s="44">
        <f>SUM(bron[[#This Row],[Januari]:[December]])</f>
        <v>0</v>
      </c>
      <c r="T969" s="41">
        <v>45980</v>
      </c>
      <c r="U969" s="5" t="s">
        <v>3808</v>
      </c>
      <c r="V969" s="37"/>
      <c r="W969" s="37"/>
      <c r="X969" t="s">
        <v>3548</v>
      </c>
      <c r="Y969" t="s">
        <v>857</v>
      </c>
      <c r="Z969" s="2">
        <v>6368</v>
      </c>
      <c r="AA969" s="43" t="s">
        <v>3559</v>
      </c>
      <c r="AB969">
        <f>COUNTIF(B:B,bron[[#This Row],[volledige naam]])</f>
        <v>3</v>
      </c>
    </row>
    <row r="970" spans="1:28" hidden="1" x14ac:dyDescent="0.25">
      <c r="A970">
        <v>42336</v>
      </c>
      <c r="B970" t="str">
        <f>_xlfn.CONCAT(bron[[#This Row],[personeelsnr]]," ",bron[[#This Row],[achternaam]]," ",bron[[#This Row],[voornaam]])</f>
        <v>42336 Camgöz Furkan</v>
      </c>
      <c r="C970" t="str">
        <f>VLOOKUP(bron[[#This Row],[personeelsnr]],'data hastus'!$A:$C,2,0)</f>
        <v>Camgöz</v>
      </c>
      <c r="D970" t="str">
        <f>VLOOKUP(bron[[#This Row],[personeelsnr]],'data hastus'!$A:$C,3,0)</f>
        <v>Furkan</v>
      </c>
      <c r="E970" s="2">
        <f>VLOOKUP(bron[[#This Row],[personeelsnr]],'data hastus'!A:K,11,FALSE)</f>
        <v>0</v>
      </c>
      <c r="F970" s="10"/>
      <c r="G970" s="39"/>
      <c r="H970" s="39"/>
      <c r="I970" s="39"/>
      <c r="S970" s="44">
        <f>SUM(bron[[#This Row],[Januari]:[December]])</f>
        <v>0</v>
      </c>
      <c r="T970" s="41">
        <v>45981</v>
      </c>
      <c r="U970" s="5" t="s">
        <v>3813</v>
      </c>
      <c r="V970" s="37"/>
      <c r="W970" s="37"/>
      <c r="X970" t="s">
        <v>3512</v>
      </c>
      <c r="Y970" t="s">
        <v>242</v>
      </c>
      <c r="Z970" s="2">
        <v>5912</v>
      </c>
      <c r="AA970" s="43" t="s">
        <v>3558</v>
      </c>
      <c r="AB970">
        <f>COUNTIF(B:B,bron[[#This Row],[volledige naam]])</f>
        <v>1</v>
      </c>
    </row>
    <row r="971" spans="1:28" hidden="1" x14ac:dyDescent="0.25">
      <c r="A971">
        <v>39558</v>
      </c>
      <c r="B971" t="str">
        <f>_xlfn.CONCAT(bron[[#This Row],[personeelsnr]]," ",bron[[#This Row],[achternaam]]," ",bron[[#This Row],[voornaam]])</f>
        <v>39558 De Groote Cedric</v>
      </c>
      <c r="C971" t="str">
        <f>VLOOKUP(bron[[#This Row],[personeelsnr]],'data hastus'!$A:$C,2,0)</f>
        <v>De Groote</v>
      </c>
      <c r="D971" t="str">
        <f>VLOOKUP(bron[[#This Row],[personeelsnr]],'data hastus'!$A:$C,3,0)</f>
        <v>Cedric</v>
      </c>
      <c r="E971" s="2" t="str">
        <f>VLOOKUP(bron[[#This Row],[personeelsnr]],'data hastus'!A:K,11,FALSE)</f>
        <v>Steven Storm</v>
      </c>
      <c r="F971" s="10"/>
      <c r="G971" s="39"/>
      <c r="H971" s="39"/>
      <c r="I971" s="39"/>
      <c r="S971" s="44">
        <f>SUM(bron[[#This Row],[Januari]:[December]])</f>
        <v>0</v>
      </c>
      <c r="T971" s="41">
        <v>45981</v>
      </c>
      <c r="U971" s="5" t="s">
        <v>3817</v>
      </c>
      <c r="V971" s="37"/>
      <c r="W971" s="37"/>
      <c r="X971" t="s">
        <v>3513</v>
      </c>
      <c r="Y971" t="s">
        <v>285</v>
      </c>
      <c r="Z971" s="2">
        <v>5047</v>
      </c>
      <c r="AA971" s="43" t="s">
        <v>3558</v>
      </c>
      <c r="AB971">
        <f>COUNTIF(B:B,bron[[#This Row],[volledige naam]])</f>
        <v>2</v>
      </c>
    </row>
    <row r="972" spans="1:28" hidden="1" x14ac:dyDescent="0.25">
      <c r="A972">
        <v>8918</v>
      </c>
      <c r="B972" t="str">
        <f>_xlfn.CONCAT(bron[[#This Row],[personeelsnr]]," ",bron[[#This Row],[achternaam]]," ",bron[[#This Row],[voornaam]])</f>
        <v>8918 De Graeve Marc</v>
      </c>
      <c r="C972" t="str">
        <f>VLOOKUP(bron[[#This Row],[personeelsnr]],'data hastus'!$A:$C,2,0)</f>
        <v>De Graeve</v>
      </c>
      <c r="D972" t="str">
        <f>VLOOKUP(bron[[#This Row],[personeelsnr]],'data hastus'!$A:$C,3,0)</f>
        <v>Marc</v>
      </c>
      <c r="E972" s="2" t="str">
        <f>VLOOKUP(bron[[#This Row],[personeelsnr]],'data hastus'!A:K,11,FALSE)</f>
        <v>Kenneth De Rick</v>
      </c>
      <c r="F972" s="10"/>
      <c r="G972" s="39"/>
      <c r="H972" s="39"/>
      <c r="I972" s="39"/>
      <c r="S972" s="44">
        <f>SUM(bron[[#This Row],[Januari]:[December]])</f>
        <v>0</v>
      </c>
      <c r="T972" s="41">
        <v>45979</v>
      </c>
      <c r="U972" s="5" t="s">
        <v>3820</v>
      </c>
      <c r="V972" s="37"/>
      <c r="W972" s="37"/>
      <c r="X972" t="s">
        <v>3513</v>
      </c>
      <c r="Y972" t="s">
        <v>3819</v>
      </c>
      <c r="Z972" s="2">
        <v>5273</v>
      </c>
      <c r="AA972" s="43" t="s">
        <v>3558</v>
      </c>
      <c r="AB972">
        <f>COUNTIF(B:B,bron[[#This Row],[volledige naam]])</f>
        <v>1</v>
      </c>
    </row>
    <row r="973" spans="1:28" hidden="1" x14ac:dyDescent="0.25">
      <c r="A973">
        <v>27865</v>
      </c>
      <c r="B973" t="str">
        <f>_xlfn.CONCAT(bron[[#This Row],[personeelsnr]]," ",bron[[#This Row],[achternaam]]," ",bron[[#This Row],[voornaam]])</f>
        <v>27865 Olenski Leonard</v>
      </c>
      <c r="C973" t="str">
        <f>VLOOKUP(bron[[#This Row],[personeelsnr]],'data hastus'!$A:$C,2,0)</f>
        <v>Olenski</v>
      </c>
      <c r="D973" t="str">
        <f>VLOOKUP(bron[[#This Row],[personeelsnr]],'data hastus'!$A:$C,3,0)</f>
        <v>Leonard</v>
      </c>
      <c r="E973" s="2" t="str">
        <f>VLOOKUP(bron[[#This Row],[personeelsnr]],'data hastus'!A:K,11,FALSE)</f>
        <v>Els Dewulf</v>
      </c>
      <c r="F973" s="10"/>
      <c r="G973" s="39"/>
      <c r="H973" s="39"/>
      <c r="I973" s="39"/>
      <c r="S973" s="44">
        <f>SUM(bron[[#This Row],[Januari]:[December]])</f>
        <v>0</v>
      </c>
      <c r="T973" s="41">
        <v>45982</v>
      </c>
      <c r="U973" s="5" t="s">
        <v>3821</v>
      </c>
      <c r="V973" s="37"/>
      <c r="W973" s="37"/>
      <c r="X973" t="s">
        <v>3548</v>
      </c>
      <c r="Y973" t="s">
        <v>10</v>
      </c>
      <c r="Z973" s="2">
        <v>6353</v>
      </c>
      <c r="AA973" s="43" t="s">
        <v>3558</v>
      </c>
      <c r="AB973">
        <f>COUNTIF(B:B,bron[[#This Row],[volledige naam]])</f>
        <v>1</v>
      </c>
    </row>
    <row r="974" spans="1:28" hidden="1" x14ac:dyDescent="0.25">
      <c r="A974">
        <v>41482</v>
      </c>
      <c r="B974" t="str">
        <f>_xlfn.CONCAT(bron[[#This Row],[personeelsnr]]," ",bron[[#This Row],[achternaam]]," ",bron[[#This Row],[voornaam]])</f>
        <v>41482 Özdemir Osman</v>
      </c>
      <c r="C974" t="str">
        <f>VLOOKUP(bron[[#This Row],[personeelsnr]],'data hastus'!$A:$C,2,0)</f>
        <v>Özdemir</v>
      </c>
      <c r="D974" t="str">
        <f>VLOOKUP(bron[[#This Row],[personeelsnr]],'data hastus'!$A:$C,3,0)</f>
        <v>Osman</v>
      </c>
      <c r="E974" s="2" t="str">
        <f>VLOOKUP(bron[[#This Row],[personeelsnr]],'data hastus'!A:K,11,FALSE)</f>
        <v>Bart Van Der Beken</v>
      </c>
      <c r="F974" s="10"/>
      <c r="G974" s="39"/>
      <c r="H974" s="39"/>
      <c r="I974" s="39"/>
      <c r="S974" s="44">
        <f>SUM(bron[[#This Row],[Januari]:[December]])</f>
        <v>0</v>
      </c>
      <c r="T974" s="41">
        <v>45985</v>
      </c>
      <c r="U974" s="5" t="s">
        <v>3822</v>
      </c>
      <c r="V974" s="37"/>
      <c r="W974" s="37"/>
      <c r="X974" t="s">
        <v>3513</v>
      </c>
      <c r="Y974" t="s">
        <v>48</v>
      </c>
      <c r="Z974" s="2">
        <v>5054</v>
      </c>
      <c r="AA974" s="43" t="s">
        <v>3559</v>
      </c>
      <c r="AB974">
        <f>COUNTIF(B:B,bron[[#This Row],[volledige naam]])</f>
        <v>3</v>
      </c>
    </row>
    <row r="975" spans="1:28" hidden="1" x14ac:dyDescent="0.25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39"/>
      <c r="H975" s="39"/>
      <c r="I975" s="39"/>
      <c r="S975" s="44">
        <f>SUM(bron[[#This Row],[Januari]:[December]])</f>
        <v>0</v>
      </c>
      <c r="T975" s="41">
        <v>45982</v>
      </c>
      <c r="U975" s="5" t="s">
        <v>3823</v>
      </c>
      <c r="V975" s="37"/>
      <c r="W975" s="37"/>
      <c r="X975" t="s">
        <v>3512</v>
      </c>
      <c r="Y975" t="s">
        <v>3824</v>
      </c>
      <c r="Z975" s="2">
        <v>104023</v>
      </c>
      <c r="AA975" s="43" t="s">
        <v>3631</v>
      </c>
      <c r="AB975">
        <f>COUNTIF(B:B,bron[[#This Row],[volledige naam]])</f>
        <v>5</v>
      </c>
    </row>
    <row r="976" spans="1:28" hidden="1" x14ac:dyDescent="0.25">
      <c r="A976">
        <v>42307</v>
      </c>
      <c r="B976" t="str">
        <f>_xlfn.CONCAT(bron[[#This Row],[personeelsnr]]," ",bron[[#This Row],[achternaam]]," ",bron[[#This Row],[voornaam]])</f>
        <v>42307 Helleputte Jens</v>
      </c>
      <c r="C976" t="str">
        <f>VLOOKUP(bron[[#This Row],[personeelsnr]],'data hastus'!$A:$C,2,0)</f>
        <v>Helleputte</v>
      </c>
      <c r="D976" t="str">
        <f>VLOOKUP(bron[[#This Row],[personeelsnr]],'data hastus'!$A:$C,3,0)</f>
        <v>Jens</v>
      </c>
      <c r="E976" s="2" t="str">
        <f>VLOOKUP(bron[[#This Row],[personeelsnr]],'data hastus'!A:K,11,FALSE)</f>
        <v>Christoff Rotty</v>
      </c>
      <c r="F976" s="10"/>
      <c r="G976" s="39"/>
      <c r="H976" s="39"/>
      <c r="I976" s="39"/>
      <c r="S976" s="44">
        <f>SUM(bron[[#This Row],[Januari]:[December]])</f>
        <v>0</v>
      </c>
      <c r="T976" s="41">
        <v>45986</v>
      </c>
      <c r="U976" s="5" t="s">
        <v>3825</v>
      </c>
      <c r="V976" s="37"/>
      <c r="W976" s="37"/>
      <c r="X976" t="s">
        <v>3512</v>
      </c>
      <c r="Y976" t="s">
        <v>3826</v>
      </c>
      <c r="Z976" s="2">
        <v>5934</v>
      </c>
      <c r="AA976" s="43" t="s">
        <v>3558</v>
      </c>
      <c r="AB976">
        <f>COUNTIF(B:B,bron[[#This Row],[volledige naam]])</f>
        <v>3</v>
      </c>
    </row>
    <row r="977" spans="2:28" hidden="1" x14ac:dyDescent="0.25">
      <c r="B977" t="e">
        <f>_xlfn.CONCAT(bron[[#This Row],[personeelsnr]]," ",bron[[#This Row],[achternaam]]," ",bron[[#This Row],[voornaam]])</f>
        <v>#N/A</v>
      </c>
      <c r="C977" t="e">
        <f>VLOOKUP(bron[[#This Row],[personeelsnr]],'data hastus'!$A:$C,2,0)</f>
        <v>#N/A</v>
      </c>
      <c r="D977" t="e">
        <f>VLOOKUP(bron[[#This Row],[personeelsnr]],'data hastus'!$A:$C,3,0)</f>
        <v>#N/A</v>
      </c>
      <c r="E977" s="2" t="e">
        <f>VLOOKUP(bron[[#This Row],[personeelsnr]],'data hastus'!A:K,11,FALSE)</f>
        <v>#N/A</v>
      </c>
      <c r="F977" s="10"/>
      <c r="G977" s="39"/>
      <c r="H977" s="39"/>
      <c r="I977" s="39"/>
      <c r="S977" s="44">
        <f>SUM(bron[[#This Row],[Januari]:[December]])</f>
        <v>0</v>
      </c>
      <c r="V977" s="37"/>
      <c r="W977" s="37"/>
      <c r="AB977">
        <f>COUNTIF(B:B,bron[[#This Row],[volledige naam]])</f>
        <v>26</v>
      </c>
    </row>
    <row r="978" spans="2:28" hidden="1" x14ac:dyDescent="0.25">
      <c r="B978" t="e">
        <f>_xlfn.CONCAT(bron[[#This Row],[personeelsnr]]," ",bron[[#This Row],[achternaam]]," ",bron[[#This Row],[voornaam]])</f>
        <v>#N/A</v>
      </c>
      <c r="C978" t="e">
        <f>VLOOKUP(bron[[#This Row],[personeelsnr]],'data hastus'!$A:$C,2,0)</f>
        <v>#N/A</v>
      </c>
      <c r="D978" t="e">
        <f>VLOOKUP(bron[[#This Row],[personeelsnr]],'data hastus'!$A:$C,3,0)</f>
        <v>#N/A</v>
      </c>
      <c r="E978" s="2" t="e">
        <f>VLOOKUP(bron[[#This Row],[personeelsnr]],'data hastus'!A:K,11,FALSE)</f>
        <v>#N/A</v>
      </c>
      <c r="F978" s="10"/>
      <c r="G978" s="39"/>
      <c r="H978" s="39"/>
      <c r="I978" s="39"/>
      <c r="S978" s="44">
        <f>SUM(bron[[#This Row],[Januari]:[December]])</f>
        <v>0</v>
      </c>
      <c r="V978" s="37"/>
      <c r="W978" s="37"/>
      <c r="AB978">
        <f>COUNTIF(B:B,bron[[#This Row],[volledige naam]])</f>
        <v>26</v>
      </c>
    </row>
    <row r="979" spans="2:28" hidden="1" x14ac:dyDescent="0.25">
      <c r="B979" t="e">
        <f>_xlfn.CONCAT(bron[[#This Row],[personeelsnr]]," ",bron[[#This Row],[achternaam]]," ",bron[[#This Row],[voornaam]])</f>
        <v>#N/A</v>
      </c>
      <c r="C979" t="e">
        <f>VLOOKUP(bron[[#This Row],[personeelsnr]],'data hastus'!$A:$C,2,0)</f>
        <v>#N/A</v>
      </c>
      <c r="D979" t="e">
        <f>VLOOKUP(bron[[#This Row],[personeelsnr]],'data hastus'!$A:$C,3,0)</f>
        <v>#N/A</v>
      </c>
      <c r="E979" s="2" t="e">
        <f>VLOOKUP(bron[[#This Row],[personeelsnr]],'data hastus'!A:K,11,FALSE)</f>
        <v>#N/A</v>
      </c>
      <c r="F979" s="10"/>
      <c r="G979" s="39"/>
      <c r="H979" s="39"/>
      <c r="I979" s="39"/>
      <c r="S979" s="44">
        <f>SUM(bron[[#This Row],[Januari]:[December]])</f>
        <v>0</v>
      </c>
      <c r="V979" s="37"/>
      <c r="W979" s="37"/>
      <c r="AB979">
        <f>COUNTIF(B:B,bron[[#This Row],[volledige naam]])</f>
        <v>26</v>
      </c>
    </row>
    <row r="980" spans="2:28" hidden="1" x14ac:dyDescent="0.25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39"/>
      <c r="H980" s="39"/>
      <c r="I980" s="39"/>
      <c r="S980" s="44">
        <f>SUM(bron[[#This Row],[Januari]:[December]])</f>
        <v>0</v>
      </c>
      <c r="V980" s="37"/>
      <c r="W980" s="37"/>
      <c r="AB980">
        <f>COUNTIF(B:B,bron[[#This Row],[volledige naam]])</f>
        <v>26</v>
      </c>
    </row>
    <row r="981" spans="2:28" hidden="1" x14ac:dyDescent="0.25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39"/>
      <c r="H981" s="39"/>
      <c r="I981" s="39"/>
      <c r="S981" s="44">
        <f>SUM(bron[[#This Row],[Januari]:[December]])</f>
        <v>0</v>
      </c>
      <c r="V981" s="37"/>
      <c r="W981" s="37"/>
      <c r="AB981">
        <f>COUNTIF(B:B,bron[[#This Row],[volledige naam]])</f>
        <v>26</v>
      </c>
    </row>
    <row r="982" spans="2:28" hidden="1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39"/>
      <c r="H982" s="39"/>
      <c r="I982" s="39"/>
      <c r="S982" s="44">
        <f>SUM(bron[[#This Row],[Januari]:[December]])</f>
        <v>0</v>
      </c>
      <c r="V982" s="37"/>
      <c r="W982" s="37"/>
      <c r="AB982">
        <f>COUNTIF(B:B,bron[[#This Row],[volledige naam]])</f>
        <v>26</v>
      </c>
    </row>
    <row r="983" spans="2:28" hidden="1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39"/>
      <c r="H983" s="39"/>
      <c r="I983" s="39"/>
      <c r="S983" s="44">
        <f>SUM(bron[[#This Row],[Januari]:[December]])</f>
        <v>0</v>
      </c>
      <c r="V983" s="37"/>
      <c r="W983" s="37"/>
      <c r="AB983">
        <f>COUNTIF(B:B,bron[[#This Row],[volledige naam]])</f>
        <v>26</v>
      </c>
    </row>
    <row r="984" spans="2:28" hidden="1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39"/>
      <c r="H984" s="39"/>
      <c r="I984" s="39"/>
      <c r="S984" s="44">
        <f>SUM(bron[[#This Row],[Januari]:[December]])</f>
        <v>0</v>
      </c>
      <c r="V984" s="37"/>
      <c r="W984" s="37"/>
      <c r="AB984">
        <f>COUNTIF(B:B,bron[[#This Row],[volledige naam]])</f>
        <v>26</v>
      </c>
    </row>
  </sheetData>
  <sheetProtection sort="0" autoFilter="0"/>
  <phoneticPr fontId="1" type="noConversion"/>
  <conditionalFormatting sqref="F2:F984">
    <cfRule type="cellIs" dxfId="6" priority="5" operator="equal">
      <formula>0</formula>
    </cfRule>
    <cfRule type="cellIs" dxfId="5" priority="7" operator="between">
      <formula>1</formula>
      <formula>4</formula>
    </cfRule>
    <cfRule type="cellIs" dxfId="4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9:SN1363"/>
  <sheetViews>
    <sheetView workbookViewId="0">
      <selection activeCell="H23" sqref="H23"/>
    </sheetView>
  </sheetViews>
  <sheetFormatPr defaultRowHeight="15" x14ac:dyDescent="0.25"/>
  <cols>
    <col min="1" max="2" width="9.140625" style="47"/>
    <col min="3" max="3" width="41" style="47" bestFit="1" customWidth="1"/>
    <col min="4" max="4" width="21.42578125" style="47" bestFit="1" customWidth="1"/>
    <col min="5" max="5" width="10.140625" style="47" bestFit="1" customWidth="1"/>
    <col min="6" max="6" width="31.5703125" style="47" bestFit="1" customWidth="1"/>
    <col min="7" max="7" width="16.7109375" style="47" bestFit="1" customWidth="1"/>
    <col min="8" max="9" width="9.42578125" style="47" bestFit="1" customWidth="1"/>
    <col min="10" max="27" width="10.42578125" style="47" bestFit="1" customWidth="1"/>
    <col min="28" max="36" width="9.42578125" style="47" bestFit="1" customWidth="1"/>
    <col min="37" max="49" width="10.42578125" style="47" bestFit="1" customWidth="1"/>
    <col min="50" max="55" width="9.42578125" style="47" bestFit="1" customWidth="1"/>
    <col min="56" max="71" width="10.42578125" style="47" bestFit="1" customWidth="1"/>
    <col min="72" max="77" width="9.42578125" style="47" bestFit="1" customWidth="1"/>
    <col min="78" max="95" width="10.42578125" style="47" bestFit="1" customWidth="1"/>
    <col min="96" max="103" width="9.42578125" style="47" bestFit="1" customWidth="1"/>
    <col min="104" max="117" width="10.42578125" style="47" bestFit="1" customWidth="1"/>
    <col min="118" max="122" width="9.42578125" style="47" bestFit="1" customWidth="1"/>
    <col min="123" max="139" width="10.42578125" style="47" bestFit="1" customWidth="1"/>
    <col min="140" max="146" width="9.42578125" style="47" bestFit="1" customWidth="1"/>
    <col min="147" max="161" width="10.42578125" style="47" bestFit="1" customWidth="1"/>
    <col min="162" max="168" width="9.42578125" style="47" bestFit="1" customWidth="1"/>
    <col min="169" max="179" width="10.42578125" style="47" bestFit="1" customWidth="1"/>
    <col min="180" max="187" width="9.42578125" style="47" bestFit="1" customWidth="1"/>
    <col min="188" max="203" width="10.42578125" style="47" bestFit="1" customWidth="1"/>
    <col min="204" max="210" width="9.42578125" style="47" bestFit="1" customWidth="1"/>
    <col min="211" max="227" width="10.42578125" style="47" bestFit="1" customWidth="1"/>
    <col min="228" max="234" width="9.42578125" style="47" bestFit="1" customWidth="1"/>
    <col min="235" max="250" width="10.42578125" style="47" bestFit="1" customWidth="1"/>
    <col min="251" max="257" width="9.42578125" style="47" bestFit="1" customWidth="1"/>
    <col min="258" max="273" width="10.42578125" style="47" bestFit="1" customWidth="1"/>
    <col min="274" max="277" width="9.42578125" style="47" bestFit="1" customWidth="1"/>
    <col min="278" max="295" width="10.42578125" style="47" bestFit="1" customWidth="1"/>
    <col min="296" max="301" width="9.42578125" style="47" bestFit="1" customWidth="1"/>
    <col min="302" max="317" width="10.42578125" style="47" bestFit="1" customWidth="1"/>
    <col min="318" max="324" width="9.42578125" style="47" bestFit="1" customWidth="1"/>
    <col min="325" max="340" width="10.42578125" style="47" bestFit="1" customWidth="1"/>
    <col min="341" max="346" width="9.42578125" style="47" bestFit="1" customWidth="1"/>
    <col min="347" max="360" width="10.42578125" style="47" bestFit="1" customWidth="1"/>
    <col min="361" max="368" width="9.42578125" style="47" bestFit="1" customWidth="1"/>
    <col min="369" max="381" width="10.42578125" style="47" bestFit="1" customWidth="1"/>
    <col min="382" max="387" width="9.42578125" style="47" bestFit="1" customWidth="1"/>
    <col min="388" max="399" width="10.42578125" style="47" bestFit="1" customWidth="1"/>
    <col min="400" max="407" width="9.42578125" style="47" bestFit="1" customWidth="1"/>
    <col min="408" max="424" width="10.42578125" style="47" bestFit="1" customWidth="1"/>
    <col min="425" max="429" width="9.42578125" style="47" bestFit="1" customWidth="1"/>
    <col min="430" max="441" width="10.42578125" style="47" bestFit="1" customWidth="1"/>
    <col min="442" max="448" width="9.42578125" style="47" bestFit="1" customWidth="1"/>
    <col min="449" max="462" width="10.42578125" style="47" bestFit="1" customWidth="1"/>
    <col min="463" max="467" width="9.42578125" style="47" bestFit="1" customWidth="1"/>
    <col min="468" max="486" width="10.42578125" style="47" bestFit="1" customWidth="1"/>
    <col min="487" max="493" width="9.42578125" style="47" bestFit="1" customWidth="1"/>
    <col min="494" max="506" width="10.42578125" style="47" bestFit="1" customWidth="1"/>
    <col min="507" max="507" width="6.28515625" style="47" bestFit="1" customWidth="1"/>
    <col min="508" max="508" width="10.140625" style="47" bestFit="1" customWidth="1"/>
    <col min="509" max="16384" width="9.140625" style="47"/>
  </cols>
  <sheetData>
    <row r="9" spans="3:508" x14ac:dyDescent="0.25">
      <c r="C9" s="1" t="s">
        <v>385</v>
      </c>
      <c r="D9" t="s">
        <v>3849</v>
      </c>
    </row>
    <row r="11" spans="3:508" x14ac:dyDescent="0.25">
      <c r="C11" s="1" t="s">
        <v>3827</v>
      </c>
      <c r="D11" t="s">
        <v>3848</v>
      </c>
      <c r="F11" s="1" t="s">
        <v>3827</v>
      </c>
      <c r="G11" t="s">
        <v>1</v>
      </c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</row>
    <row r="12" spans="3:508" x14ac:dyDescent="0.25">
      <c r="C12" s="2" t="s">
        <v>3847</v>
      </c>
      <c r="D12" s="45">
        <v>9</v>
      </c>
      <c r="F12" s="2" t="s">
        <v>3548</v>
      </c>
      <c r="G12" s="45">
        <v>44</v>
      </c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</row>
    <row r="13" spans="3:508" x14ac:dyDescent="0.25">
      <c r="C13" s="2" t="s">
        <v>4</v>
      </c>
      <c r="D13" s="45">
        <v>7</v>
      </c>
      <c r="F13" s="2" t="s">
        <v>3511</v>
      </c>
      <c r="G13" s="45">
        <v>178</v>
      </c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</row>
    <row r="14" spans="3:508" x14ac:dyDescent="0.25">
      <c r="C14" s="2" t="s">
        <v>9</v>
      </c>
      <c r="D14" s="45">
        <v>6</v>
      </c>
      <c r="F14" s="2" t="s">
        <v>3547</v>
      </c>
      <c r="G14" s="45">
        <v>73</v>
      </c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</row>
    <row r="15" spans="3:508" x14ac:dyDescent="0.25">
      <c r="C15" s="2" t="s">
        <v>12</v>
      </c>
      <c r="D15" s="45">
        <v>5</v>
      </c>
      <c r="F15" s="2" t="s">
        <v>3512</v>
      </c>
      <c r="G15" s="45">
        <v>167</v>
      </c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</row>
    <row r="16" spans="3:508" x14ac:dyDescent="0.25">
      <c r="C16" s="2" t="s">
        <v>21</v>
      </c>
      <c r="D16" s="45">
        <v>4</v>
      </c>
      <c r="F16" s="2" t="s">
        <v>82</v>
      </c>
      <c r="G16" s="45">
        <v>462</v>
      </c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</row>
    <row r="17" spans="3:508" x14ac:dyDescent="0.25">
      <c r="C17" s="2" t="s">
        <v>15</v>
      </c>
      <c r="D17" s="45">
        <v>4</v>
      </c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</row>
    <row r="18" spans="3:508" x14ac:dyDescent="0.25">
      <c r="C18" s="2" t="s">
        <v>18</v>
      </c>
      <c r="D18" s="45">
        <v>4</v>
      </c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</row>
    <row r="19" spans="3:508" x14ac:dyDescent="0.25">
      <c r="C19" s="2" t="s">
        <v>47</v>
      </c>
      <c r="D19" s="45">
        <v>3</v>
      </c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</row>
    <row r="20" spans="3:508" x14ac:dyDescent="0.25">
      <c r="C20" s="2" t="s">
        <v>45</v>
      </c>
      <c r="D20" s="45">
        <v>3</v>
      </c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</row>
    <row r="21" spans="3:508" x14ac:dyDescent="0.25">
      <c r="C21" s="2" t="s">
        <v>83</v>
      </c>
      <c r="D21" s="45">
        <v>3</v>
      </c>
      <c r="F21" s="1" t="s">
        <v>3827</v>
      </c>
      <c r="G21" t="s">
        <v>1</v>
      </c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</row>
    <row r="22" spans="3:508" x14ac:dyDescent="0.25">
      <c r="C22" s="2" t="s">
        <v>42</v>
      </c>
      <c r="D22" s="45">
        <v>3</v>
      </c>
      <c r="F22" s="2" t="s">
        <v>10</v>
      </c>
      <c r="G22" s="45">
        <v>101</v>
      </c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</row>
    <row r="23" spans="3:508" x14ac:dyDescent="0.25">
      <c r="C23" s="2" t="s">
        <v>27</v>
      </c>
      <c r="D23" s="45">
        <v>3</v>
      </c>
      <c r="F23" s="2" t="s">
        <v>5</v>
      </c>
      <c r="G23" s="45">
        <v>50</v>
      </c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</row>
    <row r="24" spans="3:508" x14ac:dyDescent="0.25">
      <c r="C24" s="2" t="s">
        <v>30</v>
      </c>
      <c r="D24" s="45">
        <v>3</v>
      </c>
      <c r="F24" s="2" t="s">
        <v>34</v>
      </c>
      <c r="G24" s="45">
        <v>22</v>
      </c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</row>
    <row r="25" spans="3:508" x14ac:dyDescent="0.25">
      <c r="C25" s="2" t="s">
        <v>36</v>
      </c>
      <c r="D25" s="45">
        <v>3</v>
      </c>
      <c r="F25" s="2" t="s">
        <v>16</v>
      </c>
      <c r="G25" s="45">
        <v>21</v>
      </c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</row>
    <row r="26" spans="3:508" x14ac:dyDescent="0.25">
      <c r="C26" s="2" t="s">
        <v>24</v>
      </c>
      <c r="D26" s="45">
        <v>3</v>
      </c>
      <c r="F26" s="2" t="s">
        <v>13</v>
      </c>
      <c r="G26" s="45">
        <v>21</v>
      </c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</row>
    <row r="27" spans="3:508" x14ac:dyDescent="0.25">
      <c r="C27" s="2" t="s">
        <v>39</v>
      </c>
      <c r="D27" s="45">
        <v>3</v>
      </c>
      <c r="F27" s="2" t="s">
        <v>54</v>
      </c>
      <c r="G27" s="45">
        <v>21</v>
      </c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</row>
    <row r="28" spans="3:508" x14ac:dyDescent="0.25">
      <c r="C28" s="2" t="s">
        <v>103</v>
      </c>
      <c r="D28" s="45">
        <v>3</v>
      </c>
      <c r="F28" s="2" t="s">
        <v>19</v>
      </c>
      <c r="G28" s="45">
        <v>21</v>
      </c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</row>
    <row r="29" spans="3:508" x14ac:dyDescent="0.25">
      <c r="C29" s="2" t="s">
        <v>118</v>
      </c>
      <c r="D29" s="45">
        <v>3</v>
      </c>
      <c r="F29" s="2" t="s">
        <v>31</v>
      </c>
      <c r="G29" s="45">
        <v>19</v>
      </c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</row>
    <row r="30" spans="3:508" x14ac:dyDescent="0.25">
      <c r="C30" s="2" t="s">
        <v>74</v>
      </c>
      <c r="D30" s="45">
        <v>3</v>
      </c>
      <c r="F30" s="2" t="s">
        <v>25</v>
      </c>
      <c r="G30" s="45">
        <v>19</v>
      </c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</row>
    <row r="31" spans="3:508" x14ac:dyDescent="0.25">
      <c r="C31" s="2" t="s">
        <v>95</v>
      </c>
      <c r="D31" s="45">
        <v>3</v>
      </c>
      <c r="F31" s="2" t="s">
        <v>22</v>
      </c>
      <c r="G31" s="45">
        <v>16</v>
      </c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</row>
    <row r="32" spans="3:508" x14ac:dyDescent="0.25">
      <c r="C32" s="2" t="s">
        <v>235</v>
      </c>
      <c r="D32" s="45">
        <v>2</v>
      </c>
      <c r="F32" s="2" t="s">
        <v>397</v>
      </c>
      <c r="G32" s="45">
        <v>15</v>
      </c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</row>
    <row r="33" spans="3:489" x14ac:dyDescent="0.25">
      <c r="C33" s="2" t="s">
        <v>68</v>
      </c>
      <c r="D33" s="45">
        <v>2</v>
      </c>
      <c r="F33" s="2" t="s">
        <v>72</v>
      </c>
      <c r="G33" s="45">
        <v>15</v>
      </c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</row>
    <row r="34" spans="3:489" x14ac:dyDescent="0.25">
      <c r="C34" s="2" t="s">
        <v>347</v>
      </c>
      <c r="D34" s="45">
        <v>2</v>
      </c>
      <c r="F34" s="2" t="s">
        <v>37</v>
      </c>
      <c r="G34" s="45">
        <v>14</v>
      </c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</row>
    <row r="35" spans="3:489" x14ac:dyDescent="0.25">
      <c r="C35" s="2" t="s">
        <v>105</v>
      </c>
      <c r="D35" s="45">
        <v>2</v>
      </c>
      <c r="F35" s="2" t="s">
        <v>113</v>
      </c>
      <c r="G35" s="45">
        <v>13</v>
      </c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</row>
    <row r="36" spans="3:489" x14ac:dyDescent="0.25">
      <c r="C36" s="2" t="s">
        <v>80</v>
      </c>
      <c r="D36" s="45">
        <v>2</v>
      </c>
      <c r="F36" s="2" t="s">
        <v>48</v>
      </c>
      <c r="G36" s="45">
        <v>12</v>
      </c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</row>
    <row r="37" spans="3:489" x14ac:dyDescent="0.25">
      <c r="C37" s="2" t="s">
        <v>252</v>
      </c>
      <c r="D37" s="45">
        <v>2</v>
      </c>
      <c r="F37" s="2" t="s">
        <v>28</v>
      </c>
      <c r="G37" s="45">
        <v>12</v>
      </c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</row>
    <row r="38" spans="3:489" x14ac:dyDescent="0.25">
      <c r="C38" s="2" t="s">
        <v>120</v>
      </c>
      <c r="D38" s="45">
        <v>2</v>
      </c>
      <c r="F38" s="2" t="s">
        <v>100</v>
      </c>
      <c r="G38" s="45">
        <v>11</v>
      </c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</row>
    <row r="39" spans="3:489" x14ac:dyDescent="0.25">
      <c r="C39" s="2" t="s">
        <v>314</v>
      </c>
      <c r="D39" s="45">
        <v>2</v>
      </c>
      <c r="F39" s="2" t="s">
        <v>119</v>
      </c>
      <c r="G39" s="45">
        <v>11</v>
      </c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</row>
    <row r="40" spans="3:489" x14ac:dyDescent="0.25">
      <c r="C40" s="2" t="s">
        <v>192</v>
      </c>
      <c r="D40" s="45">
        <v>2</v>
      </c>
      <c r="F40" s="2" t="s">
        <v>487</v>
      </c>
      <c r="G40" s="45">
        <v>11</v>
      </c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</row>
    <row r="41" spans="3:489" x14ac:dyDescent="0.25">
      <c r="C41" s="2" t="s">
        <v>110</v>
      </c>
      <c r="D41" s="45">
        <v>2</v>
      </c>
      <c r="F41" s="2" t="s">
        <v>40</v>
      </c>
      <c r="G41" s="45">
        <v>10</v>
      </c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</row>
    <row r="42" spans="3:489" x14ac:dyDescent="0.25">
      <c r="C42" s="2" t="s">
        <v>239</v>
      </c>
      <c r="D42" s="45">
        <v>2</v>
      </c>
      <c r="F42" s="2" t="s">
        <v>46</v>
      </c>
      <c r="G42" s="45">
        <v>10</v>
      </c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</row>
    <row r="43" spans="3:489" x14ac:dyDescent="0.25">
      <c r="C43" s="2" t="s">
        <v>114</v>
      </c>
      <c r="D43" s="45">
        <v>2</v>
      </c>
      <c r="F43" s="2" t="s">
        <v>81</v>
      </c>
      <c r="G43" s="45">
        <v>10</v>
      </c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</row>
    <row r="44" spans="3:489" x14ac:dyDescent="0.25">
      <c r="C44" s="2" t="s">
        <v>62</v>
      </c>
      <c r="D44" s="45">
        <v>2</v>
      </c>
      <c r="F44" s="2" t="s">
        <v>171</v>
      </c>
      <c r="G44" s="45">
        <v>10</v>
      </c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</row>
    <row r="45" spans="3:489" x14ac:dyDescent="0.25">
      <c r="C45" s="2" t="s">
        <v>59</v>
      </c>
      <c r="D45" s="45">
        <v>2</v>
      </c>
      <c r="F45" s="2" t="s">
        <v>185</v>
      </c>
      <c r="G45" s="45">
        <v>9</v>
      </c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</row>
    <row r="46" spans="3:489" x14ac:dyDescent="0.25">
      <c r="C46" s="2" t="s">
        <v>85</v>
      </c>
      <c r="D46" s="45">
        <v>2</v>
      </c>
      <c r="F46" s="2" t="s">
        <v>66</v>
      </c>
      <c r="G46" s="45">
        <v>9</v>
      </c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</row>
    <row r="47" spans="3:489" x14ac:dyDescent="0.25">
      <c r="C47" s="2" t="s">
        <v>65</v>
      </c>
      <c r="D47" s="45">
        <v>2</v>
      </c>
      <c r="F47" s="2" t="s">
        <v>425</v>
      </c>
      <c r="G47" s="45">
        <v>8</v>
      </c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</row>
    <row r="48" spans="3:489" x14ac:dyDescent="0.25">
      <c r="C48" s="2" t="s">
        <v>93</v>
      </c>
      <c r="D48" s="45">
        <v>2</v>
      </c>
      <c r="F48" s="2" t="s">
        <v>84</v>
      </c>
      <c r="G48" s="45">
        <v>8</v>
      </c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</row>
    <row r="49" spans="3:489" x14ac:dyDescent="0.25">
      <c r="C49" s="2" t="s">
        <v>138</v>
      </c>
      <c r="D49" s="45">
        <v>2</v>
      </c>
      <c r="F49" s="2" t="s">
        <v>161</v>
      </c>
      <c r="G49" s="45">
        <v>7</v>
      </c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</row>
    <row r="50" spans="3:489" x14ac:dyDescent="0.25">
      <c r="C50" s="2" t="s">
        <v>91</v>
      </c>
      <c r="D50" s="45">
        <v>2</v>
      </c>
      <c r="F50" s="2" t="s">
        <v>203</v>
      </c>
      <c r="G50" s="45">
        <v>7</v>
      </c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</row>
    <row r="51" spans="3:489" x14ac:dyDescent="0.25">
      <c r="C51" s="2" t="s">
        <v>316</v>
      </c>
      <c r="D51" s="45">
        <v>2</v>
      </c>
      <c r="F51" s="2" t="s">
        <v>117</v>
      </c>
      <c r="G51" s="45">
        <v>7</v>
      </c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</row>
    <row r="52" spans="3:489" x14ac:dyDescent="0.25">
      <c r="C52" s="2" t="s">
        <v>101</v>
      </c>
      <c r="D52" s="45">
        <v>2</v>
      </c>
      <c r="F52" s="2" t="s">
        <v>43</v>
      </c>
      <c r="G52" s="45">
        <v>7</v>
      </c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</row>
    <row r="53" spans="3:489" x14ac:dyDescent="0.25">
      <c r="C53" s="2" t="s">
        <v>71</v>
      </c>
      <c r="D53" s="45">
        <v>2</v>
      </c>
      <c r="F53" s="2" t="s">
        <v>106</v>
      </c>
      <c r="G53" s="45">
        <v>7</v>
      </c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</row>
    <row r="54" spans="3:489" x14ac:dyDescent="0.25">
      <c r="C54" s="2" t="s">
        <v>229</v>
      </c>
      <c r="D54" s="45">
        <v>2</v>
      </c>
      <c r="F54" s="2" t="s">
        <v>242</v>
      </c>
      <c r="G54" s="45">
        <v>7</v>
      </c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</row>
    <row r="55" spans="3:489" x14ac:dyDescent="0.25">
      <c r="C55" s="2" t="s">
        <v>122</v>
      </c>
      <c r="D55" s="45">
        <v>2</v>
      </c>
      <c r="F55" s="2" t="s">
        <v>69</v>
      </c>
      <c r="G55" s="45">
        <v>7</v>
      </c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</row>
    <row r="56" spans="3:489" x14ac:dyDescent="0.25">
      <c r="C56" s="2" t="s">
        <v>107</v>
      </c>
      <c r="D56" s="45">
        <v>2</v>
      </c>
      <c r="F56" s="2" t="s">
        <v>51</v>
      </c>
      <c r="G56" s="45">
        <v>7</v>
      </c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</row>
    <row r="57" spans="3:489" x14ac:dyDescent="0.25">
      <c r="C57" s="2" t="s">
        <v>126</v>
      </c>
      <c r="D57" s="45">
        <v>2</v>
      </c>
      <c r="F57" s="2" t="s">
        <v>608</v>
      </c>
      <c r="G57" s="45">
        <v>6</v>
      </c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</row>
    <row r="58" spans="3:489" x14ac:dyDescent="0.25">
      <c r="C58" s="2" t="s">
        <v>112</v>
      </c>
      <c r="D58" s="45">
        <v>2</v>
      </c>
      <c r="F58" s="2" t="s">
        <v>147</v>
      </c>
      <c r="G58" s="45">
        <v>6</v>
      </c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</row>
    <row r="59" spans="3:489" x14ac:dyDescent="0.25">
      <c r="C59" s="2" t="s">
        <v>348</v>
      </c>
      <c r="D59" s="45">
        <v>2</v>
      </c>
      <c r="F59" s="2" t="s">
        <v>177</v>
      </c>
      <c r="G59" s="45">
        <v>6</v>
      </c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</row>
    <row r="60" spans="3:489" x14ac:dyDescent="0.25">
      <c r="C60" s="2" t="s">
        <v>116</v>
      </c>
      <c r="D60" s="45">
        <v>2</v>
      </c>
      <c r="F60" s="2" t="s">
        <v>104</v>
      </c>
      <c r="G60" s="45">
        <v>6</v>
      </c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</row>
    <row r="61" spans="3:489" x14ac:dyDescent="0.25">
      <c r="C61" s="2" t="s">
        <v>356</v>
      </c>
      <c r="D61" s="45">
        <v>2</v>
      </c>
      <c r="F61" s="2" t="s">
        <v>748</v>
      </c>
      <c r="G61" s="45">
        <v>5</v>
      </c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</row>
    <row r="62" spans="3:489" x14ac:dyDescent="0.25">
      <c r="C62" s="2" t="s">
        <v>311</v>
      </c>
      <c r="D62" s="45">
        <v>2</v>
      </c>
      <c r="F62" s="2" t="s">
        <v>265</v>
      </c>
      <c r="G62" s="45">
        <v>5</v>
      </c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</row>
    <row r="63" spans="3:489" x14ac:dyDescent="0.25">
      <c r="C63" s="2" t="s">
        <v>134</v>
      </c>
      <c r="D63" s="45">
        <v>2</v>
      </c>
      <c r="F63" s="2" t="s">
        <v>275</v>
      </c>
      <c r="G63" s="45">
        <v>5</v>
      </c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</row>
    <row r="64" spans="3:489" x14ac:dyDescent="0.25">
      <c r="C64" s="2" t="s">
        <v>87</v>
      </c>
      <c r="D64" s="45">
        <v>2</v>
      </c>
      <c r="F64" s="2" t="s">
        <v>75</v>
      </c>
      <c r="G64" s="45">
        <v>5</v>
      </c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</row>
    <row r="65" spans="3:489" x14ac:dyDescent="0.25">
      <c r="C65" s="2" t="s">
        <v>3659</v>
      </c>
      <c r="D65" s="45">
        <v>2</v>
      </c>
      <c r="F65" s="2" t="s">
        <v>517</v>
      </c>
      <c r="G65" s="45">
        <v>5</v>
      </c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</row>
    <row r="66" spans="3:489" x14ac:dyDescent="0.25">
      <c r="C66" s="2" t="s">
        <v>188</v>
      </c>
      <c r="D66" s="45">
        <v>2</v>
      </c>
      <c r="F66" s="2" t="s">
        <v>299</v>
      </c>
      <c r="G66" s="45">
        <v>5</v>
      </c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</row>
    <row r="67" spans="3:489" x14ac:dyDescent="0.25">
      <c r="C67" s="2" t="s">
        <v>136</v>
      </c>
      <c r="D67" s="45">
        <v>2</v>
      </c>
      <c r="F67" s="2" t="s">
        <v>218</v>
      </c>
      <c r="G67" s="45">
        <v>5</v>
      </c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</row>
    <row r="68" spans="3:489" x14ac:dyDescent="0.25">
      <c r="C68" s="2" t="s">
        <v>50</v>
      </c>
      <c r="D68" s="45">
        <v>2</v>
      </c>
      <c r="F68" s="2" t="s">
        <v>240</v>
      </c>
      <c r="G68" s="45">
        <v>4</v>
      </c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</row>
    <row r="69" spans="3:489" x14ac:dyDescent="0.25">
      <c r="C69" s="2" t="s">
        <v>56</v>
      </c>
      <c r="D69" s="45">
        <v>2</v>
      </c>
      <c r="F69" s="2" t="s">
        <v>159</v>
      </c>
      <c r="G69" s="45">
        <v>4</v>
      </c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</row>
    <row r="70" spans="3:489" x14ac:dyDescent="0.25">
      <c r="C70" s="2" t="s">
        <v>124</v>
      </c>
      <c r="D70" s="45">
        <v>2</v>
      </c>
      <c r="F70" s="2" t="s">
        <v>78</v>
      </c>
      <c r="G70" s="45">
        <v>4</v>
      </c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</row>
    <row r="71" spans="3:489" x14ac:dyDescent="0.25">
      <c r="C71" s="2" t="s">
        <v>99</v>
      </c>
      <c r="D71" s="45">
        <v>2</v>
      </c>
      <c r="F71" s="2" t="s">
        <v>531</v>
      </c>
      <c r="G71" s="45">
        <v>4</v>
      </c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</row>
    <row r="72" spans="3:489" x14ac:dyDescent="0.25">
      <c r="C72" s="2" t="s">
        <v>170</v>
      </c>
      <c r="D72" s="45">
        <v>2</v>
      </c>
      <c r="F72" s="2" t="s">
        <v>133</v>
      </c>
      <c r="G72" s="45">
        <v>4</v>
      </c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</row>
    <row r="73" spans="3:489" x14ac:dyDescent="0.25">
      <c r="C73" s="2" t="s">
        <v>97</v>
      </c>
      <c r="D73" s="45">
        <v>2</v>
      </c>
      <c r="F73" s="2" t="s">
        <v>540</v>
      </c>
      <c r="G73" s="45">
        <v>4</v>
      </c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</row>
    <row r="74" spans="3:489" x14ac:dyDescent="0.25">
      <c r="C74" s="2" t="s">
        <v>128</v>
      </c>
      <c r="D74" s="45">
        <v>2</v>
      </c>
      <c r="F74" s="2" t="s">
        <v>440</v>
      </c>
      <c r="G74" s="45">
        <v>4</v>
      </c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</row>
    <row r="75" spans="3:489" x14ac:dyDescent="0.25">
      <c r="C75" s="2" t="s">
        <v>77</v>
      </c>
      <c r="D75" s="45">
        <v>2</v>
      </c>
      <c r="F75" s="2" t="s">
        <v>663</v>
      </c>
      <c r="G75" s="45">
        <v>4</v>
      </c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</row>
    <row r="76" spans="3:489" x14ac:dyDescent="0.25">
      <c r="C76" s="2" t="s">
        <v>337</v>
      </c>
      <c r="D76" s="45">
        <v>2</v>
      </c>
      <c r="F76" s="2" t="s">
        <v>737</v>
      </c>
      <c r="G76" s="45">
        <v>4</v>
      </c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</row>
    <row r="77" spans="3:489" x14ac:dyDescent="0.25">
      <c r="C77" s="2" t="s">
        <v>144</v>
      </c>
      <c r="D77" s="45">
        <v>2</v>
      </c>
      <c r="F77" s="2" t="s">
        <v>558</v>
      </c>
      <c r="G77" s="45">
        <v>4</v>
      </c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</row>
    <row r="78" spans="3:489" x14ac:dyDescent="0.25">
      <c r="C78" s="2" t="s">
        <v>132</v>
      </c>
      <c r="D78" s="45">
        <v>2</v>
      </c>
      <c r="F78" s="2" t="s">
        <v>285</v>
      </c>
      <c r="G78" s="45">
        <v>4</v>
      </c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</row>
    <row r="79" spans="3:489" x14ac:dyDescent="0.25">
      <c r="C79" s="2" t="s">
        <v>307</v>
      </c>
      <c r="D79" s="45">
        <v>2</v>
      </c>
      <c r="F79" s="2" t="s">
        <v>666</v>
      </c>
      <c r="G79" s="45">
        <v>4</v>
      </c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</row>
    <row r="80" spans="3:489" x14ac:dyDescent="0.25">
      <c r="C80" s="2" t="s">
        <v>282</v>
      </c>
      <c r="D80" s="45">
        <v>2</v>
      </c>
      <c r="F80" s="2" t="s">
        <v>669</v>
      </c>
      <c r="G80" s="45">
        <v>4</v>
      </c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</row>
    <row r="81" spans="3:489" x14ac:dyDescent="0.25">
      <c r="C81" s="2" t="s">
        <v>130</v>
      </c>
      <c r="D81" s="45">
        <v>2</v>
      </c>
      <c r="F81" s="2" t="s">
        <v>125</v>
      </c>
      <c r="G81" s="45">
        <v>3</v>
      </c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</row>
    <row r="82" spans="3:489" x14ac:dyDescent="0.25">
      <c r="C82" s="2" t="s">
        <v>355</v>
      </c>
      <c r="D82" s="45">
        <v>2</v>
      </c>
      <c r="F82" s="2" t="s">
        <v>63</v>
      </c>
      <c r="G82" s="45">
        <v>3</v>
      </c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</row>
    <row r="83" spans="3:489" x14ac:dyDescent="0.25">
      <c r="C83" s="2" t="s">
        <v>148</v>
      </c>
      <c r="D83" s="45">
        <v>1</v>
      </c>
      <c r="F83" s="2" t="s">
        <v>857</v>
      </c>
      <c r="G83" s="45">
        <v>3</v>
      </c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</row>
    <row r="84" spans="3:489" x14ac:dyDescent="0.25">
      <c r="C84" s="2" t="s">
        <v>305</v>
      </c>
      <c r="D84" s="45">
        <v>1</v>
      </c>
      <c r="F84" s="2" t="s">
        <v>257</v>
      </c>
      <c r="G84" s="45">
        <v>3</v>
      </c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</row>
    <row r="85" spans="3:489" x14ac:dyDescent="0.25">
      <c r="C85" s="2" t="s">
        <v>3697</v>
      </c>
      <c r="D85" s="45">
        <v>1</v>
      </c>
      <c r="F85" s="2" t="s">
        <v>236</v>
      </c>
      <c r="G85" s="45">
        <v>3</v>
      </c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</row>
    <row r="86" spans="3:489" x14ac:dyDescent="0.25">
      <c r="C86" s="2" t="s">
        <v>162</v>
      </c>
      <c r="D86" s="45">
        <v>1</v>
      </c>
      <c r="F86" s="2" t="s">
        <v>169</v>
      </c>
      <c r="G86" s="45">
        <v>3</v>
      </c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</row>
    <row r="87" spans="3:489" x14ac:dyDescent="0.25">
      <c r="C87" s="2" t="s">
        <v>3688</v>
      </c>
      <c r="D87" s="45">
        <v>1</v>
      </c>
      <c r="F87" s="2" t="s">
        <v>700</v>
      </c>
      <c r="G87" s="45">
        <v>3</v>
      </c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</row>
    <row r="88" spans="3:489" x14ac:dyDescent="0.25">
      <c r="C88" s="2" t="s">
        <v>166</v>
      </c>
      <c r="D88" s="45">
        <v>1</v>
      </c>
      <c r="F88" s="2" t="s">
        <v>461</v>
      </c>
      <c r="G88" s="45">
        <v>3</v>
      </c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</row>
    <row r="89" spans="3:489" x14ac:dyDescent="0.25">
      <c r="C89" s="2" t="s">
        <v>150</v>
      </c>
      <c r="D89" s="45">
        <v>1</v>
      </c>
      <c r="F89" s="2" t="s">
        <v>197</v>
      </c>
      <c r="G89" s="45">
        <v>3</v>
      </c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</row>
    <row r="90" spans="3:489" x14ac:dyDescent="0.25">
      <c r="C90" s="2" t="s">
        <v>284</v>
      </c>
      <c r="D90" s="45">
        <v>1</v>
      </c>
      <c r="F90" s="2" t="s">
        <v>623</v>
      </c>
      <c r="G90" s="45">
        <v>3</v>
      </c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</row>
    <row r="91" spans="3:489" x14ac:dyDescent="0.25">
      <c r="C91" s="2" t="s">
        <v>3662</v>
      </c>
      <c r="D91" s="45">
        <v>1</v>
      </c>
      <c r="F91" s="2" t="s">
        <v>157</v>
      </c>
      <c r="G91" s="45">
        <v>3</v>
      </c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</row>
    <row r="92" spans="3:489" x14ac:dyDescent="0.25">
      <c r="C92" s="2" t="s">
        <v>3698</v>
      </c>
      <c r="D92" s="45">
        <v>1</v>
      </c>
      <c r="F92" s="2" t="s">
        <v>131</v>
      </c>
      <c r="G92" s="45">
        <v>3</v>
      </c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</row>
    <row r="93" spans="3:489" x14ac:dyDescent="0.25">
      <c r="C93" s="2" t="s">
        <v>313</v>
      </c>
      <c r="D93" s="45">
        <v>1</v>
      </c>
      <c r="F93" s="2" t="s">
        <v>481</v>
      </c>
      <c r="G93" s="45">
        <v>3</v>
      </c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</row>
    <row r="94" spans="3:489" x14ac:dyDescent="0.25">
      <c r="C94" s="2" t="s">
        <v>174</v>
      </c>
      <c r="D94" s="45">
        <v>1</v>
      </c>
      <c r="F94" s="2" t="s">
        <v>207</v>
      </c>
      <c r="G94" s="45">
        <v>3</v>
      </c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</row>
    <row r="95" spans="3:489" x14ac:dyDescent="0.25">
      <c r="C95" s="2" t="s">
        <v>323</v>
      </c>
      <c r="D95" s="45">
        <v>1</v>
      </c>
      <c r="F95" s="2" t="s">
        <v>127</v>
      </c>
      <c r="G95" s="45">
        <v>3</v>
      </c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</row>
    <row r="96" spans="3:489" x14ac:dyDescent="0.25">
      <c r="C96" s="2" t="s">
        <v>310</v>
      </c>
      <c r="D96" s="45">
        <v>1</v>
      </c>
      <c r="F96" s="2" t="s">
        <v>163</v>
      </c>
      <c r="G96" s="45">
        <v>3</v>
      </c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</row>
    <row r="97" spans="3:489" x14ac:dyDescent="0.25">
      <c r="C97" s="2" t="s">
        <v>146</v>
      </c>
      <c r="D97" s="45">
        <v>1</v>
      </c>
      <c r="F97" s="2" t="s">
        <v>578</v>
      </c>
      <c r="G97" s="45">
        <v>3</v>
      </c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</row>
    <row r="98" spans="3:489" x14ac:dyDescent="0.25">
      <c r="C98" s="2" t="s">
        <v>186</v>
      </c>
      <c r="D98" s="45">
        <v>1</v>
      </c>
      <c r="F98" s="2" t="s">
        <v>88</v>
      </c>
      <c r="G98" s="45">
        <v>3</v>
      </c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</row>
    <row r="99" spans="3:489" x14ac:dyDescent="0.25">
      <c r="C99" s="2" t="s">
        <v>296</v>
      </c>
      <c r="D99" s="45">
        <v>1</v>
      </c>
      <c r="F99" s="2" t="s">
        <v>121</v>
      </c>
      <c r="G99" s="45">
        <v>3</v>
      </c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</row>
    <row r="100" spans="3:489" x14ac:dyDescent="0.25">
      <c r="C100" s="2" t="s">
        <v>190</v>
      </c>
      <c r="D100" s="45">
        <v>1</v>
      </c>
      <c r="F100" s="2" t="s">
        <v>965</v>
      </c>
      <c r="G100" s="45">
        <v>3</v>
      </c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</row>
    <row r="101" spans="3:489" x14ac:dyDescent="0.25">
      <c r="C101" s="2" t="s">
        <v>3679</v>
      </c>
      <c r="D101" s="45">
        <v>1</v>
      </c>
      <c r="F101" s="2" t="s">
        <v>238</v>
      </c>
      <c r="G101" s="45">
        <v>3</v>
      </c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</row>
    <row r="102" spans="3:489" x14ac:dyDescent="0.25">
      <c r="C102" s="2" t="s">
        <v>194</v>
      </c>
      <c r="D102" s="45">
        <v>1</v>
      </c>
      <c r="F102" s="2" t="s">
        <v>98</v>
      </c>
      <c r="G102" s="45">
        <v>3</v>
      </c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</row>
    <row r="103" spans="3:489" x14ac:dyDescent="0.25">
      <c r="C103" s="2" t="s">
        <v>301</v>
      </c>
      <c r="D103" s="45">
        <v>1</v>
      </c>
      <c r="F103" s="2" t="s">
        <v>129</v>
      </c>
      <c r="G103" s="45">
        <v>3</v>
      </c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</row>
    <row r="104" spans="3:489" x14ac:dyDescent="0.25">
      <c r="C104" s="2" t="s">
        <v>198</v>
      </c>
      <c r="D104" s="45">
        <v>1</v>
      </c>
      <c r="F104" s="2" t="s">
        <v>108</v>
      </c>
      <c r="G104" s="45">
        <v>3</v>
      </c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</row>
    <row r="105" spans="3:489" x14ac:dyDescent="0.25">
      <c r="C105" s="2" t="s">
        <v>53</v>
      </c>
      <c r="D105" s="45">
        <v>1</v>
      </c>
      <c r="F105" s="2" t="s">
        <v>143</v>
      </c>
      <c r="G105" s="45">
        <v>3</v>
      </c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</row>
    <row r="106" spans="3:489" x14ac:dyDescent="0.25">
      <c r="C106" s="2" t="s">
        <v>202</v>
      </c>
      <c r="D106" s="45">
        <v>1</v>
      </c>
      <c r="F106" s="2" t="s">
        <v>57</v>
      </c>
      <c r="G106" s="45">
        <v>3</v>
      </c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</row>
    <row r="107" spans="3:489" x14ac:dyDescent="0.25">
      <c r="C107" s="2" t="s">
        <v>309</v>
      </c>
      <c r="D107" s="45">
        <v>1</v>
      </c>
      <c r="F107" s="2" t="s">
        <v>60</v>
      </c>
      <c r="G107" s="45">
        <v>3</v>
      </c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</row>
    <row r="108" spans="3:489" x14ac:dyDescent="0.25">
      <c r="C108" s="2" t="s">
        <v>206</v>
      </c>
      <c r="D108" s="45">
        <v>1</v>
      </c>
      <c r="F108" s="2" t="s">
        <v>728</v>
      </c>
      <c r="G108" s="45">
        <v>3</v>
      </c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</row>
    <row r="109" spans="3:489" x14ac:dyDescent="0.25">
      <c r="C109" s="2" t="s">
        <v>325</v>
      </c>
      <c r="D109" s="45">
        <v>1</v>
      </c>
      <c r="F109" s="2" t="s">
        <v>483</v>
      </c>
      <c r="G109" s="45">
        <v>3</v>
      </c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</row>
    <row r="110" spans="3:489" x14ac:dyDescent="0.25">
      <c r="C110" s="2" t="s">
        <v>210</v>
      </c>
      <c r="D110" s="45">
        <v>1</v>
      </c>
      <c r="F110" s="2" t="s">
        <v>94</v>
      </c>
      <c r="G110" s="45">
        <v>2</v>
      </c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</row>
    <row r="111" spans="3:489" x14ac:dyDescent="0.25">
      <c r="C111" s="2" t="s">
        <v>333</v>
      </c>
      <c r="D111" s="45">
        <v>1</v>
      </c>
      <c r="F111" s="2" t="s">
        <v>115</v>
      </c>
      <c r="G111" s="45">
        <v>2</v>
      </c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</row>
    <row r="112" spans="3:489" x14ac:dyDescent="0.25">
      <c r="C112" s="2" t="s">
        <v>213</v>
      </c>
      <c r="D112" s="45">
        <v>1</v>
      </c>
      <c r="F112" s="2" t="s">
        <v>255</v>
      </c>
      <c r="G112" s="45">
        <v>2</v>
      </c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</row>
    <row r="113" spans="3:489" x14ac:dyDescent="0.25">
      <c r="C113" s="2" t="s">
        <v>331</v>
      </c>
      <c r="D113" s="45">
        <v>1</v>
      </c>
      <c r="F113" s="2" t="s">
        <v>546</v>
      </c>
      <c r="G113" s="45">
        <v>2</v>
      </c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</row>
    <row r="114" spans="3:489" x14ac:dyDescent="0.25">
      <c r="C114" s="2" t="s">
        <v>217</v>
      </c>
      <c r="D114" s="45">
        <v>1</v>
      </c>
      <c r="F114" s="2" t="s">
        <v>508</v>
      </c>
      <c r="G114" s="45">
        <v>2</v>
      </c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</row>
    <row r="115" spans="3:489" x14ac:dyDescent="0.25">
      <c r="C115" s="2" t="s">
        <v>345</v>
      </c>
      <c r="D115" s="45">
        <v>1</v>
      </c>
      <c r="F115" s="2" t="s">
        <v>250</v>
      </c>
      <c r="G115" s="45">
        <v>2</v>
      </c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</row>
    <row r="116" spans="3:489" x14ac:dyDescent="0.25">
      <c r="C116" s="2" t="s">
        <v>237</v>
      </c>
      <c r="D116" s="45">
        <v>1</v>
      </c>
      <c r="F116" s="2" t="s">
        <v>199</v>
      </c>
      <c r="G116" s="45">
        <v>2</v>
      </c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</row>
    <row r="117" spans="3:489" x14ac:dyDescent="0.25">
      <c r="C117" s="2" t="s">
        <v>3844</v>
      </c>
      <c r="D117" s="45">
        <v>1</v>
      </c>
      <c r="F117" s="2" t="s">
        <v>533</v>
      </c>
      <c r="G117" s="45">
        <v>2</v>
      </c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</row>
    <row r="118" spans="3:489" x14ac:dyDescent="0.25">
      <c r="C118" s="2" t="s">
        <v>225</v>
      </c>
      <c r="D118" s="45">
        <v>1</v>
      </c>
      <c r="F118" s="2" t="s">
        <v>1323</v>
      </c>
      <c r="G118" s="45">
        <v>2</v>
      </c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</row>
    <row r="119" spans="3:489" x14ac:dyDescent="0.25">
      <c r="C119" s="2" t="s">
        <v>334</v>
      </c>
      <c r="D119" s="45">
        <v>1</v>
      </c>
      <c r="F119" s="2" t="s">
        <v>3502</v>
      </c>
      <c r="G119" s="45">
        <v>2</v>
      </c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</row>
    <row r="120" spans="3:489" x14ac:dyDescent="0.25">
      <c r="C120" s="2" t="s">
        <v>3665</v>
      </c>
      <c r="D120" s="45">
        <v>1</v>
      </c>
      <c r="F120" s="2" t="s">
        <v>135</v>
      </c>
      <c r="G120" s="45">
        <v>2</v>
      </c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</row>
    <row r="121" spans="3:489" x14ac:dyDescent="0.25">
      <c r="C121" s="2" t="s">
        <v>344</v>
      </c>
      <c r="D121" s="45">
        <v>1</v>
      </c>
      <c r="F121" s="2" t="s">
        <v>3508</v>
      </c>
      <c r="G121" s="45">
        <v>2</v>
      </c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</row>
    <row r="122" spans="3:489" x14ac:dyDescent="0.25">
      <c r="C122" s="2" t="s">
        <v>256</v>
      </c>
      <c r="D122" s="45">
        <v>1</v>
      </c>
      <c r="F122" s="2" t="s">
        <v>189</v>
      </c>
      <c r="G122" s="45">
        <v>2</v>
      </c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</row>
    <row r="123" spans="3:489" x14ac:dyDescent="0.25">
      <c r="C123" s="2" t="s">
        <v>152</v>
      </c>
      <c r="D123" s="45">
        <v>1</v>
      </c>
      <c r="F123" s="2" t="s">
        <v>123</v>
      </c>
      <c r="G123" s="45">
        <v>2</v>
      </c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</row>
    <row r="124" spans="3:489" x14ac:dyDescent="0.25">
      <c r="C124" s="2" t="s">
        <v>3667</v>
      </c>
      <c r="D124" s="45">
        <v>1</v>
      </c>
      <c r="F124" s="2" t="s">
        <v>251</v>
      </c>
      <c r="G124" s="45">
        <v>2</v>
      </c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</row>
    <row r="125" spans="3:489" x14ac:dyDescent="0.25">
      <c r="C125" s="2" t="s">
        <v>298</v>
      </c>
      <c r="D125" s="45">
        <v>1</v>
      </c>
      <c r="F125" s="2" t="s">
        <v>277</v>
      </c>
      <c r="G125" s="45">
        <v>2</v>
      </c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</row>
    <row r="126" spans="3:489" x14ac:dyDescent="0.25">
      <c r="C126" s="2" t="s">
        <v>3668</v>
      </c>
      <c r="D126" s="45">
        <v>1</v>
      </c>
      <c r="F126" s="2" t="s">
        <v>960</v>
      </c>
      <c r="G126" s="45">
        <v>2</v>
      </c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</row>
    <row r="127" spans="3:489" x14ac:dyDescent="0.25">
      <c r="C127" s="2" t="s">
        <v>303</v>
      </c>
      <c r="D127" s="45">
        <v>1</v>
      </c>
      <c r="F127" s="2" t="s">
        <v>3658</v>
      </c>
      <c r="G127" s="45">
        <v>2</v>
      </c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</row>
    <row r="128" spans="3:489" x14ac:dyDescent="0.25">
      <c r="C128" s="2" t="s">
        <v>233</v>
      </c>
      <c r="D128" s="45">
        <v>1</v>
      </c>
      <c r="F128" s="2" t="s">
        <v>3563</v>
      </c>
      <c r="G128" s="45">
        <v>2</v>
      </c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</row>
    <row r="129" spans="3:489" x14ac:dyDescent="0.25">
      <c r="C129" s="2" t="s">
        <v>278</v>
      </c>
      <c r="D129" s="45">
        <v>1</v>
      </c>
      <c r="F129" s="2" t="s">
        <v>151</v>
      </c>
      <c r="G129" s="45">
        <v>2</v>
      </c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</row>
    <row r="130" spans="3:489" x14ac:dyDescent="0.25">
      <c r="C130" s="2" t="s">
        <v>3664</v>
      </c>
      <c r="D130" s="45">
        <v>1</v>
      </c>
      <c r="F130" s="2" t="s">
        <v>3636</v>
      </c>
      <c r="G130" s="45">
        <v>2</v>
      </c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</row>
    <row r="131" spans="3:489" x14ac:dyDescent="0.25">
      <c r="C131" s="2" t="s">
        <v>286</v>
      </c>
      <c r="D131" s="45">
        <v>1</v>
      </c>
      <c r="F131" s="2" t="s">
        <v>289</v>
      </c>
      <c r="G131" s="45">
        <v>2</v>
      </c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</row>
    <row r="132" spans="3:489" x14ac:dyDescent="0.25">
      <c r="C132" s="2" t="s">
        <v>3669</v>
      </c>
      <c r="D132" s="45">
        <v>1</v>
      </c>
      <c r="F132" s="2" t="s">
        <v>456</v>
      </c>
      <c r="G132" s="45">
        <v>2</v>
      </c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</row>
    <row r="133" spans="3:489" x14ac:dyDescent="0.25">
      <c r="C133" s="2" t="s">
        <v>231</v>
      </c>
      <c r="D133" s="45">
        <v>1</v>
      </c>
      <c r="F133" s="2" t="s">
        <v>86</v>
      </c>
      <c r="G133" s="45">
        <v>2</v>
      </c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</row>
    <row r="134" spans="3:489" x14ac:dyDescent="0.25">
      <c r="C134" s="2" t="s">
        <v>241</v>
      </c>
      <c r="D134" s="45">
        <v>1</v>
      </c>
      <c r="F134" s="2" t="s">
        <v>815</v>
      </c>
      <c r="G134" s="45">
        <v>2</v>
      </c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</row>
    <row r="135" spans="3:489" x14ac:dyDescent="0.25">
      <c r="C135" s="2" t="s">
        <v>227</v>
      </c>
      <c r="D135" s="45">
        <v>1</v>
      </c>
      <c r="F135" s="2" t="s">
        <v>3754</v>
      </c>
      <c r="G135" s="45">
        <v>2</v>
      </c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</row>
    <row r="136" spans="3:489" x14ac:dyDescent="0.25">
      <c r="C136" s="2" t="s">
        <v>245</v>
      </c>
      <c r="D136" s="45">
        <v>1</v>
      </c>
      <c r="F136" s="2" t="s">
        <v>92</v>
      </c>
      <c r="G136" s="45">
        <v>2</v>
      </c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</row>
    <row r="137" spans="3:489" x14ac:dyDescent="0.25">
      <c r="C137" s="2" t="s">
        <v>142</v>
      </c>
      <c r="D137" s="45">
        <v>1</v>
      </c>
      <c r="F137" s="2" t="s">
        <v>102</v>
      </c>
      <c r="G137" s="45">
        <v>2</v>
      </c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</row>
    <row r="138" spans="3:489" x14ac:dyDescent="0.25">
      <c r="C138" s="2" t="s">
        <v>249</v>
      </c>
      <c r="D138" s="45">
        <v>1</v>
      </c>
      <c r="F138" s="2" t="s">
        <v>226</v>
      </c>
      <c r="G138" s="45">
        <v>2</v>
      </c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</row>
    <row r="139" spans="3:489" x14ac:dyDescent="0.25">
      <c r="C139" s="2" t="s">
        <v>243</v>
      </c>
      <c r="D139" s="45">
        <v>1</v>
      </c>
      <c r="F139" s="2" t="s">
        <v>575</v>
      </c>
      <c r="G139" s="45">
        <v>2</v>
      </c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</row>
    <row r="140" spans="3:489" x14ac:dyDescent="0.25">
      <c r="C140" s="2" t="s">
        <v>3666</v>
      </c>
      <c r="D140" s="45">
        <v>1</v>
      </c>
      <c r="F140" s="2" t="s">
        <v>853</v>
      </c>
      <c r="G140" s="45">
        <v>2</v>
      </c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</row>
    <row r="141" spans="3:489" x14ac:dyDescent="0.25">
      <c r="C141" s="2" t="s">
        <v>329</v>
      </c>
      <c r="D141" s="45">
        <v>1</v>
      </c>
      <c r="F141" s="2" t="s">
        <v>449</v>
      </c>
      <c r="G141" s="45">
        <v>2</v>
      </c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</row>
    <row r="142" spans="3:489" x14ac:dyDescent="0.25">
      <c r="C142" s="2" t="s">
        <v>272</v>
      </c>
      <c r="D142" s="45">
        <v>1</v>
      </c>
      <c r="F142" s="2" t="s">
        <v>3626</v>
      </c>
      <c r="G142" s="45">
        <v>2</v>
      </c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</row>
    <row r="143" spans="3:489" x14ac:dyDescent="0.25">
      <c r="C143" s="2" t="s">
        <v>3690</v>
      </c>
      <c r="D143" s="45">
        <v>1</v>
      </c>
      <c r="F143" s="2" t="s">
        <v>1289</v>
      </c>
      <c r="G143" s="45">
        <v>2</v>
      </c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</row>
    <row r="144" spans="3:489" x14ac:dyDescent="0.25">
      <c r="C144" s="2" t="s">
        <v>260</v>
      </c>
      <c r="D144" s="45">
        <v>1</v>
      </c>
      <c r="F144" s="2" t="s">
        <v>111</v>
      </c>
      <c r="G144" s="45">
        <v>2</v>
      </c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</row>
    <row r="145" spans="3:489" x14ac:dyDescent="0.25">
      <c r="C145" s="2" t="s">
        <v>335</v>
      </c>
      <c r="D145" s="45">
        <v>1</v>
      </c>
      <c r="F145" s="2" t="s">
        <v>3550</v>
      </c>
      <c r="G145" s="45">
        <v>2</v>
      </c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</row>
    <row r="146" spans="3:489" x14ac:dyDescent="0.25">
      <c r="C146" s="2" t="s">
        <v>320</v>
      </c>
      <c r="D146" s="45">
        <v>1</v>
      </c>
      <c r="F146" s="2" t="s">
        <v>493</v>
      </c>
      <c r="G146" s="45">
        <v>2</v>
      </c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</row>
    <row r="147" spans="3:489" x14ac:dyDescent="0.25">
      <c r="C147" s="2" t="s">
        <v>266</v>
      </c>
      <c r="D147" s="45">
        <v>1</v>
      </c>
      <c r="F147" s="2" t="s">
        <v>96</v>
      </c>
      <c r="G147" s="45">
        <v>2</v>
      </c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</row>
    <row r="148" spans="3:489" x14ac:dyDescent="0.25">
      <c r="C148" s="2" t="s">
        <v>268</v>
      </c>
      <c r="D148" s="45">
        <v>1</v>
      </c>
      <c r="F148" s="2" t="s">
        <v>234</v>
      </c>
      <c r="G148" s="45">
        <v>2</v>
      </c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</row>
    <row r="149" spans="3:489" x14ac:dyDescent="0.25">
      <c r="C149" s="2" t="s">
        <v>343</v>
      </c>
      <c r="D149" s="45">
        <v>1</v>
      </c>
      <c r="F149" s="2" t="s">
        <v>838</v>
      </c>
      <c r="G149" s="45">
        <v>2</v>
      </c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</row>
    <row r="150" spans="3:489" x14ac:dyDescent="0.25">
      <c r="C150" s="2" t="s">
        <v>276</v>
      </c>
      <c r="D150" s="45">
        <v>1</v>
      </c>
      <c r="F150" s="2" t="s">
        <v>672</v>
      </c>
      <c r="G150" s="45">
        <v>2</v>
      </c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</row>
    <row r="151" spans="3:489" x14ac:dyDescent="0.25">
      <c r="C151" s="2" t="s">
        <v>262</v>
      </c>
      <c r="D151" s="45">
        <v>1</v>
      </c>
      <c r="F151" s="2" t="s">
        <v>806</v>
      </c>
      <c r="G151" s="45">
        <v>2</v>
      </c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</row>
    <row r="152" spans="3:489" x14ac:dyDescent="0.25">
      <c r="C152" s="2" t="s">
        <v>280</v>
      </c>
      <c r="D152" s="45">
        <v>1</v>
      </c>
      <c r="F152" s="2" t="s">
        <v>600</v>
      </c>
      <c r="G152" s="45">
        <v>2</v>
      </c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</row>
    <row r="153" spans="3:489" x14ac:dyDescent="0.25">
      <c r="C153" s="2" t="s">
        <v>3840</v>
      </c>
      <c r="D153" s="45">
        <v>1</v>
      </c>
      <c r="F153" s="2" t="s">
        <v>283</v>
      </c>
      <c r="G153" s="45">
        <v>2</v>
      </c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</row>
    <row r="154" spans="3:489" x14ac:dyDescent="0.25">
      <c r="C154" s="2" t="s">
        <v>3673</v>
      </c>
      <c r="D154" s="45">
        <v>1</v>
      </c>
      <c r="F154" s="2" t="s">
        <v>611</v>
      </c>
      <c r="G154" s="45">
        <v>2</v>
      </c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</row>
    <row r="155" spans="3:489" x14ac:dyDescent="0.25">
      <c r="C155" s="2" t="s">
        <v>200</v>
      </c>
      <c r="D155" s="45">
        <v>1</v>
      </c>
      <c r="F155" s="2" t="s">
        <v>179</v>
      </c>
      <c r="G155" s="45">
        <v>2</v>
      </c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</row>
    <row r="156" spans="3:489" x14ac:dyDescent="0.25">
      <c r="C156" s="2" t="s">
        <v>288</v>
      </c>
      <c r="D156" s="45">
        <v>1</v>
      </c>
      <c r="F156" s="2" t="s">
        <v>719</v>
      </c>
      <c r="G156" s="45">
        <v>1</v>
      </c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</row>
    <row r="157" spans="3:489" x14ac:dyDescent="0.25">
      <c r="C157" s="2" t="s">
        <v>158</v>
      </c>
      <c r="D157" s="45">
        <v>1</v>
      </c>
      <c r="F157" s="2" t="s">
        <v>3510</v>
      </c>
      <c r="G157" s="45">
        <v>1</v>
      </c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</row>
    <row r="158" spans="3:489" x14ac:dyDescent="0.25">
      <c r="C158" s="2" t="s">
        <v>292</v>
      </c>
      <c r="D158" s="45">
        <v>1</v>
      </c>
      <c r="F158" s="2" t="s">
        <v>3768</v>
      </c>
      <c r="G158" s="45">
        <v>1</v>
      </c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</row>
    <row r="159" spans="3:489" x14ac:dyDescent="0.25">
      <c r="C159" s="2" t="s">
        <v>3699</v>
      </c>
      <c r="D159" s="45">
        <v>1</v>
      </c>
      <c r="F159" s="2" t="s">
        <v>650</v>
      </c>
      <c r="G159" s="45">
        <v>1</v>
      </c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</row>
    <row r="160" spans="3:489" x14ac:dyDescent="0.25">
      <c r="C160" s="2" t="s">
        <v>3676</v>
      </c>
      <c r="D160" s="45">
        <v>1</v>
      </c>
      <c r="F160" s="2" t="s">
        <v>3727</v>
      </c>
      <c r="G160" s="45">
        <v>1</v>
      </c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</row>
    <row r="161" spans="3:489" x14ac:dyDescent="0.25">
      <c r="C161" s="2" t="s">
        <v>172</v>
      </c>
      <c r="D161" s="45">
        <v>1</v>
      </c>
      <c r="F161" s="2" t="s">
        <v>905</v>
      </c>
      <c r="G161" s="45">
        <v>1</v>
      </c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</row>
    <row r="162" spans="3:489" x14ac:dyDescent="0.25">
      <c r="C162" s="2" t="s">
        <v>353</v>
      </c>
      <c r="D162" s="45">
        <v>1</v>
      </c>
      <c r="F162" s="2" t="s">
        <v>926</v>
      </c>
      <c r="G162" s="45">
        <v>1</v>
      </c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</row>
    <row r="163" spans="3:489" x14ac:dyDescent="0.25">
      <c r="C163" s="2" t="s">
        <v>350</v>
      </c>
      <c r="D163" s="45">
        <v>1</v>
      </c>
      <c r="F163" s="2" t="s">
        <v>181</v>
      </c>
      <c r="G163" s="45">
        <v>1</v>
      </c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</row>
    <row r="164" spans="3:489" x14ac:dyDescent="0.25">
      <c r="C164" s="2" t="s">
        <v>352</v>
      </c>
      <c r="D164" s="45">
        <v>1</v>
      </c>
      <c r="F164" s="2" t="s">
        <v>222</v>
      </c>
      <c r="G164" s="45">
        <v>1</v>
      </c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</row>
    <row r="165" spans="3:489" x14ac:dyDescent="0.25">
      <c r="C165" s="2" t="s">
        <v>290</v>
      </c>
      <c r="D165" s="45">
        <v>1</v>
      </c>
      <c r="F165" s="2" t="s">
        <v>253</v>
      </c>
      <c r="G165" s="45">
        <v>1</v>
      </c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</row>
    <row r="166" spans="3:489" x14ac:dyDescent="0.25">
      <c r="C166" s="2" t="s">
        <v>302</v>
      </c>
      <c r="D166" s="45">
        <v>1</v>
      </c>
      <c r="F166" s="2" t="s">
        <v>3504</v>
      </c>
      <c r="G166" s="45">
        <v>1</v>
      </c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  <c r="QY166"/>
      <c r="QZ166"/>
      <c r="RA166"/>
      <c r="RB166"/>
      <c r="RC166"/>
      <c r="RD166"/>
      <c r="RE166"/>
      <c r="RF166"/>
      <c r="RG166"/>
      <c r="RH166"/>
      <c r="RI166"/>
      <c r="RJ166"/>
      <c r="RK166"/>
      <c r="RL166"/>
      <c r="RM166"/>
      <c r="RN166"/>
      <c r="RO166"/>
      <c r="RP166"/>
      <c r="RQ166"/>
      <c r="RR166"/>
      <c r="RS166"/>
      <c r="RT166"/>
      <c r="RU166"/>
    </row>
    <row r="167" spans="3:489" x14ac:dyDescent="0.25">
      <c r="C167" s="2" t="s">
        <v>294</v>
      </c>
      <c r="D167" s="45">
        <v>1</v>
      </c>
      <c r="F167" s="2" t="s">
        <v>3812</v>
      </c>
      <c r="G167" s="45">
        <v>1</v>
      </c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  <c r="QY167"/>
      <c r="QZ167"/>
      <c r="RA167"/>
      <c r="RB167"/>
      <c r="RC167"/>
      <c r="RD167"/>
      <c r="RE167"/>
      <c r="RF167"/>
      <c r="RG167"/>
      <c r="RH167"/>
      <c r="RI167"/>
      <c r="RJ167"/>
      <c r="RK167"/>
      <c r="RL167"/>
      <c r="RM167"/>
      <c r="RN167"/>
      <c r="RO167"/>
      <c r="RP167"/>
      <c r="RQ167"/>
      <c r="RR167"/>
      <c r="RS167"/>
      <c r="RT167"/>
      <c r="RU167"/>
    </row>
    <row r="168" spans="3:489" x14ac:dyDescent="0.25">
      <c r="C168" s="2" t="s">
        <v>317</v>
      </c>
      <c r="D168" s="45">
        <v>1</v>
      </c>
      <c r="F168" s="2" t="s">
        <v>958</v>
      </c>
      <c r="G168" s="45">
        <v>1</v>
      </c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  <c r="QY168"/>
      <c r="QZ168"/>
      <c r="RA168"/>
      <c r="RB168"/>
      <c r="RC168"/>
      <c r="RD168"/>
      <c r="RE168"/>
      <c r="RF168"/>
      <c r="RG168"/>
      <c r="RH168"/>
      <c r="RI168"/>
      <c r="RJ168"/>
      <c r="RK168"/>
      <c r="RL168"/>
      <c r="RM168"/>
      <c r="RN168"/>
      <c r="RO168"/>
      <c r="RP168"/>
      <c r="RQ168"/>
      <c r="RR168"/>
      <c r="RS168"/>
      <c r="RT168"/>
      <c r="RU168"/>
    </row>
    <row r="169" spans="3:489" x14ac:dyDescent="0.25">
      <c r="C169" s="2" t="s">
        <v>215</v>
      </c>
      <c r="D169" s="45">
        <v>1</v>
      </c>
      <c r="F169" s="2" t="s">
        <v>191</v>
      </c>
      <c r="G169" s="45">
        <v>1</v>
      </c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  <c r="QY169"/>
      <c r="QZ169"/>
      <c r="RA169"/>
      <c r="RB169"/>
      <c r="RC169"/>
      <c r="RD169"/>
      <c r="RE169"/>
      <c r="RF169"/>
      <c r="RG169"/>
      <c r="RH169"/>
      <c r="RI169"/>
      <c r="RJ169"/>
      <c r="RK169"/>
      <c r="RL169"/>
      <c r="RM169"/>
      <c r="RN169"/>
      <c r="RO169"/>
      <c r="RP169"/>
      <c r="RQ169"/>
      <c r="RR169"/>
      <c r="RS169"/>
      <c r="RT169"/>
      <c r="RU169"/>
    </row>
    <row r="170" spans="3:489" x14ac:dyDescent="0.25">
      <c r="C170" s="2" t="s">
        <v>3678</v>
      </c>
      <c r="D170" s="45">
        <v>1</v>
      </c>
      <c r="F170" s="2" t="s">
        <v>640</v>
      </c>
      <c r="G170" s="45">
        <v>1</v>
      </c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  <c r="QY170"/>
      <c r="QZ170"/>
      <c r="RA170"/>
      <c r="RB170"/>
      <c r="RC170"/>
      <c r="RD170"/>
      <c r="RE170"/>
      <c r="RF170"/>
      <c r="RG170"/>
      <c r="RH170"/>
      <c r="RI170"/>
      <c r="RJ170"/>
      <c r="RK170"/>
      <c r="RL170"/>
      <c r="RM170"/>
      <c r="RN170"/>
      <c r="RO170"/>
      <c r="RP170"/>
      <c r="RQ170"/>
      <c r="RR170"/>
      <c r="RS170"/>
      <c r="RT170"/>
      <c r="RU170"/>
    </row>
    <row r="171" spans="3:489" x14ac:dyDescent="0.25">
      <c r="C171" s="2" t="s">
        <v>176</v>
      </c>
      <c r="D171" s="45">
        <v>1</v>
      </c>
      <c r="F171" s="2" t="s">
        <v>1330</v>
      </c>
      <c r="G171" s="45">
        <v>1</v>
      </c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  <c r="QY171"/>
      <c r="QZ171"/>
      <c r="RA171"/>
      <c r="RB171"/>
      <c r="RC171"/>
      <c r="RD171"/>
      <c r="RE171"/>
      <c r="RF171"/>
      <c r="RG171"/>
      <c r="RH171"/>
      <c r="RI171"/>
      <c r="RJ171"/>
      <c r="RK171"/>
      <c r="RL171"/>
      <c r="RM171"/>
      <c r="RN171"/>
      <c r="RO171"/>
      <c r="RP171"/>
      <c r="RQ171"/>
      <c r="RR171"/>
      <c r="RS171"/>
      <c r="RT171"/>
      <c r="RU171"/>
    </row>
    <row r="172" spans="3:489" x14ac:dyDescent="0.25">
      <c r="C172" s="2" t="s">
        <v>361</v>
      </c>
      <c r="D172" s="45">
        <v>1</v>
      </c>
      <c r="F172" s="2" t="s">
        <v>224</v>
      </c>
      <c r="G172" s="45">
        <v>1</v>
      </c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  <c r="QY172"/>
      <c r="QZ172"/>
      <c r="RA172"/>
      <c r="RB172"/>
      <c r="RC172"/>
      <c r="RD172"/>
      <c r="RE172"/>
      <c r="RF172"/>
      <c r="RG172"/>
      <c r="RH172"/>
      <c r="RI172"/>
      <c r="RJ172"/>
      <c r="RK172"/>
      <c r="RL172"/>
      <c r="RM172"/>
      <c r="RN172"/>
      <c r="RO172"/>
      <c r="RP172"/>
      <c r="RQ172"/>
      <c r="RR172"/>
      <c r="RS172"/>
      <c r="RT172"/>
      <c r="RU172"/>
    </row>
    <row r="173" spans="3:489" x14ac:dyDescent="0.25">
      <c r="C173" s="2" t="s">
        <v>219</v>
      </c>
      <c r="D173" s="45">
        <v>1</v>
      </c>
      <c r="F173" s="2" t="s">
        <v>732</v>
      </c>
      <c r="G173" s="45">
        <v>1</v>
      </c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  <c r="QY173"/>
      <c r="QZ173"/>
      <c r="RA173"/>
      <c r="RB173"/>
      <c r="RC173"/>
      <c r="RD173"/>
      <c r="RE173"/>
      <c r="RF173"/>
      <c r="RG173"/>
      <c r="RH173"/>
      <c r="RI173"/>
      <c r="RJ173"/>
      <c r="RK173"/>
      <c r="RL173"/>
      <c r="RM173"/>
      <c r="RN173"/>
      <c r="RO173"/>
      <c r="RP173"/>
      <c r="RQ173"/>
      <c r="RR173"/>
      <c r="RS173"/>
      <c r="RT173"/>
      <c r="RU173"/>
    </row>
    <row r="174" spans="3:489" x14ac:dyDescent="0.25">
      <c r="C174" s="2" t="s">
        <v>3682</v>
      </c>
      <c r="D174" s="45">
        <v>1</v>
      </c>
      <c r="F174" s="2" t="s">
        <v>1338</v>
      </c>
      <c r="G174" s="45">
        <v>1</v>
      </c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  <c r="QY174"/>
      <c r="QZ174"/>
      <c r="RA174"/>
      <c r="RB174"/>
      <c r="RC174"/>
      <c r="RD174"/>
      <c r="RE174"/>
      <c r="RF174"/>
      <c r="RG174"/>
      <c r="RH174"/>
      <c r="RI174"/>
      <c r="RJ174"/>
      <c r="RK174"/>
      <c r="RL174"/>
      <c r="RM174"/>
      <c r="RN174"/>
      <c r="RO174"/>
      <c r="RP174"/>
      <c r="RQ174"/>
      <c r="RR174"/>
      <c r="RS174"/>
      <c r="RT174"/>
      <c r="RU174"/>
    </row>
    <row r="175" spans="3:489" x14ac:dyDescent="0.25">
      <c r="C175" s="2" t="s">
        <v>156</v>
      </c>
      <c r="D175" s="45">
        <v>1</v>
      </c>
      <c r="F175" s="2" t="s">
        <v>883</v>
      </c>
      <c r="G175" s="45">
        <v>1</v>
      </c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  <c r="QY175"/>
      <c r="QZ175"/>
      <c r="RA175"/>
      <c r="RB175"/>
      <c r="RC175"/>
      <c r="RD175"/>
      <c r="RE175"/>
      <c r="RF175"/>
      <c r="RG175"/>
      <c r="RH175"/>
      <c r="RI175"/>
      <c r="RJ175"/>
      <c r="RK175"/>
      <c r="RL175"/>
      <c r="RM175"/>
      <c r="RN175"/>
      <c r="RO175"/>
      <c r="RP175"/>
      <c r="RQ175"/>
      <c r="RR175"/>
      <c r="RS175"/>
      <c r="RT175"/>
      <c r="RU175"/>
    </row>
    <row r="176" spans="3:489" x14ac:dyDescent="0.25">
      <c r="C176" s="2" t="s">
        <v>362</v>
      </c>
      <c r="D176" s="45">
        <v>1</v>
      </c>
      <c r="F176" s="2" t="s">
        <v>145</v>
      </c>
      <c r="G176" s="45">
        <v>1</v>
      </c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  <c r="QY176"/>
      <c r="QZ176"/>
      <c r="RA176"/>
      <c r="RB176"/>
      <c r="RC176"/>
      <c r="RD176"/>
      <c r="RE176"/>
      <c r="RF176"/>
      <c r="RG176"/>
      <c r="RH176"/>
      <c r="RI176"/>
      <c r="RJ176"/>
      <c r="RK176"/>
      <c r="RL176"/>
      <c r="RM176"/>
      <c r="RN176"/>
      <c r="RO176"/>
      <c r="RP176"/>
      <c r="RQ176"/>
      <c r="RR176"/>
      <c r="RS176"/>
      <c r="RT176"/>
      <c r="RU176"/>
    </row>
    <row r="177" spans="3:489" x14ac:dyDescent="0.25">
      <c r="C177" s="2" t="s">
        <v>223</v>
      </c>
      <c r="D177" s="45">
        <v>1</v>
      </c>
      <c r="F177" s="2" t="s">
        <v>3747</v>
      </c>
      <c r="G177" s="45">
        <v>1</v>
      </c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  <c r="QY177"/>
      <c r="QZ177"/>
      <c r="RA177"/>
      <c r="RB177"/>
      <c r="RC177"/>
      <c r="RD177"/>
      <c r="RE177"/>
      <c r="RF177"/>
      <c r="RG177"/>
      <c r="RH177"/>
      <c r="RI177"/>
      <c r="RJ177"/>
      <c r="RK177"/>
      <c r="RL177"/>
      <c r="RM177"/>
      <c r="RN177"/>
      <c r="RO177"/>
      <c r="RP177"/>
      <c r="RQ177"/>
      <c r="RR177"/>
      <c r="RS177"/>
      <c r="RT177"/>
      <c r="RU177"/>
    </row>
    <row r="178" spans="3:489" x14ac:dyDescent="0.25">
      <c r="C178" s="2" t="s">
        <v>312</v>
      </c>
      <c r="D178" s="45">
        <v>1</v>
      </c>
      <c r="F178" s="2" t="s">
        <v>1318</v>
      </c>
      <c r="G178" s="45">
        <v>1</v>
      </c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  <c r="QY178"/>
      <c r="QZ178"/>
      <c r="RA178"/>
      <c r="RB178"/>
      <c r="RC178"/>
      <c r="RD178"/>
      <c r="RE178"/>
      <c r="RF178"/>
      <c r="RG178"/>
      <c r="RH178"/>
      <c r="RI178"/>
      <c r="RJ178"/>
      <c r="RK178"/>
      <c r="RL178"/>
      <c r="RM178"/>
      <c r="RN178"/>
      <c r="RO178"/>
      <c r="RP178"/>
      <c r="RQ178"/>
      <c r="RR178"/>
      <c r="RS178"/>
      <c r="RT178"/>
      <c r="RU178"/>
    </row>
    <row r="179" spans="3:489" x14ac:dyDescent="0.25">
      <c r="C179" s="2" t="s">
        <v>208</v>
      </c>
      <c r="D179" s="45">
        <v>1</v>
      </c>
      <c r="F179" s="2" t="s">
        <v>3497</v>
      </c>
      <c r="G179" s="45">
        <v>1</v>
      </c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  <c r="QY179"/>
      <c r="QZ179"/>
      <c r="RA179"/>
      <c r="RB179"/>
      <c r="RC179"/>
      <c r="RD179"/>
      <c r="RE179"/>
      <c r="RF179"/>
      <c r="RG179"/>
      <c r="RH179"/>
      <c r="RI179"/>
      <c r="RJ179"/>
      <c r="RK179"/>
      <c r="RL179"/>
      <c r="RM179"/>
      <c r="RN179"/>
      <c r="RO179"/>
      <c r="RP179"/>
      <c r="RQ179"/>
      <c r="RR179"/>
      <c r="RS179"/>
      <c r="RT179"/>
      <c r="RU179"/>
    </row>
    <row r="180" spans="3:489" x14ac:dyDescent="0.25">
      <c r="C180" s="2" t="s">
        <v>339</v>
      </c>
      <c r="D180" s="45">
        <v>1</v>
      </c>
      <c r="F180" s="2" t="s">
        <v>263</v>
      </c>
      <c r="G180" s="45">
        <v>1</v>
      </c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  <c r="QY180"/>
      <c r="QZ180"/>
      <c r="RA180"/>
      <c r="RB180"/>
      <c r="RC180"/>
      <c r="RD180"/>
      <c r="RE180"/>
      <c r="RF180"/>
      <c r="RG180"/>
      <c r="RH180"/>
      <c r="RI180"/>
      <c r="RJ180"/>
      <c r="RK180"/>
      <c r="RL180"/>
      <c r="RM180"/>
      <c r="RN180"/>
      <c r="RO180"/>
      <c r="RP180"/>
      <c r="RQ180"/>
      <c r="RR180"/>
      <c r="RS180"/>
      <c r="RT180"/>
      <c r="RU180"/>
    </row>
    <row r="181" spans="3:489" x14ac:dyDescent="0.25">
      <c r="C181" s="2" t="s">
        <v>3661</v>
      </c>
      <c r="D181" s="45">
        <v>1</v>
      </c>
      <c r="F181" s="2" t="s">
        <v>502</v>
      </c>
      <c r="G181" s="45">
        <v>1</v>
      </c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  <c r="QY181"/>
      <c r="QZ181"/>
      <c r="RA181"/>
      <c r="RB181"/>
      <c r="RC181"/>
      <c r="RD181"/>
      <c r="RE181"/>
      <c r="RF181"/>
      <c r="RG181"/>
      <c r="RH181"/>
      <c r="RI181"/>
      <c r="RJ181"/>
      <c r="RK181"/>
      <c r="RL181"/>
      <c r="RM181"/>
      <c r="RN181"/>
      <c r="RO181"/>
      <c r="RP181"/>
      <c r="RQ181"/>
      <c r="RR181"/>
      <c r="RS181"/>
      <c r="RT181"/>
      <c r="RU181"/>
    </row>
    <row r="182" spans="3:489" x14ac:dyDescent="0.25">
      <c r="C182" s="2" t="s">
        <v>3683</v>
      </c>
      <c r="D182" s="45">
        <v>1</v>
      </c>
      <c r="F182" s="2" t="s">
        <v>201</v>
      </c>
      <c r="G182" s="45">
        <v>1</v>
      </c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  <c r="QY182"/>
      <c r="QZ182"/>
      <c r="RA182"/>
      <c r="RB182"/>
      <c r="RC182"/>
      <c r="RD182"/>
      <c r="RE182"/>
      <c r="RF182"/>
      <c r="RG182"/>
      <c r="RH182"/>
      <c r="RI182"/>
      <c r="RJ182"/>
      <c r="RK182"/>
      <c r="RL182"/>
      <c r="RM182"/>
      <c r="RN182"/>
      <c r="RO182"/>
      <c r="RP182"/>
      <c r="RQ182"/>
      <c r="RR182"/>
      <c r="RS182"/>
      <c r="RT182"/>
      <c r="RU182"/>
    </row>
    <row r="183" spans="3:489" x14ac:dyDescent="0.25">
      <c r="C183" s="2" t="s">
        <v>319</v>
      </c>
      <c r="D183" s="45">
        <v>1</v>
      </c>
      <c r="F183" s="2" t="s">
        <v>297</v>
      </c>
      <c r="G183" s="45">
        <v>1</v>
      </c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  <c r="QY183"/>
      <c r="QZ183"/>
      <c r="RA183"/>
      <c r="RB183"/>
      <c r="RC183"/>
      <c r="RD183"/>
      <c r="RE183"/>
      <c r="RF183"/>
      <c r="RG183"/>
      <c r="RH183"/>
      <c r="RI183"/>
      <c r="RJ183"/>
      <c r="RK183"/>
      <c r="RL183"/>
      <c r="RM183"/>
      <c r="RN183"/>
      <c r="RO183"/>
      <c r="RP183"/>
      <c r="RQ183"/>
      <c r="RR183"/>
      <c r="RS183"/>
      <c r="RT183"/>
      <c r="RU183"/>
    </row>
    <row r="184" spans="3:489" x14ac:dyDescent="0.25">
      <c r="C184" s="2" t="s">
        <v>318</v>
      </c>
      <c r="D184" s="45">
        <v>1</v>
      </c>
      <c r="F184" s="2" t="s">
        <v>3764</v>
      </c>
      <c r="G184" s="45">
        <v>1</v>
      </c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  <c r="QY184"/>
      <c r="QZ184"/>
      <c r="RA184"/>
      <c r="RB184"/>
      <c r="RC184"/>
      <c r="RD184"/>
      <c r="RE184"/>
      <c r="RF184"/>
      <c r="RG184"/>
      <c r="RH184"/>
      <c r="RI184"/>
      <c r="RJ184"/>
      <c r="RK184"/>
      <c r="RL184"/>
      <c r="RM184"/>
      <c r="RN184"/>
      <c r="RO184"/>
      <c r="RP184"/>
      <c r="RQ184"/>
      <c r="RR184"/>
      <c r="RS184"/>
      <c r="RT184"/>
      <c r="RU184"/>
    </row>
    <row r="185" spans="3:489" x14ac:dyDescent="0.25">
      <c r="C185" s="2" t="s">
        <v>3672</v>
      </c>
      <c r="D185" s="45">
        <v>1</v>
      </c>
      <c r="F185" s="2" t="s">
        <v>625</v>
      </c>
      <c r="G185" s="45">
        <v>1</v>
      </c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  <c r="QY185"/>
      <c r="QZ185"/>
      <c r="RA185"/>
      <c r="RB185"/>
      <c r="RC185"/>
      <c r="RD185"/>
      <c r="RE185"/>
      <c r="RF185"/>
      <c r="RG185"/>
      <c r="RH185"/>
      <c r="RI185"/>
      <c r="RJ185"/>
      <c r="RK185"/>
      <c r="RL185"/>
      <c r="RM185"/>
      <c r="RN185"/>
      <c r="RO185"/>
      <c r="RP185"/>
      <c r="RQ185"/>
      <c r="RR185"/>
      <c r="RS185"/>
      <c r="RT185"/>
      <c r="RU185"/>
    </row>
    <row r="186" spans="3:489" x14ac:dyDescent="0.25">
      <c r="C186" s="2" t="s">
        <v>3687</v>
      </c>
      <c r="D186" s="45">
        <v>1</v>
      </c>
      <c r="F186" s="2" t="s">
        <v>560</v>
      </c>
      <c r="G186" s="45">
        <v>1</v>
      </c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  <c r="QY186"/>
      <c r="QZ186"/>
      <c r="RA186"/>
      <c r="RB186"/>
      <c r="RC186"/>
      <c r="RD186"/>
      <c r="RE186"/>
      <c r="RF186"/>
      <c r="RG186"/>
      <c r="RH186"/>
      <c r="RI186"/>
      <c r="RJ186"/>
      <c r="RK186"/>
      <c r="RL186"/>
      <c r="RM186"/>
      <c r="RN186"/>
      <c r="RO186"/>
      <c r="RP186"/>
      <c r="RQ186"/>
      <c r="RR186"/>
      <c r="RS186"/>
      <c r="RT186"/>
      <c r="RU186"/>
    </row>
    <row r="187" spans="3:489" x14ac:dyDescent="0.25">
      <c r="C187" s="2" t="s">
        <v>315</v>
      </c>
      <c r="D187" s="45">
        <v>1</v>
      </c>
      <c r="F187" s="2" t="s">
        <v>949</v>
      </c>
      <c r="G187" s="45">
        <v>1</v>
      </c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  <c r="QY187"/>
      <c r="QZ187"/>
      <c r="RA187"/>
      <c r="RB187"/>
      <c r="RC187"/>
      <c r="RD187"/>
      <c r="RE187"/>
      <c r="RF187"/>
      <c r="RG187"/>
      <c r="RH187"/>
      <c r="RI187"/>
      <c r="RJ187"/>
      <c r="RK187"/>
      <c r="RL187"/>
      <c r="RM187"/>
      <c r="RN187"/>
      <c r="RO187"/>
      <c r="RP187"/>
      <c r="RQ187"/>
      <c r="RR187"/>
      <c r="RS187"/>
      <c r="RT187"/>
      <c r="RU187"/>
    </row>
    <row r="188" spans="3:489" x14ac:dyDescent="0.25">
      <c r="C188" s="2" t="s">
        <v>178</v>
      </c>
      <c r="D188" s="45">
        <v>1</v>
      </c>
      <c r="F188" s="2" t="s">
        <v>220</v>
      </c>
      <c r="G188" s="45">
        <v>1</v>
      </c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  <c r="QY188"/>
      <c r="QZ188"/>
      <c r="RA188"/>
      <c r="RB188"/>
      <c r="RC188"/>
      <c r="RD188"/>
      <c r="RE188"/>
      <c r="RF188"/>
      <c r="RG188"/>
      <c r="RH188"/>
      <c r="RI188"/>
      <c r="RJ188"/>
      <c r="RK188"/>
      <c r="RL188"/>
      <c r="RM188"/>
      <c r="RN188"/>
      <c r="RO188"/>
      <c r="RP188"/>
      <c r="RQ188"/>
      <c r="RR188"/>
      <c r="RS188"/>
      <c r="RT188"/>
      <c r="RU188"/>
    </row>
    <row r="189" spans="3:489" x14ac:dyDescent="0.25">
      <c r="C189" s="2" t="s">
        <v>3670</v>
      </c>
      <c r="D189" s="45">
        <v>1</v>
      </c>
      <c r="F189" s="2" t="s">
        <v>293</v>
      </c>
      <c r="G189" s="45">
        <v>1</v>
      </c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  <c r="QY189"/>
      <c r="QZ189"/>
      <c r="RA189"/>
      <c r="RB189"/>
      <c r="RC189"/>
      <c r="RD189"/>
      <c r="RE189"/>
      <c r="RF189"/>
      <c r="RG189"/>
      <c r="RH189"/>
      <c r="RI189"/>
      <c r="RJ189"/>
      <c r="RK189"/>
      <c r="RL189"/>
      <c r="RM189"/>
      <c r="RN189"/>
      <c r="RO189"/>
      <c r="RP189"/>
      <c r="RQ189"/>
      <c r="RR189"/>
      <c r="RS189"/>
      <c r="RT189"/>
      <c r="RU189"/>
    </row>
    <row r="190" spans="3:489" x14ac:dyDescent="0.25">
      <c r="C190" s="2" t="s">
        <v>322</v>
      </c>
      <c r="D190" s="45">
        <v>1</v>
      </c>
      <c r="F190" s="2" t="s">
        <v>726</v>
      </c>
      <c r="G190" s="45">
        <v>1</v>
      </c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  <c r="QY190"/>
      <c r="QZ190"/>
      <c r="RA190"/>
      <c r="RB190"/>
      <c r="RC190"/>
      <c r="RD190"/>
      <c r="RE190"/>
      <c r="RF190"/>
      <c r="RG190"/>
      <c r="RH190"/>
      <c r="RI190"/>
      <c r="RJ190"/>
      <c r="RK190"/>
      <c r="RL190"/>
      <c r="RM190"/>
      <c r="RN190"/>
      <c r="RO190"/>
      <c r="RP190"/>
      <c r="RQ190"/>
      <c r="RR190"/>
      <c r="RS190"/>
      <c r="RT190"/>
      <c r="RU190"/>
    </row>
    <row r="191" spans="3:489" x14ac:dyDescent="0.25">
      <c r="C191" s="2" t="s">
        <v>3685</v>
      </c>
      <c r="D191" s="45">
        <v>1</v>
      </c>
      <c r="F191" s="2" t="s">
        <v>214</v>
      </c>
      <c r="G191" s="45">
        <v>1</v>
      </c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  <c r="QY191"/>
      <c r="QZ191"/>
      <c r="RA191"/>
      <c r="RB191"/>
      <c r="RC191"/>
      <c r="RD191"/>
      <c r="RE191"/>
      <c r="RF191"/>
      <c r="RG191"/>
      <c r="RH191"/>
      <c r="RI191"/>
      <c r="RJ191"/>
      <c r="RK191"/>
      <c r="RL191"/>
      <c r="RM191"/>
      <c r="RN191"/>
      <c r="RO191"/>
      <c r="RP191"/>
      <c r="RQ191"/>
      <c r="RR191"/>
      <c r="RS191"/>
      <c r="RT191"/>
      <c r="RU191"/>
    </row>
    <row r="192" spans="3:489" x14ac:dyDescent="0.25">
      <c r="C192" s="2" t="s">
        <v>324</v>
      </c>
      <c r="D192" s="45">
        <v>1</v>
      </c>
      <c r="F192" s="2" t="s">
        <v>529</v>
      </c>
      <c r="G192" s="45">
        <v>1</v>
      </c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  <c r="QY192"/>
      <c r="QZ192"/>
      <c r="RA192"/>
      <c r="RB192"/>
      <c r="RC192"/>
      <c r="RD192"/>
      <c r="RE192"/>
      <c r="RF192"/>
      <c r="RG192"/>
      <c r="RH192"/>
      <c r="RI192"/>
      <c r="RJ192"/>
      <c r="RK192"/>
      <c r="RL192"/>
      <c r="RM192"/>
      <c r="RN192"/>
      <c r="RO192"/>
      <c r="RP192"/>
      <c r="RQ192"/>
      <c r="RR192"/>
      <c r="RS192"/>
      <c r="RT192"/>
      <c r="RU192"/>
    </row>
    <row r="193" spans="3:489" x14ac:dyDescent="0.25">
      <c r="C193" s="2" t="s">
        <v>321</v>
      </c>
      <c r="D193" s="45">
        <v>1</v>
      </c>
      <c r="F193" s="2" t="s">
        <v>139</v>
      </c>
      <c r="G193" s="45">
        <v>1</v>
      </c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  <c r="QY193"/>
      <c r="QZ193"/>
      <c r="RA193"/>
      <c r="RB193"/>
      <c r="RC193"/>
      <c r="RD193"/>
      <c r="RE193"/>
      <c r="RF193"/>
      <c r="RG193"/>
      <c r="RH193"/>
      <c r="RI193"/>
      <c r="RJ193"/>
      <c r="RK193"/>
      <c r="RL193"/>
      <c r="RM193"/>
      <c r="RN193"/>
      <c r="RO193"/>
      <c r="RP193"/>
      <c r="RQ193"/>
      <c r="RR193"/>
      <c r="RS193"/>
      <c r="RT193"/>
      <c r="RU193"/>
    </row>
    <row r="194" spans="3:489" x14ac:dyDescent="0.25">
      <c r="C194" s="2" t="s">
        <v>326</v>
      </c>
      <c r="D194" s="45">
        <v>1</v>
      </c>
      <c r="F194" s="2" t="s">
        <v>796</v>
      </c>
      <c r="G194" s="45">
        <v>1</v>
      </c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  <c r="QY194"/>
      <c r="QZ194"/>
      <c r="RA194"/>
      <c r="RB194"/>
      <c r="RC194"/>
      <c r="RD194"/>
      <c r="RE194"/>
      <c r="RF194"/>
      <c r="RG194"/>
      <c r="RH194"/>
      <c r="RI194"/>
      <c r="RJ194"/>
      <c r="RK194"/>
      <c r="RL194"/>
      <c r="RM194"/>
      <c r="RN194"/>
      <c r="RO194"/>
      <c r="RP194"/>
      <c r="RQ194"/>
      <c r="RR194"/>
      <c r="RS194"/>
      <c r="RT194"/>
      <c r="RU194"/>
    </row>
    <row r="195" spans="3:489" x14ac:dyDescent="0.25">
      <c r="C195" s="2" t="s">
        <v>184</v>
      </c>
      <c r="D195" s="45">
        <v>1</v>
      </c>
      <c r="F195" s="2" t="s">
        <v>714</v>
      </c>
      <c r="G195" s="45">
        <v>1</v>
      </c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  <c r="QY195"/>
      <c r="QZ195"/>
      <c r="RA195"/>
      <c r="RB195"/>
      <c r="RC195"/>
      <c r="RD195"/>
      <c r="RE195"/>
      <c r="RF195"/>
      <c r="RG195"/>
      <c r="RH195"/>
      <c r="RI195"/>
      <c r="RJ195"/>
      <c r="RK195"/>
      <c r="RL195"/>
      <c r="RM195"/>
      <c r="RN195"/>
      <c r="RO195"/>
      <c r="RP195"/>
      <c r="RQ195"/>
      <c r="RR195"/>
      <c r="RS195"/>
      <c r="RT195"/>
      <c r="RU195"/>
    </row>
    <row r="196" spans="3:489" x14ac:dyDescent="0.25">
      <c r="C196" s="2" t="s">
        <v>328</v>
      </c>
      <c r="D196" s="45">
        <v>1</v>
      </c>
      <c r="F196" s="2" t="s">
        <v>685</v>
      </c>
      <c r="G196" s="45">
        <v>1</v>
      </c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  <c r="QY196"/>
      <c r="QZ196"/>
      <c r="RA196"/>
      <c r="RB196"/>
      <c r="RC196"/>
      <c r="RD196"/>
      <c r="RE196"/>
      <c r="RF196"/>
      <c r="RG196"/>
      <c r="RH196"/>
      <c r="RI196"/>
      <c r="RJ196"/>
      <c r="RK196"/>
      <c r="RL196"/>
      <c r="RM196"/>
      <c r="RN196"/>
      <c r="RO196"/>
      <c r="RP196"/>
      <c r="RQ196"/>
      <c r="RR196"/>
      <c r="RS196"/>
      <c r="RT196"/>
      <c r="RU196"/>
    </row>
    <row r="197" spans="3:489" x14ac:dyDescent="0.25">
      <c r="C197" s="2" t="s">
        <v>160</v>
      </c>
      <c r="D197" s="45">
        <v>1</v>
      </c>
      <c r="F197" s="2" t="s">
        <v>444</v>
      </c>
      <c r="G197" s="45">
        <v>1</v>
      </c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  <c r="QY197"/>
      <c r="QZ197"/>
      <c r="RA197"/>
      <c r="RB197"/>
      <c r="RC197"/>
      <c r="RD197"/>
      <c r="RE197"/>
      <c r="RF197"/>
      <c r="RG197"/>
      <c r="RH197"/>
      <c r="RI197"/>
      <c r="RJ197"/>
      <c r="RK197"/>
      <c r="RL197"/>
      <c r="RM197"/>
      <c r="RN197"/>
      <c r="RO197"/>
      <c r="RP197"/>
      <c r="RQ197"/>
      <c r="RR197"/>
      <c r="RS197"/>
      <c r="RT197"/>
      <c r="RU197"/>
    </row>
    <row r="198" spans="3:489" x14ac:dyDescent="0.25">
      <c r="C198" s="2" t="s">
        <v>330</v>
      </c>
      <c r="D198" s="45">
        <v>1</v>
      </c>
      <c r="F198" s="2" t="s">
        <v>801</v>
      </c>
      <c r="G198" s="45">
        <v>1</v>
      </c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  <c r="QY198"/>
      <c r="QZ198"/>
      <c r="RA198"/>
      <c r="RB198"/>
      <c r="RC198"/>
      <c r="RD198"/>
      <c r="RE198"/>
      <c r="RF198"/>
      <c r="RG198"/>
      <c r="RH198"/>
      <c r="RI198"/>
      <c r="RJ198"/>
      <c r="RK198"/>
      <c r="RL198"/>
      <c r="RM198"/>
      <c r="RN198"/>
      <c r="RO198"/>
      <c r="RP198"/>
      <c r="RQ198"/>
      <c r="RR198"/>
      <c r="RS198"/>
      <c r="RT198"/>
      <c r="RU198"/>
    </row>
    <row r="199" spans="3:489" x14ac:dyDescent="0.25">
      <c r="C199" s="2" t="s">
        <v>304</v>
      </c>
      <c r="D199" s="45">
        <v>1</v>
      </c>
      <c r="F199" s="2" t="s">
        <v>846</v>
      </c>
      <c r="G199" s="45">
        <v>1</v>
      </c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  <c r="QY199"/>
      <c r="QZ199"/>
      <c r="RA199"/>
      <c r="RB199"/>
      <c r="RC199"/>
      <c r="RD199"/>
      <c r="RE199"/>
      <c r="RF199"/>
      <c r="RG199"/>
      <c r="RH199"/>
      <c r="RI199"/>
      <c r="RJ199"/>
      <c r="RK199"/>
      <c r="RL199"/>
      <c r="RM199"/>
      <c r="RN199"/>
      <c r="RO199"/>
      <c r="RP199"/>
      <c r="RQ199"/>
      <c r="RR199"/>
      <c r="RS199"/>
      <c r="RT199"/>
      <c r="RU199"/>
    </row>
    <row r="200" spans="3:489" x14ac:dyDescent="0.25">
      <c r="C200" s="2" t="s">
        <v>332</v>
      </c>
      <c r="D200" s="45">
        <v>1</v>
      </c>
      <c r="F200" s="2" t="s">
        <v>155</v>
      </c>
      <c r="G200" s="45">
        <v>1</v>
      </c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  <c r="QY200"/>
      <c r="QZ200"/>
      <c r="RA200"/>
      <c r="RB200"/>
      <c r="RC200"/>
      <c r="RD200"/>
      <c r="RE200"/>
      <c r="RF200"/>
      <c r="RG200"/>
      <c r="RH200"/>
      <c r="RI200"/>
      <c r="RJ200"/>
      <c r="RK200"/>
      <c r="RL200"/>
      <c r="RM200"/>
      <c r="RN200"/>
      <c r="RO200"/>
      <c r="RP200"/>
      <c r="RQ200"/>
      <c r="RR200"/>
      <c r="RS200"/>
      <c r="RT200"/>
      <c r="RU200"/>
    </row>
    <row r="201" spans="3:489" x14ac:dyDescent="0.25">
      <c r="C201" s="2" t="s">
        <v>327</v>
      </c>
      <c r="D201" s="45">
        <v>1</v>
      </c>
      <c r="F201" s="2" t="s">
        <v>230</v>
      </c>
      <c r="G201" s="45">
        <v>1</v>
      </c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  <c r="QY201"/>
      <c r="QZ201"/>
      <c r="RA201"/>
      <c r="RB201"/>
      <c r="RC201"/>
      <c r="RD201"/>
      <c r="RE201"/>
      <c r="RF201"/>
      <c r="RG201"/>
      <c r="RH201"/>
      <c r="RI201"/>
      <c r="RJ201"/>
      <c r="RK201"/>
      <c r="RL201"/>
      <c r="RM201"/>
      <c r="RN201"/>
      <c r="RO201"/>
      <c r="RP201"/>
      <c r="RQ201"/>
      <c r="RR201"/>
      <c r="RS201"/>
      <c r="RT201"/>
      <c r="RU201"/>
    </row>
    <row r="202" spans="3:489" x14ac:dyDescent="0.25">
      <c r="C202" s="2" t="s">
        <v>221</v>
      </c>
      <c r="D202" s="45">
        <v>1</v>
      </c>
      <c r="F202" s="2" t="s">
        <v>1321</v>
      </c>
      <c r="G202" s="45">
        <v>1</v>
      </c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  <c r="QY202"/>
      <c r="QZ202"/>
      <c r="RA202"/>
      <c r="RB202"/>
      <c r="RC202"/>
      <c r="RD202"/>
      <c r="RE202"/>
      <c r="RF202"/>
      <c r="RG202"/>
      <c r="RH202"/>
      <c r="RI202"/>
      <c r="RJ202"/>
      <c r="RK202"/>
      <c r="RL202"/>
      <c r="RM202"/>
      <c r="RN202"/>
      <c r="RO202"/>
      <c r="RP202"/>
      <c r="RQ202"/>
      <c r="RR202"/>
      <c r="RS202"/>
      <c r="RT202"/>
      <c r="RU202"/>
    </row>
    <row r="203" spans="3:489" x14ac:dyDescent="0.25">
      <c r="C203" s="2" t="s">
        <v>247</v>
      </c>
      <c r="D203" s="45">
        <v>1</v>
      </c>
      <c r="F203" s="2" t="s">
        <v>829</v>
      </c>
      <c r="G203" s="45">
        <v>1</v>
      </c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  <c r="QY203"/>
      <c r="QZ203"/>
      <c r="RA203"/>
      <c r="RB203"/>
      <c r="RC203"/>
      <c r="RD203"/>
      <c r="RE203"/>
      <c r="RF203"/>
      <c r="RG203"/>
      <c r="RH203"/>
      <c r="RI203"/>
      <c r="RJ203"/>
      <c r="RK203"/>
      <c r="RL203"/>
      <c r="RM203"/>
      <c r="RN203"/>
      <c r="RO203"/>
      <c r="RP203"/>
      <c r="RQ203"/>
      <c r="RR203"/>
      <c r="RS203"/>
      <c r="RT203"/>
      <c r="RU203"/>
    </row>
    <row r="204" spans="3:489" x14ac:dyDescent="0.25">
      <c r="C204" s="2" t="s">
        <v>336</v>
      </c>
      <c r="D204" s="45">
        <v>1</v>
      </c>
      <c r="F204" s="2" t="s">
        <v>137</v>
      </c>
      <c r="G204" s="45">
        <v>1</v>
      </c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  <c r="QY204"/>
      <c r="QZ204"/>
      <c r="RA204"/>
      <c r="RB204"/>
      <c r="RC204"/>
      <c r="RD204"/>
      <c r="RE204"/>
      <c r="RF204"/>
      <c r="RG204"/>
      <c r="RH204"/>
      <c r="RI204"/>
      <c r="RJ204"/>
      <c r="RK204"/>
      <c r="RL204"/>
      <c r="RM204"/>
      <c r="RN204"/>
      <c r="RO204"/>
      <c r="RP204"/>
      <c r="RQ204"/>
      <c r="RR204"/>
      <c r="RS204"/>
      <c r="RT204"/>
      <c r="RU204"/>
    </row>
    <row r="205" spans="3:489" x14ac:dyDescent="0.25">
      <c r="C205" s="2" t="s">
        <v>306</v>
      </c>
      <c r="D205" s="45">
        <v>1</v>
      </c>
      <c r="F205" s="2" t="s">
        <v>745</v>
      </c>
      <c r="G205" s="45">
        <v>1</v>
      </c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  <c r="QY205"/>
      <c r="QZ205"/>
      <c r="RA205"/>
      <c r="RB205"/>
      <c r="RC205"/>
      <c r="RD205"/>
      <c r="RE205"/>
      <c r="RF205"/>
      <c r="RG205"/>
      <c r="RH205"/>
      <c r="RI205"/>
      <c r="RJ205"/>
      <c r="RK205"/>
      <c r="RL205"/>
      <c r="RM205"/>
      <c r="RN205"/>
      <c r="RO205"/>
      <c r="RP205"/>
      <c r="RQ205"/>
      <c r="RR205"/>
      <c r="RS205"/>
      <c r="RT205"/>
      <c r="RU205"/>
    </row>
    <row r="206" spans="3:489" x14ac:dyDescent="0.25">
      <c r="C206" s="2" t="s">
        <v>338</v>
      </c>
      <c r="D206" s="45">
        <v>1</v>
      </c>
      <c r="F206" s="2" t="s">
        <v>506</v>
      </c>
      <c r="G206" s="45">
        <v>1</v>
      </c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  <c r="QY206"/>
      <c r="QZ206"/>
      <c r="RA206"/>
      <c r="RB206"/>
      <c r="RC206"/>
      <c r="RD206"/>
      <c r="RE206"/>
      <c r="RF206"/>
      <c r="RG206"/>
      <c r="RH206"/>
      <c r="RI206"/>
      <c r="RJ206"/>
      <c r="RK206"/>
      <c r="RL206"/>
      <c r="RM206"/>
      <c r="RN206"/>
      <c r="RO206"/>
      <c r="RP206"/>
      <c r="RQ206"/>
      <c r="RR206"/>
      <c r="RS206"/>
      <c r="RT206"/>
      <c r="RU206"/>
    </row>
    <row r="207" spans="3:489" x14ac:dyDescent="0.25">
      <c r="C207" s="2" t="s">
        <v>308</v>
      </c>
      <c r="D207" s="45">
        <v>1</v>
      </c>
      <c r="F207" s="2" t="s">
        <v>228</v>
      </c>
      <c r="G207" s="45">
        <v>1</v>
      </c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  <c r="QY207"/>
      <c r="QZ207"/>
      <c r="RA207"/>
      <c r="RB207"/>
      <c r="RC207"/>
      <c r="RD207"/>
      <c r="RE207"/>
      <c r="RF207"/>
      <c r="RG207"/>
      <c r="RH207"/>
      <c r="RI207"/>
      <c r="RJ207"/>
      <c r="RK207"/>
      <c r="RL207"/>
      <c r="RM207"/>
      <c r="RN207"/>
      <c r="RO207"/>
      <c r="RP207"/>
      <c r="RQ207"/>
      <c r="RR207"/>
      <c r="RS207"/>
      <c r="RT207"/>
      <c r="RU207"/>
    </row>
    <row r="208" spans="3:489" x14ac:dyDescent="0.25">
      <c r="C208" s="2" t="s">
        <v>340</v>
      </c>
      <c r="D208" s="45">
        <v>1</v>
      </c>
      <c r="F208" s="2" t="s">
        <v>167</v>
      </c>
      <c r="G208" s="45">
        <v>1</v>
      </c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  <c r="QY208"/>
      <c r="QZ208"/>
      <c r="RA208"/>
      <c r="RB208"/>
      <c r="RC208"/>
      <c r="RD208"/>
      <c r="RE208"/>
      <c r="RF208"/>
      <c r="RG208"/>
      <c r="RH208"/>
      <c r="RI208"/>
      <c r="RJ208"/>
      <c r="RK208"/>
      <c r="RL208"/>
      <c r="RM208"/>
      <c r="RN208"/>
      <c r="RO208"/>
      <c r="RP208"/>
      <c r="RQ208"/>
      <c r="RR208"/>
      <c r="RS208"/>
      <c r="RT208"/>
      <c r="RU208"/>
    </row>
    <row r="209" spans="3:489" x14ac:dyDescent="0.25">
      <c r="C209" s="2" t="s">
        <v>341</v>
      </c>
      <c r="D209" s="45">
        <v>1</v>
      </c>
      <c r="F209" s="2" t="s">
        <v>614</v>
      </c>
      <c r="G209" s="45">
        <v>1</v>
      </c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  <c r="QY209"/>
      <c r="QZ209"/>
      <c r="RA209"/>
      <c r="RB209"/>
      <c r="RC209"/>
      <c r="RD209"/>
      <c r="RE209"/>
      <c r="RF209"/>
      <c r="RG209"/>
      <c r="RH209"/>
      <c r="RI209"/>
      <c r="RJ209"/>
      <c r="RK209"/>
      <c r="RL209"/>
      <c r="RM209"/>
      <c r="RN209"/>
      <c r="RO209"/>
      <c r="RP209"/>
      <c r="RQ209"/>
      <c r="RR209"/>
      <c r="RS209"/>
      <c r="RT209"/>
      <c r="RU209"/>
    </row>
    <row r="210" spans="3:489" x14ac:dyDescent="0.25">
      <c r="C210" s="2" t="s">
        <v>342</v>
      </c>
      <c r="D210" s="45">
        <v>1</v>
      </c>
      <c r="F210" s="2" t="s">
        <v>3729</v>
      </c>
      <c r="G210" s="45">
        <v>1</v>
      </c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  <c r="QY210"/>
      <c r="QZ210"/>
      <c r="RA210"/>
      <c r="RB210"/>
      <c r="RC210"/>
      <c r="RD210"/>
      <c r="RE210"/>
      <c r="RF210"/>
      <c r="RG210"/>
      <c r="RH210"/>
      <c r="RI210"/>
      <c r="RJ210"/>
      <c r="RK210"/>
      <c r="RL210"/>
      <c r="RM210"/>
      <c r="RN210"/>
      <c r="RO210"/>
      <c r="RP210"/>
      <c r="RQ210"/>
      <c r="RR210"/>
      <c r="RS210"/>
      <c r="RT210"/>
      <c r="RU210"/>
    </row>
    <row r="211" spans="3:489" x14ac:dyDescent="0.25">
      <c r="C211" s="2" t="s">
        <v>164</v>
      </c>
      <c r="D211" s="45">
        <v>1</v>
      </c>
      <c r="F211" s="2" t="s">
        <v>928</v>
      </c>
      <c r="G211" s="45">
        <v>1</v>
      </c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  <c r="QY211"/>
      <c r="QZ211"/>
      <c r="RA211"/>
      <c r="RB211"/>
      <c r="RC211"/>
      <c r="RD211"/>
      <c r="RE211"/>
      <c r="RF211"/>
      <c r="RG211"/>
      <c r="RH211"/>
      <c r="RI211"/>
      <c r="RJ211"/>
      <c r="RK211"/>
      <c r="RL211"/>
      <c r="RM211"/>
      <c r="RN211"/>
      <c r="RO211"/>
      <c r="RP211"/>
      <c r="RQ211"/>
      <c r="RR211"/>
      <c r="RS211"/>
      <c r="RT211"/>
      <c r="RU211"/>
    </row>
    <row r="212" spans="3:489" x14ac:dyDescent="0.25">
      <c r="C212" s="2" t="s">
        <v>3689</v>
      </c>
      <c r="D212" s="45">
        <v>1</v>
      </c>
      <c r="F212" s="2" t="s">
        <v>730</v>
      </c>
      <c r="G212" s="45">
        <v>1</v>
      </c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  <c r="QY212"/>
      <c r="QZ212"/>
      <c r="RA212"/>
      <c r="RB212"/>
      <c r="RC212"/>
      <c r="RD212"/>
      <c r="RE212"/>
      <c r="RF212"/>
      <c r="RG212"/>
      <c r="RH212"/>
      <c r="RI212"/>
      <c r="RJ212"/>
      <c r="RK212"/>
      <c r="RL212"/>
      <c r="RM212"/>
      <c r="RN212"/>
      <c r="RO212"/>
      <c r="RP212"/>
      <c r="RQ212"/>
      <c r="RR212"/>
      <c r="RS212"/>
      <c r="RT212"/>
      <c r="RU212"/>
    </row>
    <row r="213" spans="3:489" x14ac:dyDescent="0.25">
      <c r="C213" s="2" t="s">
        <v>254</v>
      </c>
      <c r="D213" s="45">
        <v>1</v>
      </c>
      <c r="F213" s="2" t="s">
        <v>1291</v>
      </c>
      <c r="G213" s="45">
        <v>1</v>
      </c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  <c r="QY213"/>
      <c r="QZ213"/>
      <c r="RA213"/>
      <c r="RB213"/>
      <c r="RC213"/>
      <c r="RD213"/>
      <c r="RE213"/>
      <c r="RF213"/>
      <c r="RG213"/>
      <c r="RH213"/>
      <c r="RI213"/>
      <c r="RJ213"/>
      <c r="RK213"/>
      <c r="RL213"/>
      <c r="RM213"/>
      <c r="RN213"/>
      <c r="RO213"/>
      <c r="RP213"/>
      <c r="RQ213"/>
      <c r="RR213"/>
      <c r="RS213"/>
      <c r="RT213"/>
      <c r="RU213"/>
    </row>
    <row r="214" spans="3:489" x14ac:dyDescent="0.25">
      <c r="C214" s="2" t="s">
        <v>346</v>
      </c>
      <c r="D214" s="45">
        <v>1</v>
      </c>
      <c r="F214" s="2" t="s">
        <v>3805</v>
      </c>
      <c r="G214" s="45">
        <v>1</v>
      </c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  <c r="QY214"/>
      <c r="QZ214"/>
      <c r="RA214"/>
      <c r="RB214"/>
      <c r="RC214"/>
      <c r="RD214"/>
      <c r="RE214"/>
      <c r="RF214"/>
      <c r="RG214"/>
      <c r="RH214"/>
      <c r="RI214"/>
      <c r="RJ214"/>
      <c r="RK214"/>
      <c r="RL214"/>
      <c r="RM214"/>
      <c r="RN214"/>
      <c r="RO214"/>
      <c r="RP214"/>
      <c r="RQ214"/>
      <c r="RR214"/>
      <c r="RS214"/>
      <c r="RT214"/>
      <c r="RU214"/>
    </row>
    <row r="215" spans="3:489" x14ac:dyDescent="0.25">
      <c r="C215" s="2" t="s">
        <v>196</v>
      </c>
      <c r="D215" s="45">
        <v>1</v>
      </c>
      <c r="F215" s="2" t="s">
        <v>246</v>
      </c>
      <c r="G215" s="45">
        <v>1</v>
      </c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  <c r="QY215"/>
      <c r="QZ215"/>
      <c r="RA215"/>
      <c r="RB215"/>
      <c r="RC215"/>
      <c r="RD215"/>
      <c r="RE215"/>
      <c r="RF215"/>
      <c r="RG215"/>
      <c r="RH215"/>
      <c r="RI215"/>
      <c r="RJ215"/>
      <c r="RK215"/>
      <c r="RL215"/>
      <c r="RM215"/>
      <c r="RN215"/>
      <c r="RO215"/>
      <c r="RP215"/>
      <c r="RQ215"/>
      <c r="RR215"/>
      <c r="RS215"/>
      <c r="RT215"/>
      <c r="RU215"/>
    </row>
    <row r="216" spans="3:489" x14ac:dyDescent="0.25">
      <c r="C216" s="2" t="s">
        <v>3671</v>
      </c>
      <c r="D216" s="45">
        <v>1</v>
      </c>
      <c r="F216" s="2" t="s">
        <v>423</v>
      </c>
      <c r="G216" s="45">
        <v>1</v>
      </c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  <c r="QY216"/>
      <c r="QZ216"/>
      <c r="RA216"/>
      <c r="RB216"/>
      <c r="RC216"/>
      <c r="RD216"/>
      <c r="RE216"/>
      <c r="RF216"/>
      <c r="RG216"/>
      <c r="RH216"/>
      <c r="RI216"/>
      <c r="RJ216"/>
      <c r="RK216"/>
      <c r="RL216"/>
      <c r="RM216"/>
      <c r="RN216"/>
      <c r="RO216"/>
      <c r="RP216"/>
      <c r="RQ216"/>
      <c r="RR216"/>
      <c r="RS216"/>
      <c r="RT216"/>
      <c r="RU216"/>
    </row>
    <row r="217" spans="3:489" x14ac:dyDescent="0.25">
      <c r="C217" s="2" t="s">
        <v>258</v>
      </c>
      <c r="D217" s="45">
        <v>1</v>
      </c>
      <c r="F217" s="2" t="s">
        <v>963</v>
      </c>
      <c r="G217" s="45">
        <v>1</v>
      </c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  <c r="QY217"/>
      <c r="QZ217"/>
      <c r="RA217"/>
      <c r="RB217"/>
      <c r="RC217"/>
      <c r="RD217"/>
      <c r="RE217"/>
      <c r="RF217"/>
      <c r="RG217"/>
      <c r="RH217"/>
      <c r="RI217"/>
      <c r="RJ217"/>
      <c r="RK217"/>
      <c r="RL217"/>
      <c r="RM217"/>
      <c r="RN217"/>
      <c r="RO217"/>
      <c r="RP217"/>
      <c r="RQ217"/>
      <c r="RR217"/>
      <c r="RS217"/>
      <c r="RT217"/>
      <c r="RU217"/>
    </row>
    <row r="218" spans="3:489" x14ac:dyDescent="0.25">
      <c r="C218" s="2" t="s">
        <v>264</v>
      </c>
      <c r="D218" s="45">
        <v>1</v>
      </c>
      <c r="F218" s="2" t="s">
        <v>419</v>
      </c>
      <c r="G218" s="45">
        <v>1</v>
      </c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  <c r="QY218"/>
      <c r="QZ218"/>
      <c r="RA218"/>
      <c r="RB218"/>
      <c r="RC218"/>
      <c r="RD218"/>
      <c r="RE218"/>
      <c r="RF218"/>
      <c r="RG218"/>
      <c r="RH218"/>
      <c r="RI218"/>
      <c r="RJ218"/>
      <c r="RK218"/>
      <c r="RL218"/>
      <c r="RM218"/>
      <c r="RN218"/>
      <c r="RO218"/>
      <c r="RP218"/>
      <c r="RQ218"/>
      <c r="RR218"/>
      <c r="RS218"/>
      <c r="RT218"/>
      <c r="RU218"/>
    </row>
    <row r="219" spans="3:489" x14ac:dyDescent="0.25">
      <c r="C219" s="2" t="s">
        <v>140</v>
      </c>
      <c r="D219" s="45">
        <v>1</v>
      </c>
      <c r="F219" s="2" t="s">
        <v>141</v>
      </c>
      <c r="G219" s="45">
        <v>1</v>
      </c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  <c r="QY219"/>
      <c r="QZ219"/>
      <c r="RA219"/>
      <c r="RB219"/>
      <c r="RC219"/>
      <c r="RD219"/>
      <c r="RE219"/>
      <c r="RF219"/>
      <c r="RG219"/>
      <c r="RH219"/>
      <c r="RI219"/>
      <c r="RJ219"/>
      <c r="RK219"/>
      <c r="RL219"/>
      <c r="RM219"/>
      <c r="RN219"/>
      <c r="RO219"/>
      <c r="RP219"/>
      <c r="RQ219"/>
      <c r="RR219"/>
      <c r="RS219"/>
      <c r="RT219"/>
      <c r="RU219"/>
    </row>
    <row r="220" spans="3:489" x14ac:dyDescent="0.25">
      <c r="C220" s="2" t="s">
        <v>351</v>
      </c>
      <c r="D220" s="45">
        <v>1</v>
      </c>
      <c r="F220" s="2" t="s">
        <v>216</v>
      </c>
      <c r="G220" s="45">
        <v>1</v>
      </c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  <c r="QY220"/>
      <c r="QZ220"/>
      <c r="RA220"/>
      <c r="RB220"/>
      <c r="RC220"/>
      <c r="RD220"/>
      <c r="RE220"/>
      <c r="RF220"/>
      <c r="RG220"/>
      <c r="RH220"/>
      <c r="RI220"/>
      <c r="RJ220"/>
      <c r="RK220"/>
      <c r="RL220"/>
      <c r="RM220"/>
      <c r="RN220"/>
      <c r="RO220"/>
      <c r="RP220"/>
      <c r="RQ220"/>
      <c r="RR220"/>
      <c r="RS220"/>
      <c r="RT220"/>
      <c r="RU220"/>
    </row>
    <row r="221" spans="3:489" x14ac:dyDescent="0.25">
      <c r="C221" s="2" t="s">
        <v>3833</v>
      </c>
      <c r="D221" s="45">
        <v>1</v>
      </c>
      <c r="F221" s="2" t="s">
        <v>1305</v>
      </c>
      <c r="G221" s="45">
        <v>1</v>
      </c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  <c r="QY221"/>
      <c r="QZ221"/>
      <c r="RA221"/>
      <c r="RB221"/>
      <c r="RC221"/>
      <c r="RD221"/>
      <c r="RE221"/>
      <c r="RF221"/>
      <c r="RG221"/>
      <c r="RH221"/>
      <c r="RI221"/>
      <c r="RJ221"/>
      <c r="RK221"/>
      <c r="RL221"/>
      <c r="RM221"/>
      <c r="RN221"/>
      <c r="RO221"/>
      <c r="RP221"/>
      <c r="RQ221"/>
      <c r="RR221"/>
      <c r="RS221"/>
      <c r="RT221"/>
      <c r="RU221"/>
    </row>
    <row r="222" spans="3:489" x14ac:dyDescent="0.25">
      <c r="C222" s="2" t="s">
        <v>168</v>
      </c>
      <c r="D222" s="45">
        <v>1</v>
      </c>
      <c r="F222" s="2" t="s">
        <v>153</v>
      </c>
      <c r="G222" s="45">
        <v>1</v>
      </c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  <c r="QY222"/>
      <c r="QZ222"/>
      <c r="RA222"/>
      <c r="RB222"/>
      <c r="RC222"/>
      <c r="RD222"/>
      <c r="RE222"/>
      <c r="RF222"/>
      <c r="RG222"/>
      <c r="RH222"/>
      <c r="RI222"/>
      <c r="RJ222"/>
      <c r="RK222"/>
      <c r="RL222"/>
      <c r="RM222"/>
      <c r="RN222"/>
      <c r="RO222"/>
      <c r="RP222"/>
      <c r="RQ222"/>
      <c r="RR222"/>
      <c r="RS222"/>
      <c r="RT222"/>
      <c r="RU222"/>
    </row>
    <row r="223" spans="3:489" x14ac:dyDescent="0.25">
      <c r="C223" s="2" t="s">
        <v>358</v>
      </c>
      <c r="D223" s="45">
        <v>1</v>
      </c>
      <c r="F223" s="2" t="s">
        <v>3654</v>
      </c>
      <c r="G223" s="45">
        <v>1</v>
      </c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  <c r="QY223"/>
      <c r="QZ223"/>
      <c r="RA223"/>
      <c r="RB223"/>
      <c r="RC223"/>
      <c r="RD223"/>
      <c r="RE223"/>
      <c r="RF223"/>
      <c r="RG223"/>
      <c r="RH223"/>
      <c r="RI223"/>
      <c r="RJ223"/>
      <c r="RK223"/>
      <c r="RL223"/>
      <c r="RM223"/>
      <c r="RN223"/>
      <c r="RO223"/>
      <c r="RP223"/>
      <c r="RQ223"/>
      <c r="RR223"/>
      <c r="RS223"/>
      <c r="RT223"/>
      <c r="RU223"/>
    </row>
    <row r="224" spans="3:489" x14ac:dyDescent="0.25">
      <c r="C224" s="2" t="s">
        <v>270</v>
      </c>
      <c r="D224" s="45">
        <v>1</v>
      </c>
      <c r="F224" s="2" t="s">
        <v>279</v>
      </c>
      <c r="G224" s="45">
        <v>1</v>
      </c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  <c r="QY224"/>
      <c r="QZ224"/>
      <c r="RA224"/>
      <c r="RB224"/>
      <c r="RC224"/>
      <c r="RD224"/>
      <c r="RE224"/>
      <c r="RF224"/>
      <c r="RG224"/>
      <c r="RH224"/>
      <c r="RI224"/>
      <c r="RJ224"/>
      <c r="RK224"/>
      <c r="RL224"/>
      <c r="RM224"/>
      <c r="RN224"/>
      <c r="RO224"/>
      <c r="RP224"/>
      <c r="RQ224"/>
      <c r="RR224"/>
      <c r="RS224"/>
      <c r="RT224"/>
      <c r="RU224"/>
    </row>
    <row r="225" spans="3:489" x14ac:dyDescent="0.25">
      <c r="C225" s="2" t="s">
        <v>3660</v>
      </c>
      <c r="D225" s="45">
        <v>1</v>
      </c>
      <c r="F225" s="2" t="s">
        <v>232</v>
      </c>
      <c r="G225" s="45">
        <v>1</v>
      </c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  <c r="QY225"/>
      <c r="QZ225"/>
      <c r="RA225"/>
      <c r="RB225"/>
      <c r="RC225"/>
      <c r="RD225"/>
      <c r="RE225"/>
      <c r="RF225"/>
      <c r="RG225"/>
      <c r="RH225"/>
      <c r="RI225"/>
      <c r="RJ225"/>
      <c r="RK225"/>
      <c r="RL225"/>
      <c r="RM225"/>
      <c r="RN225"/>
      <c r="RO225"/>
      <c r="RP225"/>
      <c r="RQ225"/>
      <c r="RR225"/>
      <c r="RS225"/>
      <c r="RT225"/>
      <c r="RU225"/>
    </row>
    <row r="226" spans="3:489" x14ac:dyDescent="0.25">
      <c r="C226" s="2" t="s">
        <v>204</v>
      </c>
      <c r="D226" s="45">
        <v>1</v>
      </c>
      <c r="F226" s="2" t="s">
        <v>287</v>
      </c>
      <c r="G226" s="45">
        <v>1</v>
      </c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  <c r="QY226"/>
      <c r="QZ226"/>
      <c r="RA226"/>
      <c r="RB226"/>
      <c r="RC226"/>
      <c r="RD226"/>
      <c r="RE226"/>
      <c r="RF226"/>
      <c r="RG226"/>
      <c r="RH226"/>
      <c r="RI226"/>
      <c r="RJ226"/>
      <c r="RK226"/>
      <c r="RL226"/>
      <c r="RM226"/>
      <c r="RN226"/>
      <c r="RO226"/>
      <c r="RP226"/>
      <c r="RQ226"/>
      <c r="RR226"/>
      <c r="RS226"/>
      <c r="RT226"/>
      <c r="RU226"/>
    </row>
    <row r="227" spans="3:489" x14ac:dyDescent="0.25">
      <c r="C227" s="2" t="s">
        <v>360</v>
      </c>
      <c r="D227" s="45">
        <v>1</v>
      </c>
      <c r="F227" s="2" t="s">
        <v>261</v>
      </c>
      <c r="G227" s="45">
        <v>1</v>
      </c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  <c r="QY227"/>
      <c r="QZ227"/>
      <c r="RA227"/>
      <c r="RB227"/>
      <c r="RC227"/>
      <c r="RD227"/>
      <c r="RE227"/>
      <c r="RF227"/>
      <c r="RG227"/>
      <c r="RH227"/>
      <c r="RI227"/>
      <c r="RJ227"/>
      <c r="RK227"/>
      <c r="RL227"/>
      <c r="RM227"/>
      <c r="RN227"/>
      <c r="RO227"/>
      <c r="RP227"/>
      <c r="RQ227"/>
      <c r="RR227"/>
      <c r="RS227"/>
      <c r="RT227"/>
      <c r="RU227"/>
    </row>
    <row r="228" spans="3:489" x14ac:dyDescent="0.25">
      <c r="C228" s="2" t="s">
        <v>274</v>
      </c>
      <c r="D228" s="45">
        <v>1</v>
      </c>
      <c r="F228" s="2" t="s">
        <v>955</v>
      </c>
      <c r="G228" s="45">
        <v>1</v>
      </c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  <c r="QY228"/>
      <c r="QZ228"/>
      <c r="RA228"/>
      <c r="RB228"/>
      <c r="RC228"/>
      <c r="RD228"/>
      <c r="RE228"/>
      <c r="RF228"/>
      <c r="RG228"/>
      <c r="RH228"/>
      <c r="RI228"/>
      <c r="RJ228"/>
      <c r="RK228"/>
      <c r="RL228"/>
      <c r="RM228"/>
      <c r="RN228"/>
      <c r="RO228"/>
      <c r="RP228"/>
      <c r="RQ228"/>
      <c r="RR228"/>
      <c r="RS228"/>
      <c r="RT228"/>
      <c r="RU228"/>
    </row>
    <row r="229" spans="3:489" x14ac:dyDescent="0.25">
      <c r="C229" s="2" t="s">
        <v>154</v>
      </c>
      <c r="D229" s="45">
        <v>1</v>
      </c>
      <c r="F229" s="2" t="s">
        <v>3770</v>
      </c>
      <c r="G229" s="45">
        <v>1</v>
      </c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  <c r="QY229"/>
      <c r="QZ229"/>
      <c r="RA229"/>
      <c r="RB229"/>
      <c r="RC229"/>
      <c r="RD229"/>
      <c r="RE229"/>
      <c r="RF229"/>
      <c r="RG229"/>
      <c r="RH229"/>
      <c r="RI229"/>
      <c r="RJ229"/>
      <c r="RK229"/>
      <c r="RL229"/>
      <c r="RM229"/>
      <c r="RN229"/>
      <c r="RO229"/>
      <c r="RP229"/>
      <c r="RQ229"/>
      <c r="RR229"/>
      <c r="RS229"/>
      <c r="RT229"/>
      <c r="RU229"/>
    </row>
    <row r="230" spans="3:489" x14ac:dyDescent="0.25">
      <c r="C230" s="2" t="s">
        <v>3694</v>
      </c>
      <c r="D230" s="45">
        <v>1</v>
      </c>
      <c r="F230" s="2" t="s">
        <v>3630</v>
      </c>
      <c r="G230" s="45">
        <v>1</v>
      </c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  <c r="QY230"/>
      <c r="QZ230"/>
      <c r="RA230"/>
      <c r="RB230"/>
      <c r="RC230"/>
      <c r="RD230"/>
      <c r="RE230"/>
      <c r="RF230"/>
      <c r="RG230"/>
      <c r="RH230"/>
      <c r="RI230"/>
      <c r="RJ230"/>
      <c r="RK230"/>
      <c r="RL230"/>
      <c r="RM230"/>
      <c r="RN230"/>
      <c r="RO230"/>
      <c r="RP230"/>
      <c r="RQ230"/>
      <c r="RR230"/>
      <c r="RS230"/>
      <c r="RT230"/>
      <c r="RU230"/>
    </row>
    <row r="231" spans="3:489" x14ac:dyDescent="0.25">
      <c r="C231" s="2" t="s">
        <v>349</v>
      </c>
      <c r="D231" s="45">
        <v>1</v>
      </c>
      <c r="F231" s="2" t="s">
        <v>3819</v>
      </c>
      <c r="G231" s="45">
        <v>1</v>
      </c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  <c r="QY231"/>
      <c r="QZ231"/>
      <c r="RA231"/>
      <c r="RB231"/>
      <c r="RC231"/>
      <c r="RD231"/>
      <c r="RE231"/>
      <c r="RF231"/>
      <c r="RG231"/>
      <c r="RH231"/>
      <c r="RI231"/>
      <c r="RJ231"/>
      <c r="RK231"/>
      <c r="RL231"/>
      <c r="RM231"/>
      <c r="RN231"/>
      <c r="RO231"/>
      <c r="RP231"/>
      <c r="RQ231"/>
      <c r="RR231"/>
      <c r="RS231"/>
      <c r="RT231"/>
      <c r="RU231"/>
    </row>
    <row r="232" spans="3:489" x14ac:dyDescent="0.25">
      <c r="C232" s="2" t="s">
        <v>3696</v>
      </c>
      <c r="D232" s="45">
        <v>1</v>
      </c>
      <c r="F232" s="2" t="s">
        <v>291</v>
      </c>
      <c r="G232" s="45">
        <v>1</v>
      </c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  <c r="QY232"/>
      <c r="QZ232"/>
      <c r="RA232"/>
      <c r="RB232"/>
      <c r="RC232"/>
      <c r="RD232"/>
      <c r="RE232"/>
      <c r="RF232"/>
      <c r="RG232"/>
      <c r="RH232"/>
      <c r="RI232"/>
      <c r="RJ232"/>
      <c r="RK232"/>
      <c r="RL232"/>
      <c r="RM232"/>
      <c r="RN232"/>
      <c r="RO232"/>
      <c r="RP232"/>
      <c r="RQ232"/>
      <c r="RR232"/>
      <c r="RS232"/>
      <c r="RT232"/>
      <c r="RU232"/>
    </row>
    <row r="233" spans="3:489" x14ac:dyDescent="0.25">
      <c r="C233" s="2" t="s">
        <v>300</v>
      </c>
      <c r="D233" s="45">
        <v>1</v>
      </c>
      <c r="F233" s="2" t="s">
        <v>798</v>
      </c>
      <c r="G233" s="45">
        <v>1</v>
      </c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  <c r="QY233"/>
      <c r="QZ233"/>
      <c r="RA233"/>
      <c r="RB233"/>
      <c r="RC233"/>
      <c r="RD233"/>
      <c r="RE233"/>
      <c r="RF233"/>
      <c r="RG233"/>
      <c r="RH233"/>
      <c r="RI233"/>
      <c r="RJ233"/>
      <c r="RK233"/>
      <c r="RL233"/>
      <c r="RM233"/>
      <c r="RN233"/>
      <c r="RO233"/>
      <c r="RP233"/>
      <c r="RQ233"/>
      <c r="RR233"/>
      <c r="RS233"/>
      <c r="RT233"/>
      <c r="RU233"/>
    </row>
    <row r="234" spans="3:489" x14ac:dyDescent="0.25">
      <c r="C234" s="2" t="s">
        <v>3693</v>
      </c>
      <c r="D234" s="45">
        <v>1</v>
      </c>
      <c r="F234" s="2" t="s">
        <v>522</v>
      </c>
      <c r="G234" s="45">
        <v>1</v>
      </c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  <c r="QY234"/>
      <c r="QZ234"/>
      <c r="RA234"/>
      <c r="RB234"/>
      <c r="RC234"/>
      <c r="RD234"/>
      <c r="RE234"/>
      <c r="RF234"/>
      <c r="RG234"/>
      <c r="RH234"/>
      <c r="RI234"/>
      <c r="RJ234"/>
      <c r="RK234"/>
      <c r="RL234"/>
      <c r="RM234"/>
      <c r="RN234"/>
      <c r="RO234"/>
      <c r="RP234"/>
      <c r="RQ234"/>
      <c r="RR234"/>
      <c r="RS234"/>
      <c r="RT234"/>
      <c r="RU234"/>
    </row>
    <row r="235" spans="3:489" x14ac:dyDescent="0.25">
      <c r="C235" s="2" t="s">
        <v>180</v>
      </c>
      <c r="D235" s="45">
        <v>1</v>
      </c>
      <c r="F235" s="2" t="s">
        <v>862</v>
      </c>
      <c r="G235" s="45">
        <v>1</v>
      </c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  <c r="QY235"/>
      <c r="QZ235"/>
      <c r="RA235"/>
      <c r="RB235"/>
      <c r="RC235"/>
      <c r="RD235"/>
      <c r="RE235"/>
      <c r="RF235"/>
      <c r="RG235"/>
      <c r="RH235"/>
      <c r="RI235"/>
      <c r="RJ235"/>
      <c r="RK235"/>
      <c r="RL235"/>
      <c r="RM235"/>
      <c r="RN235"/>
      <c r="RO235"/>
      <c r="RP235"/>
      <c r="RQ235"/>
      <c r="RR235"/>
      <c r="RS235"/>
      <c r="RT235"/>
      <c r="RU235"/>
    </row>
    <row r="236" spans="3:489" x14ac:dyDescent="0.25">
      <c r="C236" s="2" t="s">
        <v>354</v>
      </c>
      <c r="D236" s="45">
        <v>1</v>
      </c>
      <c r="F236" s="2" t="s">
        <v>3824</v>
      </c>
      <c r="G236" s="45">
        <v>1</v>
      </c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  <c r="QY236"/>
      <c r="QZ236"/>
      <c r="RA236"/>
      <c r="RB236"/>
      <c r="RC236"/>
      <c r="RD236"/>
      <c r="RE236"/>
      <c r="RF236"/>
      <c r="RG236"/>
      <c r="RH236"/>
      <c r="RI236"/>
      <c r="RJ236"/>
      <c r="RK236"/>
      <c r="RL236"/>
      <c r="RM236"/>
      <c r="RN236"/>
      <c r="RO236"/>
      <c r="RP236"/>
      <c r="RQ236"/>
      <c r="RR236"/>
      <c r="RS236"/>
      <c r="RT236"/>
      <c r="RU236"/>
    </row>
    <row r="237" spans="3:489" x14ac:dyDescent="0.25">
      <c r="C237" s="2" t="s">
        <v>357</v>
      </c>
      <c r="D237" s="45">
        <v>1</v>
      </c>
      <c r="F237" s="2" t="s">
        <v>937</v>
      </c>
      <c r="G237" s="45">
        <v>1</v>
      </c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  <c r="QY237"/>
      <c r="QZ237"/>
      <c r="RA237"/>
      <c r="RB237"/>
      <c r="RC237"/>
      <c r="RD237"/>
      <c r="RE237"/>
      <c r="RF237"/>
      <c r="RG237"/>
      <c r="RH237"/>
      <c r="RI237"/>
      <c r="RJ237"/>
      <c r="RK237"/>
      <c r="RL237"/>
      <c r="RM237"/>
      <c r="RN237"/>
      <c r="RO237"/>
      <c r="RP237"/>
      <c r="RQ237"/>
      <c r="RR237"/>
      <c r="RS237"/>
      <c r="RT237"/>
      <c r="RU237"/>
    </row>
    <row r="238" spans="3:489" x14ac:dyDescent="0.25">
      <c r="C238" s="2" t="s">
        <v>359</v>
      </c>
      <c r="D238" s="45">
        <v>1</v>
      </c>
      <c r="F238" s="2" t="s">
        <v>588</v>
      </c>
      <c r="G238" s="45">
        <v>1</v>
      </c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  <c r="QY238"/>
      <c r="QZ238"/>
      <c r="RA238"/>
      <c r="RB238"/>
      <c r="RC238"/>
      <c r="RD238"/>
      <c r="RE238"/>
      <c r="RF238"/>
      <c r="RG238"/>
      <c r="RH238"/>
      <c r="RI238"/>
      <c r="RJ238"/>
      <c r="RK238"/>
      <c r="RL238"/>
      <c r="RM238"/>
      <c r="RN238"/>
      <c r="RO238"/>
      <c r="RP238"/>
      <c r="RQ238"/>
      <c r="RR238"/>
      <c r="RS238"/>
      <c r="RT238"/>
      <c r="RU238"/>
    </row>
    <row r="239" spans="3:489" x14ac:dyDescent="0.25">
      <c r="C239" s="2" t="s">
        <v>3681</v>
      </c>
      <c r="D239" s="45">
        <v>1</v>
      </c>
      <c r="F239" s="2" t="s">
        <v>187</v>
      </c>
      <c r="G239" s="45">
        <v>1</v>
      </c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  <c r="QY239"/>
      <c r="QZ239"/>
      <c r="RA239"/>
      <c r="RB239"/>
      <c r="RC239"/>
      <c r="RD239"/>
      <c r="RE239"/>
      <c r="RF239"/>
      <c r="RG239"/>
      <c r="RH239"/>
      <c r="RI239"/>
      <c r="RJ239"/>
      <c r="RK239"/>
      <c r="RL239"/>
      <c r="RM239"/>
      <c r="RN239"/>
      <c r="RO239"/>
      <c r="RP239"/>
      <c r="RQ239"/>
      <c r="RR239"/>
      <c r="RS239"/>
      <c r="RT239"/>
      <c r="RU239"/>
    </row>
    <row r="240" spans="3:489" x14ac:dyDescent="0.25">
      <c r="C240" s="2" t="s">
        <v>3838</v>
      </c>
      <c r="D240" s="45">
        <v>0</v>
      </c>
      <c r="F240" s="2" t="s">
        <v>195</v>
      </c>
      <c r="G240" s="45">
        <v>1</v>
      </c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  <c r="QY240"/>
      <c r="QZ240"/>
      <c r="RA240"/>
      <c r="RB240"/>
      <c r="RC240"/>
      <c r="RD240"/>
      <c r="RE240"/>
      <c r="RF240"/>
      <c r="RG240"/>
      <c r="RH240"/>
      <c r="RI240"/>
      <c r="RJ240"/>
      <c r="RK240"/>
      <c r="RL240"/>
      <c r="RM240"/>
      <c r="RN240"/>
      <c r="RO240"/>
      <c r="RP240"/>
      <c r="RQ240"/>
      <c r="RR240"/>
      <c r="RS240"/>
      <c r="RT240"/>
      <c r="RU240"/>
    </row>
    <row r="241" spans="3:489" x14ac:dyDescent="0.25">
      <c r="C241" s="2" t="s">
        <v>182</v>
      </c>
      <c r="D241" s="45">
        <v>0</v>
      </c>
      <c r="F241" s="2" t="s">
        <v>3707</v>
      </c>
      <c r="G241" s="45">
        <v>1</v>
      </c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  <c r="QY241"/>
      <c r="QZ241"/>
      <c r="RA241"/>
      <c r="RB241"/>
      <c r="RC241"/>
      <c r="RD241"/>
      <c r="RE241"/>
      <c r="RF241"/>
      <c r="RG241"/>
      <c r="RH241"/>
      <c r="RI241"/>
      <c r="RJ241"/>
      <c r="RK241"/>
      <c r="RL241"/>
      <c r="RM241"/>
      <c r="RN241"/>
      <c r="RO241"/>
      <c r="RP241"/>
      <c r="RQ241"/>
      <c r="RR241"/>
      <c r="RS241"/>
      <c r="RT241"/>
      <c r="RU241"/>
    </row>
    <row r="242" spans="3:489" x14ac:dyDescent="0.25">
      <c r="C242" s="2" t="s">
        <v>3845</v>
      </c>
      <c r="D242" s="45">
        <v>0</v>
      </c>
      <c r="F242" s="2" t="s">
        <v>269</v>
      </c>
      <c r="G242" s="45">
        <v>1</v>
      </c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  <c r="QY242"/>
      <c r="QZ242"/>
      <c r="RA242"/>
      <c r="RB242"/>
      <c r="RC242"/>
      <c r="RD242"/>
      <c r="RE242"/>
      <c r="RF242"/>
      <c r="RG242"/>
      <c r="RH242"/>
      <c r="RI242"/>
      <c r="RJ242"/>
      <c r="RK242"/>
      <c r="RL242"/>
      <c r="RM242"/>
      <c r="RN242"/>
      <c r="RO242"/>
      <c r="RP242"/>
      <c r="RQ242"/>
      <c r="RR242"/>
      <c r="RS242"/>
      <c r="RT242"/>
      <c r="RU242"/>
    </row>
    <row r="243" spans="3:489" x14ac:dyDescent="0.25">
      <c r="C243" s="2" t="s">
        <v>3850</v>
      </c>
      <c r="D243" s="45">
        <v>0</v>
      </c>
      <c r="F243" s="2" t="s">
        <v>3826</v>
      </c>
      <c r="G243" s="45">
        <v>1</v>
      </c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  <c r="QY243"/>
      <c r="QZ243"/>
      <c r="RA243"/>
      <c r="RB243"/>
      <c r="RC243"/>
      <c r="RD243"/>
      <c r="RE243"/>
      <c r="RF243"/>
      <c r="RG243"/>
      <c r="RH243"/>
      <c r="RI243"/>
      <c r="RJ243"/>
      <c r="RK243"/>
      <c r="RL243"/>
      <c r="RM243"/>
      <c r="RN243"/>
      <c r="RO243"/>
      <c r="RP243"/>
      <c r="RQ243"/>
      <c r="RR243"/>
      <c r="RS243"/>
      <c r="RT243"/>
      <c r="RU243"/>
    </row>
    <row r="244" spans="3:489" x14ac:dyDescent="0.25">
      <c r="C244" s="2" t="s">
        <v>3858</v>
      </c>
      <c r="D244" s="45">
        <v>0</v>
      </c>
      <c r="F244" s="2" t="s">
        <v>211</v>
      </c>
      <c r="G244" s="45">
        <v>1</v>
      </c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  <c r="QY244"/>
      <c r="QZ244"/>
      <c r="RA244"/>
      <c r="RB244"/>
      <c r="RC244"/>
      <c r="RD244"/>
      <c r="RE244"/>
      <c r="RF244"/>
      <c r="RG244"/>
      <c r="RH244"/>
      <c r="RI244"/>
      <c r="RJ244"/>
      <c r="RK244"/>
      <c r="RL244"/>
      <c r="RM244"/>
      <c r="RN244"/>
      <c r="RO244"/>
      <c r="RP244"/>
      <c r="RQ244"/>
      <c r="RR244"/>
      <c r="RS244"/>
      <c r="RT244"/>
      <c r="RU244"/>
    </row>
    <row r="245" spans="3:489" x14ac:dyDescent="0.25">
      <c r="C245" s="2" t="s">
        <v>3829</v>
      </c>
      <c r="D245" s="45">
        <v>0</v>
      </c>
      <c r="F245" s="2" t="s">
        <v>606</v>
      </c>
      <c r="G245" s="45">
        <v>1</v>
      </c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  <c r="QY245"/>
      <c r="QZ245"/>
      <c r="RA245"/>
      <c r="RB245"/>
      <c r="RC245"/>
      <c r="RD245"/>
      <c r="RE245"/>
      <c r="RF245"/>
      <c r="RG245"/>
      <c r="RH245"/>
      <c r="RI245"/>
      <c r="RJ245"/>
      <c r="RK245"/>
      <c r="RL245"/>
      <c r="RM245"/>
      <c r="RN245"/>
      <c r="RO245"/>
      <c r="RP245"/>
      <c r="RQ245"/>
      <c r="RR245"/>
      <c r="RS245"/>
      <c r="RT245"/>
      <c r="RU245"/>
    </row>
    <row r="246" spans="3:489" x14ac:dyDescent="0.25">
      <c r="C246" s="2" t="s">
        <v>3842</v>
      </c>
      <c r="D246" s="45">
        <v>0</v>
      </c>
      <c r="F246" s="2" t="s">
        <v>244</v>
      </c>
      <c r="G246" s="45">
        <v>1</v>
      </c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  <c r="QY246"/>
      <c r="QZ246"/>
      <c r="RA246"/>
      <c r="RB246"/>
      <c r="RC246"/>
      <c r="RD246"/>
      <c r="RE246"/>
      <c r="RF246"/>
      <c r="RG246"/>
      <c r="RH246"/>
      <c r="RI246"/>
      <c r="RJ246"/>
      <c r="RK246"/>
      <c r="RL246"/>
      <c r="RM246"/>
      <c r="RN246"/>
      <c r="RO246"/>
      <c r="RP246"/>
      <c r="RQ246"/>
      <c r="RR246"/>
      <c r="RS246"/>
      <c r="RT246"/>
      <c r="RU246"/>
    </row>
    <row r="247" spans="3:489" x14ac:dyDescent="0.25">
      <c r="C247" s="2" t="s">
        <v>3781</v>
      </c>
      <c r="D247" s="45">
        <v>0</v>
      </c>
      <c r="F247" s="2" t="s">
        <v>467</v>
      </c>
      <c r="G247" s="45">
        <v>1</v>
      </c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  <c r="QY247"/>
      <c r="QZ247"/>
      <c r="RA247"/>
      <c r="RB247"/>
      <c r="RC247"/>
      <c r="RD247"/>
      <c r="RE247"/>
      <c r="RF247"/>
      <c r="RG247"/>
      <c r="RH247"/>
      <c r="RI247"/>
      <c r="RJ247"/>
      <c r="RK247"/>
      <c r="RL247"/>
      <c r="RM247"/>
      <c r="RN247"/>
      <c r="RO247"/>
      <c r="RP247"/>
      <c r="RQ247"/>
      <c r="RR247"/>
      <c r="RS247"/>
      <c r="RT247"/>
      <c r="RU247"/>
    </row>
    <row r="248" spans="3:489" x14ac:dyDescent="0.25">
      <c r="C248" s="2" t="s">
        <v>3787</v>
      </c>
      <c r="D248" s="45">
        <v>0</v>
      </c>
      <c r="F248" s="2" t="s">
        <v>1332</v>
      </c>
      <c r="G248" s="45">
        <v>1</v>
      </c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  <c r="QY248"/>
      <c r="QZ248"/>
      <c r="RA248"/>
      <c r="RB248"/>
      <c r="RC248"/>
      <c r="RD248"/>
      <c r="RE248"/>
      <c r="RF248"/>
      <c r="RG248"/>
      <c r="RH248"/>
      <c r="RI248"/>
      <c r="RJ248"/>
      <c r="RK248"/>
      <c r="RL248"/>
      <c r="RM248"/>
      <c r="RN248"/>
      <c r="RO248"/>
      <c r="RP248"/>
      <c r="RQ248"/>
      <c r="RR248"/>
      <c r="RS248"/>
      <c r="RT248"/>
      <c r="RU248"/>
    </row>
    <row r="249" spans="3:489" x14ac:dyDescent="0.25">
      <c r="C249" s="2" t="s">
        <v>3832</v>
      </c>
      <c r="D249" s="45">
        <v>0</v>
      </c>
      <c r="F249" s="2" t="s">
        <v>273</v>
      </c>
      <c r="G249" s="45">
        <v>1</v>
      </c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  <c r="QY249"/>
      <c r="QZ249"/>
      <c r="RA249"/>
      <c r="RB249"/>
      <c r="RC249"/>
      <c r="RD249"/>
      <c r="RE249"/>
      <c r="RF249"/>
      <c r="RG249"/>
      <c r="RH249"/>
      <c r="RI249"/>
      <c r="RJ249"/>
      <c r="RK249"/>
      <c r="RL249"/>
      <c r="RM249"/>
      <c r="RN249"/>
      <c r="RO249"/>
      <c r="RP249"/>
      <c r="RQ249"/>
      <c r="RR249"/>
      <c r="RS249"/>
      <c r="RT249"/>
      <c r="RU249"/>
    </row>
    <row r="250" spans="3:489" x14ac:dyDescent="0.25">
      <c r="C250" s="2" t="s">
        <v>3786</v>
      </c>
      <c r="D250" s="45">
        <v>0</v>
      </c>
      <c r="F250" s="2" t="s">
        <v>209</v>
      </c>
      <c r="G250" s="45">
        <v>1</v>
      </c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  <c r="QY250"/>
      <c r="QZ250"/>
      <c r="RA250"/>
      <c r="RB250"/>
      <c r="RC250"/>
      <c r="RD250"/>
      <c r="RE250"/>
      <c r="RF250"/>
      <c r="RG250"/>
      <c r="RH250"/>
      <c r="RI250"/>
      <c r="RJ250"/>
      <c r="RK250"/>
      <c r="RL250"/>
      <c r="RM250"/>
      <c r="RN250"/>
      <c r="RO250"/>
      <c r="RP250"/>
      <c r="RQ250"/>
      <c r="RR250"/>
      <c r="RS250"/>
      <c r="RT250"/>
      <c r="RU250"/>
    </row>
    <row r="251" spans="3:489" x14ac:dyDescent="0.25">
      <c r="C251" s="2" t="s">
        <v>3852</v>
      </c>
      <c r="D251" s="45">
        <v>0</v>
      </c>
      <c r="F251" s="2" t="s">
        <v>1286</v>
      </c>
      <c r="G251" s="45">
        <v>1</v>
      </c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  <c r="QY251"/>
      <c r="QZ251"/>
      <c r="RA251"/>
      <c r="RB251"/>
      <c r="RC251"/>
      <c r="RD251"/>
      <c r="RE251"/>
      <c r="RF251"/>
      <c r="RG251"/>
      <c r="RH251"/>
      <c r="RI251"/>
      <c r="RJ251"/>
      <c r="RK251"/>
      <c r="RL251"/>
      <c r="RM251"/>
      <c r="RN251"/>
      <c r="RO251"/>
      <c r="RP251"/>
      <c r="RQ251"/>
      <c r="RR251"/>
      <c r="RS251"/>
      <c r="RT251"/>
      <c r="RU251"/>
    </row>
    <row r="252" spans="3:489" x14ac:dyDescent="0.25">
      <c r="C252" s="2" t="s">
        <v>3837</v>
      </c>
      <c r="D252" s="45">
        <v>0</v>
      </c>
      <c r="F252" s="2" t="s">
        <v>193</v>
      </c>
      <c r="G252" s="45">
        <v>1</v>
      </c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  <c r="QY252"/>
      <c r="QZ252"/>
      <c r="RA252"/>
      <c r="RB252"/>
      <c r="RC252"/>
      <c r="RD252"/>
      <c r="RE252"/>
      <c r="RF252"/>
      <c r="RG252"/>
      <c r="RH252"/>
      <c r="RI252"/>
      <c r="RJ252"/>
      <c r="RK252"/>
      <c r="RL252"/>
      <c r="RM252"/>
      <c r="RN252"/>
      <c r="RO252"/>
      <c r="RP252"/>
      <c r="RQ252"/>
      <c r="RR252"/>
      <c r="RS252"/>
      <c r="RT252"/>
      <c r="RU252"/>
    </row>
    <row r="253" spans="3:489" x14ac:dyDescent="0.25">
      <c r="C253" s="2" t="s">
        <v>3691</v>
      </c>
      <c r="D253" s="45">
        <v>0</v>
      </c>
      <c r="F253" s="2" t="s">
        <v>205</v>
      </c>
      <c r="G253" s="45">
        <v>1</v>
      </c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  <c r="QY253"/>
      <c r="QZ253"/>
      <c r="RA253"/>
      <c r="RB253"/>
      <c r="RC253"/>
      <c r="RD253"/>
      <c r="RE253"/>
      <c r="RF253"/>
      <c r="RG253"/>
      <c r="RH253"/>
      <c r="RI253"/>
      <c r="RJ253"/>
      <c r="RK253"/>
      <c r="RL253"/>
      <c r="RM253"/>
      <c r="RN253"/>
      <c r="RO253"/>
      <c r="RP253"/>
      <c r="RQ253"/>
      <c r="RR253"/>
      <c r="RS253"/>
      <c r="RT253"/>
      <c r="RU253"/>
    </row>
    <row r="254" spans="3:489" x14ac:dyDescent="0.25">
      <c r="C254" s="2" t="s">
        <v>3830</v>
      </c>
      <c r="D254" s="45">
        <v>0</v>
      </c>
      <c r="F254" s="2" t="s">
        <v>629</v>
      </c>
      <c r="G254" s="45">
        <v>1</v>
      </c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  <c r="QY254"/>
      <c r="QZ254"/>
      <c r="RA254"/>
      <c r="RB254"/>
      <c r="RC254"/>
      <c r="RD254"/>
      <c r="RE254"/>
      <c r="RF254"/>
      <c r="RG254"/>
      <c r="RH254"/>
      <c r="RI254"/>
      <c r="RJ254"/>
      <c r="RK254"/>
      <c r="RL254"/>
      <c r="RM254"/>
      <c r="RN254"/>
      <c r="RO254"/>
      <c r="RP254"/>
      <c r="RQ254"/>
      <c r="RR254"/>
      <c r="RS254"/>
      <c r="RT254"/>
      <c r="RU254"/>
    </row>
    <row r="255" spans="3:489" x14ac:dyDescent="0.25">
      <c r="C255" s="2" t="s">
        <v>3831</v>
      </c>
      <c r="D255" s="45">
        <v>0</v>
      </c>
      <c r="F255" s="2" t="s">
        <v>477</v>
      </c>
      <c r="G255" s="45">
        <v>1</v>
      </c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  <c r="QY255"/>
      <c r="QZ255"/>
      <c r="RA255"/>
      <c r="RB255"/>
      <c r="RC255"/>
      <c r="RD255"/>
      <c r="RE255"/>
      <c r="RF255"/>
      <c r="RG255"/>
      <c r="RH255"/>
      <c r="RI255"/>
      <c r="RJ255"/>
      <c r="RK255"/>
      <c r="RL255"/>
      <c r="RM255"/>
      <c r="RN255"/>
      <c r="RO255"/>
      <c r="RP255"/>
      <c r="RQ255"/>
      <c r="RR255"/>
      <c r="RS255"/>
      <c r="RT255"/>
      <c r="RU255"/>
    </row>
    <row r="256" spans="3:489" x14ac:dyDescent="0.25">
      <c r="C256" s="2" t="s">
        <v>3692</v>
      </c>
      <c r="D256" s="45">
        <v>0</v>
      </c>
      <c r="F256" s="2" t="s">
        <v>259</v>
      </c>
      <c r="G256" s="45">
        <v>1</v>
      </c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  <c r="QY256"/>
      <c r="QZ256"/>
      <c r="RA256"/>
      <c r="RB256"/>
      <c r="RC256"/>
      <c r="RD256"/>
      <c r="RE256"/>
      <c r="RF256"/>
      <c r="RG256"/>
      <c r="RH256"/>
      <c r="RI256"/>
      <c r="RJ256"/>
      <c r="RK256"/>
      <c r="RL256"/>
      <c r="RM256"/>
      <c r="RN256"/>
      <c r="RO256"/>
      <c r="RP256"/>
      <c r="RQ256"/>
      <c r="RR256"/>
      <c r="RS256"/>
      <c r="RT256"/>
      <c r="RU256"/>
    </row>
    <row r="257" spans="3:489" x14ac:dyDescent="0.25">
      <c r="C257" s="2" t="s">
        <v>3772</v>
      </c>
      <c r="D257" s="45">
        <v>0</v>
      </c>
      <c r="F257" s="2" t="s">
        <v>281</v>
      </c>
      <c r="G257" s="45">
        <v>1</v>
      </c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  <c r="QY257"/>
      <c r="QZ257"/>
      <c r="RA257"/>
      <c r="RB257"/>
      <c r="RC257"/>
      <c r="RD257"/>
      <c r="RE257"/>
      <c r="RF257"/>
      <c r="RG257"/>
      <c r="RH257"/>
      <c r="RI257"/>
      <c r="RJ257"/>
      <c r="RK257"/>
      <c r="RL257"/>
      <c r="RM257"/>
      <c r="RN257"/>
      <c r="RO257"/>
      <c r="RP257"/>
      <c r="RQ257"/>
      <c r="RR257"/>
      <c r="RS257"/>
      <c r="RT257"/>
      <c r="RU257"/>
    </row>
    <row r="258" spans="3:489" x14ac:dyDescent="0.25">
      <c r="C258" s="2" t="s">
        <v>3775</v>
      </c>
      <c r="D258" s="45">
        <v>0</v>
      </c>
      <c r="F258" s="2" t="s">
        <v>485</v>
      </c>
      <c r="G258" s="45">
        <v>1</v>
      </c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  <c r="QY258"/>
      <c r="QZ258"/>
      <c r="RA258"/>
      <c r="RB258"/>
      <c r="RC258"/>
      <c r="RD258"/>
      <c r="RE258"/>
      <c r="RF258"/>
      <c r="RG258"/>
      <c r="RH258"/>
      <c r="RI258"/>
      <c r="RJ258"/>
      <c r="RK258"/>
      <c r="RL258"/>
      <c r="RM258"/>
      <c r="RN258"/>
      <c r="RO258"/>
      <c r="RP258"/>
      <c r="RQ258"/>
      <c r="RR258"/>
      <c r="RS258"/>
      <c r="RT258"/>
      <c r="RU258"/>
    </row>
    <row r="259" spans="3:489" x14ac:dyDescent="0.25">
      <c r="C259" s="2" t="s">
        <v>3771</v>
      </c>
      <c r="D259" s="45">
        <v>0</v>
      </c>
      <c r="F259" s="2" t="s">
        <v>212</v>
      </c>
      <c r="G259" s="45">
        <v>1</v>
      </c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  <c r="QY259"/>
      <c r="QZ259"/>
      <c r="RA259"/>
      <c r="RB259"/>
      <c r="RC259"/>
      <c r="RD259"/>
      <c r="RE259"/>
      <c r="RF259"/>
      <c r="RG259"/>
      <c r="RH259"/>
      <c r="RI259"/>
      <c r="RJ259"/>
      <c r="RK259"/>
      <c r="RL259"/>
      <c r="RM259"/>
      <c r="RN259"/>
      <c r="RO259"/>
      <c r="RP259"/>
      <c r="RQ259"/>
      <c r="RR259"/>
      <c r="RS259"/>
      <c r="RT259"/>
      <c r="RU259"/>
    </row>
    <row r="260" spans="3:489" x14ac:dyDescent="0.25">
      <c r="C260" s="2" t="s">
        <v>3785</v>
      </c>
      <c r="D260" s="45">
        <v>0</v>
      </c>
      <c r="F260" s="2" t="s">
        <v>3723</v>
      </c>
      <c r="G260" s="45">
        <v>1</v>
      </c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  <c r="QY260"/>
      <c r="QZ260"/>
      <c r="RA260"/>
      <c r="RB260"/>
      <c r="RC260"/>
      <c r="RD260"/>
      <c r="RE260"/>
      <c r="RF260"/>
      <c r="RG260"/>
      <c r="RH260"/>
      <c r="RI260"/>
      <c r="RJ260"/>
      <c r="RK260"/>
      <c r="RL260"/>
      <c r="RM260"/>
      <c r="RN260"/>
      <c r="RO260"/>
      <c r="RP260"/>
      <c r="RQ260"/>
      <c r="RR260"/>
      <c r="RS260"/>
      <c r="RT260"/>
      <c r="RU260"/>
    </row>
    <row r="261" spans="3:489" x14ac:dyDescent="0.25">
      <c r="C261" s="2" t="s">
        <v>3674</v>
      </c>
      <c r="D261" s="45">
        <v>0</v>
      </c>
      <c r="F261" s="2" t="s">
        <v>514</v>
      </c>
      <c r="G261" s="45">
        <v>1</v>
      </c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  <c r="QY261"/>
      <c r="QZ261"/>
      <c r="RA261"/>
      <c r="RB261"/>
      <c r="RC261"/>
      <c r="RD261"/>
      <c r="RE261"/>
      <c r="RF261"/>
      <c r="RG261"/>
      <c r="RH261"/>
      <c r="RI261"/>
      <c r="RJ261"/>
      <c r="RK261"/>
      <c r="RL261"/>
      <c r="RM261"/>
      <c r="RN261"/>
      <c r="RO261"/>
      <c r="RP261"/>
      <c r="RQ261"/>
      <c r="RR261"/>
      <c r="RS261"/>
      <c r="RT261"/>
      <c r="RU261"/>
    </row>
    <row r="262" spans="3:489" x14ac:dyDescent="0.25">
      <c r="C262" s="2" t="s">
        <v>3695</v>
      </c>
      <c r="D262" s="45">
        <v>0</v>
      </c>
      <c r="F262" s="2" t="s">
        <v>780</v>
      </c>
      <c r="G262" s="45">
        <v>1</v>
      </c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  <c r="QY262"/>
      <c r="QZ262"/>
      <c r="RA262"/>
      <c r="RB262"/>
      <c r="RC262"/>
      <c r="RD262"/>
      <c r="RE262"/>
      <c r="RF262"/>
      <c r="RG262"/>
      <c r="RH262"/>
      <c r="RI262"/>
      <c r="RJ262"/>
      <c r="RK262"/>
      <c r="RL262"/>
      <c r="RM262"/>
      <c r="RN262"/>
      <c r="RO262"/>
      <c r="RP262"/>
      <c r="RQ262"/>
      <c r="RR262"/>
      <c r="RS262"/>
      <c r="RT262"/>
      <c r="RU262"/>
    </row>
    <row r="263" spans="3:489" x14ac:dyDescent="0.25">
      <c r="C263" s="2" t="s">
        <v>3677</v>
      </c>
      <c r="D263" s="45">
        <v>0</v>
      </c>
      <c r="F263" s="2" t="s">
        <v>248</v>
      </c>
      <c r="G263" s="45">
        <v>1</v>
      </c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  <c r="QY263"/>
      <c r="QZ263"/>
      <c r="RA263"/>
      <c r="RB263"/>
      <c r="RC263"/>
      <c r="RD263"/>
      <c r="RE263"/>
      <c r="RF263"/>
      <c r="RG263"/>
      <c r="RH263"/>
      <c r="RI263"/>
      <c r="RJ263"/>
      <c r="RK263"/>
      <c r="RL263"/>
      <c r="RM263"/>
      <c r="RN263"/>
      <c r="RO263"/>
      <c r="RP263"/>
      <c r="RQ263"/>
      <c r="RR263"/>
      <c r="RS263"/>
      <c r="RT263"/>
      <c r="RU263"/>
    </row>
    <row r="264" spans="3:489" x14ac:dyDescent="0.25">
      <c r="C264" s="2" t="s">
        <v>3856</v>
      </c>
      <c r="D264" s="45">
        <v>0</v>
      </c>
      <c r="F264" s="2" t="s">
        <v>463</v>
      </c>
      <c r="G264" s="45">
        <v>1</v>
      </c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  <c r="QY264"/>
      <c r="QZ264"/>
      <c r="RA264"/>
      <c r="RB264"/>
      <c r="RC264"/>
      <c r="RD264"/>
      <c r="RE264"/>
      <c r="RF264"/>
      <c r="RG264"/>
      <c r="RH264"/>
      <c r="RI264"/>
      <c r="RJ264"/>
      <c r="RK264"/>
      <c r="RL264"/>
      <c r="RM264"/>
      <c r="RN264"/>
      <c r="RO264"/>
      <c r="RP264"/>
      <c r="RQ264"/>
      <c r="RR264"/>
      <c r="RS264"/>
      <c r="RT264"/>
      <c r="RU264"/>
    </row>
    <row r="265" spans="3:489" x14ac:dyDescent="0.25">
      <c r="C265" s="2" t="s">
        <v>3663</v>
      </c>
      <c r="D265" s="45">
        <v>0</v>
      </c>
      <c r="F265" s="2" t="s">
        <v>707</v>
      </c>
      <c r="G265" s="45">
        <v>1</v>
      </c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  <c r="QY265"/>
      <c r="QZ265"/>
      <c r="RA265"/>
      <c r="RB265"/>
      <c r="RC265"/>
      <c r="RD265"/>
      <c r="RE265"/>
      <c r="RF265"/>
      <c r="RG265"/>
      <c r="RH265"/>
      <c r="RI265"/>
      <c r="RJ265"/>
      <c r="RK265"/>
      <c r="RL265"/>
      <c r="RM265"/>
      <c r="RN265"/>
      <c r="RO265"/>
      <c r="RP265"/>
      <c r="RQ265"/>
      <c r="RR265"/>
      <c r="RS265"/>
      <c r="RT265"/>
      <c r="RU265"/>
    </row>
    <row r="266" spans="3:489" x14ac:dyDescent="0.25">
      <c r="C266" s="2" t="s">
        <v>3773</v>
      </c>
      <c r="D266" s="45">
        <v>0</v>
      </c>
      <c r="F266" s="2" t="s">
        <v>267</v>
      </c>
      <c r="G266" s="45">
        <v>1</v>
      </c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  <c r="QY266"/>
      <c r="QZ266"/>
      <c r="RA266"/>
      <c r="RB266"/>
      <c r="RC266"/>
      <c r="RD266"/>
      <c r="RE266"/>
      <c r="RF266"/>
      <c r="RG266"/>
      <c r="RH266"/>
      <c r="RI266"/>
      <c r="RJ266"/>
      <c r="RK266"/>
      <c r="RL266"/>
      <c r="RM266"/>
      <c r="RN266"/>
      <c r="RO266"/>
      <c r="RP266"/>
      <c r="RQ266"/>
      <c r="RR266"/>
      <c r="RS266"/>
      <c r="RT266"/>
      <c r="RU266"/>
    </row>
    <row r="267" spans="3:489" x14ac:dyDescent="0.25">
      <c r="C267" s="2" t="s">
        <v>3783</v>
      </c>
      <c r="D267" s="45">
        <v>0</v>
      </c>
      <c r="F267" s="2" t="s">
        <v>3557</v>
      </c>
      <c r="G267" s="45">
        <v>1</v>
      </c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  <c r="QY267"/>
      <c r="QZ267"/>
      <c r="RA267"/>
      <c r="RB267"/>
      <c r="RC267"/>
      <c r="RD267"/>
      <c r="RE267"/>
      <c r="RF267"/>
      <c r="RG267"/>
      <c r="RH267"/>
      <c r="RI267"/>
      <c r="RJ267"/>
      <c r="RK267"/>
      <c r="RL267"/>
      <c r="RM267"/>
      <c r="RN267"/>
      <c r="RO267"/>
      <c r="RP267"/>
      <c r="RQ267"/>
      <c r="RR267"/>
      <c r="RS267"/>
      <c r="RT267"/>
      <c r="RU267"/>
    </row>
    <row r="268" spans="3:489" x14ac:dyDescent="0.25">
      <c r="C268" s="2" t="s">
        <v>3782</v>
      </c>
      <c r="D268" s="45">
        <v>0</v>
      </c>
      <c r="F268" s="2" t="s">
        <v>3741</v>
      </c>
      <c r="G268" s="45">
        <v>1</v>
      </c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  <c r="QY268"/>
      <c r="QZ268"/>
      <c r="RA268"/>
      <c r="RB268"/>
      <c r="RC268"/>
      <c r="RD268"/>
      <c r="RE268"/>
      <c r="RF268"/>
      <c r="RG268"/>
      <c r="RH268"/>
      <c r="RI268"/>
      <c r="RJ268"/>
      <c r="RK268"/>
      <c r="RL268"/>
      <c r="RM268"/>
      <c r="RN268"/>
      <c r="RO268"/>
      <c r="RP268"/>
      <c r="RQ268"/>
      <c r="RR268"/>
      <c r="RS268"/>
      <c r="RT268"/>
      <c r="RU268"/>
    </row>
    <row r="269" spans="3:489" x14ac:dyDescent="0.25">
      <c r="C269" s="2" t="s">
        <v>3684</v>
      </c>
      <c r="D269" s="45">
        <v>0</v>
      </c>
      <c r="F269" s="2" t="s">
        <v>165</v>
      </c>
      <c r="G269" s="45">
        <v>1</v>
      </c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  <c r="QY269"/>
      <c r="QZ269"/>
      <c r="RA269"/>
      <c r="RB269"/>
      <c r="RC269"/>
      <c r="RD269"/>
      <c r="RE269"/>
      <c r="RF269"/>
      <c r="RG269"/>
      <c r="RH269"/>
      <c r="RI269"/>
      <c r="RJ269"/>
      <c r="RK269"/>
      <c r="RL269"/>
      <c r="RM269"/>
      <c r="RN269"/>
      <c r="RO269"/>
      <c r="RP269"/>
      <c r="RQ269"/>
      <c r="RR269"/>
      <c r="RS269"/>
      <c r="RT269"/>
      <c r="RU269"/>
    </row>
    <row r="270" spans="3:489" x14ac:dyDescent="0.25">
      <c r="C270" s="2" t="s">
        <v>3839</v>
      </c>
      <c r="D270" s="45">
        <v>0</v>
      </c>
      <c r="F270" s="2" t="s">
        <v>271</v>
      </c>
      <c r="G270" s="45">
        <v>1</v>
      </c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  <c r="QY270"/>
      <c r="QZ270"/>
      <c r="RA270"/>
      <c r="RB270"/>
      <c r="RC270"/>
      <c r="RD270"/>
      <c r="RE270"/>
      <c r="RF270"/>
      <c r="RG270"/>
      <c r="RH270"/>
      <c r="RI270"/>
      <c r="RJ270"/>
      <c r="RK270"/>
      <c r="RL270"/>
      <c r="RM270"/>
      <c r="RN270"/>
      <c r="RO270"/>
      <c r="RP270"/>
      <c r="RQ270"/>
      <c r="RR270"/>
      <c r="RS270"/>
      <c r="RT270"/>
      <c r="RU270"/>
    </row>
    <row r="271" spans="3:489" x14ac:dyDescent="0.25">
      <c r="C271" s="2" t="s">
        <v>3675</v>
      </c>
      <c r="D271" s="45">
        <v>0</v>
      </c>
      <c r="F271" s="2" t="s">
        <v>3648</v>
      </c>
      <c r="G271" s="45">
        <v>1</v>
      </c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  <c r="QY271"/>
      <c r="QZ271"/>
      <c r="RA271"/>
      <c r="RB271"/>
      <c r="RC271"/>
      <c r="RD271"/>
      <c r="RE271"/>
      <c r="RF271"/>
      <c r="RG271"/>
      <c r="RH271"/>
      <c r="RI271"/>
      <c r="RJ271"/>
      <c r="RK271"/>
      <c r="RL271"/>
      <c r="RM271"/>
      <c r="RN271"/>
      <c r="RO271"/>
      <c r="RP271"/>
      <c r="RQ271"/>
      <c r="RR271"/>
      <c r="RS271"/>
      <c r="RT271"/>
      <c r="RU271"/>
    </row>
    <row r="272" spans="3:489" x14ac:dyDescent="0.25">
      <c r="C272" s="2" t="s">
        <v>3841</v>
      </c>
      <c r="D272" s="45">
        <v>0</v>
      </c>
      <c r="F272" s="2" t="s">
        <v>149</v>
      </c>
      <c r="G272" s="45">
        <v>1</v>
      </c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  <c r="QY272"/>
      <c r="QZ272"/>
      <c r="RA272"/>
      <c r="RB272"/>
      <c r="RC272"/>
      <c r="RD272"/>
      <c r="RE272"/>
      <c r="RF272"/>
      <c r="RG272"/>
      <c r="RH272"/>
      <c r="RI272"/>
      <c r="RJ272"/>
      <c r="RK272"/>
      <c r="RL272"/>
      <c r="RM272"/>
      <c r="RN272"/>
      <c r="RO272"/>
      <c r="RP272"/>
      <c r="RQ272"/>
      <c r="RR272"/>
      <c r="RS272"/>
      <c r="RT272"/>
      <c r="RU272"/>
    </row>
    <row r="273" spans="3:489" x14ac:dyDescent="0.25">
      <c r="C273" s="2" t="s">
        <v>3853</v>
      </c>
      <c r="D273" s="45">
        <v>0</v>
      </c>
      <c r="F273" s="2" t="s">
        <v>3758</v>
      </c>
      <c r="G273" s="45">
        <v>1</v>
      </c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  <c r="QY273"/>
      <c r="QZ273"/>
      <c r="RA273"/>
      <c r="RB273"/>
      <c r="RC273"/>
      <c r="RD273"/>
      <c r="RE273"/>
      <c r="RF273"/>
      <c r="RG273"/>
      <c r="RH273"/>
      <c r="RI273"/>
      <c r="RJ273"/>
      <c r="RK273"/>
      <c r="RL273"/>
      <c r="RM273"/>
      <c r="RN273"/>
      <c r="RO273"/>
      <c r="RP273"/>
      <c r="RQ273"/>
      <c r="RR273"/>
      <c r="RS273"/>
      <c r="RT273"/>
      <c r="RU273"/>
    </row>
    <row r="274" spans="3:489" x14ac:dyDescent="0.25">
      <c r="C274" s="2" t="s">
        <v>3843</v>
      </c>
      <c r="D274" s="45">
        <v>0</v>
      </c>
      <c r="F274" s="2" t="s">
        <v>676</v>
      </c>
      <c r="G274" s="45">
        <v>1</v>
      </c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  <c r="QY274"/>
      <c r="QZ274"/>
      <c r="RA274"/>
      <c r="RB274"/>
      <c r="RC274"/>
      <c r="RD274"/>
      <c r="RE274"/>
      <c r="RF274"/>
      <c r="RG274"/>
      <c r="RH274"/>
      <c r="RI274"/>
      <c r="RJ274"/>
      <c r="RK274"/>
      <c r="RL274"/>
      <c r="RM274"/>
      <c r="RN274"/>
      <c r="RO274"/>
      <c r="RP274"/>
      <c r="RQ274"/>
      <c r="RR274"/>
      <c r="RS274"/>
      <c r="RT274"/>
      <c r="RU274"/>
    </row>
    <row r="275" spans="3:489" x14ac:dyDescent="0.25">
      <c r="C275" s="2" t="s">
        <v>3784</v>
      </c>
      <c r="D275" s="45">
        <v>0</v>
      </c>
      <c r="F275" s="2" t="s">
        <v>3751</v>
      </c>
      <c r="G275" s="45">
        <v>1</v>
      </c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  <c r="QY275"/>
      <c r="QZ275"/>
      <c r="RA275"/>
      <c r="RB275"/>
      <c r="RC275"/>
      <c r="RD275"/>
      <c r="RE275"/>
      <c r="RF275"/>
      <c r="RG275"/>
      <c r="RH275"/>
      <c r="RI275"/>
      <c r="RJ275"/>
      <c r="RK275"/>
      <c r="RL275"/>
      <c r="RM275"/>
      <c r="RN275"/>
      <c r="RO275"/>
      <c r="RP275"/>
      <c r="RQ275"/>
      <c r="RR275"/>
      <c r="RS275"/>
      <c r="RT275"/>
      <c r="RU275"/>
    </row>
    <row r="276" spans="3:489" x14ac:dyDescent="0.25">
      <c r="C276" s="2" t="s">
        <v>3855</v>
      </c>
      <c r="D276" s="45">
        <v>0</v>
      </c>
      <c r="F276" s="2" t="s">
        <v>687</v>
      </c>
      <c r="G276" s="45">
        <v>1</v>
      </c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  <c r="QY276"/>
      <c r="QZ276"/>
      <c r="RA276"/>
      <c r="RB276"/>
      <c r="RC276"/>
      <c r="RD276"/>
      <c r="RE276"/>
      <c r="RF276"/>
      <c r="RG276"/>
      <c r="RH276"/>
      <c r="RI276"/>
      <c r="RJ276"/>
      <c r="RK276"/>
      <c r="RL276"/>
      <c r="RM276"/>
      <c r="RN276"/>
      <c r="RO276"/>
      <c r="RP276"/>
      <c r="RQ276"/>
      <c r="RR276"/>
      <c r="RS276"/>
      <c r="RT276"/>
      <c r="RU276"/>
    </row>
    <row r="277" spans="3:489" x14ac:dyDescent="0.25">
      <c r="C277" s="2" t="s">
        <v>3774</v>
      </c>
      <c r="D277" s="45">
        <v>0</v>
      </c>
      <c r="F277" s="2" t="s">
        <v>681</v>
      </c>
      <c r="G277" s="45">
        <v>1</v>
      </c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  <c r="QY277"/>
      <c r="QZ277"/>
      <c r="RA277"/>
      <c r="RB277"/>
      <c r="RC277"/>
      <c r="RD277"/>
      <c r="RE277"/>
      <c r="RF277"/>
      <c r="RG277"/>
      <c r="RH277"/>
      <c r="RI277"/>
      <c r="RJ277"/>
      <c r="RK277"/>
      <c r="RL277"/>
      <c r="RM277"/>
      <c r="RN277"/>
      <c r="RO277"/>
      <c r="RP277"/>
      <c r="RQ277"/>
      <c r="RR277"/>
      <c r="RS277"/>
      <c r="RT277"/>
      <c r="RU277"/>
    </row>
    <row r="278" spans="3:489" x14ac:dyDescent="0.25">
      <c r="C278" s="2" t="s">
        <v>3846</v>
      </c>
      <c r="D278" s="45">
        <v>0</v>
      </c>
      <c r="F278" s="2" t="s">
        <v>175</v>
      </c>
      <c r="G278" s="45">
        <v>1</v>
      </c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  <c r="QY278"/>
      <c r="QZ278"/>
      <c r="RA278"/>
      <c r="RB278"/>
      <c r="RC278"/>
      <c r="RD278"/>
      <c r="RE278"/>
      <c r="RF278"/>
      <c r="RG278"/>
      <c r="RH278"/>
      <c r="RI278"/>
      <c r="RJ278"/>
      <c r="RK278"/>
      <c r="RL278"/>
      <c r="RM278"/>
      <c r="RN278"/>
      <c r="RO278"/>
      <c r="RP278"/>
      <c r="RQ278"/>
      <c r="RR278"/>
      <c r="RS278"/>
      <c r="RT278"/>
      <c r="RU278"/>
    </row>
    <row r="279" spans="3:489" x14ac:dyDescent="0.25">
      <c r="C279" s="2" t="s">
        <v>3776</v>
      </c>
      <c r="D279" s="45">
        <v>0</v>
      </c>
      <c r="F279" s="2" t="s">
        <v>804</v>
      </c>
      <c r="G279" s="45">
        <v>1</v>
      </c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  <c r="QY279"/>
      <c r="QZ279"/>
      <c r="RA279"/>
      <c r="RB279"/>
      <c r="RC279"/>
      <c r="RD279"/>
      <c r="RE279"/>
      <c r="RF279"/>
      <c r="RG279"/>
      <c r="RH279"/>
      <c r="RI279"/>
      <c r="RJ279"/>
      <c r="RK279"/>
      <c r="RL279"/>
      <c r="RM279"/>
      <c r="RN279"/>
      <c r="RO279"/>
      <c r="RP279"/>
      <c r="RQ279"/>
      <c r="RR279"/>
      <c r="RS279"/>
      <c r="RT279"/>
      <c r="RU279"/>
    </row>
    <row r="280" spans="3:489" x14ac:dyDescent="0.25">
      <c r="C280" s="2" t="s">
        <v>3828</v>
      </c>
      <c r="D280" s="45">
        <v>0</v>
      </c>
      <c r="F280" s="2" t="s">
        <v>3798</v>
      </c>
      <c r="G280" s="45">
        <v>1</v>
      </c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  <c r="QY280"/>
      <c r="QZ280"/>
      <c r="RA280"/>
      <c r="RB280"/>
      <c r="RC280"/>
      <c r="RD280"/>
      <c r="RE280"/>
      <c r="RF280"/>
      <c r="RG280"/>
      <c r="RH280"/>
      <c r="RI280"/>
      <c r="RJ280"/>
      <c r="RK280"/>
      <c r="RL280"/>
      <c r="RM280"/>
      <c r="RN280"/>
      <c r="RO280"/>
      <c r="RP280"/>
      <c r="RQ280"/>
      <c r="RR280"/>
      <c r="RS280"/>
      <c r="RT280"/>
      <c r="RU280"/>
    </row>
    <row r="281" spans="3:489" x14ac:dyDescent="0.25">
      <c r="C281" s="2" t="s">
        <v>3686</v>
      </c>
      <c r="D281" s="45">
        <v>0</v>
      </c>
      <c r="F281" s="2" t="s">
        <v>295</v>
      </c>
      <c r="G281" s="45">
        <v>1</v>
      </c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  <c r="QY281"/>
      <c r="QZ281"/>
      <c r="RA281"/>
      <c r="RB281"/>
      <c r="RC281"/>
      <c r="RD281"/>
      <c r="RE281"/>
      <c r="RF281"/>
      <c r="RG281"/>
      <c r="RH281"/>
      <c r="RI281"/>
      <c r="RJ281"/>
      <c r="RK281"/>
      <c r="RL281"/>
      <c r="RM281"/>
      <c r="RN281"/>
      <c r="RO281"/>
      <c r="RP281"/>
      <c r="RQ281"/>
      <c r="RR281"/>
      <c r="RS281"/>
      <c r="RT281"/>
      <c r="RU281"/>
    </row>
    <row r="282" spans="3:489" x14ac:dyDescent="0.25">
      <c r="C282" s="2" t="s">
        <v>3777</v>
      </c>
      <c r="D282" s="45">
        <v>0</v>
      </c>
      <c r="F282" s="2" t="s">
        <v>183</v>
      </c>
      <c r="G282" s="45">
        <v>1</v>
      </c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  <c r="QY282"/>
      <c r="QZ282"/>
      <c r="RA282"/>
      <c r="RB282"/>
      <c r="RC282"/>
      <c r="RD282"/>
      <c r="RE282"/>
      <c r="RF282"/>
      <c r="RG282"/>
      <c r="RH282"/>
      <c r="RI282"/>
      <c r="RJ282"/>
      <c r="RK282"/>
      <c r="RL282"/>
      <c r="RM282"/>
      <c r="RN282"/>
      <c r="RO282"/>
      <c r="RP282"/>
      <c r="RQ282"/>
      <c r="RR282"/>
      <c r="RS282"/>
      <c r="RT282"/>
      <c r="RU282"/>
    </row>
    <row r="283" spans="3:489" x14ac:dyDescent="0.25">
      <c r="C283" s="2" t="s">
        <v>3778</v>
      </c>
      <c r="D283" s="45">
        <v>0</v>
      </c>
      <c r="F283" s="2" t="s">
        <v>173</v>
      </c>
      <c r="G283" s="45">
        <v>1</v>
      </c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  <c r="QY283"/>
      <c r="QZ283"/>
      <c r="RA283"/>
      <c r="RB283"/>
      <c r="RC283"/>
      <c r="RD283"/>
      <c r="RE283"/>
      <c r="RF283"/>
      <c r="RG283"/>
      <c r="RH283"/>
      <c r="RI283"/>
      <c r="RJ283"/>
      <c r="RK283"/>
      <c r="RL283"/>
      <c r="RM283"/>
      <c r="RN283"/>
      <c r="RO283"/>
      <c r="RP283"/>
      <c r="RQ283"/>
      <c r="RR283"/>
      <c r="RS283"/>
      <c r="RT283"/>
      <c r="RU283"/>
    </row>
    <row r="284" spans="3:489" x14ac:dyDescent="0.25">
      <c r="C284" s="2" t="s">
        <v>3779</v>
      </c>
      <c r="D284" s="45">
        <v>0</v>
      </c>
      <c r="F284" s="2" t="s">
        <v>908</v>
      </c>
      <c r="G284" s="45">
        <v>1</v>
      </c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  <c r="QY284"/>
      <c r="QZ284"/>
      <c r="RA284"/>
      <c r="RB284"/>
      <c r="RC284"/>
      <c r="RD284"/>
      <c r="RE284"/>
      <c r="RF284"/>
      <c r="RG284"/>
      <c r="RH284"/>
      <c r="RI284"/>
      <c r="RJ284"/>
      <c r="RK284"/>
      <c r="RL284"/>
      <c r="RM284"/>
      <c r="RN284"/>
      <c r="RO284"/>
      <c r="RP284"/>
      <c r="RQ284"/>
      <c r="RR284"/>
      <c r="RS284"/>
      <c r="RT284"/>
      <c r="RU284"/>
    </row>
    <row r="285" spans="3:489" x14ac:dyDescent="0.25">
      <c r="C285" s="2" t="s">
        <v>3788</v>
      </c>
      <c r="D285" s="45">
        <v>0</v>
      </c>
      <c r="F285" s="2" t="s">
        <v>413</v>
      </c>
      <c r="G285" s="45">
        <v>1</v>
      </c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  <c r="QY285"/>
      <c r="QZ285"/>
      <c r="RA285"/>
      <c r="RB285"/>
      <c r="RC285"/>
      <c r="RD285"/>
      <c r="RE285"/>
      <c r="RF285"/>
      <c r="RG285"/>
      <c r="RH285"/>
      <c r="RI285"/>
      <c r="RJ285"/>
      <c r="RK285"/>
      <c r="RL285"/>
      <c r="RM285"/>
      <c r="RN285"/>
      <c r="RO285"/>
      <c r="RP285"/>
      <c r="RQ285"/>
      <c r="RR285"/>
      <c r="RS285"/>
      <c r="RT285"/>
      <c r="RU285"/>
    </row>
    <row r="286" spans="3:489" x14ac:dyDescent="0.25">
      <c r="C286" s="2" t="s">
        <v>3854</v>
      </c>
      <c r="D286" s="45">
        <v>0</v>
      </c>
      <c r="F286" s="2" t="s">
        <v>82</v>
      </c>
      <c r="G286" s="45">
        <v>975</v>
      </c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  <c r="QY286"/>
      <c r="QZ286"/>
      <c r="RA286"/>
      <c r="RB286"/>
      <c r="RC286"/>
      <c r="RD286"/>
      <c r="RE286"/>
      <c r="RF286"/>
      <c r="RG286"/>
      <c r="RH286"/>
      <c r="RI286"/>
      <c r="RJ286"/>
      <c r="RK286"/>
      <c r="RL286"/>
      <c r="RM286"/>
      <c r="RN286"/>
      <c r="RO286"/>
      <c r="RP286"/>
      <c r="RQ286"/>
      <c r="RR286"/>
      <c r="RS286"/>
      <c r="RT286"/>
      <c r="RU286"/>
    </row>
    <row r="287" spans="3:489" x14ac:dyDescent="0.25">
      <c r="C287" s="2" t="s">
        <v>3789</v>
      </c>
      <c r="D287" s="45">
        <v>0</v>
      </c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  <c r="QY287"/>
      <c r="QZ287"/>
      <c r="RA287"/>
      <c r="RB287"/>
      <c r="RC287"/>
      <c r="RD287"/>
      <c r="RE287"/>
      <c r="RF287"/>
      <c r="RG287"/>
      <c r="RH287"/>
      <c r="RI287"/>
      <c r="RJ287"/>
      <c r="RK287"/>
      <c r="RL287"/>
      <c r="RM287"/>
      <c r="RN287"/>
      <c r="RO287"/>
      <c r="RP287"/>
      <c r="RQ287"/>
      <c r="RR287"/>
      <c r="RS287"/>
      <c r="RT287"/>
      <c r="RU287"/>
    </row>
    <row r="288" spans="3:489" x14ac:dyDescent="0.25">
      <c r="C288" s="2" t="s">
        <v>3680</v>
      </c>
      <c r="D288" s="45">
        <v>0</v>
      </c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  <c r="QY288"/>
      <c r="QZ288"/>
      <c r="RA288"/>
      <c r="RB288"/>
      <c r="RC288"/>
      <c r="RD288"/>
      <c r="RE288"/>
      <c r="RF288"/>
      <c r="RG288"/>
      <c r="RH288"/>
      <c r="RI288"/>
      <c r="RJ288"/>
      <c r="RK288"/>
      <c r="RL288"/>
      <c r="RM288"/>
      <c r="RN288"/>
      <c r="RO288"/>
      <c r="RP288"/>
      <c r="RQ288"/>
      <c r="RR288"/>
      <c r="RS288"/>
      <c r="RT288"/>
      <c r="RU288"/>
    </row>
    <row r="289" spans="3:489" x14ac:dyDescent="0.25">
      <c r="C289" s="2" t="s">
        <v>3834</v>
      </c>
      <c r="D289" s="45">
        <v>0</v>
      </c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  <c r="QY289"/>
      <c r="QZ289"/>
      <c r="RA289"/>
      <c r="RB289"/>
      <c r="RC289"/>
      <c r="RD289"/>
      <c r="RE289"/>
      <c r="RF289"/>
      <c r="RG289"/>
      <c r="RH289"/>
      <c r="RI289"/>
      <c r="RJ289"/>
      <c r="RK289"/>
      <c r="RL289"/>
      <c r="RM289"/>
      <c r="RN289"/>
      <c r="RO289"/>
      <c r="RP289"/>
      <c r="RQ289"/>
      <c r="RR289"/>
      <c r="RS289"/>
      <c r="RT289"/>
      <c r="RU289"/>
    </row>
    <row r="290" spans="3:489" x14ac:dyDescent="0.25">
      <c r="C290" s="2" t="s">
        <v>3851</v>
      </c>
      <c r="D290" s="45">
        <v>0</v>
      </c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  <c r="QY290"/>
      <c r="QZ290"/>
      <c r="RA290"/>
      <c r="RB290"/>
      <c r="RC290"/>
      <c r="RD290"/>
      <c r="RE290"/>
      <c r="RF290"/>
      <c r="RG290"/>
      <c r="RH290"/>
      <c r="RI290"/>
      <c r="RJ290"/>
      <c r="RK290"/>
      <c r="RL290"/>
      <c r="RM290"/>
      <c r="RN290"/>
      <c r="RO290"/>
      <c r="RP290"/>
      <c r="RQ290"/>
      <c r="RR290"/>
      <c r="RS290"/>
      <c r="RT290"/>
      <c r="RU290"/>
    </row>
    <row r="291" spans="3:489" x14ac:dyDescent="0.25">
      <c r="C291" s="2" t="s">
        <v>3790</v>
      </c>
      <c r="D291" s="45">
        <v>0</v>
      </c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  <c r="QY291"/>
      <c r="QZ291"/>
      <c r="RA291"/>
      <c r="RB291"/>
      <c r="RC291"/>
      <c r="RD291"/>
      <c r="RE291"/>
      <c r="RF291"/>
      <c r="RG291"/>
      <c r="RH291"/>
      <c r="RI291"/>
      <c r="RJ291"/>
      <c r="RK291"/>
      <c r="RL291"/>
      <c r="RM291"/>
      <c r="RN291"/>
      <c r="RO291"/>
      <c r="RP291"/>
      <c r="RQ291"/>
      <c r="RR291"/>
      <c r="RS291"/>
      <c r="RT291"/>
      <c r="RU291"/>
    </row>
    <row r="292" spans="3:489" x14ac:dyDescent="0.25">
      <c r="C292" s="2" t="s">
        <v>3857</v>
      </c>
      <c r="D292" s="45">
        <v>0</v>
      </c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  <c r="QY292"/>
      <c r="QZ292"/>
      <c r="RA292"/>
      <c r="RB292"/>
      <c r="RC292"/>
      <c r="RD292"/>
      <c r="RE292"/>
      <c r="RF292"/>
      <c r="RG292"/>
      <c r="RH292"/>
      <c r="RI292"/>
      <c r="RJ292"/>
      <c r="RK292"/>
      <c r="RL292"/>
      <c r="RM292"/>
      <c r="RN292"/>
      <c r="RO292"/>
      <c r="RP292"/>
      <c r="RQ292"/>
      <c r="RR292"/>
      <c r="RS292"/>
      <c r="RT292"/>
      <c r="RU292"/>
    </row>
    <row r="293" spans="3:489" x14ac:dyDescent="0.25">
      <c r="C293" s="2" t="s">
        <v>3780</v>
      </c>
      <c r="D293" s="45">
        <v>0</v>
      </c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  <c r="QY293"/>
      <c r="QZ293"/>
      <c r="RA293"/>
      <c r="RB293"/>
      <c r="RC293"/>
      <c r="RD293"/>
      <c r="RE293"/>
      <c r="RF293"/>
      <c r="RG293"/>
      <c r="RH293"/>
      <c r="RI293"/>
      <c r="RJ293"/>
      <c r="RK293"/>
      <c r="RL293"/>
      <c r="RM293"/>
      <c r="RN293"/>
      <c r="RO293"/>
      <c r="RP293"/>
      <c r="RQ293"/>
      <c r="RR293"/>
      <c r="RS293"/>
      <c r="RT293"/>
      <c r="RU293"/>
    </row>
    <row r="294" spans="3:489" x14ac:dyDescent="0.25">
      <c r="C294" s="2" t="s">
        <v>3859</v>
      </c>
      <c r="D294" s="45">
        <v>0</v>
      </c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  <c r="QY294"/>
      <c r="QZ294"/>
      <c r="RA294"/>
      <c r="RB294"/>
      <c r="RC294"/>
      <c r="RD294"/>
      <c r="RE294"/>
      <c r="RF294"/>
      <c r="RG294"/>
      <c r="RH294"/>
      <c r="RI294"/>
      <c r="RJ294"/>
      <c r="RK294"/>
      <c r="RL294"/>
      <c r="RM294"/>
      <c r="RN294"/>
      <c r="RO294"/>
      <c r="RP294"/>
      <c r="RQ294"/>
      <c r="RR294"/>
      <c r="RS294"/>
      <c r="RT294"/>
      <c r="RU294"/>
    </row>
    <row r="295" spans="3:489" x14ac:dyDescent="0.25">
      <c r="C295" s="2" t="s">
        <v>3835</v>
      </c>
      <c r="D295" s="45">
        <v>0</v>
      </c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  <c r="QY295"/>
      <c r="QZ295"/>
      <c r="RA295"/>
      <c r="RB295"/>
      <c r="RC295"/>
      <c r="RD295"/>
      <c r="RE295"/>
      <c r="RF295"/>
      <c r="RG295"/>
      <c r="RH295"/>
      <c r="RI295"/>
      <c r="RJ295"/>
      <c r="RK295"/>
      <c r="RL295"/>
      <c r="RM295"/>
      <c r="RN295"/>
      <c r="RO295"/>
      <c r="RP295"/>
      <c r="RQ295"/>
      <c r="RR295"/>
      <c r="RS295"/>
      <c r="RT295"/>
      <c r="RU295"/>
    </row>
    <row r="296" spans="3:489" x14ac:dyDescent="0.25">
      <c r="C296" s="2" t="s">
        <v>3836</v>
      </c>
      <c r="D296" s="45">
        <v>0</v>
      </c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  <c r="QY296"/>
      <c r="QZ296"/>
      <c r="RA296"/>
      <c r="RB296"/>
      <c r="RC296"/>
      <c r="RD296"/>
      <c r="RE296"/>
      <c r="RF296"/>
      <c r="RG296"/>
      <c r="RH296"/>
      <c r="RI296"/>
      <c r="RJ296"/>
      <c r="RK296"/>
      <c r="RL296"/>
      <c r="RM296"/>
      <c r="RN296"/>
      <c r="RO296"/>
      <c r="RP296"/>
      <c r="RQ296"/>
      <c r="RR296"/>
      <c r="RS296"/>
      <c r="RT296"/>
      <c r="RU296"/>
    </row>
    <row r="297" spans="3:489" x14ac:dyDescent="0.25">
      <c r="C297" s="2" t="s">
        <v>82</v>
      </c>
      <c r="D297" s="45">
        <v>337</v>
      </c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  <c r="QY297"/>
      <c r="QZ297"/>
      <c r="RA297"/>
      <c r="RB297"/>
      <c r="RC297"/>
      <c r="RD297"/>
      <c r="RE297"/>
      <c r="RF297"/>
      <c r="RG297"/>
      <c r="RH297"/>
      <c r="RI297"/>
      <c r="RJ297"/>
      <c r="RK297"/>
      <c r="RL297"/>
      <c r="RM297"/>
      <c r="RN297"/>
      <c r="RO297"/>
      <c r="RP297"/>
      <c r="RQ297"/>
      <c r="RR297"/>
      <c r="RS297"/>
      <c r="RT297"/>
      <c r="RU297"/>
    </row>
    <row r="298" spans="3:489" x14ac:dyDescent="0.25">
      <c r="C298"/>
      <c r="D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  <c r="QY298"/>
      <c r="QZ298"/>
      <c r="RA298"/>
      <c r="RB298"/>
      <c r="RC298"/>
      <c r="RD298"/>
      <c r="RE298"/>
      <c r="RF298"/>
      <c r="RG298"/>
      <c r="RH298"/>
      <c r="RI298"/>
      <c r="RJ298"/>
      <c r="RK298"/>
      <c r="RL298"/>
      <c r="RM298"/>
      <c r="RN298"/>
      <c r="RO298"/>
      <c r="RP298"/>
      <c r="RQ298"/>
      <c r="RR298"/>
      <c r="RS298"/>
      <c r="RT298"/>
      <c r="RU298"/>
    </row>
    <row r="299" spans="3:489" x14ac:dyDescent="0.25">
      <c r="C299"/>
      <c r="D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  <c r="QY299"/>
      <c r="QZ299"/>
      <c r="RA299"/>
      <c r="RB299"/>
      <c r="RC299"/>
      <c r="RD299"/>
      <c r="RE299"/>
      <c r="RF299"/>
      <c r="RG299"/>
      <c r="RH299"/>
      <c r="RI299"/>
      <c r="RJ299"/>
      <c r="RK299"/>
      <c r="RL299"/>
      <c r="RM299"/>
      <c r="RN299"/>
      <c r="RO299"/>
      <c r="RP299"/>
      <c r="RQ299"/>
      <c r="RR299"/>
      <c r="RS299"/>
      <c r="RT299"/>
      <c r="RU299"/>
    </row>
    <row r="300" spans="3:489" x14ac:dyDescent="0.25">
      <c r="C300"/>
      <c r="D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  <c r="QY300"/>
      <c r="QZ300"/>
      <c r="RA300"/>
      <c r="RB300"/>
      <c r="RC300"/>
      <c r="RD300"/>
      <c r="RE300"/>
      <c r="RF300"/>
      <c r="RG300"/>
      <c r="RH300"/>
      <c r="RI300"/>
      <c r="RJ300"/>
      <c r="RK300"/>
      <c r="RL300"/>
      <c r="RM300"/>
      <c r="RN300"/>
      <c r="RO300"/>
      <c r="RP300"/>
      <c r="RQ300"/>
      <c r="RR300"/>
      <c r="RS300"/>
      <c r="RT300"/>
      <c r="RU300"/>
    </row>
    <row r="301" spans="3:489" x14ac:dyDescent="0.25">
      <c r="C301"/>
      <c r="D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  <c r="QY301"/>
      <c r="QZ301"/>
      <c r="RA301"/>
      <c r="RB301"/>
      <c r="RC301"/>
      <c r="RD301"/>
      <c r="RE301"/>
      <c r="RF301"/>
      <c r="RG301"/>
      <c r="RH301"/>
      <c r="RI301"/>
      <c r="RJ301"/>
      <c r="RK301"/>
      <c r="RL301"/>
      <c r="RM301"/>
      <c r="RN301"/>
      <c r="RO301"/>
      <c r="RP301"/>
      <c r="RQ301"/>
      <c r="RR301"/>
      <c r="RS301"/>
      <c r="RT301"/>
      <c r="RU301"/>
    </row>
    <row r="302" spans="3:489" x14ac:dyDescent="0.25">
      <c r="C302"/>
      <c r="D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  <c r="QY302"/>
      <c r="QZ302"/>
      <c r="RA302"/>
      <c r="RB302"/>
      <c r="RC302"/>
      <c r="RD302"/>
      <c r="RE302"/>
      <c r="RF302"/>
      <c r="RG302"/>
      <c r="RH302"/>
      <c r="RI302"/>
      <c r="RJ302"/>
      <c r="RK302"/>
      <c r="RL302"/>
      <c r="RM302"/>
      <c r="RN302"/>
      <c r="RO302"/>
      <c r="RP302"/>
      <c r="RQ302"/>
      <c r="RR302"/>
      <c r="RS302"/>
      <c r="RT302"/>
      <c r="RU302"/>
    </row>
    <row r="303" spans="3:489" x14ac:dyDescent="0.25">
      <c r="C303"/>
      <c r="D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  <c r="QY303"/>
      <c r="QZ303"/>
      <c r="RA303"/>
      <c r="RB303"/>
      <c r="RC303"/>
      <c r="RD303"/>
      <c r="RE303"/>
      <c r="RF303"/>
      <c r="RG303"/>
      <c r="RH303"/>
      <c r="RI303"/>
      <c r="RJ303"/>
      <c r="RK303"/>
      <c r="RL303"/>
      <c r="RM303"/>
      <c r="RN303"/>
      <c r="RO303"/>
      <c r="RP303"/>
      <c r="RQ303"/>
      <c r="RR303"/>
      <c r="RS303"/>
      <c r="RT303"/>
      <c r="RU303"/>
    </row>
    <row r="304" spans="3:489" x14ac:dyDescent="0.25">
      <c r="C304"/>
      <c r="D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  <c r="QY304"/>
      <c r="QZ304"/>
      <c r="RA304"/>
      <c r="RB304"/>
      <c r="RC304"/>
      <c r="RD304"/>
      <c r="RE304"/>
      <c r="RF304"/>
      <c r="RG304"/>
      <c r="RH304"/>
      <c r="RI304"/>
      <c r="RJ304"/>
      <c r="RK304"/>
      <c r="RL304"/>
      <c r="RM304"/>
      <c r="RN304"/>
      <c r="RO304"/>
      <c r="RP304"/>
      <c r="RQ304"/>
      <c r="RR304"/>
      <c r="RS304"/>
      <c r="RT304"/>
      <c r="RU304"/>
    </row>
    <row r="305" spans="3:489" x14ac:dyDescent="0.25">
      <c r="C305"/>
      <c r="D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  <c r="QY305"/>
      <c r="QZ305"/>
      <c r="RA305"/>
      <c r="RB305"/>
      <c r="RC305"/>
      <c r="RD305"/>
      <c r="RE305"/>
      <c r="RF305"/>
      <c r="RG305"/>
      <c r="RH305"/>
      <c r="RI305"/>
      <c r="RJ305"/>
      <c r="RK305"/>
      <c r="RL305"/>
      <c r="RM305"/>
      <c r="RN305"/>
      <c r="RO305"/>
      <c r="RP305"/>
      <c r="RQ305"/>
      <c r="RR305"/>
      <c r="RS305"/>
      <c r="RT305"/>
      <c r="RU305"/>
    </row>
    <row r="306" spans="3:489" x14ac:dyDescent="0.25">
      <c r="C306"/>
      <c r="D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  <c r="QY306"/>
      <c r="QZ306"/>
      <c r="RA306"/>
      <c r="RB306"/>
      <c r="RC306"/>
      <c r="RD306"/>
      <c r="RE306"/>
      <c r="RF306"/>
      <c r="RG306"/>
      <c r="RH306"/>
      <c r="RI306"/>
      <c r="RJ306"/>
      <c r="RK306"/>
      <c r="RL306"/>
      <c r="RM306"/>
      <c r="RN306"/>
      <c r="RO306"/>
      <c r="RP306"/>
      <c r="RQ306"/>
      <c r="RR306"/>
      <c r="RS306"/>
      <c r="RT306"/>
      <c r="RU306"/>
    </row>
    <row r="307" spans="3:489" x14ac:dyDescent="0.25">
      <c r="C307"/>
      <c r="D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  <c r="QY307"/>
      <c r="QZ307"/>
      <c r="RA307"/>
      <c r="RB307"/>
      <c r="RC307"/>
      <c r="RD307"/>
      <c r="RE307"/>
      <c r="RF307"/>
      <c r="RG307"/>
      <c r="RH307"/>
      <c r="RI307"/>
      <c r="RJ307"/>
      <c r="RK307"/>
      <c r="RL307"/>
      <c r="RM307"/>
      <c r="RN307"/>
      <c r="RO307"/>
      <c r="RP307"/>
      <c r="RQ307"/>
      <c r="RR307"/>
      <c r="RS307"/>
      <c r="RT307"/>
      <c r="RU307"/>
    </row>
    <row r="308" spans="3:489" x14ac:dyDescent="0.25">
      <c r="C308"/>
      <c r="D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  <c r="QY308"/>
      <c r="QZ308"/>
      <c r="RA308"/>
      <c r="RB308"/>
      <c r="RC308"/>
      <c r="RD308"/>
      <c r="RE308"/>
      <c r="RF308"/>
      <c r="RG308"/>
      <c r="RH308"/>
      <c r="RI308"/>
      <c r="RJ308"/>
      <c r="RK308"/>
      <c r="RL308"/>
      <c r="RM308"/>
      <c r="RN308"/>
      <c r="RO308"/>
      <c r="RP308"/>
      <c r="RQ308"/>
      <c r="RR308"/>
      <c r="RS308"/>
      <c r="RT308"/>
      <c r="RU308"/>
    </row>
    <row r="309" spans="3:489" x14ac:dyDescent="0.25">
      <c r="C309"/>
      <c r="D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  <c r="QY309"/>
      <c r="QZ309"/>
      <c r="RA309"/>
      <c r="RB309"/>
      <c r="RC309"/>
      <c r="RD309"/>
      <c r="RE309"/>
      <c r="RF309"/>
      <c r="RG309"/>
      <c r="RH309"/>
      <c r="RI309"/>
      <c r="RJ309"/>
      <c r="RK309"/>
      <c r="RL309"/>
      <c r="RM309"/>
      <c r="RN309"/>
      <c r="RO309"/>
      <c r="RP309"/>
      <c r="RQ309"/>
      <c r="RR309"/>
      <c r="RS309"/>
      <c r="RT309"/>
      <c r="RU309"/>
    </row>
    <row r="310" spans="3:489" x14ac:dyDescent="0.25">
      <c r="C310"/>
      <c r="D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  <c r="QY310"/>
      <c r="QZ310"/>
      <c r="RA310"/>
      <c r="RB310"/>
      <c r="RC310"/>
      <c r="RD310"/>
      <c r="RE310"/>
      <c r="RF310"/>
      <c r="RG310"/>
      <c r="RH310"/>
      <c r="RI310"/>
      <c r="RJ310"/>
      <c r="RK310"/>
      <c r="RL310"/>
      <c r="RM310"/>
      <c r="RN310"/>
      <c r="RO310"/>
      <c r="RP310"/>
      <c r="RQ310"/>
      <c r="RR310"/>
      <c r="RS310"/>
      <c r="RT310"/>
      <c r="RU310"/>
    </row>
    <row r="311" spans="3:489" x14ac:dyDescent="0.25">
      <c r="C311"/>
      <c r="D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  <c r="QY311"/>
      <c r="QZ311"/>
      <c r="RA311"/>
      <c r="RB311"/>
      <c r="RC311"/>
      <c r="RD311"/>
      <c r="RE311"/>
      <c r="RF311"/>
      <c r="RG311"/>
      <c r="RH311"/>
      <c r="RI311"/>
      <c r="RJ311"/>
      <c r="RK311"/>
      <c r="RL311"/>
      <c r="RM311"/>
      <c r="RN311"/>
      <c r="RO311"/>
      <c r="RP311"/>
      <c r="RQ311"/>
      <c r="RR311"/>
      <c r="RS311"/>
      <c r="RT311"/>
      <c r="RU311"/>
    </row>
    <row r="312" spans="3:489" x14ac:dyDescent="0.25">
      <c r="C312"/>
      <c r="D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  <c r="QY312"/>
      <c r="QZ312"/>
      <c r="RA312"/>
      <c r="RB312"/>
      <c r="RC312"/>
      <c r="RD312"/>
      <c r="RE312"/>
      <c r="RF312"/>
      <c r="RG312"/>
      <c r="RH312"/>
      <c r="RI312"/>
      <c r="RJ312"/>
      <c r="RK312"/>
      <c r="RL312"/>
      <c r="RM312"/>
      <c r="RN312"/>
      <c r="RO312"/>
      <c r="RP312"/>
      <c r="RQ312"/>
      <c r="RR312"/>
      <c r="RS312"/>
      <c r="RT312"/>
      <c r="RU312"/>
    </row>
    <row r="313" spans="3:489" x14ac:dyDescent="0.25">
      <c r="C313"/>
      <c r="D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  <c r="QY313"/>
      <c r="QZ313"/>
      <c r="RA313"/>
      <c r="RB313"/>
      <c r="RC313"/>
      <c r="RD313"/>
      <c r="RE313"/>
      <c r="RF313"/>
      <c r="RG313"/>
      <c r="RH313"/>
      <c r="RI313"/>
      <c r="RJ313"/>
      <c r="RK313"/>
      <c r="RL313"/>
      <c r="RM313"/>
      <c r="RN313"/>
      <c r="RO313"/>
      <c r="RP313"/>
      <c r="RQ313"/>
      <c r="RR313"/>
      <c r="RS313"/>
      <c r="RT313"/>
      <c r="RU313"/>
    </row>
    <row r="314" spans="3:489" x14ac:dyDescent="0.25">
      <c r="C314"/>
      <c r="D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  <c r="QY314"/>
      <c r="QZ314"/>
      <c r="RA314"/>
      <c r="RB314"/>
      <c r="RC314"/>
      <c r="RD314"/>
      <c r="RE314"/>
      <c r="RF314"/>
      <c r="RG314"/>
      <c r="RH314"/>
      <c r="RI314"/>
      <c r="RJ314"/>
      <c r="RK314"/>
      <c r="RL314"/>
      <c r="RM314"/>
      <c r="RN314"/>
      <c r="RO314"/>
      <c r="RP314"/>
      <c r="RQ314"/>
      <c r="RR314"/>
      <c r="RS314"/>
      <c r="RT314"/>
      <c r="RU314"/>
    </row>
    <row r="315" spans="3:489" x14ac:dyDescent="0.25">
      <c r="C315"/>
      <c r="D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  <c r="QY315"/>
      <c r="QZ315"/>
      <c r="RA315"/>
      <c r="RB315"/>
      <c r="RC315"/>
      <c r="RD315"/>
      <c r="RE315"/>
      <c r="RF315"/>
      <c r="RG315"/>
      <c r="RH315"/>
      <c r="RI315"/>
      <c r="RJ315"/>
      <c r="RK315"/>
      <c r="RL315"/>
      <c r="RM315"/>
      <c r="RN315"/>
      <c r="RO315"/>
      <c r="RP315"/>
      <c r="RQ315"/>
      <c r="RR315"/>
      <c r="RS315"/>
      <c r="RT315"/>
      <c r="RU315"/>
    </row>
    <row r="316" spans="3:489" x14ac:dyDescent="0.25">
      <c r="C316"/>
      <c r="D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  <c r="QY316"/>
      <c r="QZ316"/>
      <c r="RA316"/>
      <c r="RB316"/>
      <c r="RC316"/>
      <c r="RD316"/>
      <c r="RE316"/>
      <c r="RF316"/>
      <c r="RG316"/>
      <c r="RH316"/>
      <c r="RI316"/>
      <c r="RJ316"/>
      <c r="RK316"/>
      <c r="RL316"/>
      <c r="RM316"/>
      <c r="RN316"/>
      <c r="RO316"/>
      <c r="RP316"/>
      <c r="RQ316"/>
      <c r="RR316"/>
      <c r="RS316"/>
      <c r="RT316"/>
      <c r="RU316"/>
    </row>
    <row r="317" spans="3:489" x14ac:dyDescent="0.25">
      <c r="C317"/>
      <c r="D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  <c r="QY317"/>
      <c r="QZ317"/>
      <c r="RA317"/>
      <c r="RB317"/>
      <c r="RC317"/>
      <c r="RD317"/>
      <c r="RE317"/>
      <c r="RF317"/>
      <c r="RG317"/>
      <c r="RH317"/>
      <c r="RI317"/>
      <c r="RJ317"/>
      <c r="RK317"/>
      <c r="RL317"/>
      <c r="RM317"/>
      <c r="RN317"/>
      <c r="RO317"/>
      <c r="RP317"/>
      <c r="RQ317"/>
      <c r="RR317"/>
      <c r="RS317"/>
      <c r="RT317"/>
      <c r="RU317"/>
    </row>
    <row r="318" spans="3:489" x14ac:dyDescent="0.25">
      <c r="C318"/>
      <c r="D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  <c r="QY318"/>
      <c r="QZ318"/>
      <c r="RA318"/>
      <c r="RB318"/>
      <c r="RC318"/>
      <c r="RD318"/>
      <c r="RE318"/>
      <c r="RF318"/>
      <c r="RG318"/>
      <c r="RH318"/>
      <c r="RI318"/>
      <c r="RJ318"/>
      <c r="RK318"/>
      <c r="RL318"/>
      <c r="RM318"/>
      <c r="RN318"/>
      <c r="RO318"/>
      <c r="RP318"/>
      <c r="RQ318"/>
      <c r="RR318"/>
      <c r="RS318"/>
      <c r="RT318"/>
      <c r="RU318"/>
    </row>
    <row r="319" spans="3:489" x14ac:dyDescent="0.25">
      <c r="C319"/>
      <c r="D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  <c r="QY319"/>
      <c r="QZ319"/>
      <c r="RA319"/>
      <c r="RB319"/>
      <c r="RC319"/>
      <c r="RD319"/>
      <c r="RE319"/>
      <c r="RF319"/>
      <c r="RG319"/>
      <c r="RH319"/>
      <c r="RI319"/>
      <c r="RJ319"/>
      <c r="RK319"/>
      <c r="RL319"/>
      <c r="RM319"/>
      <c r="RN319"/>
      <c r="RO319"/>
      <c r="RP319"/>
      <c r="RQ319"/>
      <c r="RR319"/>
      <c r="RS319"/>
      <c r="RT319"/>
      <c r="RU319"/>
    </row>
    <row r="320" spans="3:489" x14ac:dyDescent="0.25">
      <c r="C320"/>
      <c r="D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  <c r="QY320"/>
      <c r="QZ320"/>
      <c r="RA320"/>
      <c r="RB320"/>
      <c r="RC320"/>
      <c r="RD320"/>
      <c r="RE320"/>
      <c r="RF320"/>
      <c r="RG320"/>
      <c r="RH320"/>
      <c r="RI320"/>
      <c r="RJ320"/>
      <c r="RK320"/>
      <c r="RL320"/>
      <c r="RM320"/>
      <c r="RN320"/>
      <c r="RO320"/>
      <c r="RP320"/>
      <c r="RQ320"/>
      <c r="RR320"/>
      <c r="RS320"/>
      <c r="RT320"/>
      <c r="RU320"/>
    </row>
    <row r="321" spans="3:489" x14ac:dyDescent="0.25">
      <c r="C321"/>
      <c r="D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  <c r="QY321"/>
      <c r="QZ321"/>
      <c r="RA321"/>
      <c r="RB321"/>
      <c r="RC321"/>
      <c r="RD321"/>
      <c r="RE321"/>
      <c r="RF321"/>
      <c r="RG321"/>
      <c r="RH321"/>
      <c r="RI321"/>
      <c r="RJ321"/>
      <c r="RK321"/>
      <c r="RL321"/>
      <c r="RM321"/>
      <c r="RN321"/>
      <c r="RO321"/>
      <c r="RP321"/>
      <c r="RQ321"/>
      <c r="RR321"/>
      <c r="RS321"/>
      <c r="RT321"/>
      <c r="RU321"/>
    </row>
    <row r="322" spans="3:489" x14ac:dyDescent="0.25">
      <c r="C322"/>
      <c r="D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  <c r="QY322"/>
      <c r="QZ322"/>
      <c r="RA322"/>
      <c r="RB322"/>
      <c r="RC322"/>
      <c r="RD322"/>
      <c r="RE322"/>
      <c r="RF322"/>
      <c r="RG322"/>
      <c r="RH322"/>
      <c r="RI322"/>
      <c r="RJ322"/>
      <c r="RK322"/>
      <c r="RL322"/>
      <c r="RM322"/>
      <c r="RN322"/>
      <c r="RO322"/>
      <c r="RP322"/>
      <c r="RQ322"/>
      <c r="RR322"/>
      <c r="RS322"/>
      <c r="RT322"/>
      <c r="RU322"/>
    </row>
    <row r="323" spans="3:489" x14ac:dyDescent="0.25">
      <c r="C323"/>
      <c r="D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  <c r="QY323"/>
      <c r="QZ323"/>
      <c r="RA323"/>
      <c r="RB323"/>
      <c r="RC323"/>
      <c r="RD323"/>
      <c r="RE323"/>
      <c r="RF323"/>
      <c r="RG323"/>
      <c r="RH323"/>
      <c r="RI323"/>
      <c r="RJ323"/>
      <c r="RK323"/>
      <c r="RL323"/>
      <c r="RM323"/>
      <c r="RN323"/>
      <c r="RO323"/>
      <c r="RP323"/>
      <c r="RQ323"/>
      <c r="RR323"/>
      <c r="RS323"/>
      <c r="RT323"/>
      <c r="RU323"/>
    </row>
    <row r="324" spans="3:489" x14ac:dyDescent="0.25">
      <c r="C324"/>
      <c r="D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  <c r="QY324"/>
      <c r="QZ324"/>
      <c r="RA324"/>
      <c r="RB324"/>
      <c r="RC324"/>
      <c r="RD324"/>
      <c r="RE324"/>
      <c r="RF324"/>
      <c r="RG324"/>
      <c r="RH324"/>
      <c r="RI324"/>
      <c r="RJ324"/>
      <c r="RK324"/>
      <c r="RL324"/>
      <c r="RM324"/>
      <c r="RN324"/>
      <c r="RO324"/>
      <c r="RP324"/>
      <c r="RQ324"/>
      <c r="RR324"/>
      <c r="RS324"/>
      <c r="RT324"/>
      <c r="RU324"/>
    </row>
    <row r="325" spans="3:489" x14ac:dyDescent="0.25">
      <c r="C325"/>
      <c r="D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  <c r="QY325"/>
      <c r="QZ325"/>
      <c r="RA325"/>
      <c r="RB325"/>
      <c r="RC325"/>
      <c r="RD325"/>
      <c r="RE325"/>
      <c r="RF325"/>
      <c r="RG325"/>
      <c r="RH325"/>
      <c r="RI325"/>
      <c r="RJ325"/>
      <c r="RK325"/>
      <c r="RL325"/>
      <c r="RM325"/>
      <c r="RN325"/>
      <c r="RO325"/>
      <c r="RP325"/>
      <c r="RQ325"/>
      <c r="RR325"/>
      <c r="RS325"/>
      <c r="RT325"/>
      <c r="RU325"/>
    </row>
    <row r="326" spans="3:489" x14ac:dyDescent="0.25">
      <c r="C326"/>
      <c r="D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  <c r="QY326"/>
      <c r="QZ326"/>
      <c r="RA326"/>
      <c r="RB326"/>
      <c r="RC326"/>
      <c r="RD326"/>
      <c r="RE326"/>
      <c r="RF326"/>
      <c r="RG326"/>
      <c r="RH326"/>
      <c r="RI326"/>
      <c r="RJ326"/>
      <c r="RK326"/>
      <c r="RL326"/>
      <c r="RM326"/>
      <c r="RN326"/>
      <c r="RO326"/>
      <c r="RP326"/>
      <c r="RQ326"/>
      <c r="RR326"/>
      <c r="RS326"/>
      <c r="RT326"/>
      <c r="RU326"/>
    </row>
    <row r="327" spans="3:489" x14ac:dyDescent="0.25">
      <c r="C327"/>
      <c r="D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  <c r="QY327"/>
      <c r="QZ327"/>
      <c r="RA327"/>
      <c r="RB327"/>
      <c r="RC327"/>
      <c r="RD327"/>
      <c r="RE327"/>
      <c r="RF327"/>
      <c r="RG327"/>
      <c r="RH327"/>
      <c r="RI327"/>
      <c r="RJ327"/>
      <c r="RK327"/>
      <c r="RL327"/>
      <c r="RM327"/>
      <c r="RN327"/>
      <c r="RO327"/>
      <c r="RP327"/>
      <c r="RQ327"/>
      <c r="RR327"/>
      <c r="RS327"/>
      <c r="RT327"/>
      <c r="RU327"/>
    </row>
    <row r="328" spans="3:489" x14ac:dyDescent="0.25">
      <c r="C328"/>
      <c r="D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  <c r="QY328"/>
      <c r="QZ328"/>
      <c r="RA328"/>
      <c r="RB328"/>
      <c r="RC328"/>
      <c r="RD328"/>
      <c r="RE328"/>
      <c r="RF328"/>
      <c r="RG328"/>
      <c r="RH328"/>
      <c r="RI328"/>
      <c r="RJ328"/>
      <c r="RK328"/>
      <c r="RL328"/>
      <c r="RM328"/>
      <c r="RN328"/>
      <c r="RO328"/>
      <c r="RP328"/>
      <c r="RQ328"/>
      <c r="RR328"/>
      <c r="RS328"/>
      <c r="RT328"/>
      <c r="RU328"/>
    </row>
    <row r="329" spans="3:489" x14ac:dyDescent="0.25">
      <c r="C329"/>
      <c r="D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  <c r="QY329"/>
      <c r="QZ329"/>
      <c r="RA329"/>
      <c r="RB329"/>
      <c r="RC329"/>
      <c r="RD329"/>
      <c r="RE329"/>
      <c r="RF329"/>
      <c r="RG329"/>
      <c r="RH329"/>
      <c r="RI329"/>
      <c r="RJ329"/>
      <c r="RK329"/>
      <c r="RL329"/>
      <c r="RM329"/>
      <c r="RN329"/>
      <c r="RO329"/>
      <c r="RP329"/>
      <c r="RQ329"/>
      <c r="RR329"/>
      <c r="RS329"/>
      <c r="RT329"/>
      <c r="RU329"/>
    </row>
    <row r="330" spans="3:489" x14ac:dyDescent="0.25">
      <c r="C330"/>
      <c r="D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  <c r="QY330"/>
      <c r="QZ330"/>
      <c r="RA330"/>
      <c r="RB330"/>
      <c r="RC330"/>
      <c r="RD330"/>
      <c r="RE330"/>
      <c r="RF330"/>
      <c r="RG330"/>
      <c r="RH330"/>
      <c r="RI330"/>
      <c r="RJ330"/>
      <c r="RK330"/>
      <c r="RL330"/>
      <c r="RM330"/>
      <c r="RN330"/>
      <c r="RO330"/>
      <c r="RP330"/>
      <c r="RQ330"/>
      <c r="RR330"/>
      <c r="RS330"/>
      <c r="RT330"/>
      <c r="RU330"/>
    </row>
    <row r="331" spans="3:489" x14ac:dyDescent="0.25">
      <c r="C331"/>
      <c r="D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  <c r="QY331"/>
      <c r="QZ331"/>
      <c r="RA331"/>
      <c r="RB331"/>
      <c r="RC331"/>
      <c r="RD331"/>
      <c r="RE331"/>
      <c r="RF331"/>
      <c r="RG331"/>
      <c r="RH331"/>
      <c r="RI331"/>
      <c r="RJ331"/>
      <c r="RK331"/>
      <c r="RL331"/>
      <c r="RM331"/>
      <c r="RN331"/>
      <c r="RO331"/>
      <c r="RP331"/>
      <c r="RQ331"/>
      <c r="RR331"/>
      <c r="RS331"/>
      <c r="RT331"/>
      <c r="RU331"/>
    </row>
    <row r="332" spans="3:489" x14ac:dyDescent="0.25">
      <c r="C332"/>
      <c r="D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  <c r="QY332"/>
      <c r="QZ332"/>
      <c r="RA332"/>
      <c r="RB332"/>
      <c r="RC332"/>
      <c r="RD332"/>
      <c r="RE332"/>
      <c r="RF332"/>
      <c r="RG332"/>
      <c r="RH332"/>
      <c r="RI332"/>
      <c r="RJ332"/>
      <c r="RK332"/>
      <c r="RL332"/>
      <c r="RM332"/>
      <c r="RN332"/>
      <c r="RO332"/>
      <c r="RP332"/>
      <c r="RQ332"/>
      <c r="RR332"/>
      <c r="RS332"/>
      <c r="RT332"/>
      <c r="RU332"/>
    </row>
    <row r="333" spans="3:489" x14ac:dyDescent="0.25">
      <c r="C333"/>
      <c r="D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  <c r="QY333"/>
      <c r="QZ333"/>
      <c r="RA333"/>
      <c r="RB333"/>
      <c r="RC333"/>
      <c r="RD333"/>
      <c r="RE333"/>
      <c r="RF333"/>
      <c r="RG333"/>
      <c r="RH333"/>
      <c r="RI333"/>
      <c r="RJ333"/>
      <c r="RK333"/>
      <c r="RL333"/>
      <c r="RM333"/>
      <c r="RN333"/>
      <c r="RO333"/>
      <c r="RP333"/>
      <c r="RQ333"/>
      <c r="RR333"/>
      <c r="RS333"/>
      <c r="RT333"/>
      <c r="RU333"/>
    </row>
    <row r="334" spans="3:489" x14ac:dyDescent="0.25">
      <c r="C334"/>
      <c r="D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  <c r="QY334"/>
      <c r="QZ334"/>
      <c r="RA334"/>
      <c r="RB334"/>
      <c r="RC334"/>
      <c r="RD334"/>
      <c r="RE334"/>
      <c r="RF334"/>
      <c r="RG334"/>
      <c r="RH334"/>
      <c r="RI334"/>
      <c r="RJ334"/>
      <c r="RK334"/>
      <c r="RL334"/>
      <c r="RM334"/>
      <c r="RN334"/>
      <c r="RO334"/>
      <c r="RP334"/>
      <c r="RQ334"/>
      <c r="RR334"/>
      <c r="RS334"/>
      <c r="RT334"/>
      <c r="RU334"/>
    </row>
    <row r="335" spans="3:489" x14ac:dyDescent="0.25">
      <c r="C335"/>
      <c r="D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  <c r="QY335"/>
      <c r="QZ335"/>
      <c r="RA335"/>
      <c r="RB335"/>
      <c r="RC335"/>
      <c r="RD335"/>
      <c r="RE335"/>
      <c r="RF335"/>
      <c r="RG335"/>
      <c r="RH335"/>
      <c r="RI335"/>
      <c r="RJ335"/>
      <c r="RK335"/>
      <c r="RL335"/>
      <c r="RM335"/>
      <c r="RN335"/>
      <c r="RO335"/>
      <c r="RP335"/>
      <c r="RQ335"/>
      <c r="RR335"/>
      <c r="RS335"/>
      <c r="RT335"/>
      <c r="RU335"/>
    </row>
    <row r="336" spans="3:489" x14ac:dyDescent="0.25">
      <c r="C336"/>
      <c r="D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  <c r="QY336"/>
      <c r="QZ336"/>
      <c r="RA336"/>
      <c r="RB336"/>
      <c r="RC336"/>
      <c r="RD336"/>
      <c r="RE336"/>
      <c r="RF336"/>
      <c r="RG336"/>
      <c r="RH336"/>
      <c r="RI336"/>
      <c r="RJ336"/>
      <c r="RK336"/>
      <c r="RL336"/>
      <c r="RM336"/>
      <c r="RN336"/>
      <c r="RO336"/>
      <c r="RP336"/>
      <c r="RQ336"/>
      <c r="RR336"/>
      <c r="RS336"/>
      <c r="RT336"/>
      <c r="RU336"/>
    </row>
    <row r="337" spans="3:489" x14ac:dyDescent="0.25">
      <c r="C337"/>
      <c r="D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  <c r="QY337"/>
      <c r="QZ337"/>
      <c r="RA337"/>
      <c r="RB337"/>
      <c r="RC337"/>
      <c r="RD337"/>
      <c r="RE337"/>
      <c r="RF337"/>
      <c r="RG337"/>
      <c r="RH337"/>
      <c r="RI337"/>
      <c r="RJ337"/>
      <c r="RK337"/>
      <c r="RL337"/>
      <c r="RM337"/>
      <c r="RN337"/>
      <c r="RO337"/>
      <c r="RP337"/>
      <c r="RQ337"/>
      <c r="RR337"/>
      <c r="RS337"/>
      <c r="RT337"/>
      <c r="RU337"/>
    </row>
    <row r="338" spans="3:489" x14ac:dyDescent="0.25">
      <c r="C338"/>
      <c r="D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  <c r="QY338"/>
      <c r="QZ338"/>
      <c r="RA338"/>
      <c r="RB338"/>
      <c r="RC338"/>
      <c r="RD338"/>
      <c r="RE338"/>
      <c r="RF338"/>
      <c r="RG338"/>
      <c r="RH338"/>
      <c r="RI338"/>
      <c r="RJ338"/>
      <c r="RK338"/>
      <c r="RL338"/>
      <c r="RM338"/>
      <c r="RN338"/>
      <c r="RO338"/>
      <c r="RP338"/>
      <c r="RQ338"/>
      <c r="RR338"/>
      <c r="RS338"/>
      <c r="RT338"/>
      <c r="RU338"/>
    </row>
    <row r="339" spans="3:489" x14ac:dyDescent="0.25">
      <c r="C339"/>
      <c r="D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  <c r="QY339"/>
      <c r="QZ339"/>
      <c r="RA339"/>
      <c r="RB339"/>
      <c r="RC339"/>
      <c r="RD339"/>
      <c r="RE339"/>
      <c r="RF339"/>
      <c r="RG339"/>
      <c r="RH339"/>
      <c r="RI339"/>
      <c r="RJ339"/>
      <c r="RK339"/>
      <c r="RL339"/>
      <c r="RM339"/>
      <c r="RN339"/>
      <c r="RO339"/>
      <c r="RP339"/>
      <c r="RQ339"/>
      <c r="RR339"/>
      <c r="RS339"/>
      <c r="RT339"/>
      <c r="RU339"/>
    </row>
    <row r="340" spans="3:489" x14ac:dyDescent="0.25">
      <c r="C340"/>
      <c r="D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  <c r="QY340"/>
      <c r="QZ340"/>
      <c r="RA340"/>
      <c r="RB340"/>
      <c r="RC340"/>
      <c r="RD340"/>
      <c r="RE340"/>
      <c r="RF340"/>
      <c r="RG340"/>
      <c r="RH340"/>
      <c r="RI340"/>
      <c r="RJ340"/>
      <c r="RK340"/>
      <c r="RL340"/>
      <c r="RM340"/>
      <c r="RN340"/>
      <c r="RO340"/>
      <c r="RP340"/>
      <c r="RQ340"/>
      <c r="RR340"/>
      <c r="RS340"/>
      <c r="RT340"/>
      <c r="RU340"/>
    </row>
    <row r="341" spans="3:489" x14ac:dyDescent="0.25">
      <c r="C341"/>
      <c r="D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  <c r="QY341"/>
      <c r="QZ341"/>
      <c r="RA341"/>
      <c r="RB341"/>
      <c r="RC341"/>
      <c r="RD341"/>
      <c r="RE341"/>
      <c r="RF341"/>
      <c r="RG341"/>
      <c r="RH341"/>
      <c r="RI341"/>
      <c r="RJ341"/>
      <c r="RK341"/>
      <c r="RL341"/>
      <c r="RM341"/>
      <c r="RN341"/>
      <c r="RO341"/>
      <c r="RP341"/>
      <c r="RQ341"/>
      <c r="RR341"/>
      <c r="RS341"/>
      <c r="RT341"/>
      <c r="RU341"/>
    </row>
    <row r="342" spans="3:489" x14ac:dyDescent="0.25">
      <c r="C342"/>
      <c r="D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  <c r="QY342"/>
      <c r="QZ342"/>
      <c r="RA342"/>
      <c r="RB342"/>
      <c r="RC342"/>
      <c r="RD342"/>
      <c r="RE342"/>
      <c r="RF342"/>
      <c r="RG342"/>
      <c r="RH342"/>
      <c r="RI342"/>
      <c r="RJ342"/>
      <c r="RK342"/>
      <c r="RL342"/>
      <c r="RM342"/>
      <c r="RN342"/>
      <c r="RO342"/>
      <c r="RP342"/>
      <c r="RQ342"/>
      <c r="RR342"/>
      <c r="RS342"/>
      <c r="RT342"/>
      <c r="RU342"/>
    </row>
    <row r="343" spans="3:489" x14ac:dyDescent="0.25">
      <c r="C343"/>
      <c r="D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  <c r="QY343"/>
      <c r="QZ343"/>
      <c r="RA343"/>
      <c r="RB343"/>
      <c r="RC343"/>
      <c r="RD343"/>
      <c r="RE343"/>
      <c r="RF343"/>
      <c r="RG343"/>
      <c r="RH343"/>
      <c r="RI343"/>
      <c r="RJ343"/>
      <c r="RK343"/>
      <c r="RL343"/>
      <c r="RM343"/>
      <c r="RN343"/>
      <c r="RO343"/>
      <c r="RP343"/>
      <c r="RQ343"/>
      <c r="RR343"/>
      <c r="RS343"/>
      <c r="RT343"/>
      <c r="RU343"/>
    </row>
    <row r="344" spans="3:489" x14ac:dyDescent="0.25">
      <c r="C344"/>
      <c r="D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  <c r="QY344"/>
      <c r="QZ344"/>
      <c r="RA344"/>
      <c r="RB344"/>
      <c r="RC344"/>
      <c r="RD344"/>
      <c r="RE344"/>
      <c r="RF344"/>
      <c r="RG344"/>
      <c r="RH344"/>
      <c r="RI344"/>
      <c r="RJ344"/>
      <c r="RK344"/>
      <c r="RL344"/>
      <c r="RM344"/>
      <c r="RN344"/>
      <c r="RO344"/>
      <c r="RP344"/>
      <c r="RQ344"/>
      <c r="RR344"/>
      <c r="RS344"/>
      <c r="RT344"/>
      <c r="RU344"/>
    </row>
    <row r="345" spans="3:489" x14ac:dyDescent="0.25">
      <c r="C345"/>
      <c r="D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  <c r="QY345"/>
      <c r="QZ345"/>
      <c r="RA345"/>
      <c r="RB345"/>
      <c r="RC345"/>
      <c r="RD345"/>
      <c r="RE345"/>
      <c r="RF345"/>
      <c r="RG345"/>
      <c r="RH345"/>
      <c r="RI345"/>
      <c r="RJ345"/>
      <c r="RK345"/>
      <c r="RL345"/>
      <c r="RM345"/>
      <c r="RN345"/>
      <c r="RO345"/>
      <c r="RP345"/>
      <c r="RQ345"/>
      <c r="RR345"/>
      <c r="RS345"/>
      <c r="RT345"/>
      <c r="RU345"/>
    </row>
    <row r="346" spans="3:489" x14ac:dyDescent="0.25">
      <c r="C346"/>
      <c r="D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  <c r="QY346"/>
      <c r="QZ346"/>
      <c r="RA346"/>
      <c r="RB346"/>
      <c r="RC346"/>
      <c r="RD346"/>
      <c r="RE346"/>
      <c r="RF346"/>
      <c r="RG346"/>
      <c r="RH346"/>
      <c r="RI346"/>
      <c r="RJ346"/>
      <c r="RK346"/>
      <c r="RL346"/>
      <c r="RM346"/>
      <c r="RN346"/>
      <c r="RO346"/>
      <c r="RP346"/>
      <c r="RQ346"/>
      <c r="RR346"/>
      <c r="RS346"/>
      <c r="RT346"/>
      <c r="RU346"/>
    </row>
    <row r="347" spans="3:489" x14ac:dyDescent="0.25">
      <c r="C347"/>
      <c r="D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  <c r="QY347"/>
      <c r="QZ347"/>
      <c r="RA347"/>
      <c r="RB347"/>
      <c r="RC347"/>
      <c r="RD347"/>
      <c r="RE347"/>
      <c r="RF347"/>
      <c r="RG347"/>
      <c r="RH347"/>
      <c r="RI347"/>
      <c r="RJ347"/>
      <c r="RK347"/>
      <c r="RL347"/>
      <c r="RM347"/>
      <c r="RN347"/>
      <c r="RO347"/>
      <c r="RP347"/>
      <c r="RQ347"/>
      <c r="RR347"/>
      <c r="RS347"/>
      <c r="RT347"/>
      <c r="RU347"/>
    </row>
    <row r="348" spans="3:489" x14ac:dyDescent="0.25">
      <c r="C348"/>
      <c r="D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  <c r="QY348"/>
      <c r="QZ348"/>
      <c r="RA348"/>
      <c r="RB348"/>
      <c r="RC348"/>
      <c r="RD348"/>
      <c r="RE348"/>
      <c r="RF348"/>
      <c r="RG348"/>
      <c r="RH348"/>
      <c r="RI348"/>
      <c r="RJ348"/>
      <c r="RK348"/>
      <c r="RL348"/>
      <c r="RM348"/>
      <c r="RN348"/>
      <c r="RO348"/>
      <c r="RP348"/>
      <c r="RQ348"/>
      <c r="RR348"/>
      <c r="RS348"/>
      <c r="RT348"/>
      <c r="RU348"/>
    </row>
    <row r="349" spans="3:489" x14ac:dyDescent="0.25">
      <c r="C349"/>
      <c r="D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  <c r="QY349"/>
      <c r="QZ349"/>
      <c r="RA349"/>
      <c r="RB349"/>
      <c r="RC349"/>
      <c r="RD349"/>
      <c r="RE349"/>
      <c r="RF349"/>
      <c r="RG349"/>
      <c r="RH349"/>
      <c r="RI349"/>
      <c r="RJ349"/>
      <c r="RK349"/>
      <c r="RL349"/>
      <c r="RM349"/>
      <c r="RN349"/>
      <c r="RO349"/>
      <c r="RP349"/>
      <c r="RQ349"/>
      <c r="RR349"/>
      <c r="RS349"/>
      <c r="RT349"/>
      <c r="RU349"/>
    </row>
    <row r="350" spans="3:489" x14ac:dyDescent="0.25">
      <c r="C350"/>
      <c r="D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  <c r="QY350"/>
      <c r="QZ350"/>
      <c r="RA350"/>
      <c r="RB350"/>
      <c r="RC350"/>
      <c r="RD350"/>
      <c r="RE350"/>
      <c r="RF350"/>
      <c r="RG350"/>
      <c r="RH350"/>
      <c r="RI350"/>
      <c r="RJ350"/>
      <c r="RK350"/>
      <c r="RL350"/>
      <c r="RM350"/>
      <c r="RN350"/>
      <c r="RO350"/>
      <c r="RP350"/>
      <c r="RQ350"/>
      <c r="RR350"/>
      <c r="RS350"/>
      <c r="RT350"/>
      <c r="RU350"/>
    </row>
    <row r="351" spans="3:489" x14ac:dyDescent="0.25">
      <c r="C351"/>
      <c r="D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  <c r="QY351"/>
      <c r="QZ351"/>
      <c r="RA351"/>
      <c r="RB351"/>
      <c r="RC351"/>
      <c r="RD351"/>
      <c r="RE351"/>
      <c r="RF351"/>
      <c r="RG351"/>
      <c r="RH351"/>
      <c r="RI351"/>
      <c r="RJ351"/>
      <c r="RK351"/>
      <c r="RL351"/>
      <c r="RM351"/>
      <c r="RN351"/>
      <c r="RO351"/>
      <c r="RP351"/>
      <c r="RQ351"/>
      <c r="RR351"/>
      <c r="RS351"/>
      <c r="RT351"/>
      <c r="RU351"/>
    </row>
    <row r="352" spans="3:489" x14ac:dyDescent="0.25">
      <c r="C352"/>
      <c r="D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  <c r="QY352"/>
      <c r="QZ352"/>
      <c r="RA352"/>
      <c r="RB352"/>
      <c r="RC352"/>
      <c r="RD352"/>
      <c r="RE352"/>
      <c r="RF352"/>
      <c r="RG352"/>
      <c r="RH352"/>
      <c r="RI352"/>
      <c r="RJ352"/>
      <c r="RK352"/>
      <c r="RL352"/>
      <c r="RM352"/>
      <c r="RN352"/>
      <c r="RO352"/>
      <c r="RP352"/>
      <c r="RQ352"/>
      <c r="RR352"/>
      <c r="RS352"/>
      <c r="RT352"/>
      <c r="RU352"/>
    </row>
    <row r="353" spans="3:489" x14ac:dyDescent="0.25">
      <c r="C353"/>
      <c r="D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  <c r="QY353"/>
      <c r="QZ353"/>
      <c r="RA353"/>
      <c r="RB353"/>
      <c r="RC353"/>
      <c r="RD353"/>
      <c r="RE353"/>
      <c r="RF353"/>
      <c r="RG353"/>
      <c r="RH353"/>
      <c r="RI353"/>
      <c r="RJ353"/>
      <c r="RK353"/>
      <c r="RL353"/>
      <c r="RM353"/>
      <c r="RN353"/>
      <c r="RO353"/>
      <c r="RP353"/>
      <c r="RQ353"/>
      <c r="RR353"/>
      <c r="RS353"/>
      <c r="RT353"/>
      <c r="RU353"/>
    </row>
    <row r="354" spans="3:489" x14ac:dyDescent="0.25">
      <c r="C354"/>
      <c r="D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  <c r="QY354"/>
      <c r="QZ354"/>
      <c r="RA354"/>
      <c r="RB354"/>
      <c r="RC354"/>
      <c r="RD354"/>
      <c r="RE354"/>
      <c r="RF354"/>
      <c r="RG354"/>
      <c r="RH354"/>
      <c r="RI354"/>
      <c r="RJ354"/>
      <c r="RK354"/>
      <c r="RL354"/>
      <c r="RM354"/>
      <c r="RN354"/>
      <c r="RO354"/>
      <c r="RP354"/>
      <c r="RQ354"/>
      <c r="RR354"/>
      <c r="RS354"/>
      <c r="RT354"/>
      <c r="RU354"/>
    </row>
    <row r="355" spans="3:489" x14ac:dyDescent="0.25">
      <c r="C355"/>
      <c r="D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  <c r="HB355"/>
      <c r="HC355"/>
      <c r="HD355"/>
      <c r="HE355"/>
      <c r="HF355"/>
      <c r="HG355"/>
      <c r="HH355"/>
      <c r="HI355"/>
      <c r="HJ355"/>
      <c r="HK355"/>
      <c r="HL355"/>
      <c r="HM355"/>
      <c r="HN355"/>
      <c r="HO355"/>
      <c r="HP355"/>
      <c r="HQ355"/>
      <c r="HR355"/>
      <c r="HS355"/>
      <c r="HT355"/>
      <c r="HU355"/>
      <c r="HV355"/>
      <c r="HW355"/>
      <c r="HX355"/>
      <c r="HY355"/>
      <c r="HZ355"/>
      <c r="IA355"/>
      <c r="IB355"/>
      <c r="IC355"/>
      <c r="ID355"/>
      <c r="IE355"/>
      <c r="IF355"/>
      <c r="IG355"/>
      <c r="IH355"/>
      <c r="II355"/>
      <c r="IJ355"/>
      <c r="IK355"/>
      <c r="IL355"/>
      <c r="IM355"/>
      <c r="IN355"/>
      <c r="IO355"/>
      <c r="IP355"/>
      <c r="IQ355"/>
      <c r="IR355"/>
      <c r="IS355"/>
      <c r="IT355"/>
      <c r="IU355"/>
      <c r="IV355"/>
      <c r="IW355"/>
      <c r="IX355"/>
      <c r="IY355"/>
      <c r="IZ355"/>
      <c r="JA355"/>
      <c r="JB355"/>
      <c r="JC355"/>
      <c r="JD355"/>
      <c r="JE355"/>
      <c r="JF355"/>
      <c r="JG355"/>
      <c r="JH355"/>
      <c r="JI355"/>
      <c r="JJ355"/>
      <c r="JK355"/>
      <c r="JL355"/>
      <c r="JM355"/>
      <c r="JN355"/>
      <c r="JO355"/>
      <c r="JP355"/>
      <c r="JQ355"/>
      <c r="JR355"/>
      <c r="JS355"/>
      <c r="JT355"/>
      <c r="JU355"/>
      <c r="JV355"/>
      <c r="JW355"/>
      <c r="JX355"/>
      <c r="JY355"/>
      <c r="JZ355"/>
      <c r="KA355"/>
      <c r="KB355"/>
      <c r="KC355"/>
      <c r="KD355"/>
      <c r="KE355"/>
      <c r="KF355"/>
      <c r="KG355"/>
      <c r="KH355"/>
      <c r="KI355"/>
      <c r="KJ355"/>
      <c r="KK355"/>
      <c r="KL355"/>
      <c r="KM355"/>
      <c r="KN355"/>
      <c r="KO355"/>
      <c r="KP355"/>
      <c r="KQ355"/>
      <c r="KR355"/>
      <c r="KS355"/>
      <c r="KT355"/>
      <c r="KU355"/>
      <c r="KV355"/>
      <c r="KW355"/>
      <c r="KX355"/>
      <c r="KY355"/>
      <c r="KZ355"/>
      <c r="LA355"/>
      <c r="LB355"/>
      <c r="LC355"/>
      <c r="LD355"/>
      <c r="LE355"/>
      <c r="LF355"/>
      <c r="LG355"/>
      <c r="LH355"/>
      <c r="LI355"/>
      <c r="LJ355"/>
      <c r="LK355"/>
      <c r="LL355"/>
      <c r="LM355"/>
      <c r="LN355"/>
      <c r="LO355"/>
      <c r="LP355"/>
      <c r="LQ355"/>
      <c r="LR355"/>
      <c r="LS355"/>
      <c r="LT355"/>
      <c r="LU355"/>
      <c r="LV355"/>
      <c r="LW355"/>
      <c r="LX355"/>
      <c r="LY355"/>
      <c r="LZ355"/>
      <c r="MA355"/>
      <c r="MB355"/>
      <c r="MC355"/>
      <c r="MD355"/>
      <c r="ME355"/>
      <c r="MF355"/>
      <c r="MG355"/>
      <c r="MH355"/>
      <c r="MI355"/>
      <c r="MJ355"/>
      <c r="MK355"/>
      <c r="ML355"/>
      <c r="MM355"/>
      <c r="MN355"/>
      <c r="MO355"/>
      <c r="MP355"/>
      <c r="MQ355"/>
      <c r="MR355"/>
      <c r="MS355"/>
      <c r="MT355"/>
      <c r="MU355"/>
      <c r="MV355"/>
      <c r="MW355"/>
      <c r="MX355"/>
      <c r="MY355"/>
      <c r="MZ355"/>
      <c r="NA355"/>
      <c r="NB355"/>
      <c r="NC355"/>
      <c r="ND355"/>
      <c r="NE355"/>
      <c r="NF355"/>
      <c r="NG355"/>
      <c r="NH355"/>
      <c r="NI355"/>
      <c r="NJ355"/>
      <c r="NK355"/>
      <c r="NL355"/>
      <c r="NM355"/>
      <c r="NN355"/>
      <c r="NO355"/>
      <c r="NP355"/>
      <c r="NQ355"/>
      <c r="NR355"/>
      <c r="NS355"/>
      <c r="NT355"/>
      <c r="NU355"/>
      <c r="NV355"/>
      <c r="NW355"/>
      <c r="NX355"/>
      <c r="NY355"/>
      <c r="NZ355"/>
      <c r="OA355"/>
      <c r="OB355"/>
      <c r="OC355"/>
      <c r="OD355"/>
      <c r="OE355"/>
      <c r="OF355"/>
      <c r="OG355"/>
      <c r="OH355"/>
      <c r="OI355"/>
      <c r="OJ355"/>
      <c r="OK355"/>
      <c r="OL355"/>
      <c r="OM355"/>
      <c r="ON355"/>
      <c r="OO355"/>
      <c r="OP355"/>
      <c r="OQ355"/>
      <c r="OR355"/>
      <c r="OS355"/>
      <c r="OT355"/>
      <c r="OU355"/>
      <c r="OV355"/>
      <c r="OW355"/>
      <c r="OX355"/>
      <c r="OY355"/>
      <c r="OZ355"/>
      <c r="PA355"/>
      <c r="PB355"/>
      <c r="PC355"/>
      <c r="PD355"/>
      <c r="PE355"/>
      <c r="PF355"/>
      <c r="PG355"/>
      <c r="PH355"/>
      <c r="PI355"/>
      <c r="PJ355"/>
      <c r="PK355"/>
      <c r="PL355"/>
      <c r="PM355"/>
      <c r="PN355"/>
      <c r="PO355"/>
      <c r="PP355"/>
      <c r="PQ355"/>
      <c r="PR355"/>
      <c r="PS355"/>
      <c r="PT355"/>
      <c r="PU355"/>
      <c r="PV355"/>
      <c r="PW355"/>
      <c r="PX355"/>
      <c r="PY355"/>
      <c r="PZ355"/>
      <c r="QA355"/>
      <c r="QB355"/>
      <c r="QC355"/>
      <c r="QD355"/>
      <c r="QE355"/>
      <c r="QF355"/>
      <c r="QG355"/>
      <c r="QH355"/>
      <c r="QI355"/>
      <c r="QJ355"/>
      <c r="QK355"/>
      <c r="QL355"/>
      <c r="QM355"/>
      <c r="QN355"/>
      <c r="QO355"/>
      <c r="QP355"/>
      <c r="QQ355"/>
      <c r="QR355"/>
      <c r="QS355"/>
      <c r="QT355"/>
      <c r="QU355"/>
      <c r="QV355"/>
      <c r="QW355"/>
      <c r="QX355"/>
      <c r="QY355"/>
      <c r="QZ355"/>
      <c r="RA355"/>
      <c r="RB355"/>
      <c r="RC355"/>
      <c r="RD355"/>
      <c r="RE355"/>
      <c r="RF355"/>
      <c r="RG355"/>
      <c r="RH355"/>
      <c r="RI355"/>
      <c r="RJ355"/>
      <c r="RK355"/>
      <c r="RL355"/>
      <c r="RM355"/>
      <c r="RN355"/>
      <c r="RO355"/>
      <c r="RP355"/>
      <c r="RQ355"/>
      <c r="RR355"/>
      <c r="RS355"/>
      <c r="RT355"/>
      <c r="RU355"/>
    </row>
    <row r="356" spans="3:489" x14ac:dyDescent="0.25">
      <c r="C356"/>
      <c r="D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  <c r="HB356"/>
      <c r="HC356"/>
      <c r="HD356"/>
      <c r="HE356"/>
      <c r="HF356"/>
      <c r="HG356"/>
      <c r="HH356"/>
      <c r="HI356"/>
      <c r="HJ356"/>
      <c r="HK356"/>
      <c r="HL356"/>
      <c r="HM356"/>
      <c r="HN356"/>
      <c r="HO356"/>
      <c r="HP356"/>
      <c r="HQ356"/>
      <c r="HR356"/>
      <c r="HS356"/>
      <c r="HT356"/>
      <c r="HU356"/>
      <c r="HV356"/>
      <c r="HW356"/>
      <c r="HX356"/>
      <c r="HY356"/>
      <c r="HZ356"/>
      <c r="IA356"/>
      <c r="IB356"/>
      <c r="IC356"/>
      <c r="ID356"/>
      <c r="IE356"/>
      <c r="IF356"/>
      <c r="IG356"/>
      <c r="IH356"/>
      <c r="II356"/>
      <c r="IJ356"/>
      <c r="IK356"/>
      <c r="IL356"/>
      <c r="IM356"/>
      <c r="IN356"/>
      <c r="IO356"/>
      <c r="IP356"/>
      <c r="IQ356"/>
      <c r="IR356"/>
      <c r="IS356"/>
      <c r="IT356"/>
      <c r="IU356"/>
      <c r="IV356"/>
      <c r="IW356"/>
      <c r="IX356"/>
      <c r="IY356"/>
      <c r="IZ356"/>
      <c r="JA356"/>
      <c r="JB356"/>
      <c r="JC356"/>
      <c r="JD356"/>
      <c r="JE356"/>
      <c r="JF356"/>
      <c r="JG356"/>
      <c r="JH356"/>
      <c r="JI356"/>
      <c r="JJ356"/>
      <c r="JK356"/>
      <c r="JL356"/>
      <c r="JM356"/>
      <c r="JN356"/>
      <c r="JO356"/>
      <c r="JP356"/>
      <c r="JQ356"/>
      <c r="JR356"/>
      <c r="JS356"/>
      <c r="JT356"/>
      <c r="JU356"/>
      <c r="JV356"/>
      <c r="JW356"/>
      <c r="JX356"/>
      <c r="JY356"/>
      <c r="JZ356"/>
      <c r="KA356"/>
      <c r="KB356"/>
      <c r="KC356"/>
      <c r="KD356"/>
      <c r="KE356"/>
      <c r="KF356"/>
      <c r="KG356"/>
      <c r="KH356"/>
      <c r="KI356"/>
      <c r="KJ356"/>
      <c r="KK356"/>
      <c r="KL356"/>
      <c r="KM356"/>
      <c r="KN356"/>
      <c r="KO356"/>
      <c r="KP356"/>
      <c r="KQ356"/>
      <c r="KR356"/>
      <c r="KS356"/>
      <c r="KT356"/>
      <c r="KU356"/>
      <c r="KV356"/>
      <c r="KW356"/>
      <c r="KX356"/>
      <c r="KY356"/>
      <c r="KZ356"/>
      <c r="LA356"/>
      <c r="LB356"/>
      <c r="LC356"/>
      <c r="LD356"/>
      <c r="LE356"/>
      <c r="LF356"/>
      <c r="LG356"/>
      <c r="LH356"/>
      <c r="LI356"/>
      <c r="LJ356"/>
      <c r="LK356"/>
      <c r="LL356"/>
      <c r="LM356"/>
      <c r="LN356"/>
      <c r="LO356"/>
      <c r="LP356"/>
      <c r="LQ356"/>
      <c r="LR356"/>
      <c r="LS356"/>
      <c r="LT356"/>
      <c r="LU356"/>
      <c r="LV356"/>
      <c r="LW356"/>
      <c r="LX356"/>
      <c r="LY356"/>
      <c r="LZ356"/>
      <c r="MA356"/>
      <c r="MB356"/>
      <c r="MC356"/>
      <c r="MD356"/>
      <c r="ME356"/>
      <c r="MF356"/>
      <c r="MG356"/>
      <c r="MH356"/>
      <c r="MI356"/>
      <c r="MJ356"/>
      <c r="MK356"/>
      <c r="ML356"/>
      <c r="MM356"/>
      <c r="MN356"/>
      <c r="MO356"/>
      <c r="MP356"/>
      <c r="MQ356"/>
      <c r="MR356"/>
      <c r="MS356"/>
      <c r="MT356"/>
      <c r="MU356"/>
      <c r="MV356"/>
      <c r="MW356"/>
      <c r="MX356"/>
      <c r="MY356"/>
      <c r="MZ356"/>
      <c r="NA356"/>
      <c r="NB356"/>
      <c r="NC356"/>
      <c r="ND356"/>
      <c r="NE356"/>
      <c r="NF356"/>
      <c r="NG356"/>
      <c r="NH356"/>
      <c r="NI356"/>
      <c r="NJ356"/>
      <c r="NK356"/>
      <c r="NL356"/>
      <c r="NM356"/>
      <c r="NN356"/>
      <c r="NO356"/>
      <c r="NP356"/>
      <c r="NQ356"/>
      <c r="NR356"/>
      <c r="NS356"/>
      <c r="NT356"/>
      <c r="NU356"/>
      <c r="NV356"/>
      <c r="NW356"/>
      <c r="NX356"/>
      <c r="NY356"/>
      <c r="NZ356"/>
      <c r="OA356"/>
      <c r="OB356"/>
      <c r="OC356"/>
      <c r="OD356"/>
      <c r="OE356"/>
      <c r="OF356"/>
      <c r="OG356"/>
      <c r="OH356"/>
      <c r="OI356"/>
      <c r="OJ356"/>
      <c r="OK356"/>
      <c r="OL356"/>
      <c r="OM356"/>
      <c r="ON356"/>
      <c r="OO356"/>
      <c r="OP356"/>
      <c r="OQ356"/>
      <c r="OR356"/>
      <c r="OS356"/>
      <c r="OT356"/>
      <c r="OU356"/>
      <c r="OV356"/>
      <c r="OW356"/>
      <c r="OX356"/>
      <c r="OY356"/>
      <c r="OZ356"/>
      <c r="PA356"/>
      <c r="PB356"/>
      <c r="PC356"/>
      <c r="PD356"/>
      <c r="PE356"/>
      <c r="PF356"/>
      <c r="PG356"/>
      <c r="PH356"/>
      <c r="PI356"/>
      <c r="PJ356"/>
      <c r="PK356"/>
      <c r="PL356"/>
      <c r="PM356"/>
      <c r="PN356"/>
      <c r="PO356"/>
      <c r="PP356"/>
      <c r="PQ356"/>
      <c r="PR356"/>
      <c r="PS356"/>
      <c r="PT356"/>
      <c r="PU356"/>
      <c r="PV356"/>
      <c r="PW356"/>
      <c r="PX356"/>
      <c r="PY356"/>
      <c r="PZ356"/>
      <c r="QA356"/>
      <c r="QB356"/>
      <c r="QC356"/>
      <c r="QD356"/>
      <c r="QE356"/>
      <c r="QF356"/>
      <c r="QG356"/>
      <c r="QH356"/>
      <c r="QI356"/>
      <c r="QJ356"/>
      <c r="QK356"/>
      <c r="QL356"/>
      <c r="QM356"/>
      <c r="QN356"/>
      <c r="QO356"/>
      <c r="QP356"/>
      <c r="QQ356"/>
      <c r="QR356"/>
      <c r="QS356"/>
      <c r="QT356"/>
      <c r="QU356"/>
      <c r="QV356"/>
      <c r="QW356"/>
      <c r="QX356"/>
      <c r="QY356"/>
      <c r="QZ356"/>
      <c r="RA356"/>
      <c r="RB356"/>
      <c r="RC356"/>
      <c r="RD356"/>
      <c r="RE356"/>
      <c r="RF356"/>
      <c r="RG356"/>
      <c r="RH356"/>
      <c r="RI356"/>
      <c r="RJ356"/>
      <c r="RK356"/>
      <c r="RL356"/>
      <c r="RM356"/>
      <c r="RN356"/>
      <c r="RO356"/>
      <c r="RP356"/>
      <c r="RQ356"/>
      <c r="RR356"/>
      <c r="RS356"/>
      <c r="RT356"/>
      <c r="RU356"/>
    </row>
    <row r="357" spans="3:489" x14ac:dyDescent="0.25">
      <c r="C357"/>
      <c r="D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  <c r="HB357"/>
      <c r="HC357"/>
      <c r="HD357"/>
      <c r="HE357"/>
      <c r="HF357"/>
      <c r="HG357"/>
      <c r="HH357"/>
      <c r="HI357"/>
      <c r="HJ357"/>
      <c r="HK357"/>
      <c r="HL357"/>
      <c r="HM357"/>
      <c r="HN357"/>
      <c r="HO357"/>
      <c r="HP357"/>
      <c r="HQ357"/>
      <c r="HR357"/>
      <c r="HS357"/>
      <c r="HT357"/>
      <c r="HU357"/>
      <c r="HV357"/>
      <c r="HW357"/>
      <c r="HX357"/>
      <c r="HY357"/>
      <c r="HZ357"/>
      <c r="IA357"/>
      <c r="IB357"/>
      <c r="IC357"/>
      <c r="ID357"/>
      <c r="IE357"/>
      <c r="IF357"/>
      <c r="IG357"/>
      <c r="IH357"/>
      <c r="II357"/>
      <c r="IJ357"/>
      <c r="IK357"/>
      <c r="IL357"/>
      <c r="IM357"/>
      <c r="IN357"/>
      <c r="IO357"/>
      <c r="IP357"/>
      <c r="IQ357"/>
      <c r="IR357"/>
      <c r="IS357"/>
      <c r="IT357"/>
      <c r="IU357"/>
      <c r="IV357"/>
      <c r="IW357"/>
      <c r="IX357"/>
      <c r="IY357"/>
      <c r="IZ357"/>
      <c r="JA357"/>
      <c r="JB357"/>
      <c r="JC357"/>
      <c r="JD357"/>
      <c r="JE357"/>
      <c r="JF357"/>
      <c r="JG357"/>
      <c r="JH357"/>
      <c r="JI357"/>
      <c r="JJ357"/>
      <c r="JK357"/>
      <c r="JL357"/>
      <c r="JM357"/>
      <c r="JN357"/>
      <c r="JO357"/>
      <c r="JP357"/>
      <c r="JQ357"/>
      <c r="JR357"/>
      <c r="JS357"/>
      <c r="JT357"/>
      <c r="JU357"/>
      <c r="JV357"/>
      <c r="JW357"/>
      <c r="JX357"/>
      <c r="JY357"/>
      <c r="JZ357"/>
      <c r="KA357"/>
      <c r="KB357"/>
      <c r="KC357"/>
      <c r="KD357"/>
      <c r="KE357"/>
      <c r="KF357"/>
      <c r="KG357"/>
      <c r="KH357"/>
      <c r="KI357"/>
      <c r="KJ357"/>
      <c r="KK357"/>
      <c r="KL357"/>
      <c r="KM357"/>
      <c r="KN357"/>
      <c r="KO357"/>
      <c r="KP357"/>
      <c r="KQ357"/>
      <c r="KR357"/>
      <c r="KS357"/>
      <c r="KT357"/>
      <c r="KU357"/>
      <c r="KV357"/>
      <c r="KW357"/>
      <c r="KX357"/>
      <c r="KY357"/>
      <c r="KZ357"/>
      <c r="LA357"/>
      <c r="LB357"/>
      <c r="LC357"/>
      <c r="LD357"/>
      <c r="LE357"/>
      <c r="LF357"/>
      <c r="LG357"/>
      <c r="LH357"/>
      <c r="LI357"/>
      <c r="LJ357"/>
      <c r="LK357"/>
      <c r="LL357"/>
      <c r="LM357"/>
      <c r="LN357"/>
      <c r="LO357"/>
      <c r="LP357"/>
      <c r="LQ357"/>
      <c r="LR357"/>
      <c r="LS357"/>
      <c r="LT357"/>
      <c r="LU357"/>
      <c r="LV357"/>
      <c r="LW357"/>
      <c r="LX357"/>
      <c r="LY357"/>
      <c r="LZ357"/>
      <c r="MA357"/>
      <c r="MB357"/>
      <c r="MC357"/>
      <c r="MD357"/>
      <c r="ME357"/>
      <c r="MF357"/>
      <c r="MG357"/>
      <c r="MH357"/>
      <c r="MI357"/>
      <c r="MJ357"/>
      <c r="MK357"/>
      <c r="ML357"/>
      <c r="MM357"/>
      <c r="MN357"/>
      <c r="MO357"/>
      <c r="MP357"/>
      <c r="MQ357"/>
      <c r="MR357"/>
      <c r="MS357"/>
      <c r="MT357"/>
      <c r="MU357"/>
      <c r="MV357"/>
      <c r="MW357"/>
      <c r="MX357"/>
      <c r="MY357"/>
      <c r="MZ357"/>
      <c r="NA357"/>
      <c r="NB357"/>
      <c r="NC357"/>
      <c r="ND357"/>
      <c r="NE357"/>
      <c r="NF357"/>
      <c r="NG357"/>
      <c r="NH357"/>
      <c r="NI357"/>
      <c r="NJ357"/>
      <c r="NK357"/>
      <c r="NL357"/>
      <c r="NM357"/>
      <c r="NN357"/>
      <c r="NO357"/>
      <c r="NP357"/>
      <c r="NQ357"/>
      <c r="NR357"/>
      <c r="NS357"/>
      <c r="NT357"/>
      <c r="NU357"/>
      <c r="NV357"/>
      <c r="NW357"/>
      <c r="NX357"/>
      <c r="NY357"/>
      <c r="NZ357"/>
      <c r="OA357"/>
      <c r="OB357"/>
      <c r="OC357"/>
      <c r="OD357"/>
      <c r="OE357"/>
      <c r="OF357"/>
      <c r="OG357"/>
      <c r="OH357"/>
      <c r="OI357"/>
      <c r="OJ357"/>
      <c r="OK357"/>
      <c r="OL357"/>
      <c r="OM357"/>
      <c r="ON357"/>
      <c r="OO357"/>
      <c r="OP357"/>
      <c r="OQ357"/>
      <c r="OR357"/>
      <c r="OS357"/>
      <c r="OT357"/>
      <c r="OU357"/>
      <c r="OV357"/>
      <c r="OW357"/>
      <c r="OX357"/>
      <c r="OY357"/>
      <c r="OZ357"/>
      <c r="PA357"/>
      <c r="PB357"/>
      <c r="PC357"/>
      <c r="PD357"/>
      <c r="PE357"/>
      <c r="PF357"/>
      <c r="PG357"/>
      <c r="PH357"/>
      <c r="PI357"/>
      <c r="PJ357"/>
      <c r="PK357"/>
      <c r="PL357"/>
      <c r="PM357"/>
      <c r="PN357"/>
      <c r="PO357"/>
      <c r="PP357"/>
      <c r="PQ357"/>
      <c r="PR357"/>
      <c r="PS357"/>
      <c r="PT357"/>
      <c r="PU357"/>
      <c r="PV357"/>
      <c r="PW357"/>
      <c r="PX357"/>
      <c r="PY357"/>
      <c r="PZ357"/>
      <c r="QA357"/>
      <c r="QB357"/>
      <c r="QC357"/>
      <c r="QD357"/>
      <c r="QE357"/>
      <c r="QF357"/>
      <c r="QG357"/>
      <c r="QH357"/>
      <c r="QI357"/>
      <c r="QJ357"/>
      <c r="QK357"/>
      <c r="QL357"/>
      <c r="QM357"/>
      <c r="QN357"/>
      <c r="QO357"/>
      <c r="QP357"/>
      <c r="QQ357"/>
      <c r="QR357"/>
      <c r="QS357"/>
      <c r="QT357"/>
      <c r="QU357"/>
      <c r="QV357"/>
      <c r="QW357"/>
      <c r="QX357"/>
      <c r="QY357"/>
      <c r="QZ357"/>
      <c r="RA357"/>
      <c r="RB357"/>
      <c r="RC357"/>
      <c r="RD357"/>
      <c r="RE357"/>
      <c r="RF357"/>
      <c r="RG357"/>
      <c r="RH357"/>
      <c r="RI357"/>
      <c r="RJ357"/>
      <c r="RK357"/>
      <c r="RL357"/>
      <c r="RM357"/>
      <c r="RN357"/>
      <c r="RO357"/>
      <c r="RP357"/>
      <c r="RQ357"/>
      <c r="RR357"/>
      <c r="RS357"/>
      <c r="RT357"/>
      <c r="RU357"/>
    </row>
    <row r="358" spans="3:489" x14ac:dyDescent="0.25">
      <c r="C358"/>
      <c r="D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  <c r="HB358"/>
      <c r="HC358"/>
      <c r="HD358"/>
      <c r="HE358"/>
      <c r="HF358"/>
      <c r="HG358"/>
      <c r="HH358"/>
      <c r="HI358"/>
      <c r="HJ358"/>
      <c r="HK358"/>
      <c r="HL358"/>
      <c r="HM358"/>
      <c r="HN358"/>
      <c r="HO358"/>
      <c r="HP358"/>
      <c r="HQ358"/>
      <c r="HR358"/>
      <c r="HS358"/>
      <c r="HT358"/>
      <c r="HU358"/>
      <c r="HV358"/>
      <c r="HW358"/>
      <c r="HX358"/>
      <c r="HY358"/>
      <c r="HZ358"/>
      <c r="IA358"/>
      <c r="IB358"/>
      <c r="IC358"/>
      <c r="ID358"/>
      <c r="IE358"/>
      <c r="IF358"/>
      <c r="IG358"/>
      <c r="IH358"/>
      <c r="II358"/>
      <c r="IJ358"/>
      <c r="IK358"/>
      <c r="IL358"/>
      <c r="IM358"/>
      <c r="IN358"/>
      <c r="IO358"/>
      <c r="IP358"/>
      <c r="IQ358"/>
      <c r="IR358"/>
      <c r="IS358"/>
      <c r="IT358"/>
      <c r="IU358"/>
      <c r="IV358"/>
      <c r="IW358"/>
      <c r="IX358"/>
      <c r="IY358"/>
      <c r="IZ358"/>
      <c r="JA358"/>
      <c r="JB358"/>
      <c r="JC358"/>
      <c r="JD358"/>
      <c r="JE358"/>
      <c r="JF358"/>
      <c r="JG358"/>
      <c r="JH358"/>
      <c r="JI358"/>
      <c r="JJ358"/>
      <c r="JK358"/>
      <c r="JL358"/>
      <c r="JM358"/>
      <c r="JN358"/>
      <c r="JO358"/>
      <c r="JP358"/>
      <c r="JQ358"/>
      <c r="JR358"/>
      <c r="JS358"/>
      <c r="JT358"/>
      <c r="JU358"/>
      <c r="JV358"/>
      <c r="JW358"/>
      <c r="JX358"/>
      <c r="JY358"/>
      <c r="JZ358"/>
      <c r="KA358"/>
      <c r="KB358"/>
      <c r="KC358"/>
      <c r="KD358"/>
      <c r="KE358"/>
      <c r="KF358"/>
      <c r="KG358"/>
      <c r="KH358"/>
      <c r="KI358"/>
      <c r="KJ358"/>
      <c r="KK358"/>
      <c r="KL358"/>
      <c r="KM358"/>
      <c r="KN358"/>
      <c r="KO358"/>
      <c r="KP358"/>
      <c r="KQ358"/>
      <c r="KR358"/>
      <c r="KS358"/>
      <c r="KT358"/>
      <c r="KU358"/>
      <c r="KV358"/>
      <c r="KW358"/>
      <c r="KX358"/>
      <c r="KY358"/>
      <c r="KZ358"/>
      <c r="LA358"/>
      <c r="LB358"/>
      <c r="LC358"/>
      <c r="LD358"/>
      <c r="LE358"/>
      <c r="LF358"/>
      <c r="LG358"/>
      <c r="LH358"/>
      <c r="LI358"/>
      <c r="LJ358"/>
      <c r="LK358"/>
      <c r="LL358"/>
      <c r="LM358"/>
      <c r="LN358"/>
      <c r="LO358"/>
      <c r="LP358"/>
      <c r="LQ358"/>
      <c r="LR358"/>
      <c r="LS358"/>
      <c r="LT358"/>
      <c r="LU358"/>
      <c r="LV358"/>
      <c r="LW358"/>
      <c r="LX358"/>
      <c r="LY358"/>
      <c r="LZ358"/>
      <c r="MA358"/>
      <c r="MB358"/>
      <c r="MC358"/>
      <c r="MD358"/>
      <c r="ME358"/>
      <c r="MF358"/>
      <c r="MG358"/>
      <c r="MH358"/>
      <c r="MI358"/>
      <c r="MJ358"/>
      <c r="MK358"/>
      <c r="ML358"/>
      <c r="MM358"/>
      <c r="MN358"/>
      <c r="MO358"/>
      <c r="MP358"/>
      <c r="MQ358"/>
      <c r="MR358"/>
      <c r="MS358"/>
      <c r="MT358"/>
      <c r="MU358"/>
      <c r="MV358"/>
      <c r="MW358"/>
      <c r="MX358"/>
      <c r="MY358"/>
      <c r="MZ358"/>
      <c r="NA358"/>
      <c r="NB358"/>
      <c r="NC358"/>
      <c r="ND358"/>
      <c r="NE358"/>
      <c r="NF358"/>
      <c r="NG358"/>
      <c r="NH358"/>
      <c r="NI358"/>
      <c r="NJ358"/>
      <c r="NK358"/>
      <c r="NL358"/>
      <c r="NM358"/>
      <c r="NN358"/>
      <c r="NO358"/>
      <c r="NP358"/>
      <c r="NQ358"/>
      <c r="NR358"/>
      <c r="NS358"/>
      <c r="NT358"/>
      <c r="NU358"/>
      <c r="NV358"/>
      <c r="NW358"/>
      <c r="NX358"/>
      <c r="NY358"/>
      <c r="NZ358"/>
      <c r="OA358"/>
      <c r="OB358"/>
      <c r="OC358"/>
      <c r="OD358"/>
      <c r="OE358"/>
      <c r="OF358"/>
      <c r="OG358"/>
      <c r="OH358"/>
      <c r="OI358"/>
      <c r="OJ358"/>
      <c r="OK358"/>
      <c r="OL358"/>
      <c r="OM358"/>
      <c r="ON358"/>
      <c r="OO358"/>
      <c r="OP358"/>
      <c r="OQ358"/>
      <c r="OR358"/>
      <c r="OS358"/>
      <c r="OT358"/>
      <c r="OU358"/>
      <c r="OV358"/>
      <c r="OW358"/>
      <c r="OX358"/>
      <c r="OY358"/>
      <c r="OZ358"/>
      <c r="PA358"/>
      <c r="PB358"/>
      <c r="PC358"/>
      <c r="PD358"/>
      <c r="PE358"/>
      <c r="PF358"/>
      <c r="PG358"/>
      <c r="PH358"/>
      <c r="PI358"/>
      <c r="PJ358"/>
      <c r="PK358"/>
      <c r="PL358"/>
      <c r="PM358"/>
      <c r="PN358"/>
      <c r="PO358"/>
      <c r="PP358"/>
      <c r="PQ358"/>
      <c r="PR358"/>
      <c r="PS358"/>
      <c r="PT358"/>
      <c r="PU358"/>
      <c r="PV358"/>
      <c r="PW358"/>
      <c r="PX358"/>
      <c r="PY358"/>
      <c r="PZ358"/>
      <c r="QA358"/>
      <c r="QB358"/>
      <c r="QC358"/>
      <c r="QD358"/>
      <c r="QE358"/>
      <c r="QF358"/>
      <c r="QG358"/>
      <c r="QH358"/>
      <c r="QI358"/>
      <c r="QJ358"/>
      <c r="QK358"/>
      <c r="QL358"/>
      <c r="QM358"/>
      <c r="QN358"/>
      <c r="QO358"/>
      <c r="QP358"/>
      <c r="QQ358"/>
      <c r="QR358"/>
      <c r="QS358"/>
      <c r="QT358"/>
      <c r="QU358"/>
      <c r="QV358"/>
      <c r="QW358"/>
      <c r="QX358"/>
      <c r="QY358"/>
      <c r="QZ358"/>
      <c r="RA358"/>
      <c r="RB358"/>
      <c r="RC358"/>
      <c r="RD358"/>
      <c r="RE358"/>
      <c r="RF358"/>
      <c r="RG358"/>
      <c r="RH358"/>
      <c r="RI358"/>
      <c r="RJ358"/>
      <c r="RK358"/>
      <c r="RL358"/>
      <c r="RM358"/>
      <c r="RN358"/>
      <c r="RO358"/>
      <c r="RP358"/>
      <c r="RQ358"/>
      <c r="RR358"/>
      <c r="RS358"/>
      <c r="RT358"/>
      <c r="RU358"/>
    </row>
    <row r="359" spans="3:489" x14ac:dyDescent="0.25">
      <c r="C359"/>
      <c r="D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  <c r="HB359"/>
      <c r="HC359"/>
      <c r="HD359"/>
      <c r="HE359"/>
      <c r="HF359"/>
      <c r="HG359"/>
      <c r="HH359"/>
      <c r="HI359"/>
      <c r="HJ359"/>
      <c r="HK359"/>
      <c r="HL359"/>
      <c r="HM359"/>
      <c r="HN359"/>
      <c r="HO359"/>
      <c r="HP359"/>
      <c r="HQ359"/>
      <c r="HR359"/>
      <c r="HS359"/>
      <c r="HT359"/>
      <c r="HU359"/>
      <c r="HV359"/>
      <c r="HW359"/>
      <c r="HX359"/>
      <c r="HY359"/>
      <c r="HZ359"/>
      <c r="IA359"/>
      <c r="IB359"/>
      <c r="IC359"/>
      <c r="ID359"/>
      <c r="IE359"/>
      <c r="IF359"/>
      <c r="IG359"/>
      <c r="IH359"/>
      <c r="II359"/>
      <c r="IJ359"/>
      <c r="IK359"/>
      <c r="IL359"/>
      <c r="IM359"/>
      <c r="IN359"/>
      <c r="IO359"/>
      <c r="IP359"/>
      <c r="IQ359"/>
      <c r="IR359"/>
      <c r="IS359"/>
      <c r="IT359"/>
      <c r="IU359"/>
      <c r="IV359"/>
      <c r="IW359"/>
      <c r="IX359"/>
      <c r="IY359"/>
      <c r="IZ359"/>
      <c r="JA359"/>
      <c r="JB359"/>
      <c r="JC359"/>
      <c r="JD359"/>
      <c r="JE359"/>
      <c r="JF359"/>
      <c r="JG359"/>
      <c r="JH359"/>
      <c r="JI359"/>
      <c r="JJ359"/>
      <c r="JK359"/>
      <c r="JL359"/>
      <c r="JM359"/>
      <c r="JN359"/>
      <c r="JO359"/>
      <c r="JP359"/>
      <c r="JQ359"/>
      <c r="JR359"/>
      <c r="JS359"/>
      <c r="JT359"/>
      <c r="JU359"/>
      <c r="JV359"/>
      <c r="JW359"/>
      <c r="JX359"/>
      <c r="JY359"/>
      <c r="JZ359"/>
      <c r="KA359"/>
      <c r="KB359"/>
      <c r="KC359"/>
      <c r="KD359"/>
      <c r="KE359"/>
      <c r="KF359"/>
      <c r="KG359"/>
      <c r="KH359"/>
      <c r="KI359"/>
      <c r="KJ359"/>
      <c r="KK359"/>
      <c r="KL359"/>
      <c r="KM359"/>
      <c r="KN359"/>
      <c r="KO359"/>
      <c r="KP359"/>
      <c r="KQ359"/>
      <c r="KR359"/>
      <c r="KS359"/>
      <c r="KT359"/>
      <c r="KU359"/>
      <c r="KV359"/>
      <c r="KW359"/>
      <c r="KX359"/>
      <c r="KY359"/>
      <c r="KZ359"/>
      <c r="LA359"/>
      <c r="LB359"/>
      <c r="LC359"/>
      <c r="LD359"/>
      <c r="LE359"/>
      <c r="LF359"/>
      <c r="LG359"/>
      <c r="LH359"/>
      <c r="LI359"/>
      <c r="LJ359"/>
      <c r="LK359"/>
      <c r="LL359"/>
      <c r="LM359"/>
      <c r="LN359"/>
      <c r="LO359"/>
      <c r="LP359"/>
      <c r="LQ359"/>
      <c r="LR359"/>
      <c r="LS359"/>
      <c r="LT359"/>
      <c r="LU359"/>
      <c r="LV359"/>
      <c r="LW359"/>
      <c r="LX359"/>
      <c r="LY359"/>
      <c r="LZ359"/>
      <c r="MA359"/>
      <c r="MB359"/>
      <c r="MC359"/>
      <c r="MD359"/>
      <c r="ME359"/>
      <c r="MF359"/>
      <c r="MG359"/>
      <c r="MH359"/>
      <c r="MI359"/>
      <c r="MJ359"/>
      <c r="MK359"/>
      <c r="ML359"/>
      <c r="MM359"/>
      <c r="MN359"/>
      <c r="MO359"/>
      <c r="MP359"/>
      <c r="MQ359"/>
      <c r="MR359"/>
      <c r="MS359"/>
      <c r="MT359"/>
      <c r="MU359"/>
      <c r="MV359"/>
      <c r="MW359"/>
      <c r="MX359"/>
      <c r="MY359"/>
      <c r="MZ359"/>
      <c r="NA359"/>
      <c r="NB359"/>
      <c r="NC359"/>
      <c r="ND359"/>
      <c r="NE359"/>
      <c r="NF359"/>
      <c r="NG359"/>
      <c r="NH359"/>
      <c r="NI359"/>
      <c r="NJ359"/>
      <c r="NK359"/>
      <c r="NL359"/>
      <c r="NM359"/>
      <c r="NN359"/>
      <c r="NO359"/>
      <c r="NP359"/>
      <c r="NQ359"/>
      <c r="NR359"/>
      <c r="NS359"/>
      <c r="NT359"/>
      <c r="NU359"/>
      <c r="NV359"/>
      <c r="NW359"/>
      <c r="NX359"/>
      <c r="NY359"/>
      <c r="NZ359"/>
      <c r="OA359"/>
      <c r="OB359"/>
      <c r="OC359"/>
      <c r="OD359"/>
      <c r="OE359"/>
      <c r="OF359"/>
      <c r="OG359"/>
      <c r="OH359"/>
      <c r="OI359"/>
      <c r="OJ359"/>
      <c r="OK359"/>
      <c r="OL359"/>
      <c r="OM359"/>
      <c r="ON359"/>
      <c r="OO359"/>
      <c r="OP359"/>
      <c r="OQ359"/>
      <c r="OR359"/>
      <c r="OS359"/>
      <c r="OT359"/>
      <c r="OU359"/>
      <c r="OV359"/>
      <c r="OW359"/>
      <c r="OX359"/>
      <c r="OY359"/>
      <c r="OZ359"/>
      <c r="PA359"/>
      <c r="PB359"/>
      <c r="PC359"/>
      <c r="PD359"/>
      <c r="PE359"/>
      <c r="PF359"/>
      <c r="PG359"/>
      <c r="PH359"/>
      <c r="PI359"/>
      <c r="PJ359"/>
      <c r="PK359"/>
      <c r="PL359"/>
      <c r="PM359"/>
      <c r="PN359"/>
      <c r="PO359"/>
      <c r="PP359"/>
      <c r="PQ359"/>
      <c r="PR359"/>
      <c r="PS359"/>
      <c r="PT359"/>
      <c r="PU359"/>
      <c r="PV359"/>
      <c r="PW359"/>
      <c r="PX359"/>
      <c r="PY359"/>
      <c r="PZ359"/>
      <c r="QA359"/>
      <c r="QB359"/>
      <c r="QC359"/>
      <c r="QD359"/>
      <c r="QE359"/>
      <c r="QF359"/>
      <c r="QG359"/>
      <c r="QH359"/>
      <c r="QI359"/>
      <c r="QJ359"/>
      <c r="QK359"/>
      <c r="QL359"/>
      <c r="QM359"/>
      <c r="QN359"/>
      <c r="QO359"/>
      <c r="QP359"/>
      <c r="QQ359"/>
      <c r="QR359"/>
      <c r="QS359"/>
      <c r="QT359"/>
      <c r="QU359"/>
      <c r="QV359"/>
      <c r="QW359"/>
      <c r="QX359"/>
      <c r="QY359"/>
      <c r="QZ359"/>
      <c r="RA359"/>
      <c r="RB359"/>
      <c r="RC359"/>
      <c r="RD359"/>
      <c r="RE359"/>
      <c r="RF359"/>
      <c r="RG359"/>
      <c r="RH359"/>
      <c r="RI359"/>
      <c r="RJ359"/>
      <c r="RK359"/>
      <c r="RL359"/>
      <c r="RM359"/>
      <c r="RN359"/>
      <c r="RO359"/>
      <c r="RP359"/>
      <c r="RQ359"/>
      <c r="RR359"/>
      <c r="RS359"/>
      <c r="RT359"/>
      <c r="RU359"/>
    </row>
    <row r="360" spans="3:489" x14ac:dyDescent="0.25">
      <c r="C360"/>
      <c r="D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  <c r="HB360"/>
      <c r="HC360"/>
      <c r="HD360"/>
      <c r="HE360"/>
      <c r="HF360"/>
      <c r="HG360"/>
      <c r="HH360"/>
      <c r="HI360"/>
      <c r="HJ360"/>
      <c r="HK360"/>
      <c r="HL360"/>
      <c r="HM360"/>
      <c r="HN360"/>
      <c r="HO360"/>
      <c r="HP360"/>
      <c r="HQ360"/>
      <c r="HR360"/>
      <c r="HS360"/>
      <c r="HT360"/>
      <c r="HU360"/>
      <c r="HV360"/>
      <c r="HW360"/>
      <c r="HX360"/>
      <c r="HY360"/>
      <c r="HZ360"/>
      <c r="IA360"/>
      <c r="IB360"/>
      <c r="IC360"/>
      <c r="ID360"/>
      <c r="IE360"/>
      <c r="IF360"/>
      <c r="IG360"/>
      <c r="IH360"/>
      <c r="II360"/>
      <c r="IJ360"/>
      <c r="IK360"/>
      <c r="IL360"/>
      <c r="IM360"/>
      <c r="IN360"/>
      <c r="IO360"/>
      <c r="IP360"/>
      <c r="IQ360"/>
      <c r="IR360"/>
      <c r="IS360"/>
      <c r="IT360"/>
      <c r="IU360"/>
      <c r="IV360"/>
      <c r="IW360"/>
      <c r="IX360"/>
      <c r="IY360"/>
      <c r="IZ360"/>
      <c r="JA360"/>
      <c r="JB360"/>
      <c r="JC360"/>
      <c r="JD360"/>
      <c r="JE360"/>
      <c r="JF360"/>
      <c r="JG360"/>
      <c r="JH360"/>
      <c r="JI360"/>
      <c r="JJ360"/>
      <c r="JK360"/>
      <c r="JL360"/>
      <c r="JM360"/>
      <c r="JN360"/>
      <c r="JO360"/>
      <c r="JP360"/>
      <c r="JQ360"/>
      <c r="JR360"/>
      <c r="JS360"/>
      <c r="JT360"/>
      <c r="JU360"/>
      <c r="JV360"/>
      <c r="JW360"/>
      <c r="JX360"/>
      <c r="JY360"/>
      <c r="JZ360"/>
      <c r="KA360"/>
      <c r="KB360"/>
      <c r="KC360"/>
      <c r="KD360"/>
      <c r="KE360"/>
      <c r="KF360"/>
      <c r="KG360"/>
      <c r="KH360"/>
      <c r="KI360"/>
      <c r="KJ360"/>
      <c r="KK360"/>
      <c r="KL360"/>
      <c r="KM360"/>
      <c r="KN360"/>
      <c r="KO360"/>
      <c r="KP360"/>
      <c r="KQ360"/>
      <c r="KR360"/>
      <c r="KS360"/>
      <c r="KT360"/>
      <c r="KU360"/>
      <c r="KV360"/>
      <c r="KW360"/>
      <c r="KX360"/>
      <c r="KY360"/>
      <c r="KZ360"/>
      <c r="LA360"/>
      <c r="LB360"/>
      <c r="LC360"/>
      <c r="LD360"/>
      <c r="LE360"/>
      <c r="LF360"/>
      <c r="LG360"/>
      <c r="LH360"/>
      <c r="LI360"/>
      <c r="LJ360"/>
      <c r="LK360"/>
      <c r="LL360"/>
      <c r="LM360"/>
      <c r="LN360"/>
      <c r="LO360"/>
      <c r="LP360"/>
      <c r="LQ360"/>
      <c r="LR360"/>
      <c r="LS360"/>
      <c r="LT360"/>
      <c r="LU360"/>
      <c r="LV360"/>
      <c r="LW360"/>
      <c r="LX360"/>
      <c r="LY360"/>
      <c r="LZ360"/>
      <c r="MA360"/>
      <c r="MB360"/>
      <c r="MC360"/>
      <c r="MD360"/>
      <c r="ME360"/>
      <c r="MF360"/>
      <c r="MG360"/>
      <c r="MH360"/>
      <c r="MI360"/>
      <c r="MJ360"/>
      <c r="MK360"/>
      <c r="ML360"/>
      <c r="MM360"/>
      <c r="MN360"/>
      <c r="MO360"/>
      <c r="MP360"/>
      <c r="MQ360"/>
      <c r="MR360"/>
      <c r="MS360"/>
      <c r="MT360"/>
      <c r="MU360"/>
      <c r="MV360"/>
      <c r="MW360"/>
      <c r="MX360"/>
      <c r="MY360"/>
      <c r="MZ360"/>
      <c r="NA360"/>
      <c r="NB360"/>
      <c r="NC360"/>
      <c r="ND360"/>
      <c r="NE360"/>
      <c r="NF360"/>
      <c r="NG360"/>
      <c r="NH360"/>
      <c r="NI360"/>
      <c r="NJ360"/>
      <c r="NK360"/>
      <c r="NL360"/>
      <c r="NM360"/>
      <c r="NN360"/>
      <c r="NO360"/>
      <c r="NP360"/>
      <c r="NQ360"/>
      <c r="NR360"/>
      <c r="NS360"/>
      <c r="NT360"/>
      <c r="NU360"/>
      <c r="NV360"/>
      <c r="NW360"/>
      <c r="NX360"/>
      <c r="NY360"/>
      <c r="NZ360"/>
      <c r="OA360"/>
      <c r="OB360"/>
      <c r="OC360"/>
      <c r="OD360"/>
      <c r="OE360"/>
      <c r="OF360"/>
      <c r="OG360"/>
      <c r="OH360"/>
      <c r="OI360"/>
      <c r="OJ360"/>
      <c r="OK360"/>
      <c r="OL360"/>
      <c r="OM360"/>
      <c r="ON360"/>
      <c r="OO360"/>
      <c r="OP360"/>
      <c r="OQ360"/>
      <c r="OR360"/>
      <c r="OS360"/>
      <c r="OT360"/>
      <c r="OU360"/>
      <c r="OV360"/>
      <c r="OW360"/>
      <c r="OX360"/>
      <c r="OY360"/>
      <c r="OZ360"/>
      <c r="PA360"/>
      <c r="PB360"/>
      <c r="PC360"/>
      <c r="PD360"/>
      <c r="PE360"/>
      <c r="PF360"/>
      <c r="PG360"/>
      <c r="PH360"/>
      <c r="PI360"/>
      <c r="PJ360"/>
      <c r="PK360"/>
      <c r="PL360"/>
      <c r="PM360"/>
      <c r="PN360"/>
      <c r="PO360"/>
      <c r="PP360"/>
      <c r="PQ360"/>
      <c r="PR360"/>
      <c r="PS360"/>
      <c r="PT360"/>
      <c r="PU360"/>
      <c r="PV360"/>
      <c r="PW360"/>
      <c r="PX360"/>
      <c r="PY360"/>
      <c r="PZ360"/>
      <c r="QA360"/>
      <c r="QB360"/>
      <c r="QC360"/>
      <c r="QD360"/>
      <c r="QE360"/>
      <c r="QF360"/>
      <c r="QG360"/>
      <c r="QH360"/>
      <c r="QI360"/>
      <c r="QJ360"/>
      <c r="QK360"/>
      <c r="QL360"/>
      <c r="QM360"/>
      <c r="QN360"/>
      <c r="QO360"/>
      <c r="QP360"/>
      <c r="QQ360"/>
      <c r="QR360"/>
      <c r="QS360"/>
      <c r="QT360"/>
      <c r="QU360"/>
      <c r="QV360"/>
      <c r="QW360"/>
      <c r="QX360"/>
      <c r="QY360"/>
      <c r="QZ360"/>
      <c r="RA360"/>
      <c r="RB360"/>
      <c r="RC360"/>
      <c r="RD360"/>
      <c r="RE360"/>
      <c r="RF360"/>
      <c r="RG360"/>
      <c r="RH360"/>
      <c r="RI360"/>
      <c r="RJ360"/>
      <c r="RK360"/>
      <c r="RL360"/>
      <c r="RM360"/>
      <c r="RN360"/>
      <c r="RO360"/>
      <c r="RP360"/>
      <c r="RQ360"/>
      <c r="RR360"/>
      <c r="RS360"/>
      <c r="RT360"/>
      <c r="RU360"/>
    </row>
    <row r="361" spans="3:489" x14ac:dyDescent="0.25">
      <c r="C361"/>
      <c r="D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  <c r="HB361"/>
      <c r="HC361"/>
      <c r="HD361"/>
      <c r="HE361"/>
      <c r="HF361"/>
      <c r="HG361"/>
      <c r="HH361"/>
      <c r="HI361"/>
      <c r="HJ361"/>
      <c r="HK361"/>
      <c r="HL361"/>
      <c r="HM361"/>
      <c r="HN361"/>
      <c r="HO361"/>
      <c r="HP361"/>
      <c r="HQ361"/>
      <c r="HR361"/>
      <c r="HS361"/>
      <c r="HT361"/>
      <c r="HU361"/>
      <c r="HV361"/>
      <c r="HW361"/>
      <c r="HX361"/>
      <c r="HY361"/>
      <c r="HZ361"/>
      <c r="IA361"/>
      <c r="IB361"/>
      <c r="IC361"/>
      <c r="ID361"/>
      <c r="IE361"/>
      <c r="IF361"/>
      <c r="IG361"/>
      <c r="IH361"/>
      <c r="II361"/>
      <c r="IJ361"/>
      <c r="IK361"/>
      <c r="IL361"/>
      <c r="IM361"/>
      <c r="IN361"/>
      <c r="IO361"/>
      <c r="IP361"/>
      <c r="IQ361"/>
      <c r="IR361"/>
      <c r="IS361"/>
      <c r="IT361"/>
      <c r="IU361"/>
      <c r="IV361"/>
      <c r="IW361"/>
      <c r="IX361"/>
      <c r="IY361"/>
      <c r="IZ361"/>
      <c r="JA361"/>
      <c r="JB361"/>
      <c r="JC361"/>
      <c r="JD361"/>
      <c r="JE361"/>
      <c r="JF361"/>
      <c r="JG361"/>
      <c r="JH361"/>
      <c r="JI361"/>
      <c r="JJ361"/>
      <c r="JK361"/>
      <c r="JL361"/>
      <c r="JM361"/>
      <c r="JN361"/>
      <c r="JO361"/>
      <c r="JP361"/>
      <c r="JQ361"/>
      <c r="JR361"/>
      <c r="JS361"/>
      <c r="JT361"/>
      <c r="JU361"/>
      <c r="JV361"/>
      <c r="JW361"/>
      <c r="JX361"/>
      <c r="JY361"/>
      <c r="JZ361"/>
      <c r="KA361"/>
      <c r="KB361"/>
      <c r="KC361"/>
      <c r="KD361"/>
      <c r="KE361"/>
      <c r="KF361"/>
      <c r="KG361"/>
      <c r="KH361"/>
      <c r="KI361"/>
      <c r="KJ361"/>
      <c r="KK361"/>
      <c r="KL361"/>
      <c r="KM361"/>
      <c r="KN361"/>
      <c r="KO361"/>
      <c r="KP361"/>
      <c r="KQ361"/>
      <c r="KR361"/>
      <c r="KS361"/>
      <c r="KT361"/>
      <c r="KU361"/>
      <c r="KV361"/>
      <c r="KW361"/>
      <c r="KX361"/>
      <c r="KY361"/>
      <c r="KZ361"/>
      <c r="LA361"/>
      <c r="LB361"/>
      <c r="LC361"/>
      <c r="LD361"/>
      <c r="LE361"/>
      <c r="LF361"/>
      <c r="LG361"/>
      <c r="LH361"/>
      <c r="LI361"/>
      <c r="LJ361"/>
      <c r="LK361"/>
      <c r="LL361"/>
      <c r="LM361"/>
      <c r="LN361"/>
      <c r="LO361"/>
      <c r="LP361"/>
      <c r="LQ361"/>
      <c r="LR361"/>
      <c r="LS361"/>
      <c r="LT361"/>
      <c r="LU361"/>
      <c r="LV361"/>
      <c r="LW361"/>
      <c r="LX361"/>
      <c r="LY361"/>
      <c r="LZ361"/>
      <c r="MA361"/>
      <c r="MB361"/>
      <c r="MC361"/>
      <c r="MD361"/>
      <c r="ME361"/>
      <c r="MF361"/>
      <c r="MG361"/>
      <c r="MH361"/>
      <c r="MI361"/>
      <c r="MJ361"/>
      <c r="MK361"/>
      <c r="ML361"/>
      <c r="MM361"/>
      <c r="MN361"/>
      <c r="MO361"/>
      <c r="MP361"/>
      <c r="MQ361"/>
      <c r="MR361"/>
      <c r="MS361"/>
      <c r="MT361"/>
      <c r="MU361"/>
      <c r="MV361"/>
      <c r="MW361"/>
      <c r="MX361"/>
      <c r="MY361"/>
      <c r="MZ361"/>
      <c r="NA361"/>
      <c r="NB361"/>
      <c r="NC361"/>
      <c r="ND361"/>
      <c r="NE361"/>
      <c r="NF361"/>
      <c r="NG361"/>
      <c r="NH361"/>
      <c r="NI361"/>
      <c r="NJ361"/>
      <c r="NK361"/>
      <c r="NL361"/>
      <c r="NM361"/>
      <c r="NN361"/>
      <c r="NO361"/>
      <c r="NP361"/>
      <c r="NQ361"/>
      <c r="NR361"/>
      <c r="NS361"/>
      <c r="NT361"/>
      <c r="NU361"/>
      <c r="NV361"/>
      <c r="NW361"/>
      <c r="NX361"/>
      <c r="NY361"/>
      <c r="NZ361"/>
      <c r="OA361"/>
      <c r="OB361"/>
      <c r="OC361"/>
      <c r="OD361"/>
      <c r="OE361"/>
      <c r="OF361"/>
      <c r="OG361"/>
      <c r="OH361"/>
      <c r="OI361"/>
      <c r="OJ361"/>
      <c r="OK361"/>
      <c r="OL361"/>
      <c r="OM361"/>
      <c r="ON361"/>
      <c r="OO361"/>
      <c r="OP361"/>
      <c r="OQ361"/>
      <c r="OR361"/>
      <c r="OS361"/>
      <c r="OT361"/>
      <c r="OU361"/>
      <c r="OV361"/>
      <c r="OW361"/>
      <c r="OX361"/>
      <c r="OY361"/>
      <c r="OZ361"/>
      <c r="PA361"/>
      <c r="PB361"/>
      <c r="PC361"/>
      <c r="PD361"/>
      <c r="PE361"/>
      <c r="PF361"/>
      <c r="PG361"/>
      <c r="PH361"/>
      <c r="PI361"/>
      <c r="PJ361"/>
      <c r="PK361"/>
      <c r="PL361"/>
      <c r="PM361"/>
      <c r="PN361"/>
      <c r="PO361"/>
      <c r="PP361"/>
      <c r="PQ361"/>
      <c r="PR361"/>
      <c r="PS361"/>
      <c r="PT361"/>
      <c r="PU361"/>
      <c r="PV361"/>
      <c r="PW361"/>
      <c r="PX361"/>
      <c r="PY361"/>
      <c r="PZ361"/>
      <c r="QA361"/>
      <c r="QB361"/>
      <c r="QC361"/>
      <c r="QD361"/>
      <c r="QE361"/>
      <c r="QF361"/>
      <c r="QG361"/>
      <c r="QH361"/>
      <c r="QI361"/>
      <c r="QJ361"/>
      <c r="QK361"/>
      <c r="QL361"/>
      <c r="QM361"/>
      <c r="QN361"/>
      <c r="QO361"/>
      <c r="QP361"/>
      <c r="QQ361"/>
      <c r="QR361"/>
      <c r="QS361"/>
      <c r="QT361"/>
      <c r="QU361"/>
      <c r="QV361"/>
      <c r="QW361"/>
      <c r="QX361"/>
      <c r="QY361"/>
      <c r="QZ361"/>
      <c r="RA361"/>
      <c r="RB361"/>
      <c r="RC361"/>
      <c r="RD361"/>
      <c r="RE361"/>
      <c r="RF361"/>
      <c r="RG361"/>
      <c r="RH361"/>
      <c r="RI361"/>
      <c r="RJ361"/>
      <c r="RK361"/>
      <c r="RL361"/>
      <c r="RM361"/>
      <c r="RN361"/>
      <c r="RO361"/>
      <c r="RP361"/>
      <c r="RQ361"/>
      <c r="RR361"/>
      <c r="RS361"/>
      <c r="RT361"/>
      <c r="RU361"/>
    </row>
    <row r="362" spans="3:489" x14ac:dyDescent="0.25">
      <c r="C362"/>
      <c r="D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  <c r="HB362"/>
      <c r="HC362"/>
      <c r="HD362"/>
      <c r="HE362"/>
      <c r="HF362"/>
      <c r="HG362"/>
      <c r="HH362"/>
      <c r="HI362"/>
      <c r="HJ362"/>
      <c r="HK362"/>
      <c r="HL362"/>
      <c r="HM362"/>
      <c r="HN362"/>
      <c r="HO362"/>
      <c r="HP362"/>
      <c r="HQ362"/>
      <c r="HR362"/>
      <c r="HS362"/>
      <c r="HT362"/>
      <c r="HU362"/>
      <c r="HV362"/>
      <c r="HW362"/>
      <c r="HX362"/>
      <c r="HY362"/>
      <c r="HZ362"/>
      <c r="IA362"/>
      <c r="IB362"/>
      <c r="IC362"/>
      <c r="ID362"/>
      <c r="IE362"/>
      <c r="IF362"/>
      <c r="IG362"/>
      <c r="IH362"/>
      <c r="II362"/>
      <c r="IJ362"/>
      <c r="IK362"/>
      <c r="IL362"/>
      <c r="IM362"/>
      <c r="IN362"/>
      <c r="IO362"/>
      <c r="IP362"/>
      <c r="IQ362"/>
      <c r="IR362"/>
      <c r="IS362"/>
      <c r="IT362"/>
      <c r="IU362"/>
      <c r="IV362"/>
      <c r="IW362"/>
      <c r="IX362"/>
      <c r="IY362"/>
      <c r="IZ362"/>
      <c r="JA362"/>
      <c r="JB362"/>
      <c r="JC362"/>
      <c r="JD362"/>
      <c r="JE362"/>
      <c r="JF362"/>
      <c r="JG362"/>
      <c r="JH362"/>
      <c r="JI362"/>
      <c r="JJ362"/>
      <c r="JK362"/>
      <c r="JL362"/>
      <c r="JM362"/>
      <c r="JN362"/>
      <c r="JO362"/>
      <c r="JP362"/>
      <c r="JQ362"/>
      <c r="JR362"/>
      <c r="JS362"/>
      <c r="JT362"/>
      <c r="JU362"/>
      <c r="JV362"/>
      <c r="JW362"/>
      <c r="JX362"/>
      <c r="JY362"/>
      <c r="JZ362"/>
      <c r="KA362"/>
      <c r="KB362"/>
      <c r="KC362"/>
      <c r="KD362"/>
      <c r="KE362"/>
      <c r="KF362"/>
      <c r="KG362"/>
      <c r="KH362"/>
      <c r="KI362"/>
      <c r="KJ362"/>
      <c r="KK362"/>
      <c r="KL362"/>
      <c r="KM362"/>
      <c r="KN362"/>
      <c r="KO362"/>
      <c r="KP362"/>
      <c r="KQ362"/>
      <c r="KR362"/>
      <c r="KS362"/>
      <c r="KT362"/>
      <c r="KU362"/>
      <c r="KV362"/>
      <c r="KW362"/>
      <c r="KX362"/>
      <c r="KY362"/>
      <c r="KZ362"/>
      <c r="LA362"/>
      <c r="LB362"/>
      <c r="LC362"/>
      <c r="LD362"/>
      <c r="LE362"/>
      <c r="LF362"/>
      <c r="LG362"/>
      <c r="LH362"/>
      <c r="LI362"/>
      <c r="LJ362"/>
      <c r="LK362"/>
      <c r="LL362"/>
      <c r="LM362"/>
      <c r="LN362"/>
      <c r="LO362"/>
      <c r="LP362"/>
      <c r="LQ362"/>
      <c r="LR362"/>
      <c r="LS362"/>
      <c r="LT362"/>
      <c r="LU362"/>
      <c r="LV362"/>
      <c r="LW362"/>
      <c r="LX362"/>
      <c r="LY362"/>
      <c r="LZ362"/>
      <c r="MA362"/>
      <c r="MB362"/>
      <c r="MC362"/>
      <c r="MD362"/>
      <c r="ME362"/>
      <c r="MF362"/>
      <c r="MG362"/>
      <c r="MH362"/>
      <c r="MI362"/>
      <c r="MJ362"/>
      <c r="MK362"/>
      <c r="ML362"/>
      <c r="MM362"/>
      <c r="MN362"/>
      <c r="MO362"/>
      <c r="MP362"/>
      <c r="MQ362"/>
      <c r="MR362"/>
      <c r="MS362"/>
      <c r="MT362"/>
      <c r="MU362"/>
      <c r="MV362"/>
      <c r="MW362"/>
      <c r="MX362"/>
      <c r="MY362"/>
      <c r="MZ362"/>
      <c r="NA362"/>
      <c r="NB362"/>
      <c r="NC362"/>
      <c r="ND362"/>
      <c r="NE362"/>
      <c r="NF362"/>
      <c r="NG362"/>
      <c r="NH362"/>
      <c r="NI362"/>
      <c r="NJ362"/>
      <c r="NK362"/>
      <c r="NL362"/>
      <c r="NM362"/>
      <c r="NN362"/>
      <c r="NO362"/>
      <c r="NP362"/>
      <c r="NQ362"/>
      <c r="NR362"/>
      <c r="NS362"/>
      <c r="NT362"/>
      <c r="NU362"/>
      <c r="NV362"/>
      <c r="NW362"/>
      <c r="NX362"/>
      <c r="NY362"/>
      <c r="NZ362"/>
      <c r="OA362"/>
      <c r="OB362"/>
      <c r="OC362"/>
      <c r="OD362"/>
      <c r="OE362"/>
      <c r="OF362"/>
      <c r="OG362"/>
      <c r="OH362"/>
      <c r="OI362"/>
      <c r="OJ362"/>
      <c r="OK362"/>
      <c r="OL362"/>
      <c r="OM362"/>
      <c r="ON362"/>
      <c r="OO362"/>
      <c r="OP362"/>
      <c r="OQ362"/>
      <c r="OR362"/>
      <c r="OS362"/>
      <c r="OT362"/>
      <c r="OU362"/>
      <c r="OV362"/>
      <c r="OW362"/>
      <c r="OX362"/>
      <c r="OY362"/>
      <c r="OZ362"/>
      <c r="PA362"/>
      <c r="PB362"/>
      <c r="PC362"/>
      <c r="PD362"/>
      <c r="PE362"/>
      <c r="PF362"/>
      <c r="PG362"/>
      <c r="PH362"/>
      <c r="PI362"/>
      <c r="PJ362"/>
      <c r="PK362"/>
      <c r="PL362"/>
      <c r="PM362"/>
      <c r="PN362"/>
      <c r="PO362"/>
      <c r="PP362"/>
      <c r="PQ362"/>
      <c r="PR362"/>
      <c r="PS362"/>
      <c r="PT362"/>
      <c r="PU362"/>
      <c r="PV362"/>
      <c r="PW362"/>
      <c r="PX362"/>
      <c r="PY362"/>
      <c r="PZ362"/>
      <c r="QA362"/>
      <c r="QB362"/>
      <c r="QC362"/>
      <c r="QD362"/>
      <c r="QE362"/>
      <c r="QF362"/>
      <c r="QG362"/>
      <c r="QH362"/>
      <c r="QI362"/>
      <c r="QJ362"/>
      <c r="QK362"/>
      <c r="QL362"/>
      <c r="QM362"/>
      <c r="QN362"/>
      <c r="QO362"/>
      <c r="QP362"/>
      <c r="QQ362"/>
      <c r="QR362"/>
      <c r="QS362"/>
      <c r="QT362"/>
      <c r="QU362"/>
      <c r="QV362"/>
      <c r="QW362"/>
      <c r="QX362"/>
      <c r="QY362"/>
      <c r="QZ362"/>
      <c r="RA362"/>
      <c r="RB362"/>
      <c r="RC362"/>
      <c r="RD362"/>
      <c r="RE362"/>
      <c r="RF362"/>
      <c r="RG362"/>
      <c r="RH362"/>
      <c r="RI362"/>
      <c r="RJ362"/>
      <c r="RK362"/>
      <c r="RL362"/>
      <c r="RM362"/>
      <c r="RN362"/>
      <c r="RO362"/>
      <c r="RP362"/>
      <c r="RQ362"/>
      <c r="RR362"/>
      <c r="RS362"/>
      <c r="RT362"/>
      <c r="RU362"/>
    </row>
    <row r="363" spans="3:489" x14ac:dyDescent="0.25">
      <c r="C363"/>
      <c r="D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  <c r="HB363"/>
      <c r="HC363"/>
      <c r="HD363"/>
      <c r="HE363"/>
      <c r="HF363"/>
      <c r="HG363"/>
      <c r="HH363"/>
      <c r="HI363"/>
      <c r="HJ363"/>
      <c r="HK363"/>
      <c r="HL363"/>
      <c r="HM363"/>
      <c r="HN363"/>
      <c r="HO363"/>
      <c r="HP363"/>
      <c r="HQ363"/>
      <c r="HR363"/>
      <c r="HS363"/>
      <c r="HT363"/>
      <c r="HU363"/>
      <c r="HV363"/>
      <c r="HW363"/>
      <c r="HX363"/>
      <c r="HY363"/>
      <c r="HZ363"/>
      <c r="IA363"/>
      <c r="IB363"/>
      <c r="IC363"/>
      <c r="ID363"/>
      <c r="IE363"/>
      <c r="IF363"/>
      <c r="IG363"/>
      <c r="IH363"/>
      <c r="II363"/>
      <c r="IJ363"/>
      <c r="IK363"/>
      <c r="IL363"/>
      <c r="IM363"/>
      <c r="IN363"/>
      <c r="IO363"/>
      <c r="IP363"/>
      <c r="IQ363"/>
      <c r="IR363"/>
      <c r="IS363"/>
      <c r="IT363"/>
      <c r="IU363"/>
      <c r="IV363"/>
      <c r="IW363"/>
      <c r="IX363"/>
      <c r="IY363"/>
      <c r="IZ363"/>
      <c r="JA363"/>
      <c r="JB363"/>
      <c r="JC363"/>
      <c r="JD363"/>
      <c r="JE363"/>
      <c r="JF363"/>
      <c r="JG363"/>
      <c r="JH363"/>
      <c r="JI363"/>
      <c r="JJ363"/>
      <c r="JK363"/>
      <c r="JL363"/>
      <c r="JM363"/>
      <c r="JN363"/>
      <c r="JO363"/>
      <c r="JP363"/>
      <c r="JQ363"/>
      <c r="JR363"/>
      <c r="JS363"/>
      <c r="JT363"/>
      <c r="JU363"/>
      <c r="JV363"/>
      <c r="JW363"/>
      <c r="JX363"/>
      <c r="JY363"/>
      <c r="JZ363"/>
      <c r="KA363"/>
      <c r="KB363"/>
      <c r="KC363"/>
      <c r="KD363"/>
      <c r="KE363"/>
      <c r="KF363"/>
      <c r="KG363"/>
      <c r="KH363"/>
      <c r="KI363"/>
      <c r="KJ363"/>
      <c r="KK363"/>
      <c r="KL363"/>
      <c r="KM363"/>
      <c r="KN363"/>
      <c r="KO363"/>
      <c r="KP363"/>
      <c r="KQ363"/>
      <c r="KR363"/>
      <c r="KS363"/>
      <c r="KT363"/>
      <c r="KU363"/>
      <c r="KV363"/>
      <c r="KW363"/>
      <c r="KX363"/>
      <c r="KY363"/>
      <c r="KZ363"/>
      <c r="LA363"/>
      <c r="LB363"/>
      <c r="LC363"/>
      <c r="LD363"/>
      <c r="LE363"/>
      <c r="LF363"/>
      <c r="LG363"/>
      <c r="LH363"/>
      <c r="LI363"/>
      <c r="LJ363"/>
      <c r="LK363"/>
      <c r="LL363"/>
      <c r="LM363"/>
      <c r="LN363"/>
      <c r="LO363"/>
      <c r="LP363"/>
      <c r="LQ363"/>
      <c r="LR363"/>
      <c r="LS363"/>
      <c r="LT363"/>
      <c r="LU363"/>
      <c r="LV363"/>
      <c r="LW363"/>
      <c r="LX363"/>
      <c r="LY363"/>
      <c r="LZ363"/>
      <c r="MA363"/>
      <c r="MB363"/>
      <c r="MC363"/>
      <c r="MD363"/>
      <c r="ME363"/>
      <c r="MF363"/>
      <c r="MG363"/>
      <c r="MH363"/>
      <c r="MI363"/>
      <c r="MJ363"/>
      <c r="MK363"/>
      <c r="ML363"/>
      <c r="MM363"/>
      <c r="MN363"/>
      <c r="MO363"/>
      <c r="MP363"/>
      <c r="MQ363"/>
      <c r="MR363"/>
      <c r="MS363"/>
      <c r="MT363"/>
      <c r="MU363"/>
      <c r="MV363"/>
      <c r="MW363"/>
      <c r="MX363"/>
      <c r="MY363"/>
      <c r="MZ363"/>
      <c r="NA363"/>
      <c r="NB363"/>
      <c r="NC363"/>
      <c r="ND363"/>
      <c r="NE363"/>
      <c r="NF363"/>
      <c r="NG363"/>
      <c r="NH363"/>
      <c r="NI363"/>
      <c r="NJ363"/>
      <c r="NK363"/>
      <c r="NL363"/>
      <c r="NM363"/>
      <c r="NN363"/>
      <c r="NO363"/>
      <c r="NP363"/>
      <c r="NQ363"/>
      <c r="NR363"/>
      <c r="NS363"/>
      <c r="NT363"/>
      <c r="NU363"/>
      <c r="NV363"/>
      <c r="NW363"/>
      <c r="NX363"/>
      <c r="NY363"/>
      <c r="NZ363"/>
      <c r="OA363"/>
      <c r="OB363"/>
      <c r="OC363"/>
      <c r="OD363"/>
      <c r="OE363"/>
      <c r="OF363"/>
      <c r="OG363"/>
      <c r="OH363"/>
      <c r="OI363"/>
      <c r="OJ363"/>
      <c r="OK363"/>
      <c r="OL363"/>
      <c r="OM363"/>
      <c r="ON363"/>
      <c r="OO363"/>
      <c r="OP363"/>
      <c r="OQ363"/>
      <c r="OR363"/>
      <c r="OS363"/>
      <c r="OT363"/>
      <c r="OU363"/>
      <c r="OV363"/>
      <c r="OW363"/>
      <c r="OX363"/>
      <c r="OY363"/>
      <c r="OZ363"/>
      <c r="PA363"/>
      <c r="PB363"/>
      <c r="PC363"/>
      <c r="PD363"/>
      <c r="PE363"/>
      <c r="PF363"/>
      <c r="PG363"/>
      <c r="PH363"/>
      <c r="PI363"/>
      <c r="PJ363"/>
      <c r="PK363"/>
      <c r="PL363"/>
      <c r="PM363"/>
      <c r="PN363"/>
      <c r="PO363"/>
      <c r="PP363"/>
      <c r="PQ363"/>
      <c r="PR363"/>
      <c r="PS363"/>
      <c r="PT363"/>
      <c r="PU363"/>
      <c r="PV363"/>
      <c r="PW363"/>
      <c r="PX363"/>
      <c r="PY363"/>
      <c r="PZ363"/>
      <c r="QA363"/>
      <c r="QB363"/>
      <c r="QC363"/>
      <c r="QD363"/>
      <c r="QE363"/>
      <c r="QF363"/>
      <c r="QG363"/>
      <c r="QH363"/>
      <c r="QI363"/>
      <c r="QJ363"/>
      <c r="QK363"/>
      <c r="QL363"/>
      <c r="QM363"/>
      <c r="QN363"/>
      <c r="QO363"/>
      <c r="QP363"/>
      <c r="QQ363"/>
      <c r="QR363"/>
      <c r="QS363"/>
      <c r="QT363"/>
      <c r="QU363"/>
      <c r="QV363"/>
      <c r="QW363"/>
      <c r="QX363"/>
      <c r="QY363"/>
      <c r="QZ363"/>
      <c r="RA363"/>
      <c r="RB363"/>
      <c r="RC363"/>
      <c r="RD363"/>
      <c r="RE363"/>
      <c r="RF363"/>
      <c r="RG363"/>
      <c r="RH363"/>
      <c r="RI363"/>
      <c r="RJ363"/>
      <c r="RK363"/>
      <c r="RL363"/>
      <c r="RM363"/>
      <c r="RN363"/>
      <c r="RO363"/>
      <c r="RP363"/>
      <c r="RQ363"/>
      <c r="RR363"/>
      <c r="RS363"/>
      <c r="RT363"/>
      <c r="RU363"/>
    </row>
    <row r="364" spans="3:489" x14ac:dyDescent="0.25">
      <c r="C364"/>
      <c r="D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  <c r="HB364"/>
      <c r="HC364"/>
      <c r="HD364"/>
      <c r="HE364"/>
      <c r="HF364"/>
      <c r="HG364"/>
      <c r="HH364"/>
      <c r="HI364"/>
      <c r="HJ364"/>
      <c r="HK364"/>
      <c r="HL364"/>
      <c r="HM364"/>
      <c r="HN364"/>
      <c r="HO364"/>
      <c r="HP364"/>
      <c r="HQ364"/>
      <c r="HR364"/>
      <c r="HS364"/>
      <c r="HT364"/>
      <c r="HU364"/>
      <c r="HV364"/>
      <c r="HW364"/>
      <c r="HX364"/>
      <c r="HY364"/>
      <c r="HZ364"/>
      <c r="IA364"/>
      <c r="IB364"/>
      <c r="IC364"/>
      <c r="ID364"/>
      <c r="IE364"/>
      <c r="IF364"/>
      <c r="IG364"/>
      <c r="IH364"/>
      <c r="II364"/>
      <c r="IJ364"/>
      <c r="IK364"/>
      <c r="IL364"/>
      <c r="IM364"/>
      <c r="IN364"/>
      <c r="IO364"/>
      <c r="IP364"/>
      <c r="IQ364"/>
      <c r="IR364"/>
      <c r="IS364"/>
      <c r="IT364"/>
      <c r="IU364"/>
      <c r="IV364"/>
      <c r="IW364"/>
      <c r="IX364"/>
      <c r="IY364"/>
      <c r="IZ364"/>
      <c r="JA364"/>
      <c r="JB364"/>
      <c r="JC364"/>
      <c r="JD364"/>
      <c r="JE364"/>
      <c r="JF364"/>
      <c r="JG364"/>
      <c r="JH364"/>
      <c r="JI364"/>
      <c r="JJ364"/>
      <c r="JK364"/>
      <c r="JL364"/>
      <c r="JM364"/>
      <c r="JN364"/>
      <c r="JO364"/>
      <c r="JP364"/>
      <c r="JQ364"/>
      <c r="JR364"/>
      <c r="JS364"/>
      <c r="JT364"/>
      <c r="JU364"/>
      <c r="JV364"/>
      <c r="JW364"/>
      <c r="JX364"/>
      <c r="JY364"/>
      <c r="JZ364"/>
      <c r="KA364"/>
      <c r="KB364"/>
      <c r="KC364"/>
      <c r="KD364"/>
      <c r="KE364"/>
      <c r="KF364"/>
      <c r="KG364"/>
      <c r="KH364"/>
      <c r="KI364"/>
      <c r="KJ364"/>
      <c r="KK364"/>
      <c r="KL364"/>
      <c r="KM364"/>
      <c r="KN364"/>
      <c r="KO364"/>
      <c r="KP364"/>
      <c r="KQ364"/>
      <c r="KR364"/>
      <c r="KS364"/>
      <c r="KT364"/>
      <c r="KU364"/>
      <c r="KV364"/>
      <c r="KW364"/>
      <c r="KX364"/>
      <c r="KY364"/>
      <c r="KZ364"/>
      <c r="LA364"/>
      <c r="LB364"/>
      <c r="LC364"/>
      <c r="LD364"/>
      <c r="LE364"/>
      <c r="LF364"/>
      <c r="LG364"/>
      <c r="LH364"/>
      <c r="LI364"/>
      <c r="LJ364"/>
      <c r="LK364"/>
      <c r="LL364"/>
      <c r="LM364"/>
      <c r="LN364"/>
      <c r="LO364"/>
      <c r="LP364"/>
      <c r="LQ364"/>
      <c r="LR364"/>
      <c r="LS364"/>
      <c r="LT364"/>
      <c r="LU364"/>
      <c r="LV364"/>
      <c r="LW364"/>
      <c r="LX364"/>
      <c r="LY364"/>
      <c r="LZ364"/>
      <c r="MA364"/>
      <c r="MB364"/>
      <c r="MC364"/>
      <c r="MD364"/>
      <c r="ME364"/>
      <c r="MF364"/>
      <c r="MG364"/>
      <c r="MH364"/>
      <c r="MI364"/>
      <c r="MJ364"/>
      <c r="MK364"/>
      <c r="ML364"/>
      <c r="MM364"/>
      <c r="MN364"/>
      <c r="MO364"/>
      <c r="MP364"/>
      <c r="MQ364"/>
      <c r="MR364"/>
      <c r="MS364"/>
      <c r="MT364"/>
      <c r="MU364"/>
      <c r="MV364"/>
      <c r="MW364"/>
      <c r="MX364"/>
      <c r="MY364"/>
      <c r="MZ364"/>
      <c r="NA364"/>
      <c r="NB364"/>
      <c r="NC364"/>
      <c r="ND364"/>
      <c r="NE364"/>
      <c r="NF364"/>
      <c r="NG364"/>
      <c r="NH364"/>
      <c r="NI364"/>
      <c r="NJ364"/>
      <c r="NK364"/>
      <c r="NL364"/>
      <c r="NM364"/>
      <c r="NN364"/>
      <c r="NO364"/>
      <c r="NP364"/>
      <c r="NQ364"/>
      <c r="NR364"/>
      <c r="NS364"/>
      <c r="NT364"/>
      <c r="NU364"/>
      <c r="NV364"/>
      <c r="NW364"/>
      <c r="NX364"/>
      <c r="NY364"/>
      <c r="NZ364"/>
      <c r="OA364"/>
      <c r="OB364"/>
      <c r="OC364"/>
      <c r="OD364"/>
      <c r="OE364"/>
      <c r="OF364"/>
      <c r="OG364"/>
      <c r="OH364"/>
      <c r="OI364"/>
      <c r="OJ364"/>
      <c r="OK364"/>
      <c r="OL364"/>
      <c r="OM364"/>
      <c r="ON364"/>
      <c r="OO364"/>
      <c r="OP364"/>
      <c r="OQ364"/>
      <c r="OR364"/>
      <c r="OS364"/>
      <c r="OT364"/>
      <c r="OU364"/>
      <c r="OV364"/>
      <c r="OW364"/>
      <c r="OX364"/>
      <c r="OY364"/>
      <c r="OZ364"/>
      <c r="PA364"/>
      <c r="PB364"/>
      <c r="PC364"/>
      <c r="PD364"/>
      <c r="PE364"/>
      <c r="PF364"/>
      <c r="PG364"/>
      <c r="PH364"/>
      <c r="PI364"/>
      <c r="PJ364"/>
      <c r="PK364"/>
      <c r="PL364"/>
      <c r="PM364"/>
      <c r="PN364"/>
      <c r="PO364"/>
      <c r="PP364"/>
      <c r="PQ364"/>
      <c r="PR364"/>
      <c r="PS364"/>
      <c r="PT364"/>
      <c r="PU364"/>
      <c r="PV364"/>
      <c r="PW364"/>
      <c r="PX364"/>
      <c r="PY364"/>
      <c r="PZ364"/>
      <c r="QA364"/>
      <c r="QB364"/>
      <c r="QC364"/>
      <c r="QD364"/>
      <c r="QE364"/>
      <c r="QF364"/>
      <c r="QG364"/>
      <c r="QH364"/>
      <c r="QI364"/>
      <c r="QJ364"/>
      <c r="QK364"/>
      <c r="QL364"/>
      <c r="QM364"/>
      <c r="QN364"/>
      <c r="QO364"/>
      <c r="QP364"/>
      <c r="QQ364"/>
      <c r="QR364"/>
      <c r="QS364"/>
      <c r="QT364"/>
      <c r="QU364"/>
      <c r="QV364"/>
      <c r="QW364"/>
      <c r="QX364"/>
      <c r="QY364"/>
      <c r="QZ364"/>
      <c r="RA364"/>
      <c r="RB364"/>
      <c r="RC364"/>
      <c r="RD364"/>
      <c r="RE364"/>
      <c r="RF364"/>
      <c r="RG364"/>
      <c r="RH364"/>
      <c r="RI364"/>
      <c r="RJ364"/>
      <c r="RK364"/>
      <c r="RL364"/>
      <c r="RM364"/>
      <c r="RN364"/>
      <c r="RO364"/>
      <c r="RP364"/>
      <c r="RQ364"/>
      <c r="RR364"/>
      <c r="RS364"/>
      <c r="RT364"/>
      <c r="RU364"/>
    </row>
    <row r="365" spans="3:489" x14ac:dyDescent="0.25">
      <c r="C365"/>
      <c r="D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  <c r="HB365"/>
      <c r="HC365"/>
      <c r="HD365"/>
      <c r="HE365"/>
      <c r="HF365"/>
      <c r="HG365"/>
      <c r="HH365"/>
      <c r="HI365"/>
      <c r="HJ365"/>
      <c r="HK365"/>
      <c r="HL365"/>
      <c r="HM365"/>
      <c r="HN365"/>
      <c r="HO365"/>
      <c r="HP365"/>
      <c r="HQ365"/>
      <c r="HR365"/>
      <c r="HS365"/>
      <c r="HT365"/>
      <c r="HU365"/>
      <c r="HV365"/>
      <c r="HW365"/>
      <c r="HX365"/>
      <c r="HY365"/>
      <c r="HZ365"/>
      <c r="IA365"/>
      <c r="IB365"/>
      <c r="IC365"/>
      <c r="ID365"/>
      <c r="IE365"/>
      <c r="IF365"/>
      <c r="IG365"/>
      <c r="IH365"/>
      <c r="II365"/>
      <c r="IJ365"/>
      <c r="IK365"/>
      <c r="IL365"/>
      <c r="IM365"/>
      <c r="IN365"/>
      <c r="IO365"/>
      <c r="IP365"/>
      <c r="IQ365"/>
      <c r="IR365"/>
      <c r="IS365"/>
      <c r="IT365"/>
      <c r="IU365"/>
      <c r="IV365"/>
      <c r="IW365"/>
      <c r="IX365"/>
      <c r="IY365"/>
      <c r="IZ365"/>
      <c r="JA365"/>
      <c r="JB365"/>
      <c r="JC365"/>
      <c r="JD365"/>
      <c r="JE365"/>
      <c r="JF365"/>
      <c r="JG365"/>
      <c r="JH365"/>
      <c r="JI365"/>
      <c r="JJ365"/>
      <c r="JK365"/>
      <c r="JL365"/>
      <c r="JM365"/>
      <c r="JN365"/>
      <c r="JO365"/>
      <c r="JP365"/>
      <c r="JQ365"/>
      <c r="JR365"/>
      <c r="JS365"/>
      <c r="JT365"/>
      <c r="JU365"/>
      <c r="JV365"/>
      <c r="JW365"/>
      <c r="JX365"/>
      <c r="JY365"/>
      <c r="JZ365"/>
      <c r="KA365"/>
      <c r="KB365"/>
      <c r="KC365"/>
      <c r="KD365"/>
      <c r="KE365"/>
      <c r="KF365"/>
      <c r="KG365"/>
      <c r="KH365"/>
      <c r="KI365"/>
      <c r="KJ365"/>
      <c r="KK365"/>
      <c r="KL365"/>
      <c r="KM365"/>
      <c r="KN365"/>
      <c r="KO365"/>
      <c r="KP365"/>
      <c r="KQ365"/>
      <c r="KR365"/>
      <c r="KS365"/>
      <c r="KT365"/>
      <c r="KU365"/>
      <c r="KV365"/>
      <c r="KW365"/>
      <c r="KX365"/>
      <c r="KY365"/>
      <c r="KZ365"/>
      <c r="LA365"/>
      <c r="LB365"/>
      <c r="LC365"/>
      <c r="LD365"/>
      <c r="LE365"/>
      <c r="LF365"/>
      <c r="LG365"/>
      <c r="LH365"/>
      <c r="LI365"/>
      <c r="LJ365"/>
      <c r="LK365"/>
      <c r="LL365"/>
      <c r="LM365"/>
      <c r="LN365"/>
      <c r="LO365"/>
      <c r="LP365"/>
      <c r="LQ365"/>
      <c r="LR365"/>
      <c r="LS365"/>
      <c r="LT365"/>
      <c r="LU365"/>
      <c r="LV365"/>
      <c r="LW365"/>
      <c r="LX365"/>
      <c r="LY365"/>
      <c r="LZ365"/>
      <c r="MA365"/>
      <c r="MB365"/>
      <c r="MC365"/>
      <c r="MD365"/>
      <c r="ME365"/>
      <c r="MF365"/>
      <c r="MG365"/>
      <c r="MH365"/>
      <c r="MI365"/>
      <c r="MJ365"/>
      <c r="MK365"/>
      <c r="ML365"/>
      <c r="MM365"/>
      <c r="MN365"/>
      <c r="MO365"/>
      <c r="MP365"/>
      <c r="MQ365"/>
      <c r="MR365"/>
      <c r="MS365"/>
      <c r="MT365"/>
      <c r="MU365"/>
      <c r="MV365"/>
      <c r="MW365"/>
      <c r="MX365"/>
      <c r="MY365"/>
      <c r="MZ365"/>
      <c r="NA365"/>
      <c r="NB365"/>
      <c r="NC365"/>
      <c r="ND365"/>
      <c r="NE365"/>
      <c r="NF365"/>
      <c r="NG365"/>
      <c r="NH365"/>
      <c r="NI365"/>
      <c r="NJ365"/>
      <c r="NK365"/>
      <c r="NL365"/>
      <c r="NM365"/>
      <c r="NN365"/>
      <c r="NO365"/>
      <c r="NP365"/>
      <c r="NQ365"/>
      <c r="NR365"/>
      <c r="NS365"/>
      <c r="NT365"/>
      <c r="NU365"/>
      <c r="NV365"/>
      <c r="NW365"/>
      <c r="NX365"/>
      <c r="NY365"/>
      <c r="NZ365"/>
      <c r="OA365"/>
      <c r="OB365"/>
      <c r="OC365"/>
      <c r="OD365"/>
      <c r="OE365"/>
      <c r="OF365"/>
      <c r="OG365"/>
      <c r="OH365"/>
      <c r="OI365"/>
      <c r="OJ365"/>
      <c r="OK365"/>
      <c r="OL365"/>
      <c r="OM365"/>
      <c r="ON365"/>
      <c r="OO365"/>
      <c r="OP365"/>
      <c r="OQ365"/>
      <c r="OR365"/>
      <c r="OS365"/>
      <c r="OT365"/>
      <c r="OU365"/>
      <c r="OV365"/>
      <c r="OW365"/>
      <c r="OX365"/>
      <c r="OY365"/>
      <c r="OZ365"/>
      <c r="PA365"/>
      <c r="PB365"/>
      <c r="PC365"/>
      <c r="PD365"/>
      <c r="PE365"/>
      <c r="PF365"/>
      <c r="PG365"/>
      <c r="PH365"/>
      <c r="PI365"/>
      <c r="PJ365"/>
      <c r="PK365"/>
      <c r="PL365"/>
      <c r="PM365"/>
      <c r="PN365"/>
      <c r="PO365"/>
      <c r="PP365"/>
      <c r="PQ365"/>
      <c r="PR365"/>
      <c r="PS365"/>
      <c r="PT365"/>
      <c r="PU365"/>
      <c r="PV365"/>
      <c r="PW365"/>
      <c r="PX365"/>
      <c r="PY365"/>
      <c r="PZ365"/>
      <c r="QA365"/>
      <c r="QB365"/>
      <c r="QC365"/>
      <c r="QD365"/>
      <c r="QE365"/>
      <c r="QF365"/>
      <c r="QG365"/>
      <c r="QH365"/>
      <c r="QI365"/>
      <c r="QJ365"/>
      <c r="QK365"/>
      <c r="QL365"/>
      <c r="QM365"/>
      <c r="QN365"/>
      <c r="QO365"/>
      <c r="QP365"/>
      <c r="QQ365"/>
      <c r="QR365"/>
      <c r="QS365"/>
      <c r="QT365"/>
      <c r="QU365"/>
      <c r="QV365"/>
      <c r="QW365"/>
      <c r="QX365"/>
      <c r="QY365"/>
      <c r="QZ365"/>
      <c r="RA365"/>
      <c r="RB365"/>
      <c r="RC365"/>
      <c r="RD365"/>
      <c r="RE365"/>
      <c r="RF365"/>
      <c r="RG365"/>
      <c r="RH365"/>
      <c r="RI365"/>
      <c r="RJ365"/>
      <c r="RK365"/>
      <c r="RL365"/>
      <c r="RM365"/>
      <c r="RN365"/>
      <c r="RO365"/>
      <c r="RP365"/>
      <c r="RQ365"/>
      <c r="RR365"/>
      <c r="RS365"/>
      <c r="RT365"/>
      <c r="RU365"/>
    </row>
    <row r="366" spans="3:489" x14ac:dyDescent="0.25">
      <c r="C366"/>
      <c r="D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  <c r="HB366"/>
      <c r="HC366"/>
      <c r="HD366"/>
      <c r="HE366"/>
      <c r="HF366"/>
      <c r="HG366"/>
      <c r="HH366"/>
      <c r="HI366"/>
      <c r="HJ366"/>
      <c r="HK366"/>
      <c r="HL366"/>
      <c r="HM366"/>
      <c r="HN366"/>
      <c r="HO366"/>
      <c r="HP366"/>
      <c r="HQ366"/>
      <c r="HR366"/>
      <c r="HS366"/>
      <c r="HT366"/>
      <c r="HU366"/>
      <c r="HV366"/>
      <c r="HW366"/>
      <c r="HX366"/>
      <c r="HY366"/>
      <c r="HZ366"/>
      <c r="IA366"/>
      <c r="IB366"/>
      <c r="IC366"/>
      <c r="ID366"/>
      <c r="IE366"/>
      <c r="IF366"/>
      <c r="IG366"/>
      <c r="IH366"/>
      <c r="II366"/>
      <c r="IJ366"/>
      <c r="IK366"/>
      <c r="IL366"/>
      <c r="IM366"/>
      <c r="IN366"/>
      <c r="IO366"/>
      <c r="IP366"/>
      <c r="IQ366"/>
      <c r="IR366"/>
      <c r="IS366"/>
      <c r="IT366"/>
      <c r="IU366"/>
      <c r="IV366"/>
      <c r="IW366"/>
      <c r="IX366"/>
      <c r="IY366"/>
      <c r="IZ366"/>
      <c r="JA366"/>
      <c r="JB366"/>
      <c r="JC366"/>
      <c r="JD366"/>
      <c r="JE366"/>
      <c r="JF366"/>
      <c r="JG366"/>
      <c r="JH366"/>
      <c r="JI366"/>
      <c r="JJ366"/>
      <c r="JK366"/>
      <c r="JL366"/>
      <c r="JM366"/>
      <c r="JN366"/>
      <c r="JO366"/>
      <c r="JP366"/>
      <c r="JQ366"/>
      <c r="JR366"/>
      <c r="JS366"/>
      <c r="JT366"/>
      <c r="JU366"/>
      <c r="JV366"/>
      <c r="JW366"/>
      <c r="JX366"/>
      <c r="JY366"/>
      <c r="JZ366"/>
      <c r="KA366"/>
      <c r="KB366"/>
      <c r="KC366"/>
      <c r="KD366"/>
      <c r="KE366"/>
      <c r="KF366"/>
      <c r="KG366"/>
      <c r="KH366"/>
      <c r="KI366"/>
      <c r="KJ366"/>
      <c r="KK366"/>
      <c r="KL366"/>
      <c r="KM366"/>
      <c r="KN366"/>
      <c r="KO366"/>
      <c r="KP366"/>
      <c r="KQ366"/>
      <c r="KR366"/>
      <c r="KS366"/>
      <c r="KT366"/>
      <c r="KU366"/>
      <c r="KV366"/>
      <c r="KW366"/>
      <c r="KX366"/>
      <c r="KY366"/>
      <c r="KZ366"/>
      <c r="LA366"/>
      <c r="LB366"/>
      <c r="LC366"/>
      <c r="LD366"/>
      <c r="LE366"/>
      <c r="LF366"/>
      <c r="LG366"/>
      <c r="LH366"/>
      <c r="LI366"/>
      <c r="LJ366"/>
      <c r="LK366"/>
      <c r="LL366"/>
      <c r="LM366"/>
      <c r="LN366"/>
      <c r="LO366"/>
      <c r="LP366"/>
      <c r="LQ366"/>
      <c r="LR366"/>
      <c r="LS366"/>
      <c r="LT366"/>
      <c r="LU366"/>
      <c r="LV366"/>
      <c r="LW366"/>
      <c r="LX366"/>
      <c r="LY366"/>
      <c r="LZ366"/>
      <c r="MA366"/>
      <c r="MB366"/>
      <c r="MC366"/>
      <c r="MD366"/>
      <c r="ME366"/>
      <c r="MF366"/>
      <c r="MG366"/>
      <c r="MH366"/>
      <c r="MI366"/>
      <c r="MJ366"/>
      <c r="MK366"/>
      <c r="ML366"/>
      <c r="MM366"/>
      <c r="MN366"/>
      <c r="MO366"/>
      <c r="MP366"/>
      <c r="MQ366"/>
      <c r="MR366"/>
      <c r="MS366"/>
      <c r="MT366"/>
      <c r="MU366"/>
      <c r="MV366"/>
      <c r="MW366"/>
      <c r="MX366"/>
      <c r="MY366"/>
      <c r="MZ366"/>
      <c r="NA366"/>
      <c r="NB366"/>
      <c r="NC366"/>
      <c r="ND366"/>
      <c r="NE366"/>
      <c r="NF366"/>
      <c r="NG366"/>
      <c r="NH366"/>
      <c r="NI366"/>
      <c r="NJ366"/>
      <c r="NK366"/>
      <c r="NL366"/>
      <c r="NM366"/>
      <c r="NN366"/>
      <c r="NO366"/>
      <c r="NP366"/>
      <c r="NQ366"/>
      <c r="NR366"/>
      <c r="NS366"/>
      <c r="NT366"/>
      <c r="NU366"/>
      <c r="NV366"/>
      <c r="NW366"/>
      <c r="NX366"/>
      <c r="NY366"/>
      <c r="NZ366"/>
      <c r="OA366"/>
      <c r="OB366"/>
      <c r="OC366"/>
      <c r="OD366"/>
      <c r="OE366"/>
      <c r="OF366"/>
      <c r="OG366"/>
      <c r="OH366"/>
      <c r="OI366"/>
      <c r="OJ366"/>
      <c r="OK366"/>
      <c r="OL366"/>
      <c r="OM366"/>
      <c r="ON366"/>
      <c r="OO366"/>
      <c r="OP366"/>
      <c r="OQ366"/>
      <c r="OR366"/>
      <c r="OS366"/>
      <c r="OT366"/>
      <c r="OU366"/>
      <c r="OV366"/>
      <c r="OW366"/>
      <c r="OX366"/>
      <c r="OY366"/>
      <c r="OZ366"/>
      <c r="PA366"/>
      <c r="PB366"/>
      <c r="PC366"/>
      <c r="PD366"/>
      <c r="PE366"/>
      <c r="PF366"/>
      <c r="PG366"/>
      <c r="PH366"/>
      <c r="PI366"/>
      <c r="PJ366"/>
      <c r="PK366"/>
      <c r="PL366"/>
      <c r="PM366"/>
      <c r="PN366"/>
      <c r="PO366"/>
      <c r="PP366"/>
      <c r="PQ366"/>
      <c r="PR366"/>
      <c r="PS366"/>
      <c r="PT366"/>
      <c r="PU366"/>
      <c r="PV366"/>
      <c r="PW366"/>
      <c r="PX366"/>
      <c r="PY366"/>
      <c r="PZ366"/>
      <c r="QA366"/>
      <c r="QB366"/>
      <c r="QC366"/>
      <c r="QD366"/>
      <c r="QE366"/>
      <c r="QF366"/>
      <c r="QG366"/>
      <c r="QH366"/>
      <c r="QI366"/>
      <c r="QJ366"/>
      <c r="QK366"/>
      <c r="QL366"/>
      <c r="QM366"/>
      <c r="QN366"/>
      <c r="QO366"/>
      <c r="QP366"/>
      <c r="QQ366"/>
      <c r="QR366"/>
      <c r="QS366"/>
      <c r="QT366"/>
      <c r="QU366"/>
      <c r="QV366"/>
      <c r="QW366"/>
      <c r="QX366"/>
      <c r="QY366"/>
      <c r="QZ366"/>
      <c r="RA366"/>
      <c r="RB366"/>
      <c r="RC366"/>
      <c r="RD366"/>
      <c r="RE366"/>
      <c r="RF366"/>
      <c r="RG366"/>
      <c r="RH366"/>
      <c r="RI366"/>
      <c r="RJ366"/>
      <c r="RK366"/>
      <c r="RL366"/>
      <c r="RM366"/>
      <c r="RN366"/>
      <c r="RO366"/>
      <c r="RP366"/>
      <c r="RQ366"/>
      <c r="RR366"/>
      <c r="RS366"/>
      <c r="RT366"/>
      <c r="RU366"/>
    </row>
    <row r="367" spans="3:489" x14ac:dyDescent="0.25">
      <c r="C367"/>
      <c r="D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  <c r="HB367"/>
      <c r="HC367"/>
      <c r="HD367"/>
      <c r="HE367"/>
      <c r="HF367"/>
      <c r="HG367"/>
      <c r="HH367"/>
      <c r="HI367"/>
      <c r="HJ367"/>
      <c r="HK367"/>
      <c r="HL367"/>
      <c r="HM367"/>
      <c r="HN367"/>
      <c r="HO367"/>
      <c r="HP367"/>
      <c r="HQ367"/>
      <c r="HR367"/>
      <c r="HS367"/>
      <c r="HT367"/>
      <c r="HU367"/>
      <c r="HV367"/>
      <c r="HW367"/>
      <c r="HX367"/>
      <c r="HY367"/>
      <c r="HZ367"/>
      <c r="IA367"/>
      <c r="IB367"/>
      <c r="IC367"/>
      <c r="ID367"/>
      <c r="IE367"/>
      <c r="IF367"/>
      <c r="IG367"/>
      <c r="IH367"/>
      <c r="II367"/>
      <c r="IJ367"/>
      <c r="IK367"/>
      <c r="IL367"/>
      <c r="IM367"/>
      <c r="IN367"/>
      <c r="IO367"/>
      <c r="IP367"/>
      <c r="IQ367"/>
      <c r="IR367"/>
      <c r="IS367"/>
      <c r="IT367"/>
      <c r="IU367"/>
      <c r="IV367"/>
      <c r="IW367"/>
      <c r="IX367"/>
      <c r="IY367"/>
      <c r="IZ367"/>
      <c r="JA367"/>
      <c r="JB367"/>
      <c r="JC367"/>
      <c r="JD367"/>
      <c r="JE367"/>
      <c r="JF367"/>
      <c r="JG367"/>
      <c r="JH367"/>
      <c r="JI367"/>
      <c r="JJ367"/>
      <c r="JK367"/>
      <c r="JL367"/>
      <c r="JM367"/>
      <c r="JN367"/>
      <c r="JO367"/>
      <c r="JP367"/>
      <c r="JQ367"/>
      <c r="JR367"/>
      <c r="JS367"/>
      <c r="JT367"/>
      <c r="JU367"/>
      <c r="JV367"/>
      <c r="JW367"/>
      <c r="JX367"/>
      <c r="JY367"/>
      <c r="JZ367"/>
      <c r="KA367"/>
      <c r="KB367"/>
      <c r="KC367"/>
      <c r="KD367"/>
      <c r="KE367"/>
      <c r="KF367"/>
      <c r="KG367"/>
      <c r="KH367"/>
      <c r="KI367"/>
      <c r="KJ367"/>
      <c r="KK367"/>
      <c r="KL367"/>
      <c r="KM367"/>
      <c r="KN367"/>
      <c r="KO367"/>
      <c r="KP367"/>
      <c r="KQ367"/>
      <c r="KR367"/>
      <c r="KS367"/>
      <c r="KT367"/>
      <c r="KU367"/>
      <c r="KV367"/>
      <c r="KW367"/>
      <c r="KX367"/>
      <c r="KY367"/>
      <c r="KZ367"/>
      <c r="LA367"/>
      <c r="LB367"/>
      <c r="LC367"/>
      <c r="LD367"/>
      <c r="LE367"/>
      <c r="LF367"/>
      <c r="LG367"/>
      <c r="LH367"/>
      <c r="LI367"/>
      <c r="LJ367"/>
      <c r="LK367"/>
      <c r="LL367"/>
      <c r="LM367"/>
      <c r="LN367"/>
      <c r="LO367"/>
      <c r="LP367"/>
      <c r="LQ367"/>
      <c r="LR367"/>
      <c r="LS367"/>
      <c r="LT367"/>
      <c r="LU367"/>
      <c r="LV367"/>
      <c r="LW367"/>
      <c r="LX367"/>
      <c r="LY367"/>
      <c r="LZ367"/>
      <c r="MA367"/>
      <c r="MB367"/>
      <c r="MC367"/>
      <c r="MD367"/>
      <c r="ME367"/>
      <c r="MF367"/>
      <c r="MG367"/>
      <c r="MH367"/>
      <c r="MI367"/>
      <c r="MJ367"/>
      <c r="MK367"/>
      <c r="ML367"/>
      <c r="MM367"/>
      <c r="MN367"/>
      <c r="MO367"/>
      <c r="MP367"/>
      <c r="MQ367"/>
      <c r="MR367"/>
      <c r="MS367"/>
      <c r="MT367"/>
      <c r="MU367"/>
      <c r="MV367"/>
      <c r="MW367"/>
      <c r="MX367"/>
      <c r="MY367"/>
      <c r="MZ367"/>
      <c r="NA367"/>
      <c r="NB367"/>
      <c r="NC367"/>
      <c r="ND367"/>
      <c r="NE367"/>
      <c r="NF367"/>
      <c r="NG367"/>
      <c r="NH367"/>
      <c r="NI367"/>
      <c r="NJ367"/>
      <c r="NK367"/>
      <c r="NL367"/>
      <c r="NM367"/>
      <c r="NN367"/>
      <c r="NO367"/>
      <c r="NP367"/>
      <c r="NQ367"/>
      <c r="NR367"/>
      <c r="NS367"/>
      <c r="NT367"/>
      <c r="NU367"/>
      <c r="NV367"/>
      <c r="NW367"/>
      <c r="NX367"/>
      <c r="NY367"/>
      <c r="NZ367"/>
      <c r="OA367"/>
      <c r="OB367"/>
      <c r="OC367"/>
      <c r="OD367"/>
      <c r="OE367"/>
      <c r="OF367"/>
      <c r="OG367"/>
      <c r="OH367"/>
      <c r="OI367"/>
      <c r="OJ367"/>
      <c r="OK367"/>
      <c r="OL367"/>
      <c r="OM367"/>
      <c r="ON367"/>
      <c r="OO367"/>
      <c r="OP367"/>
      <c r="OQ367"/>
      <c r="OR367"/>
      <c r="OS367"/>
      <c r="OT367"/>
      <c r="OU367"/>
      <c r="OV367"/>
      <c r="OW367"/>
      <c r="OX367"/>
      <c r="OY367"/>
      <c r="OZ367"/>
      <c r="PA367"/>
      <c r="PB367"/>
      <c r="PC367"/>
      <c r="PD367"/>
      <c r="PE367"/>
      <c r="PF367"/>
      <c r="PG367"/>
      <c r="PH367"/>
      <c r="PI367"/>
      <c r="PJ367"/>
      <c r="PK367"/>
      <c r="PL367"/>
      <c r="PM367"/>
      <c r="PN367"/>
      <c r="PO367"/>
      <c r="PP367"/>
      <c r="PQ367"/>
      <c r="PR367"/>
      <c r="PS367"/>
      <c r="PT367"/>
      <c r="PU367"/>
      <c r="PV367"/>
      <c r="PW367"/>
      <c r="PX367"/>
      <c r="PY367"/>
      <c r="PZ367"/>
      <c r="QA367"/>
      <c r="QB367"/>
      <c r="QC367"/>
      <c r="QD367"/>
      <c r="QE367"/>
      <c r="QF367"/>
      <c r="QG367"/>
      <c r="QH367"/>
      <c r="QI367"/>
      <c r="QJ367"/>
      <c r="QK367"/>
      <c r="QL367"/>
      <c r="QM367"/>
      <c r="QN367"/>
      <c r="QO367"/>
      <c r="QP367"/>
      <c r="QQ367"/>
      <c r="QR367"/>
      <c r="QS367"/>
      <c r="QT367"/>
      <c r="QU367"/>
      <c r="QV367"/>
      <c r="QW367"/>
      <c r="QX367"/>
      <c r="QY367"/>
      <c r="QZ367"/>
      <c r="RA367"/>
      <c r="RB367"/>
      <c r="RC367"/>
      <c r="RD367"/>
      <c r="RE367"/>
      <c r="RF367"/>
      <c r="RG367"/>
      <c r="RH367"/>
      <c r="RI367"/>
      <c r="RJ367"/>
      <c r="RK367"/>
      <c r="RL367"/>
      <c r="RM367"/>
      <c r="RN367"/>
      <c r="RO367"/>
      <c r="RP367"/>
      <c r="RQ367"/>
      <c r="RR367"/>
      <c r="RS367"/>
      <c r="RT367"/>
      <c r="RU367"/>
    </row>
    <row r="368" spans="3:489" x14ac:dyDescent="0.25">
      <c r="C368"/>
      <c r="D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  <c r="HB368"/>
      <c r="HC368"/>
      <c r="HD368"/>
      <c r="HE368"/>
      <c r="HF368"/>
      <c r="HG368"/>
      <c r="HH368"/>
      <c r="HI368"/>
      <c r="HJ368"/>
      <c r="HK368"/>
      <c r="HL368"/>
      <c r="HM368"/>
      <c r="HN368"/>
      <c r="HO368"/>
      <c r="HP368"/>
      <c r="HQ368"/>
      <c r="HR368"/>
      <c r="HS368"/>
      <c r="HT368"/>
      <c r="HU368"/>
      <c r="HV368"/>
      <c r="HW368"/>
      <c r="HX368"/>
      <c r="HY368"/>
      <c r="HZ368"/>
      <c r="IA368"/>
      <c r="IB368"/>
      <c r="IC368"/>
      <c r="ID368"/>
      <c r="IE368"/>
      <c r="IF368"/>
      <c r="IG368"/>
      <c r="IH368"/>
      <c r="II368"/>
      <c r="IJ368"/>
      <c r="IK368"/>
      <c r="IL368"/>
      <c r="IM368"/>
      <c r="IN368"/>
      <c r="IO368"/>
      <c r="IP368"/>
      <c r="IQ368"/>
      <c r="IR368"/>
      <c r="IS368"/>
      <c r="IT368"/>
      <c r="IU368"/>
      <c r="IV368"/>
      <c r="IW368"/>
      <c r="IX368"/>
      <c r="IY368"/>
      <c r="IZ368"/>
      <c r="JA368"/>
      <c r="JB368"/>
      <c r="JC368"/>
      <c r="JD368"/>
      <c r="JE368"/>
      <c r="JF368"/>
      <c r="JG368"/>
      <c r="JH368"/>
      <c r="JI368"/>
      <c r="JJ368"/>
      <c r="JK368"/>
      <c r="JL368"/>
      <c r="JM368"/>
      <c r="JN368"/>
      <c r="JO368"/>
      <c r="JP368"/>
      <c r="JQ368"/>
      <c r="JR368"/>
      <c r="JS368"/>
      <c r="JT368"/>
      <c r="JU368"/>
      <c r="JV368"/>
      <c r="JW368"/>
      <c r="JX368"/>
      <c r="JY368"/>
      <c r="JZ368"/>
      <c r="KA368"/>
      <c r="KB368"/>
      <c r="KC368"/>
      <c r="KD368"/>
      <c r="KE368"/>
      <c r="KF368"/>
      <c r="KG368"/>
      <c r="KH368"/>
      <c r="KI368"/>
      <c r="KJ368"/>
      <c r="KK368"/>
      <c r="KL368"/>
      <c r="KM368"/>
      <c r="KN368"/>
      <c r="KO368"/>
      <c r="KP368"/>
      <c r="KQ368"/>
      <c r="KR368"/>
      <c r="KS368"/>
      <c r="KT368"/>
      <c r="KU368"/>
      <c r="KV368"/>
      <c r="KW368"/>
      <c r="KX368"/>
      <c r="KY368"/>
      <c r="KZ368"/>
      <c r="LA368"/>
      <c r="LB368"/>
      <c r="LC368"/>
      <c r="LD368"/>
      <c r="LE368"/>
      <c r="LF368"/>
      <c r="LG368"/>
      <c r="LH368"/>
      <c r="LI368"/>
      <c r="LJ368"/>
      <c r="LK368"/>
      <c r="LL368"/>
      <c r="LM368"/>
      <c r="LN368"/>
      <c r="LO368"/>
      <c r="LP368"/>
      <c r="LQ368"/>
      <c r="LR368"/>
      <c r="LS368"/>
      <c r="LT368"/>
      <c r="LU368"/>
      <c r="LV368"/>
      <c r="LW368"/>
      <c r="LX368"/>
      <c r="LY368"/>
      <c r="LZ368"/>
      <c r="MA368"/>
      <c r="MB368"/>
      <c r="MC368"/>
      <c r="MD368"/>
      <c r="ME368"/>
      <c r="MF368"/>
      <c r="MG368"/>
      <c r="MH368"/>
      <c r="MI368"/>
      <c r="MJ368"/>
      <c r="MK368"/>
      <c r="ML368"/>
      <c r="MM368"/>
      <c r="MN368"/>
      <c r="MO368"/>
      <c r="MP368"/>
      <c r="MQ368"/>
      <c r="MR368"/>
      <c r="MS368"/>
      <c r="MT368"/>
      <c r="MU368"/>
      <c r="MV368"/>
      <c r="MW368"/>
      <c r="MX368"/>
      <c r="MY368"/>
      <c r="MZ368"/>
      <c r="NA368"/>
      <c r="NB368"/>
      <c r="NC368"/>
      <c r="ND368"/>
      <c r="NE368"/>
      <c r="NF368"/>
      <c r="NG368"/>
      <c r="NH368"/>
      <c r="NI368"/>
      <c r="NJ368"/>
      <c r="NK368"/>
      <c r="NL368"/>
      <c r="NM368"/>
      <c r="NN368"/>
      <c r="NO368"/>
      <c r="NP368"/>
      <c r="NQ368"/>
      <c r="NR368"/>
      <c r="NS368"/>
      <c r="NT368"/>
      <c r="NU368"/>
      <c r="NV368"/>
      <c r="NW368"/>
      <c r="NX368"/>
      <c r="NY368"/>
      <c r="NZ368"/>
      <c r="OA368"/>
      <c r="OB368"/>
      <c r="OC368"/>
      <c r="OD368"/>
      <c r="OE368"/>
      <c r="OF368"/>
      <c r="OG368"/>
      <c r="OH368"/>
      <c r="OI368"/>
      <c r="OJ368"/>
      <c r="OK368"/>
      <c r="OL368"/>
      <c r="OM368"/>
      <c r="ON368"/>
      <c r="OO368"/>
      <c r="OP368"/>
      <c r="OQ368"/>
      <c r="OR368"/>
      <c r="OS368"/>
      <c r="OT368"/>
      <c r="OU368"/>
      <c r="OV368"/>
      <c r="OW368"/>
      <c r="OX368"/>
      <c r="OY368"/>
      <c r="OZ368"/>
      <c r="PA368"/>
      <c r="PB368"/>
      <c r="PC368"/>
      <c r="PD368"/>
      <c r="PE368"/>
      <c r="PF368"/>
      <c r="PG368"/>
      <c r="PH368"/>
      <c r="PI368"/>
      <c r="PJ368"/>
      <c r="PK368"/>
      <c r="PL368"/>
      <c r="PM368"/>
      <c r="PN368"/>
      <c r="PO368"/>
      <c r="PP368"/>
      <c r="PQ368"/>
      <c r="PR368"/>
      <c r="PS368"/>
      <c r="PT368"/>
      <c r="PU368"/>
      <c r="PV368"/>
      <c r="PW368"/>
      <c r="PX368"/>
      <c r="PY368"/>
      <c r="PZ368"/>
      <c r="QA368"/>
      <c r="QB368"/>
      <c r="QC368"/>
      <c r="QD368"/>
      <c r="QE368"/>
      <c r="QF368"/>
      <c r="QG368"/>
      <c r="QH368"/>
      <c r="QI368"/>
      <c r="QJ368"/>
      <c r="QK368"/>
      <c r="QL368"/>
      <c r="QM368"/>
      <c r="QN368"/>
      <c r="QO368"/>
      <c r="QP368"/>
      <c r="QQ368"/>
      <c r="QR368"/>
      <c r="QS368"/>
      <c r="QT368"/>
      <c r="QU368"/>
      <c r="QV368"/>
      <c r="QW368"/>
      <c r="QX368"/>
      <c r="QY368"/>
      <c r="QZ368"/>
      <c r="RA368"/>
      <c r="RB368"/>
      <c r="RC368"/>
      <c r="RD368"/>
      <c r="RE368"/>
      <c r="RF368"/>
      <c r="RG368"/>
      <c r="RH368"/>
      <c r="RI368"/>
      <c r="RJ368"/>
      <c r="RK368"/>
      <c r="RL368"/>
      <c r="RM368"/>
      <c r="RN368"/>
      <c r="RO368"/>
      <c r="RP368"/>
      <c r="RQ368"/>
      <c r="RR368"/>
      <c r="RS368"/>
      <c r="RT368"/>
      <c r="RU368"/>
    </row>
    <row r="369" spans="3:489" x14ac:dyDescent="0.25">
      <c r="C369"/>
      <c r="D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  <c r="HB369"/>
      <c r="HC369"/>
      <c r="HD369"/>
      <c r="HE369"/>
      <c r="HF369"/>
      <c r="HG369"/>
      <c r="HH369"/>
      <c r="HI369"/>
      <c r="HJ369"/>
      <c r="HK369"/>
      <c r="HL369"/>
      <c r="HM369"/>
      <c r="HN369"/>
      <c r="HO369"/>
      <c r="HP369"/>
      <c r="HQ369"/>
      <c r="HR369"/>
      <c r="HS369"/>
      <c r="HT369"/>
      <c r="HU369"/>
      <c r="HV369"/>
      <c r="HW369"/>
      <c r="HX369"/>
      <c r="HY369"/>
      <c r="HZ369"/>
      <c r="IA369"/>
      <c r="IB369"/>
      <c r="IC369"/>
      <c r="ID369"/>
      <c r="IE369"/>
      <c r="IF369"/>
      <c r="IG369"/>
      <c r="IH369"/>
      <c r="II369"/>
      <c r="IJ369"/>
      <c r="IK369"/>
      <c r="IL369"/>
      <c r="IM369"/>
      <c r="IN369"/>
      <c r="IO369"/>
      <c r="IP369"/>
      <c r="IQ369"/>
      <c r="IR369"/>
      <c r="IS369"/>
      <c r="IT369"/>
      <c r="IU369"/>
      <c r="IV369"/>
      <c r="IW369"/>
      <c r="IX369"/>
      <c r="IY369"/>
      <c r="IZ369"/>
      <c r="JA369"/>
      <c r="JB369"/>
      <c r="JC369"/>
      <c r="JD369"/>
      <c r="JE369"/>
      <c r="JF369"/>
      <c r="JG369"/>
      <c r="JH369"/>
      <c r="JI369"/>
      <c r="JJ369"/>
      <c r="JK369"/>
      <c r="JL369"/>
      <c r="JM369"/>
      <c r="JN369"/>
      <c r="JO369"/>
      <c r="JP369"/>
      <c r="JQ369"/>
      <c r="JR369"/>
      <c r="JS369"/>
      <c r="JT369"/>
      <c r="JU369"/>
      <c r="JV369"/>
      <c r="JW369"/>
      <c r="JX369"/>
      <c r="JY369"/>
      <c r="JZ369"/>
      <c r="KA369"/>
      <c r="KB369"/>
      <c r="KC369"/>
      <c r="KD369"/>
      <c r="KE369"/>
      <c r="KF369"/>
      <c r="KG369"/>
      <c r="KH369"/>
      <c r="KI369"/>
      <c r="KJ369"/>
      <c r="KK369"/>
      <c r="KL369"/>
      <c r="KM369"/>
      <c r="KN369"/>
      <c r="KO369"/>
      <c r="KP369"/>
      <c r="KQ369"/>
      <c r="KR369"/>
      <c r="KS369"/>
      <c r="KT369"/>
      <c r="KU369"/>
      <c r="KV369"/>
      <c r="KW369"/>
      <c r="KX369"/>
      <c r="KY369"/>
      <c r="KZ369"/>
      <c r="LA369"/>
      <c r="LB369"/>
      <c r="LC369"/>
      <c r="LD369"/>
      <c r="LE369"/>
      <c r="LF369"/>
      <c r="LG369"/>
      <c r="LH369"/>
      <c r="LI369"/>
      <c r="LJ369"/>
      <c r="LK369"/>
      <c r="LL369"/>
      <c r="LM369"/>
      <c r="LN369"/>
      <c r="LO369"/>
      <c r="LP369"/>
      <c r="LQ369"/>
      <c r="LR369"/>
      <c r="LS369"/>
      <c r="LT369"/>
      <c r="LU369"/>
      <c r="LV369"/>
      <c r="LW369"/>
      <c r="LX369"/>
      <c r="LY369"/>
      <c r="LZ369"/>
      <c r="MA369"/>
      <c r="MB369"/>
      <c r="MC369"/>
      <c r="MD369"/>
      <c r="ME369"/>
      <c r="MF369"/>
      <c r="MG369"/>
      <c r="MH369"/>
      <c r="MI369"/>
      <c r="MJ369"/>
      <c r="MK369"/>
      <c r="ML369"/>
      <c r="MM369"/>
      <c r="MN369"/>
      <c r="MO369"/>
      <c r="MP369"/>
      <c r="MQ369"/>
      <c r="MR369"/>
      <c r="MS369"/>
      <c r="MT369"/>
      <c r="MU369"/>
      <c r="MV369"/>
      <c r="MW369"/>
      <c r="MX369"/>
      <c r="MY369"/>
      <c r="MZ369"/>
      <c r="NA369"/>
      <c r="NB369"/>
      <c r="NC369"/>
      <c r="ND369"/>
      <c r="NE369"/>
      <c r="NF369"/>
      <c r="NG369"/>
      <c r="NH369"/>
      <c r="NI369"/>
      <c r="NJ369"/>
      <c r="NK369"/>
      <c r="NL369"/>
      <c r="NM369"/>
      <c r="NN369"/>
      <c r="NO369"/>
      <c r="NP369"/>
      <c r="NQ369"/>
      <c r="NR369"/>
      <c r="NS369"/>
      <c r="NT369"/>
      <c r="NU369"/>
      <c r="NV369"/>
      <c r="NW369"/>
      <c r="NX369"/>
      <c r="NY369"/>
      <c r="NZ369"/>
      <c r="OA369"/>
      <c r="OB369"/>
      <c r="OC369"/>
      <c r="OD369"/>
      <c r="OE369"/>
      <c r="OF369"/>
      <c r="OG369"/>
      <c r="OH369"/>
      <c r="OI369"/>
      <c r="OJ369"/>
      <c r="OK369"/>
      <c r="OL369"/>
      <c r="OM369"/>
      <c r="ON369"/>
      <c r="OO369"/>
      <c r="OP369"/>
      <c r="OQ369"/>
      <c r="OR369"/>
      <c r="OS369"/>
      <c r="OT369"/>
      <c r="OU369"/>
      <c r="OV369"/>
      <c r="OW369"/>
      <c r="OX369"/>
      <c r="OY369"/>
      <c r="OZ369"/>
      <c r="PA369"/>
      <c r="PB369"/>
      <c r="PC369"/>
      <c r="PD369"/>
      <c r="PE369"/>
      <c r="PF369"/>
      <c r="PG369"/>
      <c r="PH369"/>
      <c r="PI369"/>
      <c r="PJ369"/>
      <c r="PK369"/>
      <c r="PL369"/>
      <c r="PM369"/>
      <c r="PN369"/>
      <c r="PO369"/>
      <c r="PP369"/>
      <c r="PQ369"/>
      <c r="PR369"/>
      <c r="PS369"/>
      <c r="PT369"/>
      <c r="PU369"/>
      <c r="PV369"/>
      <c r="PW369"/>
      <c r="PX369"/>
      <c r="PY369"/>
      <c r="PZ369"/>
      <c r="QA369"/>
      <c r="QB369"/>
      <c r="QC369"/>
      <c r="QD369"/>
      <c r="QE369"/>
      <c r="QF369"/>
      <c r="QG369"/>
      <c r="QH369"/>
      <c r="QI369"/>
      <c r="QJ369"/>
      <c r="QK369"/>
      <c r="QL369"/>
      <c r="QM369"/>
      <c r="QN369"/>
      <c r="QO369"/>
      <c r="QP369"/>
      <c r="QQ369"/>
      <c r="QR369"/>
      <c r="QS369"/>
      <c r="QT369"/>
      <c r="QU369"/>
      <c r="QV369"/>
      <c r="QW369"/>
      <c r="QX369"/>
      <c r="QY369"/>
      <c r="QZ369"/>
      <c r="RA369"/>
      <c r="RB369"/>
      <c r="RC369"/>
      <c r="RD369"/>
      <c r="RE369"/>
      <c r="RF369"/>
      <c r="RG369"/>
      <c r="RH369"/>
      <c r="RI369"/>
      <c r="RJ369"/>
      <c r="RK369"/>
      <c r="RL369"/>
      <c r="RM369"/>
      <c r="RN369"/>
      <c r="RO369"/>
      <c r="RP369"/>
      <c r="RQ369"/>
      <c r="RR369"/>
      <c r="RS369"/>
      <c r="RT369"/>
      <c r="RU369"/>
    </row>
    <row r="370" spans="3:489" x14ac:dyDescent="0.25">
      <c r="C370"/>
      <c r="D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  <c r="HB370"/>
      <c r="HC370"/>
      <c r="HD370"/>
      <c r="HE370"/>
      <c r="HF370"/>
      <c r="HG370"/>
      <c r="HH370"/>
      <c r="HI370"/>
      <c r="HJ370"/>
      <c r="HK370"/>
      <c r="HL370"/>
      <c r="HM370"/>
      <c r="HN370"/>
      <c r="HO370"/>
      <c r="HP370"/>
      <c r="HQ370"/>
      <c r="HR370"/>
      <c r="HS370"/>
      <c r="HT370"/>
      <c r="HU370"/>
      <c r="HV370"/>
      <c r="HW370"/>
      <c r="HX370"/>
      <c r="HY370"/>
      <c r="HZ370"/>
      <c r="IA370"/>
      <c r="IB370"/>
      <c r="IC370"/>
      <c r="ID370"/>
      <c r="IE370"/>
      <c r="IF370"/>
      <c r="IG370"/>
      <c r="IH370"/>
      <c r="II370"/>
      <c r="IJ370"/>
      <c r="IK370"/>
      <c r="IL370"/>
      <c r="IM370"/>
      <c r="IN370"/>
      <c r="IO370"/>
      <c r="IP370"/>
      <c r="IQ370"/>
      <c r="IR370"/>
      <c r="IS370"/>
      <c r="IT370"/>
      <c r="IU370"/>
      <c r="IV370"/>
      <c r="IW370"/>
      <c r="IX370"/>
      <c r="IY370"/>
      <c r="IZ370"/>
      <c r="JA370"/>
      <c r="JB370"/>
      <c r="JC370"/>
      <c r="JD370"/>
      <c r="JE370"/>
      <c r="JF370"/>
      <c r="JG370"/>
      <c r="JH370"/>
      <c r="JI370"/>
      <c r="JJ370"/>
      <c r="JK370"/>
      <c r="JL370"/>
      <c r="JM370"/>
      <c r="JN370"/>
      <c r="JO370"/>
      <c r="JP370"/>
      <c r="JQ370"/>
      <c r="JR370"/>
      <c r="JS370"/>
      <c r="JT370"/>
      <c r="JU370"/>
      <c r="JV370"/>
      <c r="JW370"/>
      <c r="JX370"/>
      <c r="JY370"/>
      <c r="JZ370"/>
      <c r="KA370"/>
      <c r="KB370"/>
      <c r="KC370"/>
      <c r="KD370"/>
      <c r="KE370"/>
      <c r="KF370"/>
      <c r="KG370"/>
      <c r="KH370"/>
      <c r="KI370"/>
      <c r="KJ370"/>
      <c r="KK370"/>
      <c r="KL370"/>
      <c r="KM370"/>
      <c r="KN370"/>
      <c r="KO370"/>
      <c r="KP370"/>
      <c r="KQ370"/>
      <c r="KR370"/>
      <c r="KS370"/>
      <c r="KT370"/>
      <c r="KU370"/>
      <c r="KV370"/>
      <c r="KW370"/>
      <c r="KX370"/>
      <c r="KY370"/>
      <c r="KZ370"/>
      <c r="LA370"/>
      <c r="LB370"/>
      <c r="LC370"/>
      <c r="LD370"/>
      <c r="LE370"/>
      <c r="LF370"/>
      <c r="LG370"/>
      <c r="LH370"/>
      <c r="LI370"/>
      <c r="LJ370"/>
      <c r="LK370"/>
      <c r="LL370"/>
      <c r="LM370"/>
      <c r="LN370"/>
      <c r="LO370"/>
      <c r="LP370"/>
      <c r="LQ370"/>
      <c r="LR370"/>
      <c r="LS370"/>
      <c r="LT370"/>
      <c r="LU370"/>
      <c r="LV370"/>
      <c r="LW370"/>
      <c r="LX370"/>
      <c r="LY370"/>
      <c r="LZ370"/>
      <c r="MA370"/>
      <c r="MB370"/>
      <c r="MC370"/>
      <c r="MD370"/>
      <c r="ME370"/>
      <c r="MF370"/>
      <c r="MG370"/>
      <c r="MH370"/>
      <c r="MI370"/>
      <c r="MJ370"/>
      <c r="MK370"/>
      <c r="ML370"/>
      <c r="MM370"/>
      <c r="MN370"/>
      <c r="MO370"/>
      <c r="MP370"/>
      <c r="MQ370"/>
      <c r="MR370"/>
      <c r="MS370"/>
      <c r="MT370"/>
      <c r="MU370"/>
      <c r="MV370"/>
      <c r="MW370"/>
      <c r="MX370"/>
      <c r="MY370"/>
      <c r="MZ370"/>
      <c r="NA370"/>
      <c r="NB370"/>
      <c r="NC370"/>
      <c r="ND370"/>
      <c r="NE370"/>
      <c r="NF370"/>
      <c r="NG370"/>
      <c r="NH370"/>
      <c r="NI370"/>
      <c r="NJ370"/>
      <c r="NK370"/>
      <c r="NL370"/>
      <c r="NM370"/>
      <c r="NN370"/>
      <c r="NO370"/>
      <c r="NP370"/>
      <c r="NQ370"/>
      <c r="NR370"/>
      <c r="NS370"/>
      <c r="NT370"/>
      <c r="NU370"/>
      <c r="NV370"/>
      <c r="NW370"/>
      <c r="NX370"/>
      <c r="NY370"/>
      <c r="NZ370"/>
      <c r="OA370"/>
      <c r="OB370"/>
      <c r="OC370"/>
      <c r="OD370"/>
      <c r="OE370"/>
      <c r="OF370"/>
      <c r="OG370"/>
      <c r="OH370"/>
      <c r="OI370"/>
      <c r="OJ370"/>
      <c r="OK370"/>
      <c r="OL370"/>
      <c r="OM370"/>
      <c r="ON370"/>
      <c r="OO370"/>
      <c r="OP370"/>
      <c r="OQ370"/>
      <c r="OR370"/>
      <c r="OS370"/>
      <c r="OT370"/>
      <c r="OU370"/>
      <c r="OV370"/>
      <c r="OW370"/>
      <c r="OX370"/>
      <c r="OY370"/>
      <c r="OZ370"/>
      <c r="PA370"/>
      <c r="PB370"/>
      <c r="PC370"/>
      <c r="PD370"/>
      <c r="PE370"/>
      <c r="PF370"/>
      <c r="PG370"/>
      <c r="PH370"/>
      <c r="PI370"/>
      <c r="PJ370"/>
      <c r="PK370"/>
      <c r="PL370"/>
      <c r="PM370"/>
      <c r="PN370"/>
      <c r="PO370"/>
      <c r="PP370"/>
      <c r="PQ370"/>
      <c r="PR370"/>
      <c r="PS370"/>
      <c r="PT370"/>
      <c r="PU370"/>
      <c r="PV370"/>
      <c r="PW370"/>
      <c r="PX370"/>
      <c r="PY370"/>
      <c r="PZ370"/>
      <c r="QA370"/>
      <c r="QB370"/>
      <c r="QC370"/>
      <c r="QD370"/>
      <c r="QE370"/>
      <c r="QF370"/>
      <c r="QG370"/>
      <c r="QH370"/>
      <c r="QI370"/>
      <c r="QJ370"/>
      <c r="QK370"/>
      <c r="QL370"/>
      <c r="QM370"/>
      <c r="QN370"/>
      <c r="QO370"/>
      <c r="QP370"/>
      <c r="QQ370"/>
      <c r="QR370"/>
      <c r="QS370"/>
      <c r="QT370"/>
      <c r="QU370"/>
      <c r="QV370"/>
      <c r="QW370"/>
      <c r="QX370"/>
      <c r="QY370"/>
      <c r="QZ370"/>
      <c r="RA370"/>
      <c r="RB370"/>
      <c r="RC370"/>
      <c r="RD370"/>
      <c r="RE370"/>
      <c r="RF370"/>
      <c r="RG370"/>
      <c r="RH370"/>
      <c r="RI370"/>
      <c r="RJ370"/>
      <c r="RK370"/>
      <c r="RL370"/>
      <c r="RM370"/>
      <c r="RN370"/>
      <c r="RO370"/>
      <c r="RP370"/>
      <c r="RQ370"/>
      <c r="RR370"/>
      <c r="RS370"/>
      <c r="RT370"/>
      <c r="RU370"/>
    </row>
    <row r="371" spans="3:489" x14ac:dyDescent="0.25">
      <c r="C371"/>
      <c r="D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  <c r="HB371"/>
      <c r="HC371"/>
      <c r="HD371"/>
      <c r="HE371"/>
      <c r="HF371"/>
      <c r="HG371"/>
      <c r="HH371"/>
      <c r="HI371"/>
      <c r="HJ371"/>
      <c r="HK371"/>
      <c r="HL371"/>
      <c r="HM371"/>
      <c r="HN371"/>
      <c r="HO371"/>
      <c r="HP371"/>
      <c r="HQ371"/>
      <c r="HR371"/>
      <c r="HS371"/>
      <c r="HT371"/>
      <c r="HU371"/>
      <c r="HV371"/>
      <c r="HW371"/>
      <c r="HX371"/>
      <c r="HY371"/>
      <c r="HZ371"/>
      <c r="IA371"/>
      <c r="IB371"/>
      <c r="IC371"/>
      <c r="ID371"/>
      <c r="IE371"/>
      <c r="IF371"/>
      <c r="IG371"/>
      <c r="IH371"/>
      <c r="II371"/>
      <c r="IJ371"/>
      <c r="IK371"/>
      <c r="IL371"/>
      <c r="IM371"/>
      <c r="IN371"/>
      <c r="IO371"/>
      <c r="IP371"/>
      <c r="IQ371"/>
      <c r="IR371"/>
      <c r="IS371"/>
      <c r="IT371"/>
      <c r="IU371"/>
      <c r="IV371"/>
      <c r="IW371"/>
      <c r="IX371"/>
      <c r="IY371"/>
      <c r="IZ371"/>
      <c r="JA371"/>
      <c r="JB371"/>
      <c r="JC371"/>
      <c r="JD371"/>
      <c r="JE371"/>
      <c r="JF371"/>
      <c r="JG371"/>
      <c r="JH371"/>
      <c r="JI371"/>
      <c r="JJ371"/>
      <c r="JK371"/>
      <c r="JL371"/>
      <c r="JM371"/>
      <c r="JN371"/>
      <c r="JO371"/>
      <c r="JP371"/>
      <c r="JQ371"/>
      <c r="JR371"/>
      <c r="JS371"/>
      <c r="JT371"/>
      <c r="JU371"/>
      <c r="JV371"/>
      <c r="JW371"/>
      <c r="JX371"/>
      <c r="JY371"/>
      <c r="JZ371"/>
      <c r="KA371"/>
      <c r="KB371"/>
      <c r="KC371"/>
      <c r="KD371"/>
      <c r="KE371"/>
      <c r="KF371"/>
      <c r="KG371"/>
      <c r="KH371"/>
      <c r="KI371"/>
      <c r="KJ371"/>
      <c r="KK371"/>
      <c r="KL371"/>
      <c r="KM371"/>
      <c r="KN371"/>
      <c r="KO371"/>
      <c r="KP371"/>
      <c r="KQ371"/>
      <c r="KR371"/>
      <c r="KS371"/>
      <c r="KT371"/>
      <c r="KU371"/>
      <c r="KV371"/>
      <c r="KW371"/>
      <c r="KX371"/>
      <c r="KY371"/>
      <c r="KZ371"/>
      <c r="LA371"/>
      <c r="LB371"/>
      <c r="LC371"/>
      <c r="LD371"/>
      <c r="LE371"/>
      <c r="LF371"/>
      <c r="LG371"/>
      <c r="LH371"/>
      <c r="LI371"/>
      <c r="LJ371"/>
      <c r="LK371"/>
      <c r="LL371"/>
      <c r="LM371"/>
      <c r="LN371"/>
      <c r="LO371"/>
      <c r="LP371"/>
      <c r="LQ371"/>
      <c r="LR371"/>
      <c r="LS371"/>
      <c r="LT371"/>
      <c r="LU371"/>
      <c r="LV371"/>
      <c r="LW371"/>
      <c r="LX371"/>
      <c r="LY371"/>
      <c r="LZ371"/>
      <c r="MA371"/>
      <c r="MB371"/>
      <c r="MC371"/>
      <c r="MD371"/>
      <c r="ME371"/>
      <c r="MF371"/>
      <c r="MG371"/>
      <c r="MH371"/>
      <c r="MI371"/>
      <c r="MJ371"/>
      <c r="MK371"/>
      <c r="ML371"/>
      <c r="MM371"/>
      <c r="MN371"/>
      <c r="MO371"/>
      <c r="MP371"/>
      <c r="MQ371"/>
      <c r="MR371"/>
      <c r="MS371"/>
      <c r="MT371"/>
      <c r="MU371"/>
      <c r="MV371"/>
      <c r="MW371"/>
      <c r="MX371"/>
      <c r="MY371"/>
      <c r="MZ371"/>
      <c r="NA371"/>
      <c r="NB371"/>
      <c r="NC371"/>
      <c r="ND371"/>
      <c r="NE371"/>
      <c r="NF371"/>
      <c r="NG371"/>
      <c r="NH371"/>
      <c r="NI371"/>
      <c r="NJ371"/>
      <c r="NK371"/>
      <c r="NL371"/>
      <c r="NM371"/>
      <c r="NN371"/>
      <c r="NO371"/>
      <c r="NP371"/>
      <c r="NQ371"/>
      <c r="NR371"/>
      <c r="NS371"/>
      <c r="NT371"/>
      <c r="NU371"/>
      <c r="NV371"/>
      <c r="NW371"/>
      <c r="NX371"/>
      <c r="NY371"/>
      <c r="NZ371"/>
      <c r="OA371"/>
      <c r="OB371"/>
      <c r="OC371"/>
      <c r="OD371"/>
      <c r="OE371"/>
      <c r="OF371"/>
      <c r="OG371"/>
      <c r="OH371"/>
      <c r="OI371"/>
      <c r="OJ371"/>
      <c r="OK371"/>
      <c r="OL371"/>
      <c r="OM371"/>
      <c r="ON371"/>
      <c r="OO371"/>
      <c r="OP371"/>
      <c r="OQ371"/>
      <c r="OR371"/>
      <c r="OS371"/>
      <c r="OT371"/>
      <c r="OU371"/>
      <c r="OV371"/>
      <c r="OW371"/>
      <c r="OX371"/>
      <c r="OY371"/>
      <c r="OZ371"/>
      <c r="PA371"/>
      <c r="PB371"/>
      <c r="PC371"/>
      <c r="PD371"/>
      <c r="PE371"/>
      <c r="PF371"/>
      <c r="PG371"/>
      <c r="PH371"/>
      <c r="PI371"/>
      <c r="PJ371"/>
      <c r="PK371"/>
      <c r="PL371"/>
      <c r="PM371"/>
      <c r="PN371"/>
      <c r="PO371"/>
      <c r="PP371"/>
      <c r="PQ371"/>
      <c r="PR371"/>
      <c r="PS371"/>
      <c r="PT371"/>
      <c r="PU371"/>
      <c r="PV371"/>
      <c r="PW371"/>
      <c r="PX371"/>
      <c r="PY371"/>
      <c r="PZ371"/>
      <c r="QA371"/>
      <c r="QB371"/>
      <c r="QC371"/>
      <c r="QD371"/>
      <c r="QE371"/>
      <c r="QF371"/>
      <c r="QG371"/>
      <c r="QH371"/>
      <c r="QI371"/>
      <c r="QJ371"/>
      <c r="QK371"/>
      <c r="QL371"/>
      <c r="QM371"/>
      <c r="QN371"/>
      <c r="QO371"/>
      <c r="QP371"/>
      <c r="QQ371"/>
      <c r="QR371"/>
      <c r="QS371"/>
      <c r="QT371"/>
      <c r="QU371"/>
      <c r="QV371"/>
      <c r="QW371"/>
      <c r="QX371"/>
      <c r="QY371"/>
      <c r="QZ371"/>
      <c r="RA371"/>
      <c r="RB371"/>
      <c r="RC371"/>
      <c r="RD371"/>
      <c r="RE371"/>
      <c r="RF371"/>
      <c r="RG371"/>
      <c r="RH371"/>
      <c r="RI371"/>
      <c r="RJ371"/>
      <c r="RK371"/>
      <c r="RL371"/>
      <c r="RM371"/>
      <c r="RN371"/>
      <c r="RO371"/>
      <c r="RP371"/>
      <c r="RQ371"/>
      <c r="RR371"/>
      <c r="RS371"/>
      <c r="RT371"/>
      <c r="RU371"/>
    </row>
    <row r="372" spans="3:489" x14ac:dyDescent="0.25">
      <c r="C372"/>
      <c r="D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  <c r="HB372"/>
      <c r="HC372"/>
      <c r="HD372"/>
      <c r="HE372"/>
      <c r="HF372"/>
      <c r="HG372"/>
      <c r="HH372"/>
      <c r="HI372"/>
      <c r="HJ372"/>
      <c r="HK372"/>
      <c r="HL372"/>
      <c r="HM372"/>
      <c r="HN372"/>
      <c r="HO372"/>
      <c r="HP372"/>
      <c r="HQ372"/>
      <c r="HR372"/>
      <c r="HS372"/>
      <c r="HT372"/>
      <c r="HU372"/>
      <c r="HV372"/>
      <c r="HW372"/>
      <c r="HX372"/>
      <c r="HY372"/>
      <c r="HZ372"/>
      <c r="IA372"/>
      <c r="IB372"/>
      <c r="IC372"/>
      <c r="ID372"/>
      <c r="IE372"/>
      <c r="IF372"/>
      <c r="IG372"/>
      <c r="IH372"/>
      <c r="II372"/>
      <c r="IJ372"/>
      <c r="IK372"/>
      <c r="IL372"/>
      <c r="IM372"/>
      <c r="IN372"/>
      <c r="IO372"/>
      <c r="IP372"/>
      <c r="IQ372"/>
      <c r="IR372"/>
      <c r="IS372"/>
      <c r="IT372"/>
      <c r="IU372"/>
      <c r="IV372"/>
      <c r="IW372"/>
      <c r="IX372"/>
      <c r="IY372"/>
      <c r="IZ372"/>
      <c r="JA372"/>
      <c r="JB372"/>
      <c r="JC372"/>
      <c r="JD372"/>
      <c r="JE372"/>
      <c r="JF372"/>
      <c r="JG372"/>
      <c r="JH372"/>
      <c r="JI372"/>
      <c r="JJ372"/>
      <c r="JK372"/>
      <c r="JL372"/>
      <c r="JM372"/>
      <c r="JN372"/>
      <c r="JO372"/>
      <c r="JP372"/>
      <c r="JQ372"/>
      <c r="JR372"/>
      <c r="JS372"/>
      <c r="JT372"/>
      <c r="JU372"/>
      <c r="JV372"/>
      <c r="JW372"/>
      <c r="JX372"/>
      <c r="JY372"/>
      <c r="JZ372"/>
      <c r="KA372"/>
      <c r="KB372"/>
      <c r="KC372"/>
      <c r="KD372"/>
      <c r="KE372"/>
      <c r="KF372"/>
      <c r="KG372"/>
      <c r="KH372"/>
      <c r="KI372"/>
      <c r="KJ372"/>
      <c r="KK372"/>
      <c r="KL372"/>
      <c r="KM372"/>
      <c r="KN372"/>
      <c r="KO372"/>
      <c r="KP372"/>
      <c r="KQ372"/>
      <c r="KR372"/>
      <c r="KS372"/>
      <c r="KT372"/>
      <c r="KU372"/>
      <c r="KV372"/>
      <c r="KW372"/>
      <c r="KX372"/>
      <c r="KY372"/>
      <c r="KZ372"/>
      <c r="LA372"/>
      <c r="LB372"/>
      <c r="LC372"/>
      <c r="LD372"/>
      <c r="LE372"/>
      <c r="LF372"/>
      <c r="LG372"/>
      <c r="LH372"/>
      <c r="LI372"/>
      <c r="LJ372"/>
      <c r="LK372"/>
      <c r="LL372"/>
      <c r="LM372"/>
      <c r="LN372"/>
      <c r="LO372"/>
      <c r="LP372"/>
      <c r="LQ372"/>
      <c r="LR372"/>
      <c r="LS372"/>
      <c r="LT372"/>
      <c r="LU372"/>
      <c r="LV372"/>
      <c r="LW372"/>
      <c r="LX372"/>
      <c r="LY372"/>
      <c r="LZ372"/>
      <c r="MA372"/>
      <c r="MB372"/>
      <c r="MC372"/>
      <c r="MD372"/>
      <c r="ME372"/>
      <c r="MF372"/>
      <c r="MG372"/>
      <c r="MH372"/>
      <c r="MI372"/>
      <c r="MJ372"/>
      <c r="MK372"/>
      <c r="ML372"/>
      <c r="MM372"/>
      <c r="MN372"/>
      <c r="MO372"/>
      <c r="MP372"/>
      <c r="MQ372"/>
      <c r="MR372"/>
      <c r="MS372"/>
      <c r="MT372"/>
      <c r="MU372"/>
      <c r="MV372"/>
      <c r="MW372"/>
      <c r="MX372"/>
      <c r="MY372"/>
      <c r="MZ372"/>
      <c r="NA372"/>
      <c r="NB372"/>
      <c r="NC372"/>
      <c r="ND372"/>
      <c r="NE372"/>
      <c r="NF372"/>
      <c r="NG372"/>
      <c r="NH372"/>
      <c r="NI372"/>
      <c r="NJ372"/>
      <c r="NK372"/>
      <c r="NL372"/>
      <c r="NM372"/>
      <c r="NN372"/>
      <c r="NO372"/>
      <c r="NP372"/>
      <c r="NQ372"/>
      <c r="NR372"/>
      <c r="NS372"/>
      <c r="NT372"/>
      <c r="NU372"/>
      <c r="NV372"/>
      <c r="NW372"/>
      <c r="NX372"/>
      <c r="NY372"/>
      <c r="NZ372"/>
      <c r="OA372"/>
      <c r="OB372"/>
      <c r="OC372"/>
      <c r="OD372"/>
      <c r="OE372"/>
      <c r="OF372"/>
      <c r="OG372"/>
      <c r="OH372"/>
      <c r="OI372"/>
      <c r="OJ372"/>
      <c r="OK372"/>
      <c r="OL372"/>
      <c r="OM372"/>
      <c r="ON372"/>
      <c r="OO372"/>
      <c r="OP372"/>
      <c r="OQ372"/>
      <c r="OR372"/>
      <c r="OS372"/>
      <c r="OT372"/>
      <c r="OU372"/>
      <c r="OV372"/>
      <c r="OW372"/>
      <c r="OX372"/>
      <c r="OY372"/>
      <c r="OZ372"/>
      <c r="PA372"/>
      <c r="PB372"/>
      <c r="PC372"/>
      <c r="PD372"/>
      <c r="PE372"/>
      <c r="PF372"/>
      <c r="PG372"/>
      <c r="PH372"/>
      <c r="PI372"/>
      <c r="PJ372"/>
      <c r="PK372"/>
      <c r="PL372"/>
      <c r="PM372"/>
      <c r="PN372"/>
      <c r="PO372"/>
      <c r="PP372"/>
      <c r="PQ372"/>
      <c r="PR372"/>
      <c r="PS372"/>
      <c r="PT372"/>
      <c r="PU372"/>
      <c r="PV372"/>
      <c r="PW372"/>
      <c r="PX372"/>
      <c r="PY372"/>
      <c r="PZ372"/>
      <c r="QA372"/>
      <c r="QB372"/>
      <c r="QC372"/>
      <c r="QD372"/>
      <c r="QE372"/>
      <c r="QF372"/>
      <c r="QG372"/>
      <c r="QH372"/>
      <c r="QI372"/>
      <c r="QJ372"/>
      <c r="QK372"/>
      <c r="QL372"/>
      <c r="QM372"/>
      <c r="QN372"/>
      <c r="QO372"/>
      <c r="QP372"/>
      <c r="QQ372"/>
      <c r="QR372"/>
      <c r="QS372"/>
      <c r="QT372"/>
      <c r="QU372"/>
      <c r="QV372"/>
      <c r="QW372"/>
      <c r="QX372"/>
      <c r="QY372"/>
      <c r="QZ372"/>
      <c r="RA372"/>
      <c r="RB372"/>
      <c r="RC372"/>
      <c r="RD372"/>
      <c r="RE372"/>
      <c r="RF372"/>
      <c r="RG372"/>
      <c r="RH372"/>
      <c r="RI372"/>
      <c r="RJ372"/>
      <c r="RK372"/>
      <c r="RL372"/>
      <c r="RM372"/>
      <c r="RN372"/>
      <c r="RO372"/>
      <c r="RP372"/>
      <c r="RQ372"/>
      <c r="RR372"/>
      <c r="RS372"/>
      <c r="RT372"/>
      <c r="RU372"/>
    </row>
    <row r="373" spans="3:489" x14ac:dyDescent="0.25">
      <c r="C373"/>
      <c r="D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  <c r="HB373"/>
      <c r="HC373"/>
      <c r="HD373"/>
      <c r="HE373"/>
      <c r="HF373"/>
      <c r="HG373"/>
      <c r="HH373"/>
      <c r="HI373"/>
      <c r="HJ373"/>
      <c r="HK373"/>
      <c r="HL373"/>
      <c r="HM373"/>
      <c r="HN373"/>
      <c r="HO373"/>
      <c r="HP373"/>
      <c r="HQ373"/>
      <c r="HR373"/>
      <c r="HS373"/>
      <c r="HT373"/>
      <c r="HU373"/>
      <c r="HV373"/>
      <c r="HW373"/>
      <c r="HX373"/>
      <c r="HY373"/>
      <c r="HZ373"/>
      <c r="IA373"/>
      <c r="IB373"/>
      <c r="IC373"/>
      <c r="ID373"/>
      <c r="IE373"/>
      <c r="IF373"/>
      <c r="IG373"/>
      <c r="IH373"/>
      <c r="II373"/>
      <c r="IJ373"/>
      <c r="IK373"/>
      <c r="IL373"/>
      <c r="IM373"/>
      <c r="IN373"/>
      <c r="IO373"/>
      <c r="IP373"/>
      <c r="IQ373"/>
      <c r="IR373"/>
      <c r="IS373"/>
      <c r="IT373"/>
      <c r="IU373"/>
      <c r="IV373"/>
      <c r="IW373"/>
      <c r="IX373"/>
      <c r="IY373"/>
      <c r="IZ373"/>
      <c r="JA373"/>
      <c r="JB373"/>
      <c r="JC373"/>
      <c r="JD373"/>
      <c r="JE373"/>
      <c r="JF373"/>
      <c r="JG373"/>
      <c r="JH373"/>
      <c r="JI373"/>
      <c r="JJ373"/>
      <c r="JK373"/>
      <c r="JL373"/>
      <c r="JM373"/>
      <c r="JN373"/>
      <c r="JO373"/>
      <c r="JP373"/>
      <c r="JQ373"/>
      <c r="JR373"/>
      <c r="JS373"/>
      <c r="JT373"/>
      <c r="JU373"/>
      <c r="JV373"/>
      <c r="JW373"/>
      <c r="JX373"/>
      <c r="JY373"/>
      <c r="JZ373"/>
      <c r="KA373"/>
      <c r="KB373"/>
      <c r="KC373"/>
      <c r="KD373"/>
      <c r="KE373"/>
      <c r="KF373"/>
      <c r="KG373"/>
      <c r="KH373"/>
      <c r="KI373"/>
      <c r="KJ373"/>
      <c r="KK373"/>
      <c r="KL373"/>
      <c r="KM373"/>
      <c r="KN373"/>
      <c r="KO373"/>
      <c r="KP373"/>
      <c r="KQ373"/>
      <c r="KR373"/>
      <c r="KS373"/>
      <c r="KT373"/>
      <c r="KU373"/>
      <c r="KV373"/>
      <c r="KW373"/>
      <c r="KX373"/>
      <c r="KY373"/>
      <c r="KZ373"/>
      <c r="LA373"/>
      <c r="LB373"/>
      <c r="LC373"/>
      <c r="LD373"/>
      <c r="LE373"/>
      <c r="LF373"/>
      <c r="LG373"/>
      <c r="LH373"/>
      <c r="LI373"/>
      <c r="LJ373"/>
      <c r="LK373"/>
      <c r="LL373"/>
      <c r="LM373"/>
      <c r="LN373"/>
      <c r="LO373"/>
      <c r="LP373"/>
      <c r="LQ373"/>
      <c r="LR373"/>
      <c r="LS373"/>
      <c r="LT373"/>
      <c r="LU373"/>
      <c r="LV373"/>
      <c r="LW373"/>
      <c r="LX373"/>
      <c r="LY373"/>
      <c r="LZ373"/>
      <c r="MA373"/>
      <c r="MB373"/>
      <c r="MC373"/>
      <c r="MD373"/>
      <c r="ME373"/>
      <c r="MF373"/>
      <c r="MG373"/>
      <c r="MH373"/>
      <c r="MI373"/>
      <c r="MJ373"/>
      <c r="MK373"/>
      <c r="ML373"/>
      <c r="MM373"/>
      <c r="MN373"/>
      <c r="MO373"/>
      <c r="MP373"/>
      <c r="MQ373"/>
      <c r="MR373"/>
      <c r="MS373"/>
      <c r="MT373"/>
      <c r="MU373"/>
      <c r="MV373"/>
      <c r="MW373"/>
      <c r="MX373"/>
      <c r="MY373"/>
      <c r="MZ373"/>
      <c r="NA373"/>
      <c r="NB373"/>
      <c r="NC373"/>
      <c r="ND373"/>
      <c r="NE373"/>
      <c r="NF373"/>
      <c r="NG373"/>
      <c r="NH373"/>
      <c r="NI373"/>
      <c r="NJ373"/>
      <c r="NK373"/>
      <c r="NL373"/>
      <c r="NM373"/>
      <c r="NN373"/>
      <c r="NO373"/>
      <c r="NP373"/>
      <c r="NQ373"/>
      <c r="NR373"/>
      <c r="NS373"/>
      <c r="NT373"/>
      <c r="NU373"/>
      <c r="NV373"/>
      <c r="NW373"/>
      <c r="NX373"/>
      <c r="NY373"/>
      <c r="NZ373"/>
      <c r="OA373"/>
      <c r="OB373"/>
      <c r="OC373"/>
      <c r="OD373"/>
      <c r="OE373"/>
      <c r="OF373"/>
      <c r="OG373"/>
      <c r="OH373"/>
      <c r="OI373"/>
      <c r="OJ373"/>
      <c r="OK373"/>
      <c r="OL373"/>
      <c r="OM373"/>
      <c r="ON373"/>
      <c r="OO373"/>
      <c r="OP373"/>
      <c r="OQ373"/>
      <c r="OR373"/>
      <c r="OS373"/>
      <c r="OT373"/>
      <c r="OU373"/>
      <c r="OV373"/>
      <c r="OW373"/>
      <c r="OX373"/>
      <c r="OY373"/>
      <c r="OZ373"/>
      <c r="PA373"/>
      <c r="PB373"/>
      <c r="PC373"/>
      <c r="PD373"/>
      <c r="PE373"/>
      <c r="PF373"/>
      <c r="PG373"/>
      <c r="PH373"/>
      <c r="PI373"/>
      <c r="PJ373"/>
      <c r="PK373"/>
      <c r="PL373"/>
      <c r="PM373"/>
      <c r="PN373"/>
      <c r="PO373"/>
      <c r="PP373"/>
      <c r="PQ373"/>
      <c r="PR373"/>
      <c r="PS373"/>
      <c r="PT373"/>
      <c r="PU373"/>
      <c r="PV373"/>
      <c r="PW373"/>
      <c r="PX373"/>
      <c r="PY373"/>
      <c r="PZ373"/>
      <c r="QA373"/>
      <c r="QB373"/>
      <c r="QC373"/>
      <c r="QD373"/>
      <c r="QE373"/>
      <c r="QF373"/>
      <c r="QG373"/>
      <c r="QH373"/>
      <c r="QI373"/>
      <c r="QJ373"/>
      <c r="QK373"/>
      <c r="QL373"/>
      <c r="QM373"/>
      <c r="QN373"/>
      <c r="QO373"/>
      <c r="QP373"/>
      <c r="QQ373"/>
      <c r="QR373"/>
      <c r="QS373"/>
      <c r="QT373"/>
      <c r="QU373"/>
      <c r="QV373"/>
      <c r="QW373"/>
      <c r="QX373"/>
      <c r="QY373"/>
      <c r="QZ373"/>
      <c r="RA373"/>
      <c r="RB373"/>
      <c r="RC373"/>
      <c r="RD373"/>
      <c r="RE373"/>
      <c r="RF373"/>
      <c r="RG373"/>
      <c r="RH373"/>
      <c r="RI373"/>
      <c r="RJ373"/>
      <c r="RK373"/>
      <c r="RL373"/>
      <c r="RM373"/>
      <c r="RN373"/>
      <c r="RO373"/>
      <c r="RP373"/>
      <c r="RQ373"/>
      <c r="RR373"/>
      <c r="RS373"/>
      <c r="RT373"/>
      <c r="RU373"/>
    </row>
    <row r="374" spans="3:489" x14ac:dyDescent="0.25">
      <c r="C374"/>
      <c r="D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  <c r="HB374"/>
      <c r="HC374"/>
      <c r="HD374"/>
      <c r="HE374"/>
      <c r="HF374"/>
      <c r="HG374"/>
      <c r="HH374"/>
      <c r="HI374"/>
      <c r="HJ374"/>
      <c r="HK374"/>
      <c r="HL374"/>
      <c r="HM374"/>
      <c r="HN374"/>
      <c r="HO374"/>
      <c r="HP374"/>
      <c r="HQ374"/>
      <c r="HR374"/>
      <c r="HS374"/>
      <c r="HT374"/>
      <c r="HU374"/>
      <c r="HV374"/>
      <c r="HW374"/>
      <c r="HX374"/>
      <c r="HY374"/>
      <c r="HZ374"/>
      <c r="IA374"/>
      <c r="IB374"/>
      <c r="IC374"/>
      <c r="ID374"/>
      <c r="IE374"/>
      <c r="IF374"/>
      <c r="IG374"/>
      <c r="IH374"/>
      <c r="II374"/>
      <c r="IJ374"/>
      <c r="IK374"/>
      <c r="IL374"/>
      <c r="IM374"/>
      <c r="IN374"/>
      <c r="IO374"/>
      <c r="IP374"/>
      <c r="IQ374"/>
      <c r="IR374"/>
      <c r="IS374"/>
      <c r="IT374"/>
      <c r="IU374"/>
      <c r="IV374"/>
      <c r="IW374"/>
      <c r="IX374"/>
      <c r="IY374"/>
      <c r="IZ374"/>
      <c r="JA374"/>
      <c r="JB374"/>
      <c r="JC374"/>
      <c r="JD374"/>
      <c r="JE374"/>
      <c r="JF374"/>
      <c r="JG374"/>
      <c r="JH374"/>
      <c r="JI374"/>
      <c r="JJ374"/>
      <c r="JK374"/>
      <c r="JL374"/>
      <c r="JM374"/>
      <c r="JN374"/>
      <c r="JO374"/>
      <c r="JP374"/>
      <c r="JQ374"/>
      <c r="JR374"/>
      <c r="JS374"/>
      <c r="JT374"/>
      <c r="JU374"/>
      <c r="JV374"/>
      <c r="JW374"/>
      <c r="JX374"/>
      <c r="JY374"/>
      <c r="JZ374"/>
      <c r="KA374"/>
      <c r="KB374"/>
      <c r="KC374"/>
      <c r="KD374"/>
      <c r="KE374"/>
      <c r="KF374"/>
      <c r="KG374"/>
      <c r="KH374"/>
      <c r="KI374"/>
      <c r="KJ374"/>
      <c r="KK374"/>
      <c r="KL374"/>
      <c r="KM374"/>
      <c r="KN374"/>
      <c r="KO374"/>
      <c r="KP374"/>
      <c r="KQ374"/>
      <c r="KR374"/>
      <c r="KS374"/>
      <c r="KT374"/>
      <c r="KU374"/>
      <c r="KV374"/>
      <c r="KW374"/>
      <c r="KX374"/>
      <c r="KY374"/>
      <c r="KZ374"/>
      <c r="LA374"/>
      <c r="LB374"/>
      <c r="LC374"/>
      <c r="LD374"/>
      <c r="LE374"/>
      <c r="LF374"/>
      <c r="LG374"/>
      <c r="LH374"/>
      <c r="LI374"/>
      <c r="LJ374"/>
      <c r="LK374"/>
      <c r="LL374"/>
      <c r="LM374"/>
      <c r="LN374"/>
      <c r="LO374"/>
      <c r="LP374"/>
      <c r="LQ374"/>
      <c r="LR374"/>
      <c r="LS374"/>
      <c r="LT374"/>
      <c r="LU374"/>
      <c r="LV374"/>
      <c r="LW374"/>
      <c r="LX374"/>
      <c r="LY374"/>
      <c r="LZ374"/>
      <c r="MA374"/>
      <c r="MB374"/>
      <c r="MC374"/>
      <c r="MD374"/>
      <c r="ME374"/>
      <c r="MF374"/>
      <c r="MG374"/>
      <c r="MH374"/>
      <c r="MI374"/>
      <c r="MJ374"/>
      <c r="MK374"/>
      <c r="ML374"/>
      <c r="MM374"/>
      <c r="MN374"/>
      <c r="MO374"/>
      <c r="MP374"/>
      <c r="MQ374"/>
      <c r="MR374"/>
      <c r="MS374"/>
      <c r="MT374"/>
      <c r="MU374"/>
      <c r="MV374"/>
      <c r="MW374"/>
      <c r="MX374"/>
      <c r="MY374"/>
      <c r="MZ374"/>
      <c r="NA374"/>
      <c r="NB374"/>
      <c r="NC374"/>
      <c r="ND374"/>
      <c r="NE374"/>
      <c r="NF374"/>
      <c r="NG374"/>
      <c r="NH374"/>
      <c r="NI374"/>
      <c r="NJ374"/>
      <c r="NK374"/>
      <c r="NL374"/>
      <c r="NM374"/>
      <c r="NN374"/>
      <c r="NO374"/>
      <c r="NP374"/>
      <c r="NQ374"/>
      <c r="NR374"/>
      <c r="NS374"/>
      <c r="NT374"/>
      <c r="NU374"/>
      <c r="NV374"/>
      <c r="NW374"/>
      <c r="NX374"/>
      <c r="NY374"/>
      <c r="NZ374"/>
      <c r="OA374"/>
      <c r="OB374"/>
      <c r="OC374"/>
      <c r="OD374"/>
      <c r="OE374"/>
      <c r="OF374"/>
      <c r="OG374"/>
      <c r="OH374"/>
      <c r="OI374"/>
      <c r="OJ374"/>
      <c r="OK374"/>
      <c r="OL374"/>
      <c r="OM374"/>
      <c r="ON374"/>
      <c r="OO374"/>
      <c r="OP374"/>
      <c r="OQ374"/>
      <c r="OR374"/>
      <c r="OS374"/>
      <c r="OT374"/>
      <c r="OU374"/>
      <c r="OV374"/>
      <c r="OW374"/>
      <c r="OX374"/>
      <c r="OY374"/>
      <c r="OZ374"/>
      <c r="PA374"/>
      <c r="PB374"/>
      <c r="PC374"/>
      <c r="PD374"/>
      <c r="PE374"/>
      <c r="PF374"/>
      <c r="PG374"/>
      <c r="PH374"/>
      <c r="PI374"/>
      <c r="PJ374"/>
      <c r="PK374"/>
      <c r="PL374"/>
      <c r="PM374"/>
      <c r="PN374"/>
      <c r="PO374"/>
      <c r="PP374"/>
      <c r="PQ374"/>
      <c r="PR374"/>
      <c r="PS374"/>
      <c r="PT374"/>
      <c r="PU374"/>
      <c r="PV374"/>
      <c r="PW374"/>
      <c r="PX374"/>
      <c r="PY374"/>
      <c r="PZ374"/>
      <c r="QA374"/>
      <c r="QB374"/>
      <c r="QC374"/>
      <c r="QD374"/>
      <c r="QE374"/>
      <c r="QF374"/>
      <c r="QG374"/>
      <c r="QH374"/>
      <c r="QI374"/>
      <c r="QJ374"/>
      <c r="QK374"/>
      <c r="QL374"/>
      <c r="QM374"/>
      <c r="QN374"/>
      <c r="QO374"/>
      <c r="QP374"/>
      <c r="QQ374"/>
      <c r="QR374"/>
      <c r="QS374"/>
      <c r="QT374"/>
      <c r="QU374"/>
      <c r="QV374"/>
      <c r="QW374"/>
      <c r="QX374"/>
      <c r="QY374"/>
      <c r="QZ374"/>
      <c r="RA374"/>
      <c r="RB374"/>
      <c r="RC374"/>
      <c r="RD374"/>
      <c r="RE374"/>
      <c r="RF374"/>
      <c r="RG374"/>
      <c r="RH374"/>
      <c r="RI374"/>
      <c r="RJ374"/>
      <c r="RK374"/>
      <c r="RL374"/>
      <c r="RM374"/>
      <c r="RN374"/>
      <c r="RO374"/>
      <c r="RP374"/>
      <c r="RQ374"/>
      <c r="RR374"/>
      <c r="RS374"/>
      <c r="RT374"/>
      <c r="RU374"/>
    </row>
    <row r="375" spans="3:489" x14ac:dyDescent="0.25">
      <c r="C375"/>
      <c r="D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  <c r="HB375"/>
      <c r="HC375"/>
      <c r="HD375"/>
      <c r="HE375"/>
      <c r="HF375"/>
      <c r="HG375"/>
      <c r="HH375"/>
      <c r="HI375"/>
      <c r="HJ375"/>
      <c r="HK375"/>
      <c r="HL375"/>
      <c r="HM375"/>
      <c r="HN375"/>
      <c r="HO375"/>
      <c r="HP375"/>
      <c r="HQ375"/>
      <c r="HR375"/>
      <c r="HS375"/>
      <c r="HT375"/>
      <c r="HU375"/>
      <c r="HV375"/>
      <c r="HW375"/>
      <c r="HX375"/>
      <c r="HY375"/>
      <c r="HZ375"/>
      <c r="IA375"/>
      <c r="IB375"/>
      <c r="IC375"/>
      <c r="ID375"/>
      <c r="IE375"/>
      <c r="IF375"/>
      <c r="IG375"/>
      <c r="IH375"/>
      <c r="II375"/>
      <c r="IJ375"/>
      <c r="IK375"/>
      <c r="IL375"/>
      <c r="IM375"/>
      <c r="IN375"/>
      <c r="IO375"/>
      <c r="IP375"/>
      <c r="IQ375"/>
      <c r="IR375"/>
      <c r="IS375"/>
      <c r="IT375"/>
      <c r="IU375"/>
      <c r="IV375"/>
      <c r="IW375"/>
      <c r="IX375"/>
      <c r="IY375"/>
      <c r="IZ375"/>
      <c r="JA375"/>
      <c r="JB375"/>
      <c r="JC375"/>
      <c r="JD375"/>
      <c r="JE375"/>
      <c r="JF375"/>
      <c r="JG375"/>
      <c r="JH375"/>
      <c r="JI375"/>
      <c r="JJ375"/>
      <c r="JK375"/>
      <c r="JL375"/>
      <c r="JM375"/>
      <c r="JN375"/>
      <c r="JO375"/>
      <c r="JP375"/>
      <c r="JQ375"/>
      <c r="JR375"/>
      <c r="JS375"/>
      <c r="JT375"/>
      <c r="JU375"/>
      <c r="JV375"/>
      <c r="JW375"/>
      <c r="JX375"/>
      <c r="JY375"/>
      <c r="JZ375"/>
      <c r="KA375"/>
      <c r="KB375"/>
      <c r="KC375"/>
      <c r="KD375"/>
      <c r="KE375"/>
      <c r="KF375"/>
      <c r="KG375"/>
      <c r="KH375"/>
      <c r="KI375"/>
      <c r="KJ375"/>
      <c r="KK375"/>
      <c r="KL375"/>
      <c r="KM375"/>
      <c r="KN375"/>
      <c r="KO375"/>
      <c r="KP375"/>
      <c r="KQ375"/>
      <c r="KR375"/>
      <c r="KS375"/>
      <c r="KT375"/>
      <c r="KU375"/>
      <c r="KV375"/>
      <c r="KW375"/>
      <c r="KX375"/>
      <c r="KY375"/>
      <c r="KZ375"/>
      <c r="LA375"/>
      <c r="LB375"/>
      <c r="LC375"/>
      <c r="LD375"/>
      <c r="LE375"/>
      <c r="LF375"/>
      <c r="LG375"/>
      <c r="LH375"/>
      <c r="LI375"/>
      <c r="LJ375"/>
      <c r="LK375"/>
      <c r="LL375"/>
      <c r="LM375"/>
      <c r="LN375"/>
      <c r="LO375"/>
      <c r="LP375"/>
      <c r="LQ375"/>
      <c r="LR375"/>
      <c r="LS375"/>
      <c r="LT375"/>
      <c r="LU375"/>
      <c r="LV375"/>
      <c r="LW375"/>
      <c r="LX375"/>
      <c r="LY375"/>
      <c r="LZ375"/>
      <c r="MA375"/>
      <c r="MB375"/>
      <c r="MC375"/>
      <c r="MD375"/>
      <c r="ME375"/>
      <c r="MF375"/>
      <c r="MG375"/>
      <c r="MH375"/>
      <c r="MI375"/>
      <c r="MJ375"/>
      <c r="MK375"/>
      <c r="ML375"/>
      <c r="MM375"/>
      <c r="MN375"/>
      <c r="MO375"/>
      <c r="MP375"/>
      <c r="MQ375"/>
      <c r="MR375"/>
      <c r="MS375"/>
      <c r="MT375"/>
      <c r="MU375"/>
      <c r="MV375"/>
      <c r="MW375"/>
      <c r="MX375"/>
      <c r="MY375"/>
      <c r="MZ375"/>
      <c r="NA375"/>
      <c r="NB375"/>
      <c r="NC375"/>
      <c r="ND375"/>
      <c r="NE375"/>
      <c r="NF375"/>
      <c r="NG375"/>
      <c r="NH375"/>
      <c r="NI375"/>
      <c r="NJ375"/>
      <c r="NK375"/>
      <c r="NL375"/>
      <c r="NM375"/>
      <c r="NN375"/>
      <c r="NO375"/>
      <c r="NP375"/>
      <c r="NQ375"/>
      <c r="NR375"/>
      <c r="NS375"/>
      <c r="NT375"/>
      <c r="NU375"/>
      <c r="NV375"/>
      <c r="NW375"/>
      <c r="NX375"/>
      <c r="NY375"/>
      <c r="NZ375"/>
      <c r="OA375"/>
      <c r="OB375"/>
      <c r="OC375"/>
      <c r="OD375"/>
      <c r="OE375"/>
      <c r="OF375"/>
      <c r="OG375"/>
      <c r="OH375"/>
      <c r="OI375"/>
      <c r="OJ375"/>
      <c r="OK375"/>
      <c r="OL375"/>
      <c r="OM375"/>
      <c r="ON375"/>
      <c r="OO375"/>
      <c r="OP375"/>
      <c r="OQ375"/>
      <c r="OR375"/>
      <c r="OS375"/>
      <c r="OT375"/>
      <c r="OU375"/>
      <c r="OV375"/>
      <c r="OW375"/>
      <c r="OX375"/>
      <c r="OY375"/>
      <c r="OZ375"/>
      <c r="PA375"/>
      <c r="PB375"/>
      <c r="PC375"/>
      <c r="PD375"/>
      <c r="PE375"/>
      <c r="PF375"/>
      <c r="PG375"/>
      <c r="PH375"/>
      <c r="PI375"/>
      <c r="PJ375"/>
      <c r="PK375"/>
      <c r="PL375"/>
      <c r="PM375"/>
      <c r="PN375"/>
      <c r="PO375"/>
      <c r="PP375"/>
      <c r="PQ375"/>
      <c r="PR375"/>
      <c r="PS375"/>
      <c r="PT375"/>
      <c r="PU375"/>
      <c r="PV375"/>
      <c r="PW375"/>
      <c r="PX375"/>
      <c r="PY375"/>
      <c r="PZ375"/>
      <c r="QA375"/>
      <c r="QB375"/>
      <c r="QC375"/>
      <c r="QD375"/>
      <c r="QE375"/>
      <c r="QF375"/>
      <c r="QG375"/>
      <c r="QH375"/>
      <c r="QI375"/>
      <c r="QJ375"/>
      <c r="QK375"/>
      <c r="QL375"/>
      <c r="QM375"/>
      <c r="QN375"/>
      <c r="QO375"/>
      <c r="QP375"/>
      <c r="QQ375"/>
      <c r="QR375"/>
      <c r="QS375"/>
      <c r="QT375"/>
      <c r="QU375"/>
      <c r="QV375"/>
      <c r="QW375"/>
      <c r="QX375"/>
      <c r="QY375"/>
      <c r="QZ375"/>
      <c r="RA375"/>
      <c r="RB375"/>
      <c r="RC375"/>
      <c r="RD375"/>
      <c r="RE375"/>
      <c r="RF375"/>
      <c r="RG375"/>
      <c r="RH375"/>
      <c r="RI375"/>
      <c r="RJ375"/>
      <c r="RK375"/>
      <c r="RL375"/>
      <c r="RM375"/>
      <c r="RN375"/>
      <c r="RO375"/>
      <c r="RP375"/>
      <c r="RQ375"/>
      <c r="RR375"/>
      <c r="RS375"/>
      <c r="RT375"/>
      <c r="RU375"/>
    </row>
    <row r="376" spans="3:489" x14ac:dyDescent="0.25">
      <c r="C376"/>
      <c r="D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  <c r="HB376"/>
      <c r="HC376"/>
      <c r="HD376"/>
      <c r="HE376"/>
      <c r="HF376"/>
      <c r="HG376"/>
      <c r="HH376"/>
      <c r="HI376"/>
      <c r="HJ376"/>
      <c r="HK376"/>
      <c r="HL376"/>
      <c r="HM376"/>
      <c r="HN376"/>
      <c r="HO376"/>
      <c r="HP376"/>
      <c r="HQ376"/>
      <c r="HR376"/>
      <c r="HS376"/>
      <c r="HT376"/>
      <c r="HU376"/>
      <c r="HV376"/>
      <c r="HW376"/>
      <c r="HX376"/>
      <c r="HY376"/>
      <c r="HZ376"/>
      <c r="IA376"/>
      <c r="IB376"/>
      <c r="IC376"/>
      <c r="ID376"/>
      <c r="IE376"/>
      <c r="IF376"/>
      <c r="IG376"/>
      <c r="IH376"/>
      <c r="II376"/>
      <c r="IJ376"/>
      <c r="IK376"/>
      <c r="IL376"/>
      <c r="IM376"/>
      <c r="IN376"/>
      <c r="IO376"/>
      <c r="IP376"/>
      <c r="IQ376"/>
      <c r="IR376"/>
      <c r="IS376"/>
      <c r="IT376"/>
      <c r="IU376"/>
      <c r="IV376"/>
      <c r="IW376"/>
      <c r="IX376"/>
      <c r="IY376"/>
      <c r="IZ376"/>
      <c r="JA376"/>
      <c r="JB376"/>
      <c r="JC376"/>
      <c r="JD376"/>
      <c r="JE376"/>
      <c r="JF376"/>
      <c r="JG376"/>
      <c r="JH376"/>
      <c r="JI376"/>
      <c r="JJ376"/>
      <c r="JK376"/>
      <c r="JL376"/>
      <c r="JM376"/>
      <c r="JN376"/>
      <c r="JO376"/>
      <c r="JP376"/>
      <c r="JQ376"/>
      <c r="JR376"/>
      <c r="JS376"/>
      <c r="JT376"/>
      <c r="JU376"/>
      <c r="JV376"/>
      <c r="JW376"/>
      <c r="JX376"/>
      <c r="JY376"/>
      <c r="JZ376"/>
      <c r="KA376"/>
      <c r="KB376"/>
      <c r="KC376"/>
      <c r="KD376"/>
      <c r="KE376"/>
      <c r="KF376"/>
      <c r="KG376"/>
      <c r="KH376"/>
      <c r="KI376"/>
      <c r="KJ376"/>
      <c r="KK376"/>
      <c r="KL376"/>
      <c r="KM376"/>
      <c r="KN376"/>
      <c r="KO376"/>
      <c r="KP376"/>
      <c r="KQ376"/>
      <c r="KR376"/>
      <c r="KS376"/>
      <c r="KT376"/>
      <c r="KU376"/>
      <c r="KV376"/>
      <c r="KW376"/>
      <c r="KX376"/>
      <c r="KY376"/>
      <c r="KZ376"/>
      <c r="LA376"/>
      <c r="LB376"/>
      <c r="LC376"/>
      <c r="LD376"/>
      <c r="LE376"/>
      <c r="LF376"/>
      <c r="LG376"/>
      <c r="LH376"/>
      <c r="LI376"/>
      <c r="LJ376"/>
      <c r="LK376"/>
      <c r="LL376"/>
      <c r="LM376"/>
      <c r="LN376"/>
      <c r="LO376"/>
      <c r="LP376"/>
      <c r="LQ376"/>
      <c r="LR376"/>
      <c r="LS376"/>
      <c r="LT376"/>
      <c r="LU376"/>
      <c r="LV376"/>
      <c r="LW376"/>
      <c r="LX376"/>
      <c r="LY376"/>
      <c r="LZ376"/>
      <c r="MA376"/>
      <c r="MB376"/>
      <c r="MC376"/>
      <c r="MD376"/>
      <c r="ME376"/>
      <c r="MF376"/>
      <c r="MG376"/>
      <c r="MH376"/>
      <c r="MI376"/>
      <c r="MJ376"/>
      <c r="MK376"/>
      <c r="ML376"/>
      <c r="MM376"/>
      <c r="MN376"/>
      <c r="MO376"/>
      <c r="MP376"/>
      <c r="MQ376"/>
      <c r="MR376"/>
      <c r="MS376"/>
      <c r="MT376"/>
      <c r="MU376"/>
      <c r="MV376"/>
      <c r="MW376"/>
      <c r="MX376"/>
      <c r="MY376"/>
      <c r="MZ376"/>
      <c r="NA376"/>
      <c r="NB376"/>
      <c r="NC376"/>
      <c r="ND376"/>
      <c r="NE376"/>
      <c r="NF376"/>
      <c r="NG376"/>
      <c r="NH376"/>
      <c r="NI376"/>
      <c r="NJ376"/>
      <c r="NK376"/>
      <c r="NL376"/>
      <c r="NM376"/>
      <c r="NN376"/>
      <c r="NO376"/>
      <c r="NP376"/>
      <c r="NQ376"/>
      <c r="NR376"/>
      <c r="NS376"/>
      <c r="NT376"/>
      <c r="NU376"/>
      <c r="NV376"/>
      <c r="NW376"/>
      <c r="NX376"/>
      <c r="NY376"/>
      <c r="NZ376"/>
      <c r="OA376"/>
      <c r="OB376"/>
      <c r="OC376"/>
      <c r="OD376"/>
      <c r="OE376"/>
      <c r="OF376"/>
      <c r="OG376"/>
      <c r="OH376"/>
      <c r="OI376"/>
      <c r="OJ376"/>
      <c r="OK376"/>
      <c r="OL376"/>
      <c r="OM376"/>
      <c r="ON376"/>
      <c r="OO376"/>
      <c r="OP376"/>
      <c r="OQ376"/>
      <c r="OR376"/>
      <c r="OS376"/>
      <c r="OT376"/>
      <c r="OU376"/>
      <c r="OV376"/>
      <c r="OW376"/>
      <c r="OX376"/>
      <c r="OY376"/>
      <c r="OZ376"/>
      <c r="PA376"/>
      <c r="PB376"/>
      <c r="PC376"/>
      <c r="PD376"/>
      <c r="PE376"/>
      <c r="PF376"/>
      <c r="PG376"/>
      <c r="PH376"/>
      <c r="PI376"/>
      <c r="PJ376"/>
      <c r="PK376"/>
      <c r="PL376"/>
      <c r="PM376"/>
      <c r="PN376"/>
      <c r="PO376"/>
      <c r="PP376"/>
      <c r="PQ376"/>
      <c r="PR376"/>
      <c r="PS376"/>
      <c r="PT376"/>
      <c r="PU376"/>
      <c r="PV376"/>
      <c r="PW376"/>
      <c r="PX376"/>
      <c r="PY376"/>
      <c r="PZ376"/>
      <c r="QA376"/>
      <c r="QB376"/>
      <c r="QC376"/>
      <c r="QD376"/>
      <c r="QE376"/>
      <c r="QF376"/>
      <c r="QG376"/>
      <c r="QH376"/>
      <c r="QI376"/>
      <c r="QJ376"/>
      <c r="QK376"/>
      <c r="QL376"/>
      <c r="QM376"/>
      <c r="QN376"/>
      <c r="QO376"/>
      <c r="QP376"/>
      <c r="QQ376"/>
      <c r="QR376"/>
      <c r="QS376"/>
      <c r="QT376"/>
      <c r="QU376"/>
      <c r="QV376"/>
      <c r="QW376"/>
      <c r="QX376"/>
      <c r="QY376"/>
      <c r="QZ376"/>
      <c r="RA376"/>
      <c r="RB376"/>
      <c r="RC376"/>
      <c r="RD376"/>
      <c r="RE376"/>
      <c r="RF376"/>
      <c r="RG376"/>
      <c r="RH376"/>
      <c r="RI376"/>
      <c r="RJ376"/>
      <c r="RK376"/>
      <c r="RL376"/>
      <c r="RM376"/>
      <c r="RN376"/>
      <c r="RO376"/>
      <c r="RP376"/>
      <c r="RQ376"/>
      <c r="RR376"/>
      <c r="RS376"/>
      <c r="RT376"/>
      <c r="RU376"/>
    </row>
    <row r="377" spans="3:489" x14ac:dyDescent="0.25">
      <c r="C377"/>
      <c r="D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  <c r="HB377"/>
      <c r="HC377"/>
      <c r="HD377"/>
      <c r="HE377"/>
      <c r="HF377"/>
      <c r="HG377"/>
      <c r="HH377"/>
      <c r="HI377"/>
      <c r="HJ377"/>
      <c r="HK377"/>
      <c r="HL377"/>
      <c r="HM377"/>
      <c r="HN377"/>
      <c r="HO377"/>
      <c r="HP377"/>
      <c r="HQ377"/>
      <c r="HR377"/>
      <c r="HS377"/>
      <c r="HT377"/>
      <c r="HU377"/>
      <c r="HV377"/>
      <c r="HW377"/>
      <c r="HX377"/>
      <c r="HY377"/>
      <c r="HZ377"/>
      <c r="IA377"/>
      <c r="IB377"/>
      <c r="IC377"/>
      <c r="ID377"/>
      <c r="IE377"/>
      <c r="IF377"/>
      <c r="IG377"/>
      <c r="IH377"/>
      <c r="II377"/>
      <c r="IJ377"/>
      <c r="IK377"/>
      <c r="IL377"/>
      <c r="IM377"/>
      <c r="IN377"/>
      <c r="IO377"/>
      <c r="IP377"/>
      <c r="IQ377"/>
      <c r="IR377"/>
      <c r="IS377"/>
      <c r="IT377"/>
      <c r="IU377"/>
      <c r="IV377"/>
      <c r="IW377"/>
      <c r="IX377"/>
      <c r="IY377"/>
      <c r="IZ377"/>
      <c r="JA377"/>
      <c r="JB377"/>
      <c r="JC377"/>
      <c r="JD377"/>
      <c r="JE377"/>
      <c r="JF377"/>
      <c r="JG377"/>
      <c r="JH377"/>
      <c r="JI377"/>
      <c r="JJ377"/>
      <c r="JK377"/>
      <c r="JL377"/>
      <c r="JM377"/>
      <c r="JN377"/>
      <c r="JO377"/>
      <c r="JP377"/>
      <c r="JQ377"/>
      <c r="JR377"/>
      <c r="JS377"/>
      <c r="JT377"/>
      <c r="JU377"/>
      <c r="JV377"/>
      <c r="JW377"/>
      <c r="JX377"/>
      <c r="JY377"/>
      <c r="JZ377"/>
      <c r="KA377"/>
      <c r="KB377"/>
      <c r="KC377"/>
      <c r="KD377"/>
      <c r="KE377"/>
      <c r="KF377"/>
      <c r="KG377"/>
      <c r="KH377"/>
      <c r="KI377"/>
      <c r="KJ377"/>
      <c r="KK377"/>
      <c r="KL377"/>
      <c r="KM377"/>
      <c r="KN377"/>
      <c r="KO377"/>
      <c r="KP377"/>
      <c r="KQ377"/>
      <c r="KR377"/>
      <c r="KS377"/>
      <c r="KT377"/>
      <c r="KU377"/>
      <c r="KV377"/>
      <c r="KW377"/>
      <c r="KX377"/>
      <c r="KY377"/>
      <c r="KZ377"/>
      <c r="LA377"/>
      <c r="LB377"/>
      <c r="LC377"/>
      <c r="LD377"/>
      <c r="LE377"/>
      <c r="LF377"/>
      <c r="LG377"/>
      <c r="LH377"/>
      <c r="LI377"/>
      <c r="LJ377"/>
      <c r="LK377"/>
      <c r="LL377"/>
      <c r="LM377"/>
      <c r="LN377"/>
      <c r="LO377"/>
      <c r="LP377"/>
      <c r="LQ377"/>
      <c r="LR377"/>
      <c r="LS377"/>
      <c r="LT377"/>
      <c r="LU377"/>
      <c r="LV377"/>
      <c r="LW377"/>
      <c r="LX377"/>
      <c r="LY377"/>
      <c r="LZ377"/>
      <c r="MA377"/>
      <c r="MB377"/>
      <c r="MC377"/>
      <c r="MD377"/>
      <c r="ME377"/>
      <c r="MF377"/>
      <c r="MG377"/>
      <c r="MH377"/>
      <c r="MI377"/>
      <c r="MJ377"/>
      <c r="MK377"/>
      <c r="ML377"/>
      <c r="MM377"/>
      <c r="MN377"/>
      <c r="MO377"/>
      <c r="MP377"/>
      <c r="MQ377"/>
      <c r="MR377"/>
      <c r="MS377"/>
      <c r="MT377"/>
      <c r="MU377"/>
      <c r="MV377"/>
      <c r="MW377"/>
      <c r="MX377"/>
      <c r="MY377"/>
      <c r="MZ377"/>
      <c r="NA377"/>
      <c r="NB377"/>
      <c r="NC377"/>
      <c r="ND377"/>
      <c r="NE377"/>
      <c r="NF377"/>
      <c r="NG377"/>
      <c r="NH377"/>
      <c r="NI377"/>
      <c r="NJ377"/>
      <c r="NK377"/>
      <c r="NL377"/>
      <c r="NM377"/>
      <c r="NN377"/>
      <c r="NO377"/>
      <c r="NP377"/>
      <c r="NQ377"/>
      <c r="NR377"/>
      <c r="NS377"/>
      <c r="NT377"/>
      <c r="NU377"/>
      <c r="NV377"/>
      <c r="NW377"/>
      <c r="NX377"/>
      <c r="NY377"/>
      <c r="NZ377"/>
      <c r="OA377"/>
      <c r="OB377"/>
      <c r="OC377"/>
      <c r="OD377"/>
      <c r="OE377"/>
      <c r="OF377"/>
      <c r="OG377"/>
      <c r="OH377"/>
      <c r="OI377"/>
      <c r="OJ377"/>
      <c r="OK377"/>
      <c r="OL377"/>
      <c r="OM377"/>
      <c r="ON377"/>
      <c r="OO377"/>
      <c r="OP377"/>
      <c r="OQ377"/>
      <c r="OR377"/>
      <c r="OS377"/>
      <c r="OT377"/>
      <c r="OU377"/>
      <c r="OV377"/>
      <c r="OW377"/>
      <c r="OX377"/>
      <c r="OY377"/>
      <c r="OZ377"/>
      <c r="PA377"/>
      <c r="PB377"/>
      <c r="PC377"/>
      <c r="PD377"/>
      <c r="PE377"/>
      <c r="PF377"/>
      <c r="PG377"/>
      <c r="PH377"/>
      <c r="PI377"/>
      <c r="PJ377"/>
      <c r="PK377"/>
      <c r="PL377"/>
      <c r="PM377"/>
      <c r="PN377"/>
      <c r="PO377"/>
      <c r="PP377"/>
      <c r="PQ377"/>
      <c r="PR377"/>
      <c r="PS377"/>
      <c r="PT377"/>
      <c r="PU377"/>
      <c r="PV377"/>
      <c r="PW377"/>
      <c r="PX377"/>
      <c r="PY377"/>
      <c r="PZ377"/>
      <c r="QA377"/>
      <c r="QB377"/>
      <c r="QC377"/>
      <c r="QD377"/>
      <c r="QE377"/>
      <c r="QF377"/>
      <c r="QG377"/>
      <c r="QH377"/>
      <c r="QI377"/>
      <c r="QJ377"/>
      <c r="QK377"/>
      <c r="QL377"/>
      <c r="QM377"/>
      <c r="QN377"/>
      <c r="QO377"/>
      <c r="QP377"/>
      <c r="QQ377"/>
      <c r="QR377"/>
      <c r="QS377"/>
      <c r="QT377"/>
      <c r="QU377"/>
      <c r="QV377"/>
      <c r="QW377"/>
      <c r="QX377"/>
      <c r="QY377"/>
      <c r="QZ377"/>
      <c r="RA377"/>
      <c r="RB377"/>
      <c r="RC377"/>
      <c r="RD377"/>
      <c r="RE377"/>
      <c r="RF377"/>
      <c r="RG377"/>
      <c r="RH377"/>
      <c r="RI377"/>
      <c r="RJ377"/>
      <c r="RK377"/>
      <c r="RL377"/>
      <c r="RM377"/>
      <c r="RN377"/>
      <c r="RO377"/>
      <c r="RP377"/>
      <c r="RQ377"/>
      <c r="RR377"/>
      <c r="RS377"/>
      <c r="RT377"/>
      <c r="RU377"/>
    </row>
    <row r="378" spans="3:489" x14ac:dyDescent="0.25">
      <c r="C378"/>
      <c r="D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  <c r="HB378"/>
      <c r="HC378"/>
      <c r="HD378"/>
      <c r="HE378"/>
      <c r="HF378"/>
      <c r="HG378"/>
      <c r="HH378"/>
      <c r="HI378"/>
      <c r="HJ378"/>
      <c r="HK378"/>
      <c r="HL378"/>
      <c r="HM378"/>
      <c r="HN378"/>
      <c r="HO378"/>
      <c r="HP378"/>
      <c r="HQ378"/>
      <c r="HR378"/>
      <c r="HS378"/>
      <c r="HT378"/>
      <c r="HU378"/>
      <c r="HV378"/>
      <c r="HW378"/>
      <c r="HX378"/>
      <c r="HY378"/>
      <c r="HZ378"/>
      <c r="IA378"/>
      <c r="IB378"/>
      <c r="IC378"/>
      <c r="ID378"/>
      <c r="IE378"/>
      <c r="IF378"/>
      <c r="IG378"/>
      <c r="IH378"/>
      <c r="II378"/>
      <c r="IJ378"/>
      <c r="IK378"/>
      <c r="IL378"/>
      <c r="IM378"/>
      <c r="IN378"/>
      <c r="IO378"/>
      <c r="IP378"/>
      <c r="IQ378"/>
      <c r="IR378"/>
      <c r="IS378"/>
      <c r="IT378"/>
      <c r="IU378"/>
      <c r="IV378"/>
      <c r="IW378"/>
      <c r="IX378"/>
      <c r="IY378"/>
      <c r="IZ378"/>
      <c r="JA378"/>
      <c r="JB378"/>
      <c r="JC378"/>
      <c r="JD378"/>
      <c r="JE378"/>
      <c r="JF378"/>
      <c r="JG378"/>
      <c r="JH378"/>
      <c r="JI378"/>
      <c r="JJ378"/>
      <c r="JK378"/>
      <c r="JL378"/>
      <c r="JM378"/>
      <c r="JN378"/>
      <c r="JO378"/>
      <c r="JP378"/>
      <c r="JQ378"/>
      <c r="JR378"/>
      <c r="JS378"/>
      <c r="JT378"/>
      <c r="JU378"/>
      <c r="JV378"/>
      <c r="JW378"/>
      <c r="JX378"/>
      <c r="JY378"/>
      <c r="JZ378"/>
      <c r="KA378"/>
      <c r="KB378"/>
      <c r="KC378"/>
      <c r="KD378"/>
      <c r="KE378"/>
      <c r="KF378"/>
      <c r="KG378"/>
      <c r="KH378"/>
      <c r="KI378"/>
      <c r="KJ378"/>
      <c r="KK378"/>
      <c r="KL378"/>
      <c r="KM378"/>
      <c r="KN378"/>
      <c r="KO378"/>
      <c r="KP378"/>
      <c r="KQ378"/>
      <c r="KR378"/>
      <c r="KS378"/>
      <c r="KT378"/>
      <c r="KU378"/>
      <c r="KV378"/>
      <c r="KW378"/>
      <c r="KX378"/>
      <c r="KY378"/>
      <c r="KZ378"/>
      <c r="LA378"/>
      <c r="LB378"/>
      <c r="LC378"/>
      <c r="LD378"/>
      <c r="LE378"/>
      <c r="LF378"/>
      <c r="LG378"/>
      <c r="LH378"/>
      <c r="LI378"/>
      <c r="LJ378"/>
      <c r="LK378"/>
      <c r="LL378"/>
      <c r="LM378"/>
      <c r="LN378"/>
      <c r="LO378"/>
      <c r="LP378"/>
      <c r="LQ378"/>
      <c r="LR378"/>
      <c r="LS378"/>
      <c r="LT378"/>
      <c r="LU378"/>
      <c r="LV378"/>
      <c r="LW378"/>
      <c r="LX378"/>
      <c r="LY378"/>
      <c r="LZ378"/>
      <c r="MA378"/>
      <c r="MB378"/>
      <c r="MC378"/>
      <c r="MD378"/>
      <c r="ME378"/>
      <c r="MF378"/>
      <c r="MG378"/>
      <c r="MH378"/>
      <c r="MI378"/>
      <c r="MJ378"/>
      <c r="MK378"/>
      <c r="ML378"/>
      <c r="MM378"/>
      <c r="MN378"/>
      <c r="MO378"/>
      <c r="MP378"/>
      <c r="MQ378"/>
      <c r="MR378"/>
      <c r="MS378"/>
      <c r="MT378"/>
      <c r="MU378"/>
      <c r="MV378"/>
      <c r="MW378"/>
      <c r="MX378"/>
      <c r="MY378"/>
      <c r="MZ378"/>
      <c r="NA378"/>
      <c r="NB378"/>
      <c r="NC378"/>
      <c r="ND378"/>
      <c r="NE378"/>
      <c r="NF378"/>
      <c r="NG378"/>
      <c r="NH378"/>
      <c r="NI378"/>
      <c r="NJ378"/>
      <c r="NK378"/>
      <c r="NL378"/>
      <c r="NM378"/>
      <c r="NN378"/>
      <c r="NO378"/>
      <c r="NP378"/>
      <c r="NQ378"/>
      <c r="NR378"/>
      <c r="NS378"/>
      <c r="NT378"/>
      <c r="NU378"/>
      <c r="NV378"/>
      <c r="NW378"/>
      <c r="NX378"/>
      <c r="NY378"/>
      <c r="NZ378"/>
      <c r="OA378"/>
      <c r="OB378"/>
      <c r="OC378"/>
      <c r="OD378"/>
      <c r="OE378"/>
      <c r="OF378"/>
      <c r="OG378"/>
      <c r="OH378"/>
      <c r="OI378"/>
      <c r="OJ378"/>
      <c r="OK378"/>
      <c r="OL378"/>
      <c r="OM378"/>
      <c r="ON378"/>
      <c r="OO378"/>
      <c r="OP378"/>
      <c r="OQ378"/>
      <c r="OR378"/>
      <c r="OS378"/>
      <c r="OT378"/>
      <c r="OU378"/>
      <c r="OV378"/>
      <c r="OW378"/>
      <c r="OX378"/>
      <c r="OY378"/>
      <c r="OZ378"/>
      <c r="PA378"/>
      <c r="PB378"/>
      <c r="PC378"/>
      <c r="PD378"/>
      <c r="PE378"/>
      <c r="PF378"/>
      <c r="PG378"/>
      <c r="PH378"/>
      <c r="PI378"/>
      <c r="PJ378"/>
      <c r="PK378"/>
      <c r="PL378"/>
      <c r="PM378"/>
      <c r="PN378"/>
      <c r="PO378"/>
      <c r="PP378"/>
      <c r="PQ378"/>
      <c r="PR378"/>
      <c r="PS378"/>
      <c r="PT378"/>
      <c r="PU378"/>
      <c r="PV378"/>
      <c r="PW378"/>
      <c r="PX378"/>
      <c r="PY378"/>
      <c r="PZ378"/>
      <c r="QA378"/>
      <c r="QB378"/>
      <c r="QC378"/>
      <c r="QD378"/>
      <c r="QE378"/>
      <c r="QF378"/>
      <c r="QG378"/>
      <c r="QH378"/>
      <c r="QI378"/>
      <c r="QJ378"/>
      <c r="QK378"/>
      <c r="QL378"/>
      <c r="QM378"/>
      <c r="QN378"/>
      <c r="QO378"/>
      <c r="QP378"/>
      <c r="QQ378"/>
      <c r="QR378"/>
      <c r="QS378"/>
      <c r="QT378"/>
      <c r="QU378"/>
      <c r="QV378"/>
      <c r="QW378"/>
      <c r="QX378"/>
      <c r="QY378"/>
      <c r="QZ378"/>
      <c r="RA378"/>
      <c r="RB378"/>
      <c r="RC378"/>
      <c r="RD378"/>
      <c r="RE378"/>
      <c r="RF378"/>
      <c r="RG378"/>
      <c r="RH378"/>
      <c r="RI378"/>
      <c r="RJ378"/>
      <c r="RK378"/>
      <c r="RL378"/>
      <c r="RM378"/>
      <c r="RN378"/>
      <c r="RO378"/>
      <c r="RP378"/>
      <c r="RQ378"/>
      <c r="RR378"/>
      <c r="RS378"/>
      <c r="RT378"/>
      <c r="RU378"/>
    </row>
    <row r="379" spans="3:489" x14ac:dyDescent="0.25">
      <c r="C379"/>
      <c r="D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  <c r="HB379"/>
      <c r="HC379"/>
      <c r="HD379"/>
      <c r="HE379"/>
      <c r="HF379"/>
      <c r="HG379"/>
      <c r="HH379"/>
      <c r="HI379"/>
      <c r="HJ379"/>
      <c r="HK379"/>
      <c r="HL379"/>
      <c r="HM379"/>
      <c r="HN379"/>
      <c r="HO379"/>
      <c r="HP379"/>
      <c r="HQ379"/>
      <c r="HR379"/>
      <c r="HS379"/>
      <c r="HT379"/>
      <c r="HU379"/>
      <c r="HV379"/>
      <c r="HW379"/>
      <c r="HX379"/>
      <c r="HY379"/>
      <c r="HZ379"/>
      <c r="IA379"/>
      <c r="IB379"/>
      <c r="IC379"/>
      <c r="ID379"/>
      <c r="IE379"/>
      <c r="IF379"/>
      <c r="IG379"/>
      <c r="IH379"/>
      <c r="II379"/>
      <c r="IJ379"/>
      <c r="IK379"/>
      <c r="IL379"/>
      <c r="IM379"/>
      <c r="IN379"/>
      <c r="IO379"/>
      <c r="IP379"/>
      <c r="IQ379"/>
      <c r="IR379"/>
      <c r="IS379"/>
      <c r="IT379"/>
      <c r="IU379"/>
      <c r="IV379"/>
      <c r="IW379"/>
      <c r="IX379"/>
      <c r="IY379"/>
      <c r="IZ379"/>
      <c r="JA379"/>
      <c r="JB379"/>
      <c r="JC379"/>
      <c r="JD379"/>
      <c r="JE379"/>
      <c r="JF379"/>
      <c r="JG379"/>
      <c r="JH379"/>
      <c r="JI379"/>
      <c r="JJ379"/>
      <c r="JK379"/>
      <c r="JL379"/>
      <c r="JM379"/>
      <c r="JN379"/>
      <c r="JO379"/>
      <c r="JP379"/>
      <c r="JQ379"/>
      <c r="JR379"/>
      <c r="JS379"/>
      <c r="JT379"/>
      <c r="JU379"/>
      <c r="JV379"/>
      <c r="JW379"/>
      <c r="JX379"/>
      <c r="JY379"/>
      <c r="JZ379"/>
      <c r="KA379"/>
      <c r="KB379"/>
      <c r="KC379"/>
      <c r="KD379"/>
      <c r="KE379"/>
      <c r="KF379"/>
      <c r="KG379"/>
      <c r="KH379"/>
      <c r="KI379"/>
      <c r="KJ379"/>
      <c r="KK379"/>
      <c r="KL379"/>
      <c r="KM379"/>
      <c r="KN379"/>
      <c r="KO379"/>
      <c r="KP379"/>
      <c r="KQ379"/>
      <c r="KR379"/>
      <c r="KS379"/>
      <c r="KT379"/>
      <c r="KU379"/>
      <c r="KV379"/>
      <c r="KW379"/>
      <c r="KX379"/>
      <c r="KY379"/>
      <c r="KZ379"/>
      <c r="LA379"/>
      <c r="LB379"/>
      <c r="LC379"/>
      <c r="LD379"/>
      <c r="LE379"/>
      <c r="LF379"/>
      <c r="LG379"/>
      <c r="LH379"/>
      <c r="LI379"/>
      <c r="LJ379"/>
      <c r="LK379"/>
      <c r="LL379"/>
      <c r="LM379"/>
      <c r="LN379"/>
      <c r="LO379"/>
      <c r="LP379"/>
      <c r="LQ379"/>
      <c r="LR379"/>
      <c r="LS379"/>
      <c r="LT379"/>
      <c r="LU379"/>
      <c r="LV379"/>
      <c r="LW379"/>
      <c r="LX379"/>
      <c r="LY379"/>
      <c r="LZ379"/>
      <c r="MA379"/>
      <c r="MB379"/>
      <c r="MC379"/>
      <c r="MD379"/>
      <c r="ME379"/>
      <c r="MF379"/>
      <c r="MG379"/>
      <c r="MH379"/>
      <c r="MI379"/>
      <c r="MJ379"/>
      <c r="MK379"/>
      <c r="ML379"/>
      <c r="MM379"/>
      <c r="MN379"/>
      <c r="MO379"/>
      <c r="MP379"/>
      <c r="MQ379"/>
      <c r="MR379"/>
      <c r="MS379"/>
      <c r="MT379"/>
      <c r="MU379"/>
      <c r="MV379"/>
      <c r="MW379"/>
      <c r="MX379"/>
      <c r="MY379"/>
      <c r="MZ379"/>
      <c r="NA379"/>
      <c r="NB379"/>
      <c r="NC379"/>
      <c r="ND379"/>
      <c r="NE379"/>
      <c r="NF379"/>
      <c r="NG379"/>
      <c r="NH379"/>
      <c r="NI379"/>
      <c r="NJ379"/>
      <c r="NK379"/>
      <c r="NL379"/>
      <c r="NM379"/>
      <c r="NN379"/>
      <c r="NO379"/>
      <c r="NP379"/>
      <c r="NQ379"/>
      <c r="NR379"/>
      <c r="NS379"/>
      <c r="NT379"/>
      <c r="NU379"/>
      <c r="NV379"/>
      <c r="NW379"/>
      <c r="NX379"/>
      <c r="NY379"/>
      <c r="NZ379"/>
      <c r="OA379"/>
      <c r="OB379"/>
      <c r="OC379"/>
      <c r="OD379"/>
      <c r="OE379"/>
      <c r="OF379"/>
      <c r="OG379"/>
      <c r="OH379"/>
      <c r="OI379"/>
      <c r="OJ379"/>
      <c r="OK379"/>
      <c r="OL379"/>
      <c r="OM379"/>
      <c r="ON379"/>
      <c r="OO379"/>
      <c r="OP379"/>
      <c r="OQ379"/>
      <c r="OR379"/>
      <c r="OS379"/>
      <c r="OT379"/>
      <c r="OU379"/>
      <c r="OV379"/>
      <c r="OW379"/>
      <c r="OX379"/>
      <c r="OY379"/>
      <c r="OZ379"/>
      <c r="PA379"/>
      <c r="PB379"/>
      <c r="PC379"/>
      <c r="PD379"/>
      <c r="PE379"/>
      <c r="PF379"/>
      <c r="PG379"/>
      <c r="PH379"/>
      <c r="PI379"/>
      <c r="PJ379"/>
      <c r="PK379"/>
      <c r="PL379"/>
      <c r="PM379"/>
      <c r="PN379"/>
      <c r="PO379"/>
      <c r="PP379"/>
      <c r="PQ379"/>
      <c r="PR379"/>
      <c r="PS379"/>
      <c r="PT379"/>
      <c r="PU379"/>
      <c r="PV379"/>
      <c r="PW379"/>
      <c r="PX379"/>
      <c r="PY379"/>
      <c r="PZ379"/>
      <c r="QA379"/>
      <c r="QB379"/>
      <c r="QC379"/>
      <c r="QD379"/>
      <c r="QE379"/>
      <c r="QF379"/>
      <c r="QG379"/>
      <c r="QH379"/>
      <c r="QI379"/>
      <c r="QJ379"/>
      <c r="QK379"/>
      <c r="QL379"/>
      <c r="QM379"/>
      <c r="QN379"/>
      <c r="QO379"/>
      <c r="QP379"/>
      <c r="QQ379"/>
      <c r="QR379"/>
      <c r="QS379"/>
      <c r="QT379"/>
      <c r="QU379"/>
      <c r="QV379"/>
      <c r="QW379"/>
      <c r="QX379"/>
      <c r="QY379"/>
      <c r="QZ379"/>
      <c r="RA379"/>
      <c r="RB379"/>
      <c r="RC379"/>
      <c r="RD379"/>
      <c r="RE379"/>
      <c r="RF379"/>
      <c r="RG379"/>
      <c r="RH379"/>
      <c r="RI379"/>
      <c r="RJ379"/>
      <c r="RK379"/>
      <c r="RL379"/>
      <c r="RM379"/>
      <c r="RN379"/>
      <c r="RO379"/>
      <c r="RP379"/>
      <c r="RQ379"/>
      <c r="RR379"/>
      <c r="RS379"/>
      <c r="RT379"/>
      <c r="RU379"/>
    </row>
    <row r="380" spans="3:489" x14ac:dyDescent="0.25">
      <c r="C380"/>
      <c r="D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  <c r="HB380"/>
      <c r="HC380"/>
      <c r="HD380"/>
      <c r="HE380"/>
      <c r="HF380"/>
      <c r="HG380"/>
      <c r="HH380"/>
      <c r="HI380"/>
      <c r="HJ380"/>
      <c r="HK380"/>
      <c r="HL380"/>
      <c r="HM380"/>
      <c r="HN380"/>
      <c r="HO380"/>
      <c r="HP380"/>
      <c r="HQ380"/>
      <c r="HR380"/>
      <c r="HS380"/>
      <c r="HT380"/>
      <c r="HU380"/>
      <c r="HV380"/>
      <c r="HW380"/>
      <c r="HX380"/>
      <c r="HY380"/>
      <c r="HZ380"/>
      <c r="IA380"/>
      <c r="IB380"/>
      <c r="IC380"/>
      <c r="ID380"/>
      <c r="IE380"/>
      <c r="IF380"/>
      <c r="IG380"/>
      <c r="IH380"/>
      <c r="II380"/>
      <c r="IJ380"/>
      <c r="IK380"/>
      <c r="IL380"/>
      <c r="IM380"/>
      <c r="IN380"/>
      <c r="IO380"/>
      <c r="IP380"/>
      <c r="IQ380"/>
      <c r="IR380"/>
      <c r="IS380"/>
      <c r="IT380"/>
      <c r="IU380"/>
      <c r="IV380"/>
      <c r="IW380"/>
      <c r="IX380"/>
      <c r="IY380"/>
      <c r="IZ380"/>
      <c r="JA380"/>
      <c r="JB380"/>
      <c r="JC380"/>
      <c r="JD380"/>
      <c r="JE380"/>
      <c r="JF380"/>
      <c r="JG380"/>
      <c r="JH380"/>
      <c r="JI380"/>
      <c r="JJ380"/>
      <c r="JK380"/>
      <c r="JL380"/>
      <c r="JM380"/>
      <c r="JN380"/>
      <c r="JO380"/>
      <c r="JP380"/>
      <c r="JQ380"/>
      <c r="JR380"/>
      <c r="JS380"/>
      <c r="JT380"/>
      <c r="JU380"/>
      <c r="JV380"/>
      <c r="JW380"/>
      <c r="JX380"/>
      <c r="JY380"/>
      <c r="JZ380"/>
      <c r="KA380"/>
      <c r="KB380"/>
      <c r="KC380"/>
      <c r="KD380"/>
      <c r="KE380"/>
      <c r="KF380"/>
      <c r="KG380"/>
      <c r="KH380"/>
      <c r="KI380"/>
      <c r="KJ380"/>
      <c r="KK380"/>
      <c r="KL380"/>
      <c r="KM380"/>
      <c r="KN380"/>
      <c r="KO380"/>
      <c r="KP380"/>
      <c r="KQ380"/>
      <c r="KR380"/>
      <c r="KS380"/>
      <c r="KT380"/>
      <c r="KU380"/>
      <c r="KV380"/>
      <c r="KW380"/>
      <c r="KX380"/>
      <c r="KY380"/>
      <c r="KZ380"/>
      <c r="LA380"/>
      <c r="LB380"/>
      <c r="LC380"/>
      <c r="LD380"/>
      <c r="LE380"/>
      <c r="LF380"/>
      <c r="LG380"/>
      <c r="LH380"/>
      <c r="LI380"/>
      <c r="LJ380"/>
      <c r="LK380"/>
      <c r="LL380"/>
      <c r="LM380"/>
      <c r="LN380"/>
      <c r="LO380"/>
      <c r="LP380"/>
      <c r="LQ380"/>
      <c r="LR380"/>
      <c r="LS380"/>
      <c r="LT380"/>
      <c r="LU380"/>
      <c r="LV380"/>
      <c r="LW380"/>
      <c r="LX380"/>
      <c r="LY380"/>
      <c r="LZ380"/>
      <c r="MA380"/>
      <c r="MB380"/>
      <c r="MC380"/>
      <c r="MD380"/>
      <c r="ME380"/>
      <c r="MF380"/>
      <c r="MG380"/>
      <c r="MH380"/>
      <c r="MI380"/>
      <c r="MJ380"/>
      <c r="MK380"/>
      <c r="ML380"/>
      <c r="MM380"/>
      <c r="MN380"/>
      <c r="MO380"/>
      <c r="MP380"/>
      <c r="MQ380"/>
      <c r="MR380"/>
      <c r="MS380"/>
      <c r="MT380"/>
      <c r="MU380"/>
      <c r="MV380"/>
      <c r="MW380"/>
      <c r="MX380"/>
      <c r="MY380"/>
      <c r="MZ380"/>
      <c r="NA380"/>
      <c r="NB380"/>
      <c r="NC380"/>
      <c r="ND380"/>
      <c r="NE380"/>
      <c r="NF380"/>
      <c r="NG380"/>
      <c r="NH380"/>
      <c r="NI380"/>
      <c r="NJ380"/>
      <c r="NK380"/>
      <c r="NL380"/>
      <c r="NM380"/>
      <c r="NN380"/>
      <c r="NO380"/>
      <c r="NP380"/>
      <c r="NQ380"/>
      <c r="NR380"/>
      <c r="NS380"/>
      <c r="NT380"/>
      <c r="NU380"/>
      <c r="NV380"/>
      <c r="NW380"/>
      <c r="NX380"/>
      <c r="NY380"/>
      <c r="NZ380"/>
      <c r="OA380"/>
      <c r="OB380"/>
      <c r="OC380"/>
      <c r="OD380"/>
      <c r="OE380"/>
      <c r="OF380"/>
      <c r="OG380"/>
      <c r="OH380"/>
      <c r="OI380"/>
      <c r="OJ380"/>
      <c r="OK380"/>
      <c r="OL380"/>
      <c r="OM380"/>
      <c r="ON380"/>
      <c r="OO380"/>
      <c r="OP380"/>
      <c r="OQ380"/>
      <c r="OR380"/>
      <c r="OS380"/>
      <c r="OT380"/>
      <c r="OU380"/>
      <c r="OV380"/>
      <c r="OW380"/>
      <c r="OX380"/>
      <c r="OY380"/>
      <c r="OZ380"/>
      <c r="PA380"/>
      <c r="PB380"/>
      <c r="PC380"/>
      <c r="PD380"/>
      <c r="PE380"/>
      <c r="PF380"/>
      <c r="PG380"/>
      <c r="PH380"/>
      <c r="PI380"/>
      <c r="PJ380"/>
      <c r="PK380"/>
      <c r="PL380"/>
      <c r="PM380"/>
      <c r="PN380"/>
      <c r="PO380"/>
      <c r="PP380"/>
      <c r="PQ380"/>
      <c r="PR380"/>
      <c r="PS380"/>
      <c r="PT380"/>
      <c r="PU380"/>
      <c r="PV380"/>
      <c r="PW380"/>
      <c r="PX380"/>
      <c r="PY380"/>
      <c r="PZ380"/>
      <c r="QA380"/>
      <c r="QB380"/>
      <c r="QC380"/>
      <c r="QD380"/>
      <c r="QE380"/>
      <c r="QF380"/>
      <c r="QG380"/>
      <c r="QH380"/>
      <c r="QI380"/>
      <c r="QJ380"/>
      <c r="QK380"/>
      <c r="QL380"/>
      <c r="QM380"/>
      <c r="QN380"/>
      <c r="QO380"/>
      <c r="QP380"/>
      <c r="QQ380"/>
      <c r="QR380"/>
      <c r="QS380"/>
      <c r="QT380"/>
      <c r="QU380"/>
      <c r="QV380"/>
      <c r="QW380"/>
      <c r="QX380"/>
      <c r="QY380"/>
      <c r="QZ380"/>
      <c r="RA380"/>
      <c r="RB380"/>
      <c r="RC380"/>
      <c r="RD380"/>
      <c r="RE380"/>
      <c r="RF380"/>
      <c r="RG380"/>
      <c r="RH380"/>
      <c r="RI380"/>
      <c r="RJ380"/>
      <c r="RK380"/>
      <c r="RL380"/>
      <c r="RM380"/>
      <c r="RN380"/>
      <c r="RO380"/>
      <c r="RP380"/>
      <c r="RQ380"/>
      <c r="RR380"/>
      <c r="RS380"/>
      <c r="RT380"/>
      <c r="RU380"/>
    </row>
    <row r="381" spans="3:489" x14ac:dyDescent="0.25">
      <c r="C381"/>
      <c r="D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  <c r="HB381"/>
      <c r="HC381"/>
      <c r="HD381"/>
      <c r="HE381"/>
      <c r="HF381"/>
      <c r="HG381"/>
      <c r="HH381"/>
      <c r="HI381"/>
      <c r="HJ381"/>
      <c r="HK381"/>
      <c r="HL381"/>
      <c r="HM381"/>
      <c r="HN381"/>
      <c r="HO381"/>
      <c r="HP381"/>
      <c r="HQ381"/>
      <c r="HR381"/>
      <c r="HS381"/>
      <c r="HT381"/>
      <c r="HU381"/>
      <c r="HV381"/>
      <c r="HW381"/>
      <c r="HX381"/>
      <c r="HY381"/>
      <c r="HZ381"/>
      <c r="IA381"/>
      <c r="IB381"/>
      <c r="IC381"/>
      <c r="ID381"/>
      <c r="IE381"/>
      <c r="IF381"/>
      <c r="IG381"/>
      <c r="IH381"/>
      <c r="II381"/>
      <c r="IJ381"/>
      <c r="IK381"/>
      <c r="IL381"/>
      <c r="IM381"/>
      <c r="IN381"/>
      <c r="IO381"/>
      <c r="IP381"/>
      <c r="IQ381"/>
      <c r="IR381"/>
      <c r="IS381"/>
      <c r="IT381"/>
      <c r="IU381"/>
      <c r="IV381"/>
      <c r="IW381"/>
      <c r="IX381"/>
      <c r="IY381"/>
      <c r="IZ381"/>
      <c r="JA381"/>
      <c r="JB381"/>
      <c r="JC381"/>
      <c r="JD381"/>
      <c r="JE381"/>
      <c r="JF381"/>
      <c r="JG381"/>
      <c r="JH381"/>
      <c r="JI381"/>
      <c r="JJ381"/>
      <c r="JK381"/>
      <c r="JL381"/>
      <c r="JM381"/>
      <c r="JN381"/>
      <c r="JO381"/>
      <c r="JP381"/>
      <c r="JQ381"/>
      <c r="JR381"/>
      <c r="JS381"/>
      <c r="JT381"/>
      <c r="JU381"/>
      <c r="JV381"/>
      <c r="JW381"/>
      <c r="JX381"/>
      <c r="JY381"/>
      <c r="JZ381"/>
      <c r="KA381"/>
      <c r="KB381"/>
      <c r="KC381"/>
      <c r="KD381"/>
      <c r="KE381"/>
      <c r="KF381"/>
      <c r="KG381"/>
      <c r="KH381"/>
      <c r="KI381"/>
      <c r="KJ381"/>
      <c r="KK381"/>
      <c r="KL381"/>
      <c r="KM381"/>
      <c r="KN381"/>
      <c r="KO381"/>
      <c r="KP381"/>
      <c r="KQ381"/>
      <c r="KR381"/>
      <c r="KS381"/>
      <c r="KT381"/>
      <c r="KU381"/>
      <c r="KV381"/>
      <c r="KW381"/>
      <c r="KX381"/>
      <c r="KY381"/>
      <c r="KZ381"/>
      <c r="LA381"/>
      <c r="LB381"/>
      <c r="LC381"/>
      <c r="LD381"/>
      <c r="LE381"/>
      <c r="LF381"/>
      <c r="LG381"/>
      <c r="LH381"/>
      <c r="LI381"/>
      <c r="LJ381"/>
      <c r="LK381"/>
      <c r="LL381"/>
      <c r="LM381"/>
      <c r="LN381"/>
      <c r="LO381"/>
      <c r="LP381"/>
      <c r="LQ381"/>
      <c r="LR381"/>
      <c r="LS381"/>
      <c r="LT381"/>
      <c r="LU381"/>
      <c r="LV381"/>
      <c r="LW381"/>
      <c r="LX381"/>
      <c r="LY381"/>
      <c r="LZ381"/>
      <c r="MA381"/>
      <c r="MB381"/>
      <c r="MC381"/>
      <c r="MD381"/>
      <c r="ME381"/>
      <c r="MF381"/>
      <c r="MG381"/>
      <c r="MH381"/>
      <c r="MI381"/>
      <c r="MJ381"/>
      <c r="MK381"/>
      <c r="ML381"/>
      <c r="MM381"/>
      <c r="MN381"/>
      <c r="MO381"/>
      <c r="MP381"/>
      <c r="MQ381"/>
      <c r="MR381"/>
      <c r="MS381"/>
      <c r="MT381"/>
      <c r="MU381"/>
      <c r="MV381"/>
      <c r="MW381"/>
      <c r="MX381"/>
      <c r="MY381"/>
      <c r="MZ381"/>
      <c r="NA381"/>
      <c r="NB381"/>
      <c r="NC381"/>
      <c r="ND381"/>
      <c r="NE381"/>
      <c r="NF381"/>
      <c r="NG381"/>
      <c r="NH381"/>
      <c r="NI381"/>
      <c r="NJ381"/>
      <c r="NK381"/>
      <c r="NL381"/>
      <c r="NM381"/>
      <c r="NN381"/>
      <c r="NO381"/>
      <c r="NP381"/>
      <c r="NQ381"/>
      <c r="NR381"/>
      <c r="NS381"/>
      <c r="NT381"/>
      <c r="NU381"/>
      <c r="NV381"/>
      <c r="NW381"/>
      <c r="NX381"/>
      <c r="NY381"/>
      <c r="NZ381"/>
      <c r="OA381"/>
      <c r="OB381"/>
      <c r="OC381"/>
      <c r="OD381"/>
      <c r="OE381"/>
      <c r="OF381"/>
      <c r="OG381"/>
      <c r="OH381"/>
      <c r="OI381"/>
      <c r="OJ381"/>
      <c r="OK381"/>
      <c r="OL381"/>
      <c r="OM381"/>
      <c r="ON381"/>
      <c r="OO381"/>
      <c r="OP381"/>
      <c r="OQ381"/>
      <c r="OR381"/>
      <c r="OS381"/>
      <c r="OT381"/>
      <c r="OU381"/>
      <c r="OV381"/>
      <c r="OW381"/>
      <c r="OX381"/>
      <c r="OY381"/>
      <c r="OZ381"/>
      <c r="PA381"/>
      <c r="PB381"/>
      <c r="PC381"/>
      <c r="PD381"/>
      <c r="PE381"/>
      <c r="PF381"/>
      <c r="PG381"/>
      <c r="PH381"/>
      <c r="PI381"/>
      <c r="PJ381"/>
      <c r="PK381"/>
      <c r="PL381"/>
      <c r="PM381"/>
      <c r="PN381"/>
      <c r="PO381"/>
      <c r="PP381"/>
      <c r="PQ381"/>
      <c r="PR381"/>
      <c r="PS381"/>
      <c r="PT381"/>
      <c r="PU381"/>
      <c r="PV381"/>
      <c r="PW381"/>
      <c r="PX381"/>
      <c r="PY381"/>
      <c r="PZ381"/>
      <c r="QA381"/>
      <c r="QB381"/>
      <c r="QC381"/>
      <c r="QD381"/>
      <c r="QE381"/>
      <c r="QF381"/>
      <c r="QG381"/>
      <c r="QH381"/>
      <c r="QI381"/>
      <c r="QJ381"/>
      <c r="QK381"/>
      <c r="QL381"/>
      <c r="QM381"/>
      <c r="QN381"/>
      <c r="QO381"/>
      <c r="QP381"/>
      <c r="QQ381"/>
      <c r="QR381"/>
      <c r="QS381"/>
      <c r="QT381"/>
      <c r="QU381"/>
      <c r="QV381"/>
      <c r="QW381"/>
      <c r="QX381"/>
      <c r="QY381"/>
      <c r="QZ381"/>
      <c r="RA381"/>
      <c r="RB381"/>
      <c r="RC381"/>
      <c r="RD381"/>
      <c r="RE381"/>
      <c r="RF381"/>
      <c r="RG381"/>
      <c r="RH381"/>
      <c r="RI381"/>
      <c r="RJ381"/>
      <c r="RK381"/>
      <c r="RL381"/>
      <c r="RM381"/>
      <c r="RN381"/>
      <c r="RO381"/>
      <c r="RP381"/>
      <c r="RQ381"/>
      <c r="RR381"/>
      <c r="RS381"/>
      <c r="RT381"/>
      <c r="RU381"/>
    </row>
    <row r="382" spans="3:489" x14ac:dyDescent="0.25">
      <c r="C382"/>
      <c r="D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  <c r="HB382"/>
      <c r="HC382"/>
      <c r="HD382"/>
      <c r="HE382"/>
      <c r="HF382"/>
      <c r="HG382"/>
      <c r="HH382"/>
      <c r="HI382"/>
      <c r="HJ382"/>
      <c r="HK382"/>
      <c r="HL382"/>
      <c r="HM382"/>
      <c r="HN382"/>
      <c r="HO382"/>
      <c r="HP382"/>
      <c r="HQ382"/>
      <c r="HR382"/>
      <c r="HS382"/>
      <c r="HT382"/>
      <c r="HU382"/>
      <c r="HV382"/>
      <c r="HW382"/>
      <c r="HX382"/>
      <c r="HY382"/>
      <c r="HZ382"/>
      <c r="IA382"/>
      <c r="IB382"/>
      <c r="IC382"/>
      <c r="ID382"/>
      <c r="IE382"/>
      <c r="IF382"/>
      <c r="IG382"/>
      <c r="IH382"/>
      <c r="II382"/>
      <c r="IJ382"/>
      <c r="IK382"/>
      <c r="IL382"/>
      <c r="IM382"/>
      <c r="IN382"/>
      <c r="IO382"/>
      <c r="IP382"/>
      <c r="IQ382"/>
      <c r="IR382"/>
      <c r="IS382"/>
      <c r="IT382"/>
      <c r="IU382"/>
      <c r="IV382"/>
      <c r="IW382"/>
      <c r="IX382"/>
      <c r="IY382"/>
      <c r="IZ382"/>
      <c r="JA382"/>
      <c r="JB382"/>
      <c r="JC382"/>
      <c r="JD382"/>
      <c r="JE382"/>
      <c r="JF382"/>
      <c r="JG382"/>
      <c r="JH382"/>
      <c r="JI382"/>
      <c r="JJ382"/>
      <c r="JK382"/>
      <c r="JL382"/>
      <c r="JM382"/>
      <c r="JN382"/>
      <c r="JO382"/>
      <c r="JP382"/>
      <c r="JQ382"/>
      <c r="JR382"/>
      <c r="JS382"/>
      <c r="JT382"/>
      <c r="JU382"/>
      <c r="JV382"/>
      <c r="JW382"/>
      <c r="JX382"/>
      <c r="JY382"/>
      <c r="JZ382"/>
      <c r="KA382"/>
      <c r="KB382"/>
      <c r="KC382"/>
      <c r="KD382"/>
      <c r="KE382"/>
      <c r="KF382"/>
      <c r="KG382"/>
      <c r="KH382"/>
      <c r="KI382"/>
      <c r="KJ382"/>
      <c r="KK382"/>
      <c r="KL382"/>
      <c r="KM382"/>
      <c r="KN382"/>
      <c r="KO382"/>
      <c r="KP382"/>
      <c r="KQ382"/>
      <c r="KR382"/>
      <c r="KS382"/>
      <c r="KT382"/>
      <c r="KU382"/>
      <c r="KV382"/>
      <c r="KW382"/>
      <c r="KX382"/>
      <c r="KY382"/>
      <c r="KZ382"/>
      <c r="LA382"/>
      <c r="LB382"/>
      <c r="LC382"/>
      <c r="LD382"/>
      <c r="LE382"/>
      <c r="LF382"/>
      <c r="LG382"/>
      <c r="LH382"/>
      <c r="LI382"/>
      <c r="LJ382"/>
      <c r="LK382"/>
      <c r="LL382"/>
      <c r="LM382"/>
      <c r="LN382"/>
      <c r="LO382"/>
      <c r="LP382"/>
      <c r="LQ382"/>
      <c r="LR382"/>
      <c r="LS382"/>
      <c r="LT382"/>
      <c r="LU382"/>
      <c r="LV382"/>
      <c r="LW382"/>
      <c r="LX382"/>
      <c r="LY382"/>
      <c r="LZ382"/>
      <c r="MA382"/>
      <c r="MB382"/>
      <c r="MC382"/>
      <c r="MD382"/>
      <c r="ME382"/>
      <c r="MF382"/>
      <c r="MG382"/>
      <c r="MH382"/>
      <c r="MI382"/>
      <c r="MJ382"/>
      <c r="MK382"/>
      <c r="ML382"/>
      <c r="MM382"/>
      <c r="MN382"/>
      <c r="MO382"/>
      <c r="MP382"/>
      <c r="MQ382"/>
      <c r="MR382"/>
      <c r="MS382"/>
      <c r="MT382"/>
      <c r="MU382"/>
      <c r="MV382"/>
      <c r="MW382"/>
      <c r="MX382"/>
      <c r="MY382"/>
      <c r="MZ382"/>
      <c r="NA382"/>
      <c r="NB382"/>
      <c r="NC382"/>
      <c r="ND382"/>
      <c r="NE382"/>
      <c r="NF382"/>
      <c r="NG382"/>
      <c r="NH382"/>
      <c r="NI382"/>
      <c r="NJ382"/>
      <c r="NK382"/>
      <c r="NL382"/>
      <c r="NM382"/>
      <c r="NN382"/>
      <c r="NO382"/>
      <c r="NP382"/>
      <c r="NQ382"/>
      <c r="NR382"/>
      <c r="NS382"/>
      <c r="NT382"/>
      <c r="NU382"/>
      <c r="NV382"/>
      <c r="NW382"/>
      <c r="NX382"/>
      <c r="NY382"/>
      <c r="NZ382"/>
      <c r="OA382"/>
      <c r="OB382"/>
      <c r="OC382"/>
      <c r="OD382"/>
      <c r="OE382"/>
      <c r="OF382"/>
      <c r="OG382"/>
      <c r="OH382"/>
      <c r="OI382"/>
      <c r="OJ382"/>
      <c r="OK382"/>
      <c r="OL382"/>
      <c r="OM382"/>
      <c r="ON382"/>
      <c r="OO382"/>
      <c r="OP382"/>
      <c r="OQ382"/>
      <c r="OR382"/>
      <c r="OS382"/>
      <c r="OT382"/>
      <c r="OU382"/>
      <c r="OV382"/>
      <c r="OW382"/>
      <c r="OX382"/>
      <c r="OY382"/>
      <c r="OZ382"/>
      <c r="PA382"/>
      <c r="PB382"/>
      <c r="PC382"/>
      <c r="PD382"/>
      <c r="PE382"/>
      <c r="PF382"/>
      <c r="PG382"/>
      <c r="PH382"/>
      <c r="PI382"/>
      <c r="PJ382"/>
      <c r="PK382"/>
      <c r="PL382"/>
      <c r="PM382"/>
      <c r="PN382"/>
      <c r="PO382"/>
      <c r="PP382"/>
      <c r="PQ382"/>
      <c r="PR382"/>
      <c r="PS382"/>
      <c r="PT382"/>
      <c r="PU382"/>
      <c r="PV382"/>
      <c r="PW382"/>
      <c r="PX382"/>
      <c r="PY382"/>
      <c r="PZ382"/>
      <c r="QA382"/>
      <c r="QB382"/>
      <c r="QC382"/>
      <c r="QD382"/>
      <c r="QE382"/>
      <c r="QF382"/>
      <c r="QG382"/>
      <c r="QH382"/>
      <c r="QI382"/>
      <c r="QJ382"/>
      <c r="QK382"/>
      <c r="QL382"/>
      <c r="QM382"/>
      <c r="QN382"/>
      <c r="QO382"/>
      <c r="QP382"/>
      <c r="QQ382"/>
      <c r="QR382"/>
      <c r="QS382"/>
      <c r="QT382"/>
      <c r="QU382"/>
      <c r="QV382"/>
      <c r="QW382"/>
      <c r="QX382"/>
      <c r="QY382"/>
      <c r="QZ382"/>
      <c r="RA382"/>
      <c r="RB382"/>
      <c r="RC382"/>
      <c r="RD382"/>
      <c r="RE382"/>
      <c r="RF382"/>
      <c r="RG382"/>
      <c r="RH382"/>
      <c r="RI382"/>
      <c r="RJ382"/>
      <c r="RK382"/>
      <c r="RL382"/>
      <c r="RM382"/>
      <c r="RN382"/>
      <c r="RO382"/>
      <c r="RP382"/>
      <c r="RQ382"/>
      <c r="RR382"/>
      <c r="RS382"/>
      <c r="RT382"/>
      <c r="RU382"/>
    </row>
    <row r="383" spans="3:489" x14ac:dyDescent="0.25">
      <c r="C383"/>
      <c r="D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  <c r="HB383"/>
      <c r="HC383"/>
      <c r="HD383"/>
      <c r="HE383"/>
      <c r="HF383"/>
      <c r="HG383"/>
      <c r="HH383"/>
      <c r="HI383"/>
      <c r="HJ383"/>
      <c r="HK383"/>
      <c r="HL383"/>
      <c r="HM383"/>
      <c r="HN383"/>
      <c r="HO383"/>
      <c r="HP383"/>
      <c r="HQ383"/>
      <c r="HR383"/>
      <c r="HS383"/>
      <c r="HT383"/>
      <c r="HU383"/>
      <c r="HV383"/>
      <c r="HW383"/>
      <c r="HX383"/>
      <c r="HY383"/>
      <c r="HZ383"/>
      <c r="IA383"/>
      <c r="IB383"/>
      <c r="IC383"/>
      <c r="ID383"/>
      <c r="IE383"/>
      <c r="IF383"/>
      <c r="IG383"/>
      <c r="IH383"/>
      <c r="II383"/>
      <c r="IJ383"/>
      <c r="IK383"/>
      <c r="IL383"/>
      <c r="IM383"/>
      <c r="IN383"/>
      <c r="IO383"/>
      <c r="IP383"/>
      <c r="IQ383"/>
      <c r="IR383"/>
      <c r="IS383"/>
      <c r="IT383"/>
      <c r="IU383"/>
      <c r="IV383"/>
      <c r="IW383"/>
      <c r="IX383"/>
      <c r="IY383"/>
      <c r="IZ383"/>
      <c r="JA383"/>
      <c r="JB383"/>
      <c r="JC383"/>
      <c r="JD383"/>
      <c r="JE383"/>
      <c r="JF383"/>
      <c r="JG383"/>
      <c r="JH383"/>
      <c r="JI383"/>
      <c r="JJ383"/>
      <c r="JK383"/>
      <c r="JL383"/>
      <c r="JM383"/>
      <c r="JN383"/>
      <c r="JO383"/>
      <c r="JP383"/>
      <c r="JQ383"/>
      <c r="JR383"/>
      <c r="JS383"/>
      <c r="JT383"/>
      <c r="JU383"/>
      <c r="JV383"/>
      <c r="JW383"/>
      <c r="JX383"/>
      <c r="JY383"/>
      <c r="JZ383"/>
      <c r="KA383"/>
      <c r="KB383"/>
      <c r="KC383"/>
      <c r="KD383"/>
      <c r="KE383"/>
      <c r="KF383"/>
      <c r="KG383"/>
      <c r="KH383"/>
      <c r="KI383"/>
      <c r="KJ383"/>
      <c r="KK383"/>
      <c r="KL383"/>
      <c r="KM383"/>
      <c r="KN383"/>
      <c r="KO383"/>
      <c r="KP383"/>
      <c r="KQ383"/>
      <c r="KR383"/>
      <c r="KS383"/>
      <c r="KT383"/>
      <c r="KU383"/>
      <c r="KV383"/>
      <c r="KW383"/>
      <c r="KX383"/>
      <c r="KY383"/>
      <c r="KZ383"/>
      <c r="LA383"/>
      <c r="LB383"/>
      <c r="LC383"/>
      <c r="LD383"/>
      <c r="LE383"/>
      <c r="LF383"/>
      <c r="LG383"/>
      <c r="LH383"/>
      <c r="LI383"/>
      <c r="LJ383"/>
      <c r="LK383"/>
      <c r="LL383"/>
      <c r="LM383"/>
      <c r="LN383"/>
      <c r="LO383"/>
      <c r="LP383"/>
      <c r="LQ383"/>
      <c r="LR383"/>
      <c r="LS383"/>
      <c r="LT383"/>
      <c r="LU383"/>
      <c r="LV383"/>
      <c r="LW383"/>
      <c r="LX383"/>
      <c r="LY383"/>
      <c r="LZ383"/>
      <c r="MA383"/>
      <c r="MB383"/>
      <c r="MC383"/>
      <c r="MD383"/>
      <c r="ME383"/>
      <c r="MF383"/>
      <c r="MG383"/>
      <c r="MH383"/>
      <c r="MI383"/>
      <c r="MJ383"/>
      <c r="MK383"/>
      <c r="ML383"/>
      <c r="MM383"/>
      <c r="MN383"/>
      <c r="MO383"/>
      <c r="MP383"/>
      <c r="MQ383"/>
      <c r="MR383"/>
      <c r="MS383"/>
      <c r="MT383"/>
      <c r="MU383"/>
      <c r="MV383"/>
      <c r="MW383"/>
      <c r="MX383"/>
      <c r="MY383"/>
      <c r="MZ383"/>
      <c r="NA383"/>
      <c r="NB383"/>
      <c r="NC383"/>
      <c r="ND383"/>
      <c r="NE383"/>
      <c r="NF383"/>
      <c r="NG383"/>
      <c r="NH383"/>
      <c r="NI383"/>
      <c r="NJ383"/>
      <c r="NK383"/>
      <c r="NL383"/>
      <c r="NM383"/>
      <c r="NN383"/>
      <c r="NO383"/>
      <c r="NP383"/>
      <c r="NQ383"/>
      <c r="NR383"/>
      <c r="NS383"/>
      <c r="NT383"/>
      <c r="NU383"/>
      <c r="NV383"/>
      <c r="NW383"/>
      <c r="NX383"/>
      <c r="NY383"/>
      <c r="NZ383"/>
      <c r="OA383"/>
      <c r="OB383"/>
      <c r="OC383"/>
      <c r="OD383"/>
      <c r="OE383"/>
      <c r="OF383"/>
      <c r="OG383"/>
      <c r="OH383"/>
      <c r="OI383"/>
      <c r="OJ383"/>
      <c r="OK383"/>
      <c r="OL383"/>
      <c r="OM383"/>
      <c r="ON383"/>
      <c r="OO383"/>
      <c r="OP383"/>
      <c r="OQ383"/>
      <c r="OR383"/>
      <c r="OS383"/>
      <c r="OT383"/>
      <c r="OU383"/>
      <c r="OV383"/>
      <c r="OW383"/>
      <c r="OX383"/>
      <c r="OY383"/>
      <c r="OZ383"/>
      <c r="PA383"/>
      <c r="PB383"/>
      <c r="PC383"/>
      <c r="PD383"/>
      <c r="PE383"/>
      <c r="PF383"/>
      <c r="PG383"/>
      <c r="PH383"/>
      <c r="PI383"/>
      <c r="PJ383"/>
      <c r="PK383"/>
      <c r="PL383"/>
      <c r="PM383"/>
      <c r="PN383"/>
      <c r="PO383"/>
      <c r="PP383"/>
      <c r="PQ383"/>
      <c r="PR383"/>
      <c r="PS383"/>
      <c r="PT383"/>
      <c r="PU383"/>
      <c r="PV383"/>
      <c r="PW383"/>
      <c r="PX383"/>
      <c r="PY383"/>
      <c r="PZ383"/>
      <c r="QA383"/>
      <c r="QB383"/>
      <c r="QC383"/>
      <c r="QD383"/>
      <c r="QE383"/>
      <c r="QF383"/>
      <c r="QG383"/>
      <c r="QH383"/>
      <c r="QI383"/>
      <c r="QJ383"/>
      <c r="QK383"/>
      <c r="QL383"/>
      <c r="QM383"/>
      <c r="QN383"/>
      <c r="QO383"/>
      <c r="QP383"/>
      <c r="QQ383"/>
      <c r="QR383"/>
      <c r="QS383"/>
      <c r="QT383"/>
      <c r="QU383"/>
      <c r="QV383"/>
      <c r="QW383"/>
      <c r="QX383"/>
      <c r="QY383"/>
      <c r="QZ383"/>
      <c r="RA383"/>
      <c r="RB383"/>
      <c r="RC383"/>
      <c r="RD383"/>
      <c r="RE383"/>
      <c r="RF383"/>
      <c r="RG383"/>
      <c r="RH383"/>
      <c r="RI383"/>
      <c r="RJ383"/>
      <c r="RK383"/>
      <c r="RL383"/>
      <c r="RM383"/>
      <c r="RN383"/>
      <c r="RO383"/>
      <c r="RP383"/>
      <c r="RQ383"/>
      <c r="RR383"/>
      <c r="RS383"/>
      <c r="RT383"/>
      <c r="RU383"/>
    </row>
    <row r="384" spans="3:489" x14ac:dyDescent="0.25">
      <c r="C384"/>
      <c r="D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  <c r="HB384"/>
      <c r="HC384"/>
      <c r="HD384"/>
      <c r="HE384"/>
      <c r="HF384"/>
      <c r="HG384"/>
      <c r="HH384"/>
      <c r="HI384"/>
      <c r="HJ384"/>
      <c r="HK384"/>
      <c r="HL384"/>
      <c r="HM384"/>
      <c r="HN384"/>
      <c r="HO384"/>
      <c r="HP384"/>
      <c r="HQ384"/>
      <c r="HR384"/>
      <c r="HS384"/>
      <c r="HT384"/>
      <c r="HU384"/>
      <c r="HV384"/>
      <c r="HW384"/>
      <c r="HX384"/>
      <c r="HY384"/>
      <c r="HZ384"/>
      <c r="IA384"/>
      <c r="IB384"/>
      <c r="IC384"/>
      <c r="ID384"/>
      <c r="IE384"/>
      <c r="IF384"/>
      <c r="IG384"/>
      <c r="IH384"/>
      <c r="II384"/>
      <c r="IJ384"/>
      <c r="IK384"/>
      <c r="IL384"/>
      <c r="IM384"/>
      <c r="IN384"/>
      <c r="IO384"/>
      <c r="IP384"/>
      <c r="IQ384"/>
      <c r="IR384"/>
      <c r="IS384"/>
      <c r="IT384"/>
      <c r="IU384"/>
      <c r="IV384"/>
      <c r="IW384"/>
      <c r="IX384"/>
      <c r="IY384"/>
      <c r="IZ384"/>
      <c r="JA384"/>
      <c r="JB384"/>
      <c r="JC384"/>
      <c r="JD384"/>
      <c r="JE384"/>
      <c r="JF384"/>
      <c r="JG384"/>
      <c r="JH384"/>
      <c r="JI384"/>
      <c r="JJ384"/>
      <c r="JK384"/>
      <c r="JL384"/>
      <c r="JM384"/>
      <c r="JN384"/>
      <c r="JO384"/>
      <c r="JP384"/>
      <c r="JQ384"/>
      <c r="JR384"/>
      <c r="JS384"/>
      <c r="JT384"/>
      <c r="JU384"/>
      <c r="JV384"/>
      <c r="JW384"/>
      <c r="JX384"/>
      <c r="JY384"/>
      <c r="JZ384"/>
      <c r="KA384"/>
      <c r="KB384"/>
      <c r="KC384"/>
      <c r="KD384"/>
      <c r="KE384"/>
      <c r="KF384"/>
      <c r="KG384"/>
      <c r="KH384"/>
      <c r="KI384"/>
      <c r="KJ384"/>
      <c r="KK384"/>
      <c r="KL384"/>
      <c r="KM384"/>
      <c r="KN384"/>
      <c r="KO384"/>
      <c r="KP384"/>
      <c r="KQ384"/>
      <c r="KR384"/>
      <c r="KS384"/>
      <c r="KT384"/>
      <c r="KU384"/>
      <c r="KV384"/>
      <c r="KW384"/>
      <c r="KX384"/>
      <c r="KY384"/>
      <c r="KZ384"/>
      <c r="LA384"/>
      <c r="LB384"/>
      <c r="LC384"/>
      <c r="LD384"/>
      <c r="LE384"/>
      <c r="LF384"/>
      <c r="LG384"/>
      <c r="LH384"/>
      <c r="LI384"/>
      <c r="LJ384"/>
      <c r="LK384"/>
      <c r="LL384"/>
      <c r="LM384"/>
      <c r="LN384"/>
      <c r="LO384"/>
      <c r="LP384"/>
      <c r="LQ384"/>
      <c r="LR384"/>
      <c r="LS384"/>
      <c r="LT384"/>
      <c r="LU384"/>
      <c r="LV384"/>
      <c r="LW384"/>
      <c r="LX384"/>
      <c r="LY384"/>
      <c r="LZ384"/>
      <c r="MA384"/>
      <c r="MB384"/>
      <c r="MC384"/>
      <c r="MD384"/>
      <c r="ME384"/>
      <c r="MF384"/>
      <c r="MG384"/>
      <c r="MH384"/>
      <c r="MI384"/>
      <c r="MJ384"/>
      <c r="MK384"/>
      <c r="ML384"/>
      <c r="MM384"/>
      <c r="MN384"/>
      <c r="MO384"/>
      <c r="MP384"/>
      <c r="MQ384"/>
      <c r="MR384"/>
      <c r="MS384"/>
      <c r="MT384"/>
      <c r="MU384"/>
      <c r="MV384"/>
      <c r="MW384"/>
      <c r="MX384"/>
      <c r="MY384"/>
      <c r="MZ384"/>
      <c r="NA384"/>
      <c r="NB384"/>
      <c r="NC384"/>
      <c r="ND384"/>
      <c r="NE384"/>
      <c r="NF384"/>
      <c r="NG384"/>
      <c r="NH384"/>
      <c r="NI384"/>
      <c r="NJ384"/>
      <c r="NK384"/>
      <c r="NL384"/>
      <c r="NM384"/>
      <c r="NN384"/>
      <c r="NO384"/>
      <c r="NP384"/>
      <c r="NQ384"/>
      <c r="NR384"/>
      <c r="NS384"/>
      <c r="NT384"/>
      <c r="NU384"/>
      <c r="NV384"/>
      <c r="NW384"/>
      <c r="NX384"/>
      <c r="NY384"/>
      <c r="NZ384"/>
      <c r="OA384"/>
      <c r="OB384"/>
      <c r="OC384"/>
      <c r="OD384"/>
      <c r="OE384"/>
      <c r="OF384"/>
      <c r="OG384"/>
      <c r="OH384"/>
      <c r="OI384"/>
      <c r="OJ384"/>
      <c r="OK384"/>
      <c r="OL384"/>
      <c r="OM384"/>
      <c r="ON384"/>
      <c r="OO384"/>
      <c r="OP384"/>
      <c r="OQ384"/>
      <c r="OR384"/>
      <c r="OS384"/>
      <c r="OT384"/>
      <c r="OU384"/>
      <c r="OV384"/>
      <c r="OW384"/>
      <c r="OX384"/>
      <c r="OY384"/>
      <c r="OZ384"/>
      <c r="PA384"/>
      <c r="PB384"/>
      <c r="PC384"/>
      <c r="PD384"/>
      <c r="PE384"/>
      <c r="PF384"/>
      <c r="PG384"/>
      <c r="PH384"/>
      <c r="PI384"/>
      <c r="PJ384"/>
      <c r="PK384"/>
      <c r="PL384"/>
      <c r="PM384"/>
      <c r="PN384"/>
      <c r="PO384"/>
      <c r="PP384"/>
      <c r="PQ384"/>
      <c r="PR384"/>
      <c r="PS384"/>
      <c r="PT384"/>
      <c r="PU384"/>
      <c r="PV384"/>
      <c r="PW384"/>
      <c r="PX384"/>
      <c r="PY384"/>
      <c r="PZ384"/>
      <c r="QA384"/>
      <c r="QB384"/>
      <c r="QC384"/>
      <c r="QD384"/>
      <c r="QE384"/>
      <c r="QF384"/>
      <c r="QG384"/>
      <c r="QH384"/>
      <c r="QI384"/>
      <c r="QJ384"/>
      <c r="QK384"/>
      <c r="QL384"/>
      <c r="QM384"/>
      <c r="QN384"/>
      <c r="QO384"/>
      <c r="QP384"/>
      <c r="QQ384"/>
      <c r="QR384"/>
      <c r="QS384"/>
      <c r="QT384"/>
      <c r="QU384"/>
      <c r="QV384"/>
      <c r="QW384"/>
      <c r="QX384"/>
      <c r="QY384"/>
      <c r="QZ384"/>
      <c r="RA384"/>
      <c r="RB384"/>
      <c r="RC384"/>
      <c r="RD384"/>
      <c r="RE384"/>
      <c r="RF384"/>
      <c r="RG384"/>
      <c r="RH384"/>
      <c r="RI384"/>
      <c r="RJ384"/>
      <c r="RK384"/>
      <c r="RL384"/>
      <c r="RM384"/>
      <c r="RN384"/>
      <c r="RO384"/>
      <c r="RP384"/>
      <c r="RQ384"/>
      <c r="RR384"/>
      <c r="RS384"/>
      <c r="RT384"/>
      <c r="RU384"/>
    </row>
    <row r="385" spans="3:489" x14ac:dyDescent="0.25">
      <c r="C385"/>
      <c r="D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  <c r="HB385"/>
      <c r="HC385"/>
      <c r="HD385"/>
      <c r="HE385"/>
      <c r="HF385"/>
      <c r="HG385"/>
      <c r="HH385"/>
      <c r="HI385"/>
      <c r="HJ385"/>
      <c r="HK385"/>
      <c r="HL385"/>
      <c r="HM385"/>
      <c r="HN385"/>
      <c r="HO385"/>
      <c r="HP385"/>
      <c r="HQ385"/>
      <c r="HR385"/>
      <c r="HS385"/>
      <c r="HT385"/>
      <c r="HU385"/>
      <c r="HV385"/>
      <c r="HW385"/>
      <c r="HX385"/>
      <c r="HY385"/>
      <c r="HZ385"/>
      <c r="IA385"/>
      <c r="IB385"/>
      <c r="IC385"/>
      <c r="ID385"/>
      <c r="IE385"/>
      <c r="IF385"/>
      <c r="IG385"/>
      <c r="IH385"/>
      <c r="II385"/>
      <c r="IJ385"/>
      <c r="IK385"/>
      <c r="IL385"/>
      <c r="IM385"/>
      <c r="IN385"/>
      <c r="IO385"/>
      <c r="IP385"/>
      <c r="IQ385"/>
      <c r="IR385"/>
      <c r="IS385"/>
      <c r="IT385"/>
      <c r="IU385"/>
      <c r="IV385"/>
      <c r="IW385"/>
      <c r="IX385"/>
      <c r="IY385"/>
      <c r="IZ385"/>
      <c r="JA385"/>
      <c r="JB385"/>
      <c r="JC385"/>
      <c r="JD385"/>
      <c r="JE385"/>
      <c r="JF385"/>
      <c r="JG385"/>
      <c r="JH385"/>
      <c r="JI385"/>
      <c r="JJ385"/>
      <c r="JK385"/>
      <c r="JL385"/>
      <c r="JM385"/>
      <c r="JN385"/>
      <c r="JO385"/>
      <c r="JP385"/>
      <c r="JQ385"/>
      <c r="JR385"/>
      <c r="JS385"/>
      <c r="JT385"/>
      <c r="JU385"/>
      <c r="JV385"/>
      <c r="JW385"/>
      <c r="JX385"/>
      <c r="JY385"/>
      <c r="JZ385"/>
      <c r="KA385"/>
      <c r="KB385"/>
      <c r="KC385"/>
      <c r="KD385"/>
      <c r="KE385"/>
      <c r="KF385"/>
      <c r="KG385"/>
      <c r="KH385"/>
      <c r="KI385"/>
      <c r="KJ385"/>
      <c r="KK385"/>
      <c r="KL385"/>
      <c r="KM385"/>
      <c r="KN385"/>
      <c r="KO385"/>
      <c r="KP385"/>
      <c r="KQ385"/>
      <c r="KR385"/>
      <c r="KS385"/>
      <c r="KT385"/>
      <c r="KU385"/>
      <c r="KV385"/>
      <c r="KW385"/>
      <c r="KX385"/>
      <c r="KY385"/>
      <c r="KZ385"/>
      <c r="LA385"/>
      <c r="LB385"/>
      <c r="LC385"/>
      <c r="LD385"/>
      <c r="LE385"/>
      <c r="LF385"/>
      <c r="LG385"/>
      <c r="LH385"/>
      <c r="LI385"/>
      <c r="LJ385"/>
      <c r="LK385"/>
      <c r="LL385"/>
      <c r="LM385"/>
      <c r="LN385"/>
      <c r="LO385"/>
      <c r="LP385"/>
      <c r="LQ385"/>
      <c r="LR385"/>
      <c r="LS385"/>
      <c r="LT385"/>
      <c r="LU385"/>
      <c r="LV385"/>
      <c r="LW385"/>
      <c r="LX385"/>
      <c r="LY385"/>
      <c r="LZ385"/>
      <c r="MA385"/>
      <c r="MB385"/>
      <c r="MC385"/>
      <c r="MD385"/>
      <c r="ME385"/>
      <c r="MF385"/>
      <c r="MG385"/>
      <c r="MH385"/>
      <c r="MI385"/>
      <c r="MJ385"/>
      <c r="MK385"/>
      <c r="ML385"/>
      <c r="MM385"/>
      <c r="MN385"/>
      <c r="MO385"/>
      <c r="MP385"/>
      <c r="MQ385"/>
      <c r="MR385"/>
      <c r="MS385"/>
      <c r="MT385"/>
      <c r="MU385"/>
      <c r="MV385"/>
      <c r="MW385"/>
      <c r="MX385"/>
      <c r="MY385"/>
      <c r="MZ385"/>
      <c r="NA385"/>
      <c r="NB385"/>
      <c r="NC385"/>
      <c r="ND385"/>
      <c r="NE385"/>
      <c r="NF385"/>
      <c r="NG385"/>
      <c r="NH385"/>
      <c r="NI385"/>
      <c r="NJ385"/>
      <c r="NK385"/>
      <c r="NL385"/>
      <c r="NM385"/>
      <c r="NN385"/>
      <c r="NO385"/>
      <c r="NP385"/>
      <c r="NQ385"/>
      <c r="NR385"/>
      <c r="NS385"/>
      <c r="NT385"/>
      <c r="NU385"/>
      <c r="NV385"/>
      <c r="NW385"/>
      <c r="NX385"/>
      <c r="NY385"/>
      <c r="NZ385"/>
      <c r="OA385"/>
      <c r="OB385"/>
      <c r="OC385"/>
      <c r="OD385"/>
      <c r="OE385"/>
      <c r="OF385"/>
      <c r="OG385"/>
      <c r="OH385"/>
      <c r="OI385"/>
      <c r="OJ385"/>
      <c r="OK385"/>
      <c r="OL385"/>
      <c r="OM385"/>
      <c r="ON385"/>
      <c r="OO385"/>
      <c r="OP385"/>
      <c r="OQ385"/>
      <c r="OR385"/>
      <c r="OS385"/>
      <c r="OT385"/>
      <c r="OU385"/>
      <c r="OV385"/>
      <c r="OW385"/>
      <c r="OX385"/>
      <c r="OY385"/>
      <c r="OZ385"/>
      <c r="PA385"/>
      <c r="PB385"/>
      <c r="PC385"/>
      <c r="PD385"/>
      <c r="PE385"/>
      <c r="PF385"/>
      <c r="PG385"/>
      <c r="PH385"/>
      <c r="PI385"/>
      <c r="PJ385"/>
      <c r="PK385"/>
      <c r="PL385"/>
      <c r="PM385"/>
      <c r="PN385"/>
      <c r="PO385"/>
      <c r="PP385"/>
      <c r="PQ385"/>
      <c r="PR385"/>
      <c r="PS385"/>
      <c r="PT385"/>
      <c r="PU385"/>
      <c r="PV385"/>
      <c r="PW385"/>
      <c r="PX385"/>
      <c r="PY385"/>
      <c r="PZ385"/>
      <c r="QA385"/>
      <c r="QB385"/>
      <c r="QC385"/>
      <c r="QD385"/>
      <c r="QE385"/>
      <c r="QF385"/>
      <c r="QG385"/>
      <c r="QH385"/>
      <c r="QI385"/>
      <c r="QJ385"/>
      <c r="QK385"/>
      <c r="QL385"/>
      <c r="QM385"/>
      <c r="QN385"/>
      <c r="QO385"/>
      <c r="QP385"/>
      <c r="QQ385"/>
      <c r="QR385"/>
      <c r="QS385"/>
      <c r="QT385"/>
      <c r="QU385"/>
      <c r="QV385"/>
      <c r="QW385"/>
      <c r="QX385"/>
      <c r="QY385"/>
      <c r="QZ385"/>
      <c r="RA385"/>
      <c r="RB385"/>
      <c r="RC385"/>
      <c r="RD385"/>
      <c r="RE385"/>
      <c r="RF385"/>
      <c r="RG385"/>
      <c r="RH385"/>
      <c r="RI385"/>
      <c r="RJ385"/>
      <c r="RK385"/>
      <c r="RL385"/>
      <c r="RM385"/>
      <c r="RN385"/>
      <c r="RO385"/>
      <c r="RP385"/>
      <c r="RQ385"/>
      <c r="RR385"/>
      <c r="RS385"/>
      <c r="RT385"/>
      <c r="RU385"/>
    </row>
    <row r="386" spans="3:489" x14ac:dyDescent="0.25">
      <c r="C386"/>
      <c r="D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  <c r="HB386"/>
      <c r="HC386"/>
      <c r="HD386"/>
      <c r="HE386"/>
      <c r="HF386"/>
      <c r="HG386"/>
      <c r="HH386"/>
      <c r="HI386"/>
      <c r="HJ386"/>
      <c r="HK386"/>
      <c r="HL386"/>
      <c r="HM386"/>
      <c r="HN386"/>
      <c r="HO386"/>
      <c r="HP386"/>
      <c r="HQ386"/>
      <c r="HR386"/>
      <c r="HS386"/>
      <c r="HT386"/>
      <c r="HU386"/>
      <c r="HV386"/>
      <c r="HW386"/>
      <c r="HX386"/>
      <c r="HY386"/>
      <c r="HZ386"/>
      <c r="IA386"/>
      <c r="IB386"/>
      <c r="IC386"/>
      <c r="ID386"/>
      <c r="IE386"/>
      <c r="IF386"/>
      <c r="IG386"/>
      <c r="IH386"/>
      <c r="II386"/>
      <c r="IJ386"/>
      <c r="IK386"/>
      <c r="IL386"/>
      <c r="IM386"/>
      <c r="IN386"/>
      <c r="IO386"/>
      <c r="IP386"/>
      <c r="IQ386"/>
      <c r="IR386"/>
      <c r="IS386"/>
      <c r="IT386"/>
      <c r="IU386"/>
      <c r="IV386"/>
      <c r="IW386"/>
      <c r="IX386"/>
      <c r="IY386"/>
      <c r="IZ386"/>
      <c r="JA386"/>
      <c r="JB386"/>
      <c r="JC386"/>
      <c r="JD386"/>
      <c r="JE386"/>
      <c r="JF386"/>
      <c r="JG386"/>
      <c r="JH386"/>
      <c r="JI386"/>
      <c r="JJ386"/>
      <c r="JK386"/>
      <c r="JL386"/>
      <c r="JM386"/>
      <c r="JN386"/>
      <c r="JO386"/>
      <c r="JP386"/>
      <c r="JQ386"/>
      <c r="JR386"/>
      <c r="JS386"/>
      <c r="JT386"/>
      <c r="JU386"/>
      <c r="JV386"/>
      <c r="JW386"/>
      <c r="JX386"/>
      <c r="JY386"/>
      <c r="JZ386"/>
      <c r="KA386"/>
      <c r="KB386"/>
      <c r="KC386"/>
      <c r="KD386"/>
      <c r="KE386"/>
      <c r="KF386"/>
      <c r="KG386"/>
      <c r="KH386"/>
      <c r="KI386"/>
      <c r="KJ386"/>
      <c r="KK386"/>
      <c r="KL386"/>
      <c r="KM386"/>
      <c r="KN386"/>
      <c r="KO386"/>
      <c r="KP386"/>
      <c r="KQ386"/>
      <c r="KR386"/>
      <c r="KS386"/>
      <c r="KT386"/>
      <c r="KU386"/>
      <c r="KV386"/>
      <c r="KW386"/>
      <c r="KX386"/>
      <c r="KY386"/>
      <c r="KZ386"/>
      <c r="LA386"/>
      <c r="LB386"/>
      <c r="LC386"/>
      <c r="LD386"/>
      <c r="LE386"/>
      <c r="LF386"/>
      <c r="LG386"/>
      <c r="LH386"/>
      <c r="LI386"/>
      <c r="LJ386"/>
      <c r="LK386"/>
      <c r="LL386"/>
      <c r="LM386"/>
      <c r="LN386"/>
      <c r="LO386"/>
      <c r="LP386"/>
      <c r="LQ386"/>
      <c r="LR386"/>
      <c r="LS386"/>
      <c r="LT386"/>
      <c r="LU386"/>
      <c r="LV386"/>
      <c r="LW386"/>
      <c r="LX386"/>
      <c r="LY386"/>
      <c r="LZ386"/>
      <c r="MA386"/>
      <c r="MB386"/>
      <c r="MC386"/>
      <c r="MD386"/>
      <c r="ME386"/>
      <c r="MF386"/>
      <c r="MG386"/>
      <c r="MH386"/>
      <c r="MI386"/>
      <c r="MJ386"/>
      <c r="MK386"/>
      <c r="ML386"/>
      <c r="MM386"/>
      <c r="MN386"/>
      <c r="MO386"/>
      <c r="MP386"/>
      <c r="MQ386"/>
      <c r="MR386"/>
      <c r="MS386"/>
      <c r="MT386"/>
      <c r="MU386"/>
      <c r="MV386"/>
      <c r="MW386"/>
      <c r="MX386"/>
      <c r="MY386"/>
      <c r="MZ386"/>
      <c r="NA386"/>
      <c r="NB386"/>
      <c r="NC386"/>
      <c r="ND386"/>
      <c r="NE386"/>
      <c r="NF386"/>
      <c r="NG386"/>
      <c r="NH386"/>
      <c r="NI386"/>
      <c r="NJ386"/>
      <c r="NK386"/>
      <c r="NL386"/>
      <c r="NM386"/>
      <c r="NN386"/>
      <c r="NO386"/>
      <c r="NP386"/>
      <c r="NQ386"/>
      <c r="NR386"/>
      <c r="NS386"/>
      <c r="NT386"/>
      <c r="NU386"/>
      <c r="NV386"/>
      <c r="NW386"/>
      <c r="NX386"/>
      <c r="NY386"/>
      <c r="NZ386"/>
      <c r="OA386"/>
      <c r="OB386"/>
      <c r="OC386"/>
      <c r="OD386"/>
      <c r="OE386"/>
      <c r="OF386"/>
      <c r="OG386"/>
      <c r="OH386"/>
      <c r="OI386"/>
      <c r="OJ386"/>
      <c r="OK386"/>
      <c r="OL386"/>
      <c r="OM386"/>
      <c r="ON386"/>
      <c r="OO386"/>
      <c r="OP386"/>
      <c r="OQ386"/>
      <c r="OR386"/>
      <c r="OS386"/>
      <c r="OT386"/>
      <c r="OU386"/>
      <c r="OV386"/>
      <c r="OW386"/>
      <c r="OX386"/>
      <c r="OY386"/>
      <c r="OZ386"/>
      <c r="PA386"/>
      <c r="PB386"/>
      <c r="PC386"/>
      <c r="PD386"/>
      <c r="PE386"/>
      <c r="PF386"/>
      <c r="PG386"/>
      <c r="PH386"/>
      <c r="PI386"/>
      <c r="PJ386"/>
      <c r="PK386"/>
      <c r="PL386"/>
      <c r="PM386"/>
      <c r="PN386"/>
      <c r="PO386"/>
      <c r="PP386"/>
      <c r="PQ386"/>
      <c r="PR386"/>
      <c r="PS386"/>
      <c r="PT386"/>
      <c r="PU386"/>
      <c r="PV386"/>
      <c r="PW386"/>
      <c r="PX386"/>
      <c r="PY386"/>
      <c r="PZ386"/>
      <c r="QA386"/>
      <c r="QB386"/>
      <c r="QC386"/>
      <c r="QD386"/>
      <c r="QE386"/>
      <c r="QF386"/>
      <c r="QG386"/>
      <c r="QH386"/>
      <c r="QI386"/>
      <c r="QJ386"/>
      <c r="QK386"/>
      <c r="QL386"/>
      <c r="QM386"/>
      <c r="QN386"/>
      <c r="QO386"/>
      <c r="QP386"/>
      <c r="QQ386"/>
      <c r="QR386"/>
      <c r="QS386"/>
      <c r="QT386"/>
      <c r="QU386"/>
      <c r="QV386"/>
      <c r="QW386"/>
      <c r="QX386"/>
      <c r="QY386"/>
      <c r="QZ386"/>
      <c r="RA386"/>
      <c r="RB386"/>
      <c r="RC386"/>
      <c r="RD386"/>
      <c r="RE386"/>
      <c r="RF386"/>
      <c r="RG386"/>
      <c r="RH386"/>
      <c r="RI386"/>
      <c r="RJ386"/>
      <c r="RK386"/>
      <c r="RL386"/>
      <c r="RM386"/>
      <c r="RN386"/>
      <c r="RO386"/>
      <c r="RP386"/>
      <c r="RQ386"/>
      <c r="RR386"/>
      <c r="RS386"/>
      <c r="RT386"/>
      <c r="RU386"/>
    </row>
    <row r="387" spans="3:489" x14ac:dyDescent="0.25">
      <c r="C387"/>
      <c r="D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  <c r="HB387"/>
      <c r="HC387"/>
      <c r="HD387"/>
      <c r="HE387"/>
      <c r="HF387"/>
      <c r="HG387"/>
      <c r="HH387"/>
      <c r="HI387"/>
      <c r="HJ387"/>
      <c r="HK387"/>
      <c r="HL387"/>
      <c r="HM387"/>
      <c r="HN387"/>
      <c r="HO387"/>
      <c r="HP387"/>
      <c r="HQ387"/>
      <c r="HR387"/>
      <c r="HS387"/>
      <c r="HT387"/>
      <c r="HU387"/>
      <c r="HV387"/>
      <c r="HW387"/>
      <c r="HX387"/>
      <c r="HY387"/>
      <c r="HZ387"/>
      <c r="IA387"/>
      <c r="IB387"/>
      <c r="IC387"/>
      <c r="ID387"/>
      <c r="IE387"/>
      <c r="IF387"/>
      <c r="IG387"/>
      <c r="IH387"/>
      <c r="II387"/>
      <c r="IJ387"/>
      <c r="IK387"/>
      <c r="IL387"/>
      <c r="IM387"/>
      <c r="IN387"/>
      <c r="IO387"/>
      <c r="IP387"/>
      <c r="IQ387"/>
      <c r="IR387"/>
      <c r="IS387"/>
      <c r="IT387"/>
      <c r="IU387"/>
      <c r="IV387"/>
      <c r="IW387"/>
      <c r="IX387"/>
      <c r="IY387"/>
      <c r="IZ387"/>
      <c r="JA387"/>
      <c r="JB387"/>
      <c r="JC387"/>
      <c r="JD387"/>
      <c r="JE387"/>
      <c r="JF387"/>
      <c r="JG387"/>
      <c r="JH387"/>
      <c r="JI387"/>
      <c r="JJ387"/>
      <c r="JK387"/>
      <c r="JL387"/>
      <c r="JM387"/>
      <c r="JN387"/>
      <c r="JO387"/>
      <c r="JP387"/>
      <c r="JQ387"/>
      <c r="JR387"/>
      <c r="JS387"/>
      <c r="JT387"/>
      <c r="JU387"/>
      <c r="JV387"/>
      <c r="JW387"/>
      <c r="JX387"/>
      <c r="JY387"/>
      <c r="JZ387"/>
      <c r="KA387"/>
      <c r="KB387"/>
      <c r="KC387"/>
      <c r="KD387"/>
      <c r="KE387"/>
      <c r="KF387"/>
      <c r="KG387"/>
      <c r="KH387"/>
      <c r="KI387"/>
      <c r="KJ387"/>
      <c r="KK387"/>
      <c r="KL387"/>
      <c r="KM387"/>
      <c r="KN387"/>
      <c r="KO387"/>
      <c r="KP387"/>
      <c r="KQ387"/>
      <c r="KR387"/>
      <c r="KS387"/>
      <c r="KT387"/>
      <c r="KU387"/>
      <c r="KV387"/>
      <c r="KW387"/>
      <c r="KX387"/>
      <c r="KY387"/>
      <c r="KZ387"/>
      <c r="LA387"/>
      <c r="LB387"/>
      <c r="LC387"/>
      <c r="LD387"/>
      <c r="LE387"/>
      <c r="LF387"/>
      <c r="LG387"/>
      <c r="LH387"/>
      <c r="LI387"/>
      <c r="LJ387"/>
      <c r="LK387"/>
      <c r="LL387"/>
      <c r="LM387"/>
      <c r="LN387"/>
      <c r="LO387"/>
      <c r="LP387"/>
      <c r="LQ387"/>
      <c r="LR387"/>
      <c r="LS387"/>
      <c r="LT387"/>
      <c r="LU387"/>
      <c r="LV387"/>
      <c r="LW387"/>
      <c r="LX387"/>
      <c r="LY387"/>
      <c r="LZ387"/>
      <c r="MA387"/>
      <c r="MB387"/>
      <c r="MC387"/>
      <c r="MD387"/>
      <c r="ME387"/>
      <c r="MF387"/>
      <c r="MG387"/>
      <c r="MH387"/>
      <c r="MI387"/>
      <c r="MJ387"/>
      <c r="MK387"/>
      <c r="ML387"/>
      <c r="MM387"/>
      <c r="MN387"/>
      <c r="MO387"/>
      <c r="MP387"/>
      <c r="MQ387"/>
      <c r="MR387"/>
      <c r="MS387"/>
      <c r="MT387"/>
      <c r="MU387"/>
      <c r="MV387"/>
      <c r="MW387"/>
      <c r="MX387"/>
      <c r="MY387"/>
      <c r="MZ387"/>
      <c r="NA387"/>
      <c r="NB387"/>
      <c r="NC387"/>
      <c r="ND387"/>
      <c r="NE387"/>
      <c r="NF387"/>
      <c r="NG387"/>
      <c r="NH387"/>
      <c r="NI387"/>
      <c r="NJ387"/>
      <c r="NK387"/>
      <c r="NL387"/>
      <c r="NM387"/>
      <c r="NN387"/>
      <c r="NO387"/>
      <c r="NP387"/>
      <c r="NQ387"/>
      <c r="NR387"/>
      <c r="NS387"/>
      <c r="NT387"/>
      <c r="NU387"/>
      <c r="NV387"/>
      <c r="NW387"/>
      <c r="NX387"/>
      <c r="NY387"/>
      <c r="NZ387"/>
      <c r="OA387"/>
      <c r="OB387"/>
      <c r="OC387"/>
      <c r="OD387"/>
      <c r="OE387"/>
      <c r="OF387"/>
      <c r="OG387"/>
      <c r="OH387"/>
      <c r="OI387"/>
      <c r="OJ387"/>
      <c r="OK387"/>
      <c r="OL387"/>
      <c r="OM387"/>
      <c r="ON387"/>
      <c r="OO387"/>
      <c r="OP387"/>
      <c r="OQ387"/>
      <c r="OR387"/>
      <c r="OS387"/>
      <c r="OT387"/>
      <c r="OU387"/>
      <c r="OV387"/>
      <c r="OW387"/>
      <c r="OX387"/>
      <c r="OY387"/>
      <c r="OZ387"/>
      <c r="PA387"/>
      <c r="PB387"/>
      <c r="PC387"/>
      <c r="PD387"/>
      <c r="PE387"/>
      <c r="PF387"/>
      <c r="PG387"/>
      <c r="PH387"/>
      <c r="PI387"/>
      <c r="PJ387"/>
      <c r="PK387"/>
      <c r="PL387"/>
      <c r="PM387"/>
      <c r="PN387"/>
      <c r="PO387"/>
      <c r="PP387"/>
      <c r="PQ387"/>
      <c r="PR387"/>
      <c r="PS387"/>
      <c r="PT387"/>
      <c r="PU387"/>
      <c r="PV387"/>
      <c r="PW387"/>
      <c r="PX387"/>
      <c r="PY387"/>
      <c r="PZ387"/>
      <c r="QA387"/>
      <c r="QB387"/>
      <c r="QC387"/>
      <c r="QD387"/>
      <c r="QE387"/>
      <c r="QF387"/>
      <c r="QG387"/>
      <c r="QH387"/>
      <c r="QI387"/>
      <c r="QJ387"/>
      <c r="QK387"/>
      <c r="QL387"/>
      <c r="QM387"/>
      <c r="QN387"/>
      <c r="QO387"/>
      <c r="QP387"/>
      <c r="QQ387"/>
      <c r="QR387"/>
      <c r="QS387"/>
      <c r="QT387"/>
      <c r="QU387"/>
      <c r="QV387"/>
      <c r="QW387"/>
      <c r="QX387"/>
      <c r="QY387"/>
      <c r="QZ387"/>
      <c r="RA387"/>
      <c r="RB387"/>
      <c r="RC387"/>
      <c r="RD387"/>
      <c r="RE387"/>
      <c r="RF387"/>
      <c r="RG387"/>
      <c r="RH387"/>
      <c r="RI387"/>
      <c r="RJ387"/>
      <c r="RK387"/>
      <c r="RL387"/>
      <c r="RM387"/>
      <c r="RN387"/>
      <c r="RO387"/>
      <c r="RP387"/>
      <c r="RQ387"/>
      <c r="RR387"/>
      <c r="RS387"/>
      <c r="RT387"/>
      <c r="RU387"/>
    </row>
    <row r="388" spans="3:489" x14ac:dyDescent="0.25">
      <c r="C388"/>
      <c r="D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  <c r="HB388"/>
      <c r="HC388"/>
      <c r="HD388"/>
      <c r="HE388"/>
      <c r="HF388"/>
      <c r="HG388"/>
      <c r="HH388"/>
      <c r="HI388"/>
      <c r="HJ388"/>
      <c r="HK388"/>
      <c r="HL388"/>
      <c r="HM388"/>
      <c r="HN388"/>
      <c r="HO388"/>
      <c r="HP388"/>
      <c r="HQ388"/>
      <c r="HR388"/>
      <c r="HS388"/>
      <c r="HT388"/>
      <c r="HU388"/>
      <c r="HV388"/>
      <c r="HW388"/>
      <c r="HX388"/>
      <c r="HY388"/>
      <c r="HZ388"/>
      <c r="IA388"/>
      <c r="IB388"/>
      <c r="IC388"/>
      <c r="ID388"/>
      <c r="IE388"/>
      <c r="IF388"/>
      <c r="IG388"/>
      <c r="IH388"/>
      <c r="II388"/>
      <c r="IJ388"/>
      <c r="IK388"/>
      <c r="IL388"/>
      <c r="IM388"/>
      <c r="IN388"/>
      <c r="IO388"/>
      <c r="IP388"/>
      <c r="IQ388"/>
      <c r="IR388"/>
      <c r="IS388"/>
      <c r="IT388"/>
      <c r="IU388"/>
      <c r="IV388"/>
      <c r="IW388"/>
      <c r="IX388"/>
      <c r="IY388"/>
      <c r="IZ388"/>
      <c r="JA388"/>
      <c r="JB388"/>
      <c r="JC388"/>
      <c r="JD388"/>
      <c r="JE388"/>
      <c r="JF388"/>
      <c r="JG388"/>
      <c r="JH388"/>
      <c r="JI388"/>
      <c r="JJ388"/>
      <c r="JK388"/>
      <c r="JL388"/>
      <c r="JM388"/>
      <c r="JN388"/>
      <c r="JO388"/>
      <c r="JP388"/>
      <c r="JQ388"/>
      <c r="JR388"/>
      <c r="JS388"/>
      <c r="JT388"/>
      <c r="JU388"/>
      <c r="JV388"/>
      <c r="JW388"/>
      <c r="JX388"/>
      <c r="JY388"/>
      <c r="JZ388"/>
      <c r="KA388"/>
      <c r="KB388"/>
      <c r="KC388"/>
      <c r="KD388"/>
      <c r="KE388"/>
      <c r="KF388"/>
      <c r="KG388"/>
      <c r="KH388"/>
      <c r="KI388"/>
      <c r="KJ388"/>
      <c r="KK388"/>
      <c r="KL388"/>
      <c r="KM388"/>
      <c r="KN388"/>
      <c r="KO388"/>
      <c r="KP388"/>
      <c r="KQ388"/>
      <c r="KR388"/>
      <c r="KS388"/>
      <c r="KT388"/>
      <c r="KU388"/>
      <c r="KV388"/>
      <c r="KW388"/>
      <c r="KX388"/>
      <c r="KY388"/>
      <c r="KZ388"/>
      <c r="LA388"/>
      <c r="LB388"/>
      <c r="LC388"/>
      <c r="LD388"/>
      <c r="LE388"/>
      <c r="LF388"/>
      <c r="LG388"/>
      <c r="LH388"/>
      <c r="LI388"/>
      <c r="LJ388"/>
      <c r="LK388"/>
      <c r="LL388"/>
      <c r="LM388"/>
      <c r="LN388"/>
      <c r="LO388"/>
      <c r="LP388"/>
      <c r="LQ388"/>
      <c r="LR388"/>
      <c r="LS388"/>
      <c r="LT388"/>
      <c r="LU388"/>
      <c r="LV388"/>
      <c r="LW388"/>
      <c r="LX388"/>
      <c r="LY388"/>
      <c r="LZ388"/>
      <c r="MA388"/>
      <c r="MB388"/>
      <c r="MC388"/>
      <c r="MD388"/>
      <c r="ME388"/>
      <c r="MF388"/>
      <c r="MG388"/>
      <c r="MH388"/>
      <c r="MI388"/>
      <c r="MJ388"/>
      <c r="MK388"/>
      <c r="ML388"/>
      <c r="MM388"/>
      <c r="MN388"/>
      <c r="MO388"/>
      <c r="MP388"/>
      <c r="MQ388"/>
      <c r="MR388"/>
      <c r="MS388"/>
      <c r="MT388"/>
      <c r="MU388"/>
      <c r="MV388"/>
      <c r="MW388"/>
      <c r="MX388"/>
      <c r="MY388"/>
      <c r="MZ388"/>
      <c r="NA388"/>
      <c r="NB388"/>
      <c r="NC388"/>
      <c r="ND388"/>
      <c r="NE388"/>
      <c r="NF388"/>
      <c r="NG388"/>
      <c r="NH388"/>
      <c r="NI388"/>
      <c r="NJ388"/>
      <c r="NK388"/>
      <c r="NL388"/>
      <c r="NM388"/>
      <c r="NN388"/>
      <c r="NO388"/>
      <c r="NP388"/>
      <c r="NQ388"/>
      <c r="NR388"/>
      <c r="NS388"/>
      <c r="NT388"/>
      <c r="NU388"/>
      <c r="NV388"/>
      <c r="NW388"/>
      <c r="NX388"/>
      <c r="NY388"/>
      <c r="NZ388"/>
      <c r="OA388"/>
      <c r="OB388"/>
      <c r="OC388"/>
      <c r="OD388"/>
      <c r="OE388"/>
      <c r="OF388"/>
      <c r="OG388"/>
      <c r="OH388"/>
      <c r="OI388"/>
      <c r="OJ388"/>
      <c r="OK388"/>
      <c r="OL388"/>
      <c r="OM388"/>
      <c r="ON388"/>
      <c r="OO388"/>
      <c r="OP388"/>
      <c r="OQ388"/>
      <c r="OR388"/>
      <c r="OS388"/>
      <c r="OT388"/>
      <c r="OU388"/>
      <c r="OV388"/>
      <c r="OW388"/>
      <c r="OX388"/>
      <c r="OY388"/>
      <c r="OZ388"/>
      <c r="PA388"/>
      <c r="PB388"/>
      <c r="PC388"/>
      <c r="PD388"/>
      <c r="PE388"/>
      <c r="PF388"/>
      <c r="PG388"/>
      <c r="PH388"/>
      <c r="PI388"/>
      <c r="PJ388"/>
      <c r="PK388"/>
      <c r="PL388"/>
      <c r="PM388"/>
      <c r="PN388"/>
      <c r="PO388"/>
      <c r="PP388"/>
      <c r="PQ388"/>
      <c r="PR388"/>
      <c r="PS388"/>
      <c r="PT388"/>
      <c r="PU388"/>
      <c r="PV388"/>
      <c r="PW388"/>
      <c r="PX388"/>
      <c r="PY388"/>
      <c r="PZ388"/>
      <c r="QA388"/>
      <c r="QB388"/>
      <c r="QC388"/>
      <c r="QD388"/>
      <c r="QE388"/>
      <c r="QF388"/>
      <c r="QG388"/>
      <c r="QH388"/>
      <c r="QI388"/>
      <c r="QJ388"/>
      <c r="QK388"/>
      <c r="QL388"/>
      <c r="QM388"/>
      <c r="QN388"/>
      <c r="QO388"/>
      <c r="QP388"/>
      <c r="QQ388"/>
      <c r="QR388"/>
      <c r="QS388"/>
      <c r="QT388"/>
      <c r="QU388"/>
      <c r="QV388"/>
      <c r="QW388"/>
      <c r="QX388"/>
      <c r="QY388"/>
      <c r="QZ388"/>
      <c r="RA388"/>
      <c r="RB388"/>
      <c r="RC388"/>
      <c r="RD388"/>
      <c r="RE388"/>
      <c r="RF388"/>
      <c r="RG388"/>
      <c r="RH388"/>
      <c r="RI388"/>
      <c r="RJ388"/>
      <c r="RK388"/>
      <c r="RL388"/>
      <c r="RM388"/>
      <c r="RN388"/>
      <c r="RO388"/>
      <c r="RP388"/>
      <c r="RQ388"/>
      <c r="RR388"/>
      <c r="RS388"/>
      <c r="RT388"/>
      <c r="RU388"/>
    </row>
    <row r="389" spans="3:489" x14ac:dyDescent="0.25">
      <c r="C389"/>
      <c r="D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  <c r="HB389"/>
      <c r="HC389"/>
      <c r="HD389"/>
      <c r="HE389"/>
      <c r="HF389"/>
      <c r="HG389"/>
      <c r="HH389"/>
      <c r="HI389"/>
      <c r="HJ389"/>
      <c r="HK389"/>
      <c r="HL389"/>
      <c r="HM389"/>
      <c r="HN389"/>
      <c r="HO389"/>
      <c r="HP389"/>
      <c r="HQ389"/>
      <c r="HR389"/>
      <c r="HS389"/>
      <c r="HT389"/>
      <c r="HU389"/>
      <c r="HV389"/>
      <c r="HW389"/>
      <c r="HX389"/>
      <c r="HY389"/>
      <c r="HZ389"/>
      <c r="IA389"/>
      <c r="IB389"/>
      <c r="IC389"/>
      <c r="ID389"/>
      <c r="IE389"/>
      <c r="IF389"/>
      <c r="IG389"/>
      <c r="IH389"/>
      <c r="II389"/>
      <c r="IJ389"/>
      <c r="IK389"/>
      <c r="IL389"/>
      <c r="IM389"/>
      <c r="IN389"/>
      <c r="IO389"/>
      <c r="IP389"/>
      <c r="IQ389"/>
      <c r="IR389"/>
      <c r="IS389"/>
      <c r="IT389"/>
      <c r="IU389"/>
      <c r="IV389"/>
      <c r="IW389"/>
      <c r="IX389"/>
      <c r="IY389"/>
      <c r="IZ389"/>
      <c r="JA389"/>
      <c r="JB389"/>
      <c r="JC389"/>
      <c r="JD389"/>
      <c r="JE389"/>
      <c r="JF389"/>
      <c r="JG389"/>
      <c r="JH389"/>
      <c r="JI389"/>
      <c r="JJ389"/>
      <c r="JK389"/>
      <c r="JL389"/>
      <c r="JM389"/>
      <c r="JN389"/>
      <c r="JO389"/>
      <c r="JP389"/>
      <c r="JQ389"/>
      <c r="JR389"/>
      <c r="JS389"/>
      <c r="JT389"/>
      <c r="JU389"/>
      <c r="JV389"/>
      <c r="JW389"/>
      <c r="JX389"/>
      <c r="JY389"/>
      <c r="JZ389"/>
      <c r="KA389"/>
      <c r="KB389"/>
      <c r="KC389"/>
      <c r="KD389"/>
      <c r="KE389"/>
      <c r="KF389"/>
      <c r="KG389"/>
      <c r="KH389"/>
      <c r="KI389"/>
      <c r="KJ389"/>
      <c r="KK389"/>
      <c r="KL389"/>
      <c r="KM389"/>
      <c r="KN389"/>
      <c r="KO389"/>
      <c r="KP389"/>
      <c r="KQ389"/>
      <c r="KR389"/>
      <c r="KS389"/>
      <c r="KT389"/>
      <c r="KU389"/>
      <c r="KV389"/>
      <c r="KW389"/>
      <c r="KX389"/>
      <c r="KY389"/>
      <c r="KZ389"/>
      <c r="LA389"/>
      <c r="LB389"/>
      <c r="LC389"/>
      <c r="LD389"/>
      <c r="LE389"/>
      <c r="LF389"/>
      <c r="LG389"/>
      <c r="LH389"/>
      <c r="LI389"/>
      <c r="LJ389"/>
      <c r="LK389"/>
      <c r="LL389"/>
      <c r="LM389"/>
      <c r="LN389"/>
      <c r="LO389"/>
      <c r="LP389"/>
      <c r="LQ389"/>
      <c r="LR389"/>
      <c r="LS389"/>
      <c r="LT389"/>
      <c r="LU389"/>
      <c r="LV389"/>
      <c r="LW389"/>
      <c r="LX389"/>
      <c r="LY389"/>
      <c r="LZ389"/>
      <c r="MA389"/>
      <c r="MB389"/>
      <c r="MC389"/>
      <c r="MD389"/>
      <c r="ME389"/>
      <c r="MF389"/>
      <c r="MG389"/>
      <c r="MH389"/>
      <c r="MI389"/>
      <c r="MJ389"/>
      <c r="MK389"/>
      <c r="ML389"/>
      <c r="MM389"/>
      <c r="MN389"/>
      <c r="MO389"/>
      <c r="MP389"/>
      <c r="MQ389"/>
      <c r="MR389"/>
      <c r="MS389"/>
      <c r="MT389"/>
      <c r="MU389"/>
      <c r="MV389"/>
      <c r="MW389"/>
      <c r="MX389"/>
      <c r="MY389"/>
      <c r="MZ389"/>
      <c r="NA389"/>
      <c r="NB389"/>
      <c r="NC389"/>
      <c r="ND389"/>
      <c r="NE389"/>
      <c r="NF389"/>
      <c r="NG389"/>
      <c r="NH389"/>
      <c r="NI389"/>
      <c r="NJ389"/>
      <c r="NK389"/>
      <c r="NL389"/>
      <c r="NM389"/>
      <c r="NN389"/>
      <c r="NO389"/>
      <c r="NP389"/>
      <c r="NQ389"/>
      <c r="NR389"/>
      <c r="NS389"/>
      <c r="NT389"/>
      <c r="NU389"/>
      <c r="NV389"/>
      <c r="NW389"/>
      <c r="NX389"/>
      <c r="NY389"/>
      <c r="NZ389"/>
      <c r="OA389"/>
      <c r="OB389"/>
      <c r="OC389"/>
      <c r="OD389"/>
      <c r="OE389"/>
      <c r="OF389"/>
      <c r="OG389"/>
      <c r="OH389"/>
      <c r="OI389"/>
      <c r="OJ389"/>
      <c r="OK389"/>
      <c r="OL389"/>
      <c r="OM389"/>
      <c r="ON389"/>
      <c r="OO389"/>
      <c r="OP389"/>
      <c r="OQ389"/>
      <c r="OR389"/>
      <c r="OS389"/>
      <c r="OT389"/>
      <c r="OU389"/>
      <c r="OV389"/>
      <c r="OW389"/>
      <c r="OX389"/>
      <c r="OY389"/>
      <c r="OZ389"/>
      <c r="PA389"/>
      <c r="PB389"/>
      <c r="PC389"/>
      <c r="PD389"/>
      <c r="PE389"/>
      <c r="PF389"/>
      <c r="PG389"/>
      <c r="PH389"/>
      <c r="PI389"/>
      <c r="PJ389"/>
      <c r="PK389"/>
      <c r="PL389"/>
      <c r="PM389"/>
      <c r="PN389"/>
      <c r="PO389"/>
      <c r="PP389"/>
      <c r="PQ389"/>
      <c r="PR389"/>
      <c r="PS389"/>
      <c r="PT389"/>
      <c r="PU389"/>
      <c r="PV389"/>
      <c r="PW389"/>
      <c r="PX389"/>
      <c r="PY389"/>
      <c r="PZ389"/>
      <c r="QA389"/>
      <c r="QB389"/>
      <c r="QC389"/>
      <c r="QD389"/>
      <c r="QE389"/>
      <c r="QF389"/>
      <c r="QG389"/>
      <c r="QH389"/>
      <c r="QI389"/>
      <c r="QJ389"/>
      <c r="QK389"/>
      <c r="QL389"/>
      <c r="QM389"/>
      <c r="QN389"/>
      <c r="QO389"/>
      <c r="QP389"/>
      <c r="QQ389"/>
      <c r="QR389"/>
      <c r="QS389"/>
      <c r="QT389"/>
      <c r="QU389"/>
      <c r="QV389"/>
      <c r="QW389"/>
      <c r="QX389"/>
      <c r="QY389"/>
      <c r="QZ389"/>
      <c r="RA389"/>
      <c r="RB389"/>
      <c r="RC389"/>
      <c r="RD389"/>
      <c r="RE389"/>
      <c r="RF389"/>
      <c r="RG389"/>
      <c r="RH389"/>
      <c r="RI389"/>
      <c r="RJ389"/>
      <c r="RK389"/>
      <c r="RL389"/>
      <c r="RM389"/>
      <c r="RN389"/>
      <c r="RO389"/>
      <c r="RP389"/>
      <c r="RQ389"/>
      <c r="RR389"/>
      <c r="RS389"/>
      <c r="RT389"/>
      <c r="RU389"/>
    </row>
    <row r="390" spans="3:489" x14ac:dyDescent="0.25">
      <c r="C390"/>
      <c r="D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  <c r="HB390"/>
      <c r="HC390"/>
      <c r="HD390"/>
      <c r="HE390"/>
      <c r="HF390"/>
      <c r="HG390"/>
      <c r="HH390"/>
      <c r="HI390"/>
      <c r="HJ390"/>
      <c r="HK390"/>
      <c r="HL390"/>
      <c r="HM390"/>
      <c r="HN390"/>
      <c r="HO390"/>
      <c r="HP390"/>
      <c r="HQ390"/>
      <c r="HR390"/>
      <c r="HS390"/>
      <c r="HT390"/>
      <c r="HU390"/>
      <c r="HV390"/>
      <c r="HW390"/>
      <c r="HX390"/>
      <c r="HY390"/>
      <c r="HZ390"/>
      <c r="IA390"/>
      <c r="IB390"/>
      <c r="IC390"/>
      <c r="ID390"/>
      <c r="IE390"/>
      <c r="IF390"/>
      <c r="IG390"/>
      <c r="IH390"/>
      <c r="II390"/>
      <c r="IJ390"/>
      <c r="IK390"/>
      <c r="IL390"/>
      <c r="IM390"/>
      <c r="IN390"/>
      <c r="IO390"/>
      <c r="IP390"/>
      <c r="IQ390"/>
      <c r="IR390"/>
      <c r="IS390"/>
      <c r="IT390"/>
      <c r="IU390"/>
      <c r="IV390"/>
      <c r="IW390"/>
      <c r="IX390"/>
      <c r="IY390"/>
      <c r="IZ390"/>
      <c r="JA390"/>
      <c r="JB390"/>
      <c r="JC390"/>
      <c r="JD390"/>
      <c r="JE390"/>
      <c r="JF390"/>
      <c r="JG390"/>
      <c r="JH390"/>
      <c r="JI390"/>
      <c r="JJ390"/>
      <c r="JK390"/>
      <c r="JL390"/>
      <c r="JM390"/>
      <c r="JN390"/>
      <c r="JO390"/>
      <c r="JP390"/>
      <c r="JQ390"/>
      <c r="JR390"/>
      <c r="JS390"/>
      <c r="JT390"/>
      <c r="JU390"/>
      <c r="JV390"/>
      <c r="JW390"/>
      <c r="JX390"/>
      <c r="JY390"/>
      <c r="JZ390"/>
      <c r="KA390"/>
      <c r="KB390"/>
      <c r="KC390"/>
      <c r="KD390"/>
      <c r="KE390"/>
      <c r="KF390"/>
      <c r="KG390"/>
      <c r="KH390"/>
      <c r="KI390"/>
      <c r="KJ390"/>
      <c r="KK390"/>
      <c r="KL390"/>
      <c r="KM390"/>
      <c r="KN390"/>
      <c r="KO390"/>
      <c r="KP390"/>
      <c r="KQ390"/>
      <c r="KR390"/>
      <c r="KS390"/>
      <c r="KT390"/>
      <c r="KU390"/>
      <c r="KV390"/>
      <c r="KW390"/>
      <c r="KX390"/>
      <c r="KY390"/>
      <c r="KZ390"/>
      <c r="LA390"/>
      <c r="LB390"/>
      <c r="LC390"/>
      <c r="LD390"/>
      <c r="LE390"/>
      <c r="LF390"/>
      <c r="LG390"/>
      <c r="LH390"/>
      <c r="LI390"/>
      <c r="LJ390"/>
      <c r="LK390"/>
      <c r="LL390"/>
      <c r="LM390"/>
      <c r="LN390"/>
      <c r="LO390"/>
      <c r="LP390"/>
      <c r="LQ390"/>
      <c r="LR390"/>
      <c r="LS390"/>
      <c r="LT390"/>
      <c r="LU390"/>
      <c r="LV390"/>
      <c r="LW390"/>
      <c r="LX390"/>
      <c r="LY390"/>
      <c r="LZ390"/>
      <c r="MA390"/>
      <c r="MB390"/>
      <c r="MC390"/>
      <c r="MD390"/>
      <c r="ME390"/>
      <c r="MF390"/>
      <c r="MG390"/>
      <c r="MH390"/>
      <c r="MI390"/>
      <c r="MJ390"/>
      <c r="MK390"/>
      <c r="ML390"/>
      <c r="MM390"/>
      <c r="MN390"/>
      <c r="MO390"/>
      <c r="MP390"/>
      <c r="MQ390"/>
      <c r="MR390"/>
      <c r="MS390"/>
      <c r="MT390"/>
      <c r="MU390"/>
      <c r="MV390"/>
      <c r="MW390"/>
      <c r="MX390"/>
      <c r="MY390"/>
      <c r="MZ390"/>
      <c r="NA390"/>
      <c r="NB390"/>
      <c r="NC390"/>
      <c r="ND390"/>
      <c r="NE390"/>
      <c r="NF390"/>
      <c r="NG390"/>
      <c r="NH390"/>
      <c r="NI390"/>
      <c r="NJ390"/>
      <c r="NK390"/>
      <c r="NL390"/>
      <c r="NM390"/>
      <c r="NN390"/>
      <c r="NO390"/>
      <c r="NP390"/>
      <c r="NQ390"/>
      <c r="NR390"/>
      <c r="NS390"/>
      <c r="NT390"/>
      <c r="NU390"/>
      <c r="NV390"/>
      <c r="NW390"/>
      <c r="NX390"/>
      <c r="NY390"/>
      <c r="NZ390"/>
      <c r="OA390"/>
      <c r="OB390"/>
      <c r="OC390"/>
      <c r="OD390"/>
      <c r="OE390"/>
      <c r="OF390"/>
      <c r="OG390"/>
      <c r="OH390"/>
      <c r="OI390"/>
      <c r="OJ390"/>
      <c r="OK390"/>
      <c r="OL390"/>
      <c r="OM390"/>
      <c r="ON390"/>
      <c r="OO390"/>
      <c r="OP390"/>
      <c r="OQ390"/>
      <c r="OR390"/>
      <c r="OS390"/>
      <c r="OT390"/>
      <c r="OU390"/>
      <c r="OV390"/>
      <c r="OW390"/>
      <c r="OX390"/>
      <c r="OY390"/>
      <c r="OZ390"/>
      <c r="PA390"/>
      <c r="PB390"/>
      <c r="PC390"/>
      <c r="PD390"/>
      <c r="PE390"/>
      <c r="PF390"/>
      <c r="PG390"/>
      <c r="PH390"/>
      <c r="PI390"/>
      <c r="PJ390"/>
      <c r="PK390"/>
      <c r="PL390"/>
      <c r="PM390"/>
      <c r="PN390"/>
      <c r="PO390"/>
      <c r="PP390"/>
      <c r="PQ390"/>
      <c r="PR390"/>
      <c r="PS390"/>
      <c r="PT390"/>
      <c r="PU390"/>
      <c r="PV390"/>
      <c r="PW390"/>
      <c r="PX390"/>
      <c r="PY390"/>
      <c r="PZ390"/>
      <c r="QA390"/>
      <c r="QB390"/>
      <c r="QC390"/>
      <c r="QD390"/>
      <c r="QE390"/>
      <c r="QF390"/>
      <c r="QG390"/>
      <c r="QH390"/>
      <c r="QI390"/>
      <c r="QJ390"/>
      <c r="QK390"/>
      <c r="QL390"/>
      <c r="QM390"/>
      <c r="QN390"/>
      <c r="QO390"/>
      <c r="QP390"/>
      <c r="QQ390"/>
      <c r="QR390"/>
      <c r="QS390"/>
      <c r="QT390"/>
      <c r="QU390"/>
      <c r="QV390"/>
      <c r="QW390"/>
      <c r="QX390"/>
      <c r="QY390"/>
      <c r="QZ390"/>
      <c r="RA390"/>
      <c r="RB390"/>
      <c r="RC390"/>
      <c r="RD390"/>
      <c r="RE390"/>
      <c r="RF390"/>
      <c r="RG390"/>
      <c r="RH390"/>
      <c r="RI390"/>
      <c r="RJ390"/>
      <c r="RK390"/>
      <c r="RL390"/>
      <c r="RM390"/>
      <c r="RN390"/>
      <c r="RO390"/>
      <c r="RP390"/>
      <c r="RQ390"/>
      <c r="RR390"/>
      <c r="RS390"/>
      <c r="RT390"/>
      <c r="RU390"/>
    </row>
    <row r="391" spans="3:489" x14ac:dyDescent="0.25">
      <c r="C391"/>
      <c r="D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  <c r="HB391"/>
      <c r="HC391"/>
      <c r="HD391"/>
      <c r="HE391"/>
      <c r="HF391"/>
      <c r="HG391"/>
      <c r="HH391"/>
      <c r="HI391"/>
      <c r="HJ391"/>
      <c r="HK391"/>
      <c r="HL391"/>
      <c r="HM391"/>
      <c r="HN391"/>
      <c r="HO391"/>
      <c r="HP391"/>
      <c r="HQ391"/>
      <c r="HR391"/>
      <c r="HS391"/>
      <c r="HT391"/>
      <c r="HU391"/>
      <c r="HV391"/>
      <c r="HW391"/>
      <c r="HX391"/>
      <c r="HY391"/>
      <c r="HZ391"/>
      <c r="IA391"/>
      <c r="IB391"/>
      <c r="IC391"/>
      <c r="ID391"/>
      <c r="IE391"/>
      <c r="IF391"/>
      <c r="IG391"/>
      <c r="IH391"/>
      <c r="II391"/>
      <c r="IJ391"/>
      <c r="IK391"/>
      <c r="IL391"/>
      <c r="IM391"/>
      <c r="IN391"/>
      <c r="IO391"/>
      <c r="IP391"/>
      <c r="IQ391"/>
      <c r="IR391"/>
      <c r="IS391"/>
      <c r="IT391"/>
      <c r="IU391"/>
      <c r="IV391"/>
      <c r="IW391"/>
      <c r="IX391"/>
      <c r="IY391"/>
      <c r="IZ391"/>
      <c r="JA391"/>
      <c r="JB391"/>
      <c r="JC391"/>
      <c r="JD391"/>
      <c r="JE391"/>
      <c r="JF391"/>
      <c r="JG391"/>
      <c r="JH391"/>
      <c r="JI391"/>
      <c r="JJ391"/>
      <c r="JK391"/>
      <c r="JL391"/>
      <c r="JM391"/>
      <c r="JN391"/>
      <c r="JO391"/>
      <c r="JP391"/>
      <c r="JQ391"/>
      <c r="JR391"/>
      <c r="JS391"/>
      <c r="JT391"/>
      <c r="JU391"/>
      <c r="JV391"/>
      <c r="JW391"/>
      <c r="JX391"/>
      <c r="JY391"/>
      <c r="JZ391"/>
      <c r="KA391"/>
      <c r="KB391"/>
      <c r="KC391"/>
      <c r="KD391"/>
      <c r="KE391"/>
      <c r="KF391"/>
      <c r="KG391"/>
      <c r="KH391"/>
      <c r="KI391"/>
      <c r="KJ391"/>
      <c r="KK391"/>
      <c r="KL391"/>
      <c r="KM391"/>
      <c r="KN391"/>
      <c r="KO391"/>
      <c r="KP391"/>
      <c r="KQ391"/>
      <c r="KR391"/>
      <c r="KS391"/>
      <c r="KT391"/>
      <c r="KU391"/>
      <c r="KV391"/>
      <c r="KW391"/>
      <c r="KX391"/>
      <c r="KY391"/>
      <c r="KZ391"/>
      <c r="LA391"/>
      <c r="LB391"/>
      <c r="LC391"/>
      <c r="LD391"/>
      <c r="LE391"/>
      <c r="LF391"/>
      <c r="LG391"/>
      <c r="LH391"/>
      <c r="LI391"/>
      <c r="LJ391"/>
      <c r="LK391"/>
      <c r="LL391"/>
      <c r="LM391"/>
      <c r="LN391"/>
      <c r="LO391"/>
      <c r="LP391"/>
      <c r="LQ391"/>
      <c r="LR391"/>
      <c r="LS391"/>
      <c r="LT391"/>
      <c r="LU391"/>
      <c r="LV391"/>
      <c r="LW391"/>
      <c r="LX391"/>
      <c r="LY391"/>
      <c r="LZ391"/>
      <c r="MA391"/>
      <c r="MB391"/>
      <c r="MC391"/>
      <c r="MD391"/>
      <c r="ME391"/>
      <c r="MF391"/>
      <c r="MG391"/>
      <c r="MH391"/>
      <c r="MI391"/>
      <c r="MJ391"/>
      <c r="MK391"/>
      <c r="ML391"/>
      <c r="MM391"/>
      <c r="MN391"/>
      <c r="MO391"/>
      <c r="MP391"/>
      <c r="MQ391"/>
      <c r="MR391"/>
      <c r="MS391"/>
      <c r="MT391"/>
      <c r="MU391"/>
      <c r="MV391"/>
      <c r="MW391"/>
      <c r="MX391"/>
      <c r="MY391"/>
      <c r="MZ391"/>
      <c r="NA391"/>
      <c r="NB391"/>
      <c r="NC391"/>
      <c r="ND391"/>
      <c r="NE391"/>
      <c r="NF391"/>
      <c r="NG391"/>
      <c r="NH391"/>
      <c r="NI391"/>
      <c r="NJ391"/>
      <c r="NK391"/>
      <c r="NL391"/>
      <c r="NM391"/>
      <c r="NN391"/>
      <c r="NO391"/>
      <c r="NP391"/>
      <c r="NQ391"/>
      <c r="NR391"/>
      <c r="NS391"/>
      <c r="NT391"/>
      <c r="NU391"/>
      <c r="NV391"/>
      <c r="NW391"/>
      <c r="NX391"/>
      <c r="NY391"/>
      <c r="NZ391"/>
      <c r="OA391"/>
      <c r="OB391"/>
      <c r="OC391"/>
      <c r="OD391"/>
      <c r="OE391"/>
      <c r="OF391"/>
      <c r="OG391"/>
      <c r="OH391"/>
      <c r="OI391"/>
      <c r="OJ391"/>
      <c r="OK391"/>
      <c r="OL391"/>
      <c r="OM391"/>
      <c r="ON391"/>
      <c r="OO391"/>
      <c r="OP391"/>
      <c r="OQ391"/>
      <c r="OR391"/>
      <c r="OS391"/>
      <c r="OT391"/>
      <c r="OU391"/>
      <c r="OV391"/>
      <c r="OW391"/>
      <c r="OX391"/>
      <c r="OY391"/>
      <c r="OZ391"/>
      <c r="PA391"/>
      <c r="PB391"/>
      <c r="PC391"/>
      <c r="PD391"/>
      <c r="PE391"/>
      <c r="PF391"/>
      <c r="PG391"/>
      <c r="PH391"/>
      <c r="PI391"/>
      <c r="PJ391"/>
      <c r="PK391"/>
      <c r="PL391"/>
      <c r="PM391"/>
      <c r="PN391"/>
      <c r="PO391"/>
      <c r="PP391"/>
      <c r="PQ391"/>
      <c r="PR391"/>
      <c r="PS391"/>
      <c r="PT391"/>
      <c r="PU391"/>
      <c r="PV391"/>
      <c r="PW391"/>
      <c r="PX391"/>
      <c r="PY391"/>
      <c r="PZ391"/>
      <c r="QA391"/>
      <c r="QB391"/>
      <c r="QC391"/>
      <c r="QD391"/>
      <c r="QE391"/>
      <c r="QF391"/>
      <c r="QG391"/>
      <c r="QH391"/>
      <c r="QI391"/>
      <c r="QJ391"/>
      <c r="QK391"/>
      <c r="QL391"/>
      <c r="QM391"/>
      <c r="QN391"/>
      <c r="QO391"/>
      <c r="QP391"/>
      <c r="QQ391"/>
      <c r="QR391"/>
      <c r="QS391"/>
      <c r="QT391"/>
      <c r="QU391"/>
      <c r="QV391"/>
      <c r="QW391"/>
      <c r="QX391"/>
      <c r="QY391"/>
      <c r="QZ391"/>
      <c r="RA391"/>
      <c r="RB391"/>
      <c r="RC391"/>
      <c r="RD391"/>
      <c r="RE391"/>
      <c r="RF391"/>
      <c r="RG391"/>
      <c r="RH391"/>
      <c r="RI391"/>
      <c r="RJ391"/>
      <c r="RK391"/>
      <c r="RL391"/>
      <c r="RM391"/>
      <c r="RN391"/>
      <c r="RO391"/>
      <c r="RP391"/>
      <c r="RQ391"/>
      <c r="RR391"/>
      <c r="RS391"/>
      <c r="RT391"/>
      <c r="RU391"/>
    </row>
    <row r="392" spans="3:489" x14ac:dyDescent="0.25">
      <c r="C392"/>
      <c r="D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  <c r="HB392"/>
      <c r="HC392"/>
      <c r="HD392"/>
      <c r="HE392"/>
      <c r="HF392"/>
      <c r="HG392"/>
      <c r="HH392"/>
      <c r="HI392"/>
      <c r="HJ392"/>
      <c r="HK392"/>
      <c r="HL392"/>
      <c r="HM392"/>
      <c r="HN392"/>
      <c r="HO392"/>
      <c r="HP392"/>
      <c r="HQ392"/>
      <c r="HR392"/>
      <c r="HS392"/>
      <c r="HT392"/>
      <c r="HU392"/>
      <c r="HV392"/>
      <c r="HW392"/>
      <c r="HX392"/>
      <c r="HY392"/>
      <c r="HZ392"/>
      <c r="IA392"/>
      <c r="IB392"/>
      <c r="IC392"/>
      <c r="ID392"/>
      <c r="IE392"/>
      <c r="IF392"/>
      <c r="IG392"/>
      <c r="IH392"/>
      <c r="II392"/>
      <c r="IJ392"/>
      <c r="IK392"/>
      <c r="IL392"/>
      <c r="IM392"/>
      <c r="IN392"/>
      <c r="IO392"/>
      <c r="IP392"/>
      <c r="IQ392"/>
      <c r="IR392"/>
      <c r="IS392"/>
      <c r="IT392"/>
      <c r="IU392"/>
      <c r="IV392"/>
      <c r="IW392"/>
      <c r="IX392"/>
      <c r="IY392"/>
      <c r="IZ392"/>
      <c r="JA392"/>
      <c r="JB392"/>
      <c r="JC392"/>
      <c r="JD392"/>
      <c r="JE392"/>
      <c r="JF392"/>
      <c r="JG392"/>
      <c r="JH392"/>
      <c r="JI392"/>
      <c r="JJ392"/>
      <c r="JK392"/>
      <c r="JL392"/>
      <c r="JM392"/>
      <c r="JN392"/>
      <c r="JO392"/>
      <c r="JP392"/>
      <c r="JQ392"/>
      <c r="JR392"/>
      <c r="JS392"/>
      <c r="JT392"/>
      <c r="JU392"/>
      <c r="JV392"/>
      <c r="JW392"/>
      <c r="JX392"/>
      <c r="JY392"/>
      <c r="JZ392"/>
      <c r="KA392"/>
      <c r="KB392"/>
      <c r="KC392"/>
      <c r="KD392"/>
      <c r="KE392"/>
      <c r="KF392"/>
      <c r="KG392"/>
      <c r="KH392"/>
      <c r="KI392"/>
      <c r="KJ392"/>
      <c r="KK392"/>
      <c r="KL392"/>
      <c r="KM392"/>
      <c r="KN392"/>
      <c r="KO392"/>
      <c r="KP392"/>
      <c r="KQ392"/>
      <c r="KR392"/>
      <c r="KS392"/>
      <c r="KT392"/>
      <c r="KU392"/>
      <c r="KV392"/>
      <c r="KW392"/>
      <c r="KX392"/>
      <c r="KY392"/>
      <c r="KZ392"/>
      <c r="LA392"/>
      <c r="LB392"/>
      <c r="LC392"/>
      <c r="LD392"/>
      <c r="LE392"/>
      <c r="LF392"/>
      <c r="LG392"/>
      <c r="LH392"/>
      <c r="LI392"/>
      <c r="LJ392"/>
      <c r="LK392"/>
      <c r="LL392"/>
      <c r="LM392"/>
      <c r="LN392"/>
      <c r="LO392"/>
      <c r="LP392"/>
      <c r="LQ392"/>
      <c r="LR392"/>
      <c r="LS392"/>
      <c r="LT392"/>
      <c r="LU392"/>
      <c r="LV392"/>
      <c r="LW392"/>
      <c r="LX392"/>
      <c r="LY392"/>
      <c r="LZ392"/>
      <c r="MA392"/>
      <c r="MB392"/>
      <c r="MC392"/>
      <c r="MD392"/>
      <c r="ME392"/>
      <c r="MF392"/>
      <c r="MG392"/>
      <c r="MH392"/>
      <c r="MI392"/>
      <c r="MJ392"/>
      <c r="MK392"/>
      <c r="ML392"/>
      <c r="MM392"/>
      <c r="MN392"/>
      <c r="MO392"/>
      <c r="MP392"/>
      <c r="MQ392"/>
      <c r="MR392"/>
      <c r="MS392"/>
      <c r="MT392"/>
      <c r="MU392"/>
      <c r="MV392"/>
      <c r="MW392"/>
      <c r="MX392"/>
      <c r="MY392"/>
      <c r="MZ392"/>
      <c r="NA392"/>
      <c r="NB392"/>
      <c r="NC392"/>
      <c r="ND392"/>
      <c r="NE392"/>
      <c r="NF392"/>
      <c r="NG392"/>
      <c r="NH392"/>
      <c r="NI392"/>
      <c r="NJ392"/>
      <c r="NK392"/>
      <c r="NL392"/>
      <c r="NM392"/>
      <c r="NN392"/>
      <c r="NO392"/>
      <c r="NP392"/>
      <c r="NQ392"/>
      <c r="NR392"/>
      <c r="NS392"/>
      <c r="NT392"/>
      <c r="NU392"/>
      <c r="NV392"/>
      <c r="NW392"/>
      <c r="NX392"/>
      <c r="NY392"/>
      <c r="NZ392"/>
      <c r="OA392"/>
      <c r="OB392"/>
      <c r="OC392"/>
      <c r="OD392"/>
      <c r="OE392"/>
      <c r="OF392"/>
      <c r="OG392"/>
      <c r="OH392"/>
      <c r="OI392"/>
      <c r="OJ392"/>
      <c r="OK392"/>
      <c r="OL392"/>
      <c r="OM392"/>
      <c r="ON392"/>
      <c r="OO392"/>
      <c r="OP392"/>
      <c r="OQ392"/>
      <c r="OR392"/>
      <c r="OS392"/>
      <c r="OT392"/>
      <c r="OU392"/>
      <c r="OV392"/>
      <c r="OW392"/>
      <c r="OX392"/>
      <c r="OY392"/>
      <c r="OZ392"/>
      <c r="PA392"/>
      <c r="PB392"/>
      <c r="PC392"/>
      <c r="PD392"/>
      <c r="PE392"/>
      <c r="PF392"/>
      <c r="PG392"/>
      <c r="PH392"/>
      <c r="PI392"/>
      <c r="PJ392"/>
      <c r="PK392"/>
      <c r="PL392"/>
      <c r="PM392"/>
      <c r="PN392"/>
      <c r="PO392"/>
      <c r="PP392"/>
      <c r="PQ392"/>
      <c r="PR392"/>
      <c r="PS392"/>
      <c r="PT392"/>
      <c r="PU392"/>
      <c r="PV392"/>
      <c r="PW392"/>
      <c r="PX392"/>
      <c r="PY392"/>
      <c r="PZ392"/>
      <c r="QA392"/>
      <c r="QB392"/>
      <c r="QC392"/>
      <c r="QD392"/>
      <c r="QE392"/>
      <c r="QF392"/>
      <c r="QG392"/>
      <c r="QH392"/>
      <c r="QI392"/>
      <c r="QJ392"/>
      <c r="QK392"/>
      <c r="QL392"/>
      <c r="QM392"/>
      <c r="QN392"/>
      <c r="QO392"/>
      <c r="QP392"/>
      <c r="QQ392"/>
      <c r="QR392"/>
      <c r="QS392"/>
      <c r="QT392"/>
      <c r="QU392"/>
      <c r="QV392"/>
      <c r="QW392"/>
      <c r="QX392"/>
      <c r="QY392"/>
      <c r="QZ392"/>
      <c r="RA392"/>
      <c r="RB392"/>
      <c r="RC392"/>
      <c r="RD392"/>
      <c r="RE392"/>
      <c r="RF392"/>
      <c r="RG392"/>
      <c r="RH392"/>
      <c r="RI392"/>
      <c r="RJ392"/>
      <c r="RK392"/>
      <c r="RL392"/>
      <c r="RM392"/>
      <c r="RN392"/>
      <c r="RO392"/>
      <c r="RP392"/>
      <c r="RQ392"/>
      <c r="RR392"/>
      <c r="RS392"/>
      <c r="RT392"/>
      <c r="RU392"/>
    </row>
    <row r="393" spans="3:489" x14ac:dyDescent="0.25">
      <c r="C393"/>
      <c r="D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  <c r="HB393"/>
      <c r="HC393"/>
      <c r="HD393"/>
      <c r="HE393"/>
      <c r="HF393"/>
      <c r="HG393"/>
      <c r="HH393"/>
      <c r="HI393"/>
      <c r="HJ393"/>
      <c r="HK393"/>
      <c r="HL393"/>
      <c r="HM393"/>
      <c r="HN393"/>
      <c r="HO393"/>
      <c r="HP393"/>
      <c r="HQ393"/>
      <c r="HR393"/>
      <c r="HS393"/>
      <c r="HT393"/>
      <c r="HU393"/>
      <c r="HV393"/>
      <c r="HW393"/>
      <c r="HX393"/>
      <c r="HY393"/>
      <c r="HZ393"/>
      <c r="IA393"/>
      <c r="IB393"/>
      <c r="IC393"/>
      <c r="ID393"/>
      <c r="IE393"/>
      <c r="IF393"/>
      <c r="IG393"/>
      <c r="IH393"/>
      <c r="II393"/>
      <c r="IJ393"/>
      <c r="IK393"/>
      <c r="IL393"/>
      <c r="IM393"/>
      <c r="IN393"/>
      <c r="IO393"/>
      <c r="IP393"/>
      <c r="IQ393"/>
      <c r="IR393"/>
      <c r="IS393"/>
      <c r="IT393"/>
      <c r="IU393"/>
      <c r="IV393"/>
      <c r="IW393"/>
      <c r="IX393"/>
      <c r="IY393"/>
      <c r="IZ393"/>
      <c r="JA393"/>
      <c r="JB393"/>
      <c r="JC393"/>
      <c r="JD393"/>
      <c r="JE393"/>
      <c r="JF393"/>
      <c r="JG393"/>
      <c r="JH393"/>
      <c r="JI393"/>
      <c r="JJ393"/>
      <c r="JK393"/>
      <c r="JL393"/>
      <c r="JM393"/>
      <c r="JN393"/>
      <c r="JO393"/>
      <c r="JP393"/>
      <c r="JQ393"/>
      <c r="JR393"/>
      <c r="JS393"/>
      <c r="JT393"/>
      <c r="JU393"/>
      <c r="JV393"/>
      <c r="JW393"/>
      <c r="JX393"/>
      <c r="JY393"/>
      <c r="JZ393"/>
      <c r="KA393"/>
      <c r="KB393"/>
      <c r="KC393"/>
      <c r="KD393"/>
      <c r="KE393"/>
      <c r="KF393"/>
      <c r="KG393"/>
      <c r="KH393"/>
      <c r="KI393"/>
      <c r="KJ393"/>
      <c r="KK393"/>
      <c r="KL393"/>
      <c r="KM393"/>
      <c r="KN393"/>
      <c r="KO393"/>
      <c r="KP393"/>
      <c r="KQ393"/>
      <c r="KR393"/>
      <c r="KS393"/>
      <c r="KT393"/>
      <c r="KU393"/>
      <c r="KV393"/>
      <c r="KW393"/>
      <c r="KX393"/>
      <c r="KY393"/>
      <c r="KZ393"/>
      <c r="LA393"/>
      <c r="LB393"/>
      <c r="LC393"/>
      <c r="LD393"/>
      <c r="LE393"/>
      <c r="LF393"/>
      <c r="LG393"/>
      <c r="LH393"/>
      <c r="LI393"/>
      <c r="LJ393"/>
      <c r="LK393"/>
      <c r="LL393"/>
      <c r="LM393"/>
      <c r="LN393"/>
      <c r="LO393"/>
      <c r="LP393"/>
      <c r="LQ393"/>
      <c r="LR393"/>
      <c r="LS393"/>
      <c r="LT393"/>
      <c r="LU393"/>
      <c r="LV393"/>
      <c r="LW393"/>
      <c r="LX393"/>
      <c r="LY393"/>
      <c r="LZ393"/>
      <c r="MA393"/>
      <c r="MB393"/>
      <c r="MC393"/>
      <c r="MD393"/>
      <c r="ME393"/>
      <c r="MF393"/>
      <c r="MG393"/>
      <c r="MH393"/>
      <c r="MI393"/>
      <c r="MJ393"/>
      <c r="MK393"/>
      <c r="ML393"/>
      <c r="MM393"/>
      <c r="MN393"/>
      <c r="MO393"/>
      <c r="MP393"/>
      <c r="MQ393"/>
      <c r="MR393"/>
      <c r="MS393"/>
      <c r="MT393"/>
      <c r="MU393"/>
      <c r="MV393"/>
      <c r="MW393"/>
      <c r="MX393"/>
      <c r="MY393"/>
      <c r="MZ393"/>
      <c r="NA393"/>
      <c r="NB393"/>
      <c r="NC393"/>
      <c r="ND393"/>
      <c r="NE393"/>
      <c r="NF393"/>
      <c r="NG393"/>
      <c r="NH393"/>
      <c r="NI393"/>
      <c r="NJ393"/>
      <c r="NK393"/>
      <c r="NL393"/>
      <c r="NM393"/>
      <c r="NN393"/>
      <c r="NO393"/>
      <c r="NP393"/>
      <c r="NQ393"/>
      <c r="NR393"/>
      <c r="NS393"/>
      <c r="NT393"/>
      <c r="NU393"/>
      <c r="NV393"/>
      <c r="NW393"/>
      <c r="NX393"/>
      <c r="NY393"/>
      <c r="NZ393"/>
      <c r="OA393"/>
      <c r="OB393"/>
      <c r="OC393"/>
      <c r="OD393"/>
      <c r="OE393"/>
      <c r="OF393"/>
      <c r="OG393"/>
      <c r="OH393"/>
      <c r="OI393"/>
      <c r="OJ393"/>
      <c r="OK393"/>
      <c r="OL393"/>
      <c r="OM393"/>
      <c r="ON393"/>
      <c r="OO393"/>
      <c r="OP393"/>
      <c r="OQ393"/>
      <c r="OR393"/>
      <c r="OS393"/>
      <c r="OT393"/>
      <c r="OU393"/>
      <c r="OV393"/>
      <c r="OW393"/>
      <c r="OX393"/>
      <c r="OY393"/>
      <c r="OZ393"/>
      <c r="PA393"/>
      <c r="PB393"/>
      <c r="PC393"/>
      <c r="PD393"/>
      <c r="PE393"/>
      <c r="PF393"/>
      <c r="PG393"/>
      <c r="PH393"/>
      <c r="PI393"/>
      <c r="PJ393"/>
      <c r="PK393"/>
      <c r="PL393"/>
      <c r="PM393"/>
      <c r="PN393"/>
      <c r="PO393"/>
      <c r="PP393"/>
      <c r="PQ393"/>
      <c r="PR393"/>
      <c r="PS393"/>
      <c r="PT393"/>
      <c r="PU393"/>
      <c r="PV393"/>
      <c r="PW393"/>
      <c r="PX393"/>
      <c r="PY393"/>
      <c r="PZ393"/>
      <c r="QA393"/>
      <c r="QB393"/>
      <c r="QC393"/>
      <c r="QD393"/>
      <c r="QE393"/>
      <c r="QF393"/>
      <c r="QG393"/>
      <c r="QH393"/>
      <c r="QI393"/>
      <c r="QJ393"/>
      <c r="QK393"/>
      <c r="QL393"/>
      <c r="QM393"/>
      <c r="QN393"/>
      <c r="QO393"/>
      <c r="QP393"/>
      <c r="QQ393"/>
      <c r="QR393"/>
      <c r="QS393"/>
      <c r="QT393"/>
      <c r="QU393"/>
      <c r="QV393"/>
      <c r="QW393"/>
      <c r="QX393"/>
      <c r="QY393"/>
      <c r="QZ393"/>
      <c r="RA393"/>
      <c r="RB393"/>
      <c r="RC393"/>
      <c r="RD393"/>
      <c r="RE393"/>
      <c r="RF393"/>
      <c r="RG393"/>
      <c r="RH393"/>
      <c r="RI393"/>
      <c r="RJ393"/>
      <c r="RK393"/>
      <c r="RL393"/>
      <c r="RM393"/>
      <c r="RN393"/>
      <c r="RO393"/>
      <c r="RP393"/>
      <c r="RQ393"/>
      <c r="RR393"/>
      <c r="RS393"/>
      <c r="RT393"/>
      <c r="RU393"/>
    </row>
    <row r="394" spans="3:489" x14ac:dyDescent="0.25">
      <c r="C394"/>
      <c r="D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  <c r="HB394"/>
      <c r="HC394"/>
      <c r="HD394"/>
      <c r="HE394"/>
      <c r="HF394"/>
      <c r="HG394"/>
      <c r="HH394"/>
      <c r="HI394"/>
      <c r="HJ394"/>
      <c r="HK394"/>
      <c r="HL394"/>
      <c r="HM394"/>
      <c r="HN394"/>
      <c r="HO394"/>
      <c r="HP394"/>
      <c r="HQ394"/>
      <c r="HR394"/>
      <c r="HS394"/>
      <c r="HT394"/>
      <c r="HU394"/>
      <c r="HV394"/>
      <c r="HW394"/>
      <c r="HX394"/>
      <c r="HY394"/>
      <c r="HZ394"/>
      <c r="IA394"/>
      <c r="IB394"/>
      <c r="IC394"/>
      <c r="ID394"/>
      <c r="IE394"/>
      <c r="IF394"/>
      <c r="IG394"/>
      <c r="IH394"/>
      <c r="II394"/>
      <c r="IJ394"/>
      <c r="IK394"/>
      <c r="IL394"/>
      <c r="IM394"/>
      <c r="IN394"/>
      <c r="IO394"/>
      <c r="IP394"/>
      <c r="IQ394"/>
      <c r="IR394"/>
      <c r="IS394"/>
      <c r="IT394"/>
      <c r="IU394"/>
      <c r="IV394"/>
      <c r="IW394"/>
      <c r="IX394"/>
      <c r="IY394"/>
      <c r="IZ394"/>
      <c r="JA394"/>
      <c r="JB394"/>
      <c r="JC394"/>
      <c r="JD394"/>
      <c r="JE394"/>
      <c r="JF394"/>
      <c r="JG394"/>
      <c r="JH394"/>
      <c r="JI394"/>
      <c r="JJ394"/>
      <c r="JK394"/>
      <c r="JL394"/>
      <c r="JM394"/>
      <c r="JN394"/>
      <c r="JO394"/>
      <c r="JP394"/>
      <c r="JQ394"/>
      <c r="JR394"/>
      <c r="JS394"/>
      <c r="JT394"/>
      <c r="JU394"/>
      <c r="JV394"/>
      <c r="JW394"/>
      <c r="JX394"/>
      <c r="JY394"/>
      <c r="JZ394"/>
      <c r="KA394"/>
      <c r="KB394"/>
      <c r="KC394"/>
      <c r="KD394"/>
      <c r="KE394"/>
      <c r="KF394"/>
      <c r="KG394"/>
      <c r="KH394"/>
      <c r="KI394"/>
      <c r="KJ394"/>
      <c r="KK394"/>
      <c r="KL394"/>
      <c r="KM394"/>
      <c r="KN394"/>
      <c r="KO394"/>
      <c r="KP394"/>
      <c r="KQ394"/>
      <c r="KR394"/>
      <c r="KS394"/>
      <c r="KT394"/>
      <c r="KU394"/>
      <c r="KV394"/>
      <c r="KW394"/>
      <c r="KX394"/>
      <c r="KY394"/>
      <c r="KZ394"/>
      <c r="LA394"/>
      <c r="LB394"/>
      <c r="LC394"/>
      <c r="LD394"/>
      <c r="LE394"/>
      <c r="LF394"/>
      <c r="LG394"/>
      <c r="LH394"/>
      <c r="LI394"/>
      <c r="LJ394"/>
      <c r="LK394"/>
      <c r="LL394"/>
      <c r="LM394"/>
      <c r="LN394"/>
      <c r="LO394"/>
      <c r="LP394"/>
      <c r="LQ394"/>
      <c r="LR394"/>
      <c r="LS394"/>
      <c r="LT394"/>
      <c r="LU394"/>
      <c r="LV394"/>
      <c r="LW394"/>
      <c r="LX394"/>
      <c r="LY394"/>
      <c r="LZ394"/>
      <c r="MA394"/>
      <c r="MB394"/>
      <c r="MC394"/>
      <c r="MD394"/>
      <c r="ME394"/>
      <c r="MF394"/>
      <c r="MG394"/>
      <c r="MH394"/>
      <c r="MI394"/>
      <c r="MJ394"/>
      <c r="MK394"/>
      <c r="ML394"/>
      <c r="MM394"/>
      <c r="MN394"/>
      <c r="MO394"/>
      <c r="MP394"/>
      <c r="MQ394"/>
      <c r="MR394"/>
      <c r="MS394"/>
      <c r="MT394"/>
      <c r="MU394"/>
      <c r="MV394"/>
      <c r="MW394"/>
      <c r="MX394"/>
      <c r="MY394"/>
      <c r="MZ394"/>
      <c r="NA394"/>
      <c r="NB394"/>
      <c r="NC394"/>
      <c r="ND394"/>
      <c r="NE394"/>
      <c r="NF394"/>
      <c r="NG394"/>
      <c r="NH394"/>
      <c r="NI394"/>
      <c r="NJ394"/>
      <c r="NK394"/>
      <c r="NL394"/>
      <c r="NM394"/>
      <c r="NN394"/>
      <c r="NO394"/>
      <c r="NP394"/>
      <c r="NQ394"/>
      <c r="NR394"/>
      <c r="NS394"/>
      <c r="NT394"/>
      <c r="NU394"/>
      <c r="NV394"/>
      <c r="NW394"/>
      <c r="NX394"/>
      <c r="NY394"/>
      <c r="NZ394"/>
      <c r="OA394"/>
      <c r="OB394"/>
      <c r="OC394"/>
      <c r="OD394"/>
      <c r="OE394"/>
      <c r="OF394"/>
      <c r="OG394"/>
      <c r="OH394"/>
      <c r="OI394"/>
      <c r="OJ394"/>
      <c r="OK394"/>
      <c r="OL394"/>
      <c r="OM394"/>
      <c r="ON394"/>
      <c r="OO394"/>
      <c r="OP394"/>
      <c r="OQ394"/>
      <c r="OR394"/>
      <c r="OS394"/>
      <c r="OT394"/>
      <c r="OU394"/>
      <c r="OV394"/>
      <c r="OW394"/>
      <c r="OX394"/>
      <c r="OY394"/>
      <c r="OZ394"/>
      <c r="PA394"/>
      <c r="PB394"/>
      <c r="PC394"/>
      <c r="PD394"/>
      <c r="PE394"/>
      <c r="PF394"/>
      <c r="PG394"/>
      <c r="PH394"/>
      <c r="PI394"/>
      <c r="PJ394"/>
      <c r="PK394"/>
      <c r="PL394"/>
      <c r="PM394"/>
      <c r="PN394"/>
      <c r="PO394"/>
      <c r="PP394"/>
      <c r="PQ394"/>
      <c r="PR394"/>
      <c r="PS394"/>
      <c r="PT394"/>
      <c r="PU394"/>
      <c r="PV394"/>
      <c r="PW394"/>
      <c r="PX394"/>
      <c r="PY394"/>
      <c r="PZ394"/>
      <c r="QA394"/>
      <c r="QB394"/>
      <c r="QC394"/>
      <c r="QD394"/>
      <c r="QE394"/>
      <c r="QF394"/>
      <c r="QG394"/>
      <c r="QH394"/>
      <c r="QI394"/>
      <c r="QJ394"/>
      <c r="QK394"/>
      <c r="QL394"/>
      <c r="QM394"/>
      <c r="QN394"/>
      <c r="QO394"/>
      <c r="QP394"/>
      <c r="QQ394"/>
      <c r="QR394"/>
      <c r="QS394"/>
      <c r="QT394"/>
      <c r="QU394"/>
      <c r="QV394"/>
      <c r="QW394"/>
      <c r="QX394"/>
      <c r="QY394"/>
      <c r="QZ394"/>
      <c r="RA394"/>
      <c r="RB394"/>
      <c r="RC394"/>
      <c r="RD394"/>
      <c r="RE394"/>
      <c r="RF394"/>
      <c r="RG394"/>
      <c r="RH394"/>
      <c r="RI394"/>
      <c r="RJ394"/>
      <c r="RK394"/>
      <c r="RL394"/>
      <c r="RM394"/>
      <c r="RN394"/>
      <c r="RO394"/>
      <c r="RP394"/>
      <c r="RQ394"/>
      <c r="RR394"/>
      <c r="RS394"/>
      <c r="RT394"/>
      <c r="RU394"/>
    </row>
    <row r="395" spans="3:489" x14ac:dyDescent="0.25">
      <c r="C395"/>
      <c r="D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  <c r="HB395"/>
      <c r="HC395"/>
      <c r="HD395"/>
      <c r="HE395"/>
      <c r="HF395"/>
      <c r="HG395"/>
      <c r="HH395"/>
      <c r="HI395"/>
      <c r="HJ395"/>
      <c r="HK395"/>
      <c r="HL395"/>
      <c r="HM395"/>
      <c r="HN395"/>
      <c r="HO395"/>
      <c r="HP395"/>
      <c r="HQ395"/>
      <c r="HR395"/>
      <c r="HS395"/>
      <c r="HT395"/>
      <c r="HU395"/>
      <c r="HV395"/>
      <c r="HW395"/>
      <c r="HX395"/>
      <c r="HY395"/>
      <c r="HZ395"/>
      <c r="IA395"/>
      <c r="IB395"/>
      <c r="IC395"/>
      <c r="ID395"/>
      <c r="IE395"/>
      <c r="IF395"/>
      <c r="IG395"/>
      <c r="IH395"/>
      <c r="II395"/>
      <c r="IJ395"/>
      <c r="IK395"/>
      <c r="IL395"/>
      <c r="IM395"/>
      <c r="IN395"/>
      <c r="IO395"/>
      <c r="IP395"/>
      <c r="IQ395"/>
      <c r="IR395"/>
      <c r="IS395"/>
      <c r="IT395"/>
      <c r="IU395"/>
      <c r="IV395"/>
      <c r="IW395"/>
      <c r="IX395"/>
      <c r="IY395"/>
      <c r="IZ395"/>
      <c r="JA395"/>
      <c r="JB395"/>
      <c r="JC395"/>
      <c r="JD395"/>
      <c r="JE395"/>
      <c r="JF395"/>
      <c r="JG395"/>
      <c r="JH395"/>
      <c r="JI395"/>
      <c r="JJ395"/>
      <c r="JK395"/>
      <c r="JL395"/>
      <c r="JM395"/>
      <c r="JN395"/>
      <c r="JO395"/>
      <c r="JP395"/>
      <c r="JQ395"/>
      <c r="JR395"/>
      <c r="JS395"/>
      <c r="JT395"/>
      <c r="JU395"/>
      <c r="JV395"/>
      <c r="JW395"/>
      <c r="JX395"/>
      <c r="JY395"/>
      <c r="JZ395"/>
      <c r="KA395"/>
      <c r="KB395"/>
      <c r="KC395"/>
      <c r="KD395"/>
      <c r="KE395"/>
      <c r="KF395"/>
      <c r="KG395"/>
      <c r="KH395"/>
      <c r="KI395"/>
      <c r="KJ395"/>
      <c r="KK395"/>
      <c r="KL395"/>
      <c r="KM395"/>
      <c r="KN395"/>
      <c r="KO395"/>
      <c r="KP395"/>
      <c r="KQ395"/>
      <c r="KR395"/>
      <c r="KS395"/>
      <c r="KT395"/>
      <c r="KU395"/>
      <c r="KV395"/>
      <c r="KW395"/>
      <c r="KX395"/>
      <c r="KY395"/>
      <c r="KZ395"/>
      <c r="LA395"/>
      <c r="LB395"/>
      <c r="LC395"/>
      <c r="LD395"/>
      <c r="LE395"/>
      <c r="LF395"/>
      <c r="LG395"/>
      <c r="LH395"/>
      <c r="LI395"/>
      <c r="LJ395"/>
      <c r="LK395"/>
      <c r="LL395"/>
      <c r="LM395"/>
      <c r="LN395"/>
      <c r="LO395"/>
      <c r="LP395"/>
      <c r="LQ395"/>
      <c r="LR395"/>
      <c r="LS395"/>
      <c r="LT395"/>
      <c r="LU395"/>
      <c r="LV395"/>
      <c r="LW395"/>
      <c r="LX395"/>
      <c r="LY395"/>
      <c r="LZ395"/>
      <c r="MA395"/>
      <c r="MB395"/>
      <c r="MC395"/>
      <c r="MD395"/>
      <c r="ME395"/>
      <c r="MF395"/>
      <c r="MG395"/>
      <c r="MH395"/>
      <c r="MI395"/>
      <c r="MJ395"/>
      <c r="MK395"/>
      <c r="ML395"/>
      <c r="MM395"/>
      <c r="MN395"/>
      <c r="MO395"/>
      <c r="MP395"/>
      <c r="MQ395"/>
      <c r="MR395"/>
      <c r="MS395"/>
      <c r="MT395"/>
      <c r="MU395"/>
      <c r="MV395"/>
      <c r="MW395"/>
      <c r="MX395"/>
      <c r="MY395"/>
      <c r="MZ395"/>
      <c r="NA395"/>
      <c r="NB395"/>
      <c r="NC395"/>
      <c r="ND395"/>
      <c r="NE395"/>
      <c r="NF395"/>
      <c r="NG395"/>
      <c r="NH395"/>
      <c r="NI395"/>
      <c r="NJ395"/>
      <c r="NK395"/>
      <c r="NL395"/>
      <c r="NM395"/>
      <c r="NN395"/>
      <c r="NO395"/>
      <c r="NP395"/>
      <c r="NQ395"/>
      <c r="NR395"/>
      <c r="NS395"/>
      <c r="NT395"/>
      <c r="NU395"/>
      <c r="NV395"/>
      <c r="NW395"/>
      <c r="NX395"/>
      <c r="NY395"/>
      <c r="NZ395"/>
      <c r="OA395"/>
      <c r="OB395"/>
      <c r="OC395"/>
      <c r="OD395"/>
      <c r="OE395"/>
      <c r="OF395"/>
      <c r="OG395"/>
      <c r="OH395"/>
      <c r="OI395"/>
      <c r="OJ395"/>
      <c r="OK395"/>
      <c r="OL395"/>
      <c r="OM395"/>
      <c r="ON395"/>
      <c r="OO395"/>
      <c r="OP395"/>
      <c r="OQ395"/>
      <c r="OR395"/>
      <c r="OS395"/>
      <c r="OT395"/>
      <c r="OU395"/>
      <c r="OV395"/>
      <c r="OW395"/>
      <c r="OX395"/>
      <c r="OY395"/>
      <c r="OZ395"/>
      <c r="PA395"/>
      <c r="PB395"/>
      <c r="PC395"/>
      <c r="PD395"/>
      <c r="PE395"/>
      <c r="PF395"/>
      <c r="PG395"/>
      <c r="PH395"/>
      <c r="PI395"/>
      <c r="PJ395"/>
      <c r="PK395"/>
      <c r="PL395"/>
      <c r="PM395"/>
      <c r="PN395"/>
      <c r="PO395"/>
      <c r="PP395"/>
      <c r="PQ395"/>
      <c r="PR395"/>
      <c r="PS395"/>
      <c r="PT395"/>
      <c r="PU395"/>
      <c r="PV395"/>
      <c r="PW395"/>
      <c r="PX395"/>
      <c r="PY395"/>
      <c r="PZ395"/>
      <c r="QA395"/>
      <c r="QB395"/>
      <c r="QC395"/>
      <c r="QD395"/>
      <c r="QE395"/>
      <c r="QF395"/>
      <c r="QG395"/>
      <c r="QH395"/>
      <c r="QI395"/>
      <c r="QJ395"/>
      <c r="QK395"/>
      <c r="QL395"/>
      <c r="QM395"/>
      <c r="QN395"/>
      <c r="QO395"/>
      <c r="QP395"/>
      <c r="QQ395"/>
      <c r="QR395"/>
      <c r="QS395"/>
      <c r="QT395"/>
      <c r="QU395"/>
      <c r="QV395"/>
      <c r="QW395"/>
      <c r="QX395"/>
      <c r="QY395"/>
      <c r="QZ395"/>
      <c r="RA395"/>
      <c r="RB395"/>
      <c r="RC395"/>
      <c r="RD395"/>
      <c r="RE395"/>
      <c r="RF395"/>
      <c r="RG395"/>
      <c r="RH395"/>
      <c r="RI395"/>
      <c r="RJ395"/>
      <c r="RK395"/>
      <c r="RL395"/>
      <c r="RM395"/>
      <c r="RN395"/>
      <c r="RO395"/>
      <c r="RP395"/>
      <c r="RQ395"/>
      <c r="RR395"/>
      <c r="RS395"/>
      <c r="RT395"/>
      <c r="RU395"/>
    </row>
    <row r="396" spans="3:489" x14ac:dyDescent="0.25">
      <c r="C396"/>
      <c r="D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  <c r="HB396"/>
      <c r="HC396"/>
      <c r="HD396"/>
      <c r="HE396"/>
      <c r="HF396"/>
      <c r="HG396"/>
      <c r="HH396"/>
      <c r="HI396"/>
      <c r="HJ396"/>
      <c r="HK396"/>
      <c r="HL396"/>
      <c r="HM396"/>
      <c r="HN396"/>
      <c r="HO396"/>
      <c r="HP396"/>
      <c r="HQ396"/>
      <c r="HR396"/>
      <c r="HS396"/>
      <c r="HT396"/>
      <c r="HU396"/>
      <c r="HV396"/>
      <c r="HW396"/>
      <c r="HX396"/>
      <c r="HY396"/>
      <c r="HZ396"/>
      <c r="IA396"/>
      <c r="IB396"/>
      <c r="IC396"/>
      <c r="ID396"/>
      <c r="IE396"/>
      <c r="IF396"/>
      <c r="IG396"/>
      <c r="IH396"/>
      <c r="II396"/>
      <c r="IJ396"/>
      <c r="IK396"/>
      <c r="IL396"/>
      <c r="IM396"/>
      <c r="IN396"/>
      <c r="IO396"/>
      <c r="IP396"/>
      <c r="IQ396"/>
      <c r="IR396"/>
      <c r="IS396"/>
      <c r="IT396"/>
      <c r="IU396"/>
      <c r="IV396"/>
      <c r="IW396"/>
      <c r="IX396"/>
      <c r="IY396"/>
      <c r="IZ396"/>
      <c r="JA396"/>
      <c r="JB396"/>
      <c r="JC396"/>
      <c r="JD396"/>
      <c r="JE396"/>
      <c r="JF396"/>
      <c r="JG396"/>
      <c r="JH396"/>
      <c r="JI396"/>
      <c r="JJ396"/>
      <c r="JK396"/>
      <c r="JL396"/>
      <c r="JM396"/>
      <c r="JN396"/>
      <c r="JO396"/>
      <c r="JP396"/>
      <c r="JQ396"/>
      <c r="JR396"/>
      <c r="JS396"/>
      <c r="JT396"/>
      <c r="JU396"/>
      <c r="JV396"/>
      <c r="JW396"/>
      <c r="JX396"/>
      <c r="JY396"/>
      <c r="JZ396"/>
      <c r="KA396"/>
      <c r="KB396"/>
      <c r="KC396"/>
      <c r="KD396"/>
      <c r="KE396"/>
      <c r="KF396"/>
      <c r="KG396"/>
      <c r="KH396"/>
      <c r="KI396"/>
      <c r="KJ396"/>
      <c r="KK396"/>
      <c r="KL396"/>
      <c r="KM396"/>
      <c r="KN396"/>
      <c r="KO396"/>
      <c r="KP396"/>
      <c r="KQ396"/>
      <c r="KR396"/>
      <c r="KS396"/>
      <c r="KT396"/>
      <c r="KU396"/>
      <c r="KV396"/>
      <c r="KW396"/>
      <c r="KX396"/>
      <c r="KY396"/>
      <c r="KZ396"/>
      <c r="LA396"/>
      <c r="LB396"/>
      <c r="LC396"/>
      <c r="LD396"/>
      <c r="LE396"/>
      <c r="LF396"/>
      <c r="LG396"/>
      <c r="LH396"/>
      <c r="LI396"/>
      <c r="LJ396"/>
      <c r="LK396"/>
      <c r="LL396"/>
      <c r="LM396"/>
      <c r="LN396"/>
      <c r="LO396"/>
      <c r="LP396"/>
      <c r="LQ396"/>
      <c r="LR396"/>
      <c r="LS396"/>
      <c r="LT396"/>
      <c r="LU396"/>
      <c r="LV396"/>
      <c r="LW396"/>
      <c r="LX396"/>
      <c r="LY396"/>
      <c r="LZ396"/>
      <c r="MA396"/>
      <c r="MB396"/>
      <c r="MC396"/>
      <c r="MD396"/>
      <c r="ME396"/>
      <c r="MF396"/>
      <c r="MG396"/>
      <c r="MH396"/>
      <c r="MI396"/>
      <c r="MJ396"/>
      <c r="MK396"/>
      <c r="ML396"/>
      <c r="MM396"/>
      <c r="MN396"/>
      <c r="MO396"/>
      <c r="MP396"/>
      <c r="MQ396"/>
      <c r="MR396"/>
      <c r="MS396"/>
      <c r="MT396"/>
      <c r="MU396"/>
      <c r="MV396"/>
      <c r="MW396"/>
      <c r="MX396"/>
      <c r="MY396"/>
      <c r="MZ396"/>
      <c r="NA396"/>
      <c r="NB396"/>
      <c r="NC396"/>
      <c r="ND396"/>
      <c r="NE396"/>
      <c r="NF396"/>
      <c r="NG396"/>
      <c r="NH396"/>
      <c r="NI396"/>
      <c r="NJ396"/>
      <c r="NK396"/>
      <c r="NL396"/>
      <c r="NM396"/>
      <c r="NN396"/>
      <c r="NO396"/>
      <c r="NP396"/>
      <c r="NQ396"/>
      <c r="NR396"/>
      <c r="NS396"/>
      <c r="NT396"/>
      <c r="NU396"/>
      <c r="NV396"/>
      <c r="NW396"/>
      <c r="NX396"/>
      <c r="NY396"/>
      <c r="NZ396"/>
      <c r="OA396"/>
      <c r="OB396"/>
      <c r="OC396"/>
      <c r="OD396"/>
      <c r="OE396"/>
      <c r="OF396"/>
      <c r="OG396"/>
      <c r="OH396"/>
      <c r="OI396"/>
      <c r="OJ396"/>
      <c r="OK396"/>
      <c r="OL396"/>
      <c r="OM396"/>
      <c r="ON396"/>
      <c r="OO396"/>
      <c r="OP396"/>
      <c r="OQ396"/>
      <c r="OR396"/>
      <c r="OS396"/>
      <c r="OT396"/>
      <c r="OU396"/>
      <c r="OV396"/>
      <c r="OW396"/>
      <c r="OX396"/>
      <c r="OY396"/>
      <c r="OZ396"/>
      <c r="PA396"/>
      <c r="PB396"/>
      <c r="PC396"/>
      <c r="PD396"/>
      <c r="PE396"/>
      <c r="PF396"/>
      <c r="PG396"/>
      <c r="PH396"/>
      <c r="PI396"/>
      <c r="PJ396"/>
      <c r="PK396"/>
      <c r="PL396"/>
      <c r="PM396"/>
      <c r="PN396"/>
      <c r="PO396"/>
      <c r="PP396"/>
      <c r="PQ396"/>
      <c r="PR396"/>
      <c r="PS396"/>
      <c r="PT396"/>
      <c r="PU396"/>
      <c r="PV396"/>
      <c r="PW396"/>
      <c r="PX396"/>
      <c r="PY396"/>
      <c r="PZ396"/>
      <c r="QA396"/>
      <c r="QB396"/>
      <c r="QC396"/>
      <c r="QD396"/>
      <c r="QE396"/>
      <c r="QF396"/>
      <c r="QG396"/>
      <c r="QH396"/>
      <c r="QI396"/>
      <c r="QJ396"/>
      <c r="QK396"/>
      <c r="QL396"/>
      <c r="QM396"/>
      <c r="QN396"/>
      <c r="QO396"/>
      <c r="QP396"/>
      <c r="QQ396"/>
      <c r="QR396"/>
      <c r="QS396"/>
      <c r="QT396"/>
      <c r="QU396"/>
      <c r="QV396"/>
      <c r="QW396"/>
      <c r="QX396"/>
      <c r="QY396"/>
      <c r="QZ396"/>
      <c r="RA396"/>
      <c r="RB396"/>
      <c r="RC396"/>
      <c r="RD396"/>
      <c r="RE396"/>
      <c r="RF396"/>
      <c r="RG396"/>
      <c r="RH396"/>
      <c r="RI396"/>
      <c r="RJ396"/>
      <c r="RK396"/>
      <c r="RL396"/>
      <c r="RM396"/>
      <c r="RN396"/>
      <c r="RO396"/>
      <c r="RP396"/>
      <c r="RQ396"/>
      <c r="RR396"/>
      <c r="RS396"/>
      <c r="RT396"/>
      <c r="RU396"/>
    </row>
    <row r="397" spans="3:489" x14ac:dyDescent="0.25">
      <c r="C397"/>
      <c r="D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  <c r="HB397"/>
      <c r="HC397"/>
      <c r="HD397"/>
      <c r="HE397"/>
      <c r="HF397"/>
      <c r="HG397"/>
      <c r="HH397"/>
      <c r="HI397"/>
      <c r="HJ397"/>
      <c r="HK397"/>
      <c r="HL397"/>
      <c r="HM397"/>
      <c r="HN397"/>
      <c r="HO397"/>
      <c r="HP397"/>
      <c r="HQ397"/>
      <c r="HR397"/>
      <c r="HS397"/>
      <c r="HT397"/>
      <c r="HU397"/>
      <c r="HV397"/>
      <c r="HW397"/>
      <c r="HX397"/>
      <c r="HY397"/>
      <c r="HZ397"/>
      <c r="IA397"/>
      <c r="IB397"/>
      <c r="IC397"/>
      <c r="ID397"/>
      <c r="IE397"/>
      <c r="IF397"/>
      <c r="IG397"/>
      <c r="IH397"/>
      <c r="II397"/>
      <c r="IJ397"/>
      <c r="IK397"/>
      <c r="IL397"/>
      <c r="IM397"/>
      <c r="IN397"/>
      <c r="IO397"/>
      <c r="IP397"/>
      <c r="IQ397"/>
      <c r="IR397"/>
      <c r="IS397"/>
      <c r="IT397"/>
      <c r="IU397"/>
      <c r="IV397"/>
      <c r="IW397"/>
      <c r="IX397"/>
      <c r="IY397"/>
      <c r="IZ397"/>
      <c r="JA397"/>
      <c r="JB397"/>
      <c r="JC397"/>
      <c r="JD397"/>
      <c r="JE397"/>
      <c r="JF397"/>
      <c r="JG397"/>
      <c r="JH397"/>
      <c r="JI397"/>
      <c r="JJ397"/>
      <c r="JK397"/>
      <c r="JL397"/>
      <c r="JM397"/>
      <c r="JN397"/>
      <c r="JO397"/>
      <c r="JP397"/>
      <c r="JQ397"/>
      <c r="JR397"/>
      <c r="JS397"/>
      <c r="JT397"/>
      <c r="JU397"/>
      <c r="JV397"/>
      <c r="JW397"/>
      <c r="JX397"/>
      <c r="JY397"/>
      <c r="JZ397"/>
      <c r="KA397"/>
      <c r="KB397"/>
      <c r="KC397"/>
      <c r="KD397"/>
      <c r="KE397"/>
      <c r="KF397"/>
      <c r="KG397"/>
      <c r="KH397"/>
      <c r="KI397"/>
      <c r="KJ397"/>
      <c r="KK397"/>
      <c r="KL397"/>
      <c r="KM397"/>
      <c r="KN397"/>
      <c r="KO397"/>
      <c r="KP397"/>
      <c r="KQ397"/>
      <c r="KR397"/>
      <c r="KS397"/>
      <c r="KT397"/>
      <c r="KU397"/>
      <c r="KV397"/>
      <c r="KW397"/>
      <c r="KX397"/>
      <c r="KY397"/>
      <c r="KZ397"/>
      <c r="LA397"/>
      <c r="LB397"/>
      <c r="LC397"/>
      <c r="LD397"/>
      <c r="LE397"/>
      <c r="LF397"/>
      <c r="LG397"/>
      <c r="LH397"/>
      <c r="LI397"/>
      <c r="LJ397"/>
      <c r="LK397"/>
      <c r="LL397"/>
      <c r="LM397"/>
      <c r="LN397"/>
      <c r="LO397"/>
      <c r="LP397"/>
      <c r="LQ397"/>
      <c r="LR397"/>
      <c r="LS397"/>
      <c r="LT397"/>
      <c r="LU397"/>
      <c r="LV397"/>
      <c r="LW397"/>
      <c r="LX397"/>
      <c r="LY397"/>
      <c r="LZ397"/>
      <c r="MA397"/>
      <c r="MB397"/>
      <c r="MC397"/>
      <c r="MD397"/>
      <c r="ME397"/>
      <c r="MF397"/>
      <c r="MG397"/>
      <c r="MH397"/>
      <c r="MI397"/>
      <c r="MJ397"/>
      <c r="MK397"/>
      <c r="ML397"/>
      <c r="MM397"/>
      <c r="MN397"/>
      <c r="MO397"/>
      <c r="MP397"/>
      <c r="MQ397"/>
      <c r="MR397"/>
      <c r="MS397"/>
      <c r="MT397"/>
      <c r="MU397"/>
      <c r="MV397"/>
      <c r="MW397"/>
      <c r="MX397"/>
      <c r="MY397"/>
      <c r="MZ397"/>
      <c r="NA397"/>
      <c r="NB397"/>
      <c r="NC397"/>
      <c r="ND397"/>
      <c r="NE397"/>
      <c r="NF397"/>
      <c r="NG397"/>
      <c r="NH397"/>
      <c r="NI397"/>
      <c r="NJ397"/>
      <c r="NK397"/>
      <c r="NL397"/>
      <c r="NM397"/>
      <c r="NN397"/>
      <c r="NO397"/>
      <c r="NP397"/>
      <c r="NQ397"/>
      <c r="NR397"/>
      <c r="NS397"/>
      <c r="NT397"/>
      <c r="NU397"/>
      <c r="NV397"/>
      <c r="NW397"/>
      <c r="NX397"/>
      <c r="NY397"/>
      <c r="NZ397"/>
      <c r="OA397"/>
      <c r="OB397"/>
      <c r="OC397"/>
      <c r="OD397"/>
      <c r="OE397"/>
      <c r="OF397"/>
      <c r="OG397"/>
      <c r="OH397"/>
      <c r="OI397"/>
      <c r="OJ397"/>
      <c r="OK397"/>
      <c r="OL397"/>
      <c r="OM397"/>
      <c r="ON397"/>
      <c r="OO397"/>
      <c r="OP397"/>
      <c r="OQ397"/>
      <c r="OR397"/>
      <c r="OS397"/>
      <c r="OT397"/>
      <c r="OU397"/>
      <c r="OV397"/>
      <c r="OW397"/>
      <c r="OX397"/>
      <c r="OY397"/>
      <c r="OZ397"/>
      <c r="PA397"/>
      <c r="PB397"/>
      <c r="PC397"/>
      <c r="PD397"/>
      <c r="PE397"/>
      <c r="PF397"/>
      <c r="PG397"/>
      <c r="PH397"/>
      <c r="PI397"/>
      <c r="PJ397"/>
      <c r="PK397"/>
      <c r="PL397"/>
      <c r="PM397"/>
      <c r="PN397"/>
      <c r="PO397"/>
      <c r="PP397"/>
      <c r="PQ397"/>
      <c r="PR397"/>
      <c r="PS397"/>
      <c r="PT397"/>
      <c r="PU397"/>
      <c r="PV397"/>
      <c r="PW397"/>
      <c r="PX397"/>
      <c r="PY397"/>
      <c r="PZ397"/>
      <c r="QA397"/>
      <c r="QB397"/>
      <c r="QC397"/>
      <c r="QD397"/>
      <c r="QE397"/>
      <c r="QF397"/>
      <c r="QG397"/>
      <c r="QH397"/>
      <c r="QI397"/>
      <c r="QJ397"/>
      <c r="QK397"/>
      <c r="QL397"/>
      <c r="QM397"/>
      <c r="QN397"/>
      <c r="QO397"/>
      <c r="QP397"/>
      <c r="QQ397"/>
      <c r="QR397"/>
      <c r="QS397"/>
      <c r="QT397"/>
      <c r="QU397"/>
      <c r="QV397"/>
      <c r="QW397"/>
      <c r="QX397"/>
      <c r="QY397"/>
      <c r="QZ397"/>
      <c r="RA397"/>
      <c r="RB397"/>
      <c r="RC397"/>
      <c r="RD397"/>
      <c r="RE397"/>
      <c r="RF397"/>
      <c r="RG397"/>
      <c r="RH397"/>
      <c r="RI397"/>
      <c r="RJ397"/>
      <c r="RK397"/>
      <c r="RL397"/>
      <c r="RM397"/>
      <c r="RN397"/>
      <c r="RO397"/>
      <c r="RP397"/>
      <c r="RQ397"/>
      <c r="RR397"/>
      <c r="RS397"/>
      <c r="RT397"/>
      <c r="RU397"/>
    </row>
    <row r="398" spans="3:489" x14ac:dyDescent="0.25">
      <c r="C398"/>
      <c r="D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  <c r="HB398"/>
      <c r="HC398"/>
      <c r="HD398"/>
      <c r="HE398"/>
      <c r="HF398"/>
      <c r="HG398"/>
      <c r="HH398"/>
      <c r="HI398"/>
      <c r="HJ398"/>
      <c r="HK398"/>
      <c r="HL398"/>
      <c r="HM398"/>
      <c r="HN398"/>
      <c r="HO398"/>
      <c r="HP398"/>
      <c r="HQ398"/>
      <c r="HR398"/>
      <c r="HS398"/>
      <c r="HT398"/>
      <c r="HU398"/>
      <c r="HV398"/>
      <c r="HW398"/>
      <c r="HX398"/>
      <c r="HY398"/>
      <c r="HZ398"/>
      <c r="IA398"/>
      <c r="IB398"/>
      <c r="IC398"/>
      <c r="ID398"/>
      <c r="IE398"/>
      <c r="IF398"/>
      <c r="IG398"/>
      <c r="IH398"/>
      <c r="II398"/>
      <c r="IJ398"/>
      <c r="IK398"/>
      <c r="IL398"/>
      <c r="IM398"/>
      <c r="IN398"/>
      <c r="IO398"/>
      <c r="IP398"/>
      <c r="IQ398"/>
      <c r="IR398"/>
      <c r="IS398"/>
      <c r="IT398"/>
      <c r="IU398"/>
      <c r="IV398"/>
      <c r="IW398"/>
      <c r="IX398"/>
      <c r="IY398"/>
      <c r="IZ398"/>
      <c r="JA398"/>
      <c r="JB398"/>
      <c r="JC398"/>
      <c r="JD398"/>
      <c r="JE398"/>
      <c r="JF398"/>
      <c r="JG398"/>
      <c r="JH398"/>
      <c r="JI398"/>
      <c r="JJ398"/>
      <c r="JK398"/>
      <c r="JL398"/>
      <c r="JM398"/>
      <c r="JN398"/>
      <c r="JO398"/>
      <c r="JP398"/>
      <c r="JQ398"/>
      <c r="JR398"/>
      <c r="JS398"/>
      <c r="JT398"/>
      <c r="JU398"/>
      <c r="JV398"/>
      <c r="JW398"/>
      <c r="JX398"/>
      <c r="JY398"/>
      <c r="JZ398"/>
      <c r="KA398"/>
      <c r="KB398"/>
      <c r="KC398"/>
      <c r="KD398"/>
      <c r="KE398"/>
      <c r="KF398"/>
      <c r="KG398"/>
      <c r="KH398"/>
      <c r="KI398"/>
      <c r="KJ398"/>
      <c r="KK398"/>
      <c r="KL398"/>
      <c r="KM398"/>
      <c r="KN398"/>
      <c r="KO398"/>
      <c r="KP398"/>
      <c r="KQ398"/>
      <c r="KR398"/>
      <c r="KS398"/>
      <c r="KT398"/>
      <c r="KU398"/>
      <c r="KV398"/>
      <c r="KW398"/>
      <c r="KX398"/>
      <c r="KY398"/>
      <c r="KZ398"/>
      <c r="LA398"/>
      <c r="LB398"/>
      <c r="LC398"/>
      <c r="LD398"/>
      <c r="LE398"/>
      <c r="LF398"/>
      <c r="LG398"/>
      <c r="LH398"/>
      <c r="LI398"/>
      <c r="LJ398"/>
      <c r="LK398"/>
      <c r="LL398"/>
      <c r="LM398"/>
      <c r="LN398"/>
      <c r="LO398"/>
      <c r="LP398"/>
      <c r="LQ398"/>
      <c r="LR398"/>
      <c r="LS398"/>
      <c r="LT398"/>
      <c r="LU398"/>
      <c r="LV398"/>
      <c r="LW398"/>
      <c r="LX398"/>
      <c r="LY398"/>
      <c r="LZ398"/>
      <c r="MA398"/>
      <c r="MB398"/>
      <c r="MC398"/>
      <c r="MD398"/>
      <c r="ME398"/>
      <c r="MF398"/>
      <c r="MG398"/>
      <c r="MH398"/>
      <c r="MI398"/>
      <c r="MJ398"/>
      <c r="MK398"/>
      <c r="ML398"/>
      <c r="MM398"/>
      <c r="MN398"/>
      <c r="MO398"/>
      <c r="MP398"/>
      <c r="MQ398"/>
      <c r="MR398"/>
      <c r="MS398"/>
      <c r="MT398"/>
      <c r="MU398"/>
      <c r="MV398"/>
      <c r="MW398"/>
      <c r="MX398"/>
      <c r="MY398"/>
      <c r="MZ398"/>
      <c r="NA398"/>
      <c r="NB398"/>
      <c r="NC398"/>
      <c r="ND398"/>
      <c r="NE398"/>
      <c r="NF398"/>
      <c r="NG398"/>
      <c r="NH398"/>
      <c r="NI398"/>
      <c r="NJ398"/>
      <c r="NK398"/>
      <c r="NL398"/>
      <c r="NM398"/>
      <c r="NN398"/>
      <c r="NO398"/>
      <c r="NP398"/>
      <c r="NQ398"/>
      <c r="NR398"/>
      <c r="NS398"/>
      <c r="NT398"/>
      <c r="NU398"/>
      <c r="NV398"/>
      <c r="NW398"/>
      <c r="NX398"/>
      <c r="NY398"/>
      <c r="NZ398"/>
      <c r="OA398"/>
      <c r="OB398"/>
      <c r="OC398"/>
      <c r="OD398"/>
      <c r="OE398"/>
      <c r="OF398"/>
      <c r="OG398"/>
      <c r="OH398"/>
      <c r="OI398"/>
      <c r="OJ398"/>
      <c r="OK398"/>
      <c r="OL398"/>
      <c r="OM398"/>
      <c r="ON398"/>
      <c r="OO398"/>
      <c r="OP398"/>
      <c r="OQ398"/>
      <c r="OR398"/>
      <c r="OS398"/>
      <c r="OT398"/>
      <c r="OU398"/>
      <c r="OV398"/>
      <c r="OW398"/>
      <c r="OX398"/>
      <c r="OY398"/>
      <c r="OZ398"/>
      <c r="PA398"/>
      <c r="PB398"/>
      <c r="PC398"/>
      <c r="PD398"/>
      <c r="PE398"/>
      <c r="PF398"/>
      <c r="PG398"/>
      <c r="PH398"/>
      <c r="PI398"/>
      <c r="PJ398"/>
      <c r="PK398"/>
      <c r="PL398"/>
      <c r="PM398"/>
      <c r="PN398"/>
      <c r="PO398"/>
      <c r="PP398"/>
      <c r="PQ398"/>
      <c r="PR398"/>
      <c r="PS398"/>
      <c r="PT398"/>
      <c r="PU398"/>
      <c r="PV398"/>
      <c r="PW398"/>
      <c r="PX398"/>
      <c r="PY398"/>
      <c r="PZ398"/>
      <c r="QA398"/>
      <c r="QB398"/>
      <c r="QC398"/>
      <c r="QD398"/>
      <c r="QE398"/>
      <c r="QF398"/>
      <c r="QG398"/>
      <c r="QH398"/>
      <c r="QI398"/>
      <c r="QJ398"/>
      <c r="QK398"/>
      <c r="QL398"/>
      <c r="QM398"/>
      <c r="QN398"/>
      <c r="QO398"/>
      <c r="QP398"/>
      <c r="QQ398"/>
      <c r="QR398"/>
      <c r="QS398"/>
      <c r="QT398"/>
      <c r="QU398"/>
      <c r="QV398"/>
      <c r="QW398"/>
      <c r="QX398"/>
      <c r="QY398"/>
      <c r="QZ398"/>
      <c r="RA398"/>
      <c r="RB398"/>
      <c r="RC398"/>
      <c r="RD398"/>
      <c r="RE398"/>
      <c r="RF398"/>
      <c r="RG398"/>
      <c r="RH398"/>
      <c r="RI398"/>
      <c r="RJ398"/>
      <c r="RK398"/>
      <c r="RL398"/>
      <c r="RM398"/>
      <c r="RN398"/>
      <c r="RO398"/>
      <c r="RP398"/>
      <c r="RQ398"/>
      <c r="RR398"/>
      <c r="RS398"/>
      <c r="RT398"/>
      <c r="RU398"/>
    </row>
    <row r="399" spans="3:489" x14ac:dyDescent="0.25">
      <c r="C399"/>
      <c r="D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  <c r="HB399"/>
      <c r="HC399"/>
      <c r="HD399"/>
      <c r="HE399"/>
      <c r="HF399"/>
      <c r="HG399"/>
      <c r="HH399"/>
      <c r="HI399"/>
      <c r="HJ399"/>
      <c r="HK399"/>
      <c r="HL399"/>
      <c r="HM399"/>
      <c r="HN399"/>
      <c r="HO399"/>
      <c r="HP399"/>
      <c r="HQ399"/>
      <c r="HR399"/>
      <c r="HS399"/>
      <c r="HT399"/>
      <c r="HU399"/>
      <c r="HV399"/>
      <c r="HW399"/>
      <c r="HX399"/>
      <c r="HY399"/>
      <c r="HZ399"/>
      <c r="IA399"/>
      <c r="IB399"/>
      <c r="IC399"/>
      <c r="ID399"/>
      <c r="IE399"/>
      <c r="IF399"/>
      <c r="IG399"/>
      <c r="IH399"/>
      <c r="II399"/>
      <c r="IJ399"/>
      <c r="IK399"/>
      <c r="IL399"/>
      <c r="IM399"/>
      <c r="IN399"/>
      <c r="IO399"/>
      <c r="IP399"/>
      <c r="IQ399"/>
      <c r="IR399"/>
      <c r="IS399"/>
      <c r="IT399"/>
      <c r="IU399"/>
      <c r="IV399"/>
      <c r="IW399"/>
      <c r="IX399"/>
      <c r="IY399"/>
      <c r="IZ399"/>
      <c r="JA399"/>
      <c r="JB399"/>
      <c r="JC399"/>
      <c r="JD399"/>
      <c r="JE399"/>
      <c r="JF399"/>
      <c r="JG399"/>
      <c r="JH399"/>
      <c r="JI399"/>
      <c r="JJ399"/>
      <c r="JK399"/>
      <c r="JL399"/>
      <c r="JM399"/>
      <c r="JN399"/>
      <c r="JO399"/>
      <c r="JP399"/>
      <c r="JQ399"/>
      <c r="JR399"/>
      <c r="JS399"/>
      <c r="JT399"/>
      <c r="JU399"/>
      <c r="JV399"/>
      <c r="JW399"/>
      <c r="JX399"/>
      <c r="JY399"/>
      <c r="JZ399"/>
      <c r="KA399"/>
      <c r="KB399"/>
      <c r="KC399"/>
      <c r="KD399"/>
      <c r="KE399"/>
      <c r="KF399"/>
      <c r="KG399"/>
      <c r="KH399"/>
      <c r="KI399"/>
      <c r="KJ399"/>
      <c r="KK399"/>
      <c r="KL399"/>
      <c r="KM399"/>
      <c r="KN399"/>
      <c r="KO399"/>
      <c r="KP399"/>
      <c r="KQ399"/>
      <c r="KR399"/>
      <c r="KS399"/>
      <c r="KT399"/>
      <c r="KU399"/>
      <c r="KV399"/>
      <c r="KW399"/>
      <c r="KX399"/>
      <c r="KY399"/>
      <c r="KZ399"/>
      <c r="LA399"/>
      <c r="LB399"/>
      <c r="LC399"/>
      <c r="LD399"/>
      <c r="LE399"/>
      <c r="LF399"/>
      <c r="LG399"/>
      <c r="LH399"/>
      <c r="LI399"/>
      <c r="LJ399"/>
      <c r="LK399"/>
      <c r="LL399"/>
      <c r="LM399"/>
      <c r="LN399"/>
      <c r="LO399"/>
      <c r="LP399"/>
      <c r="LQ399"/>
      <c r="LR399"/>
      <c r="LS399"/>
      <c r="LT399"/>
      <c r="LU399"/>
      <c r="LV399"/>
      <c r="LW399"/>
      <c r="LX399"/>
      <c r="LY399"/>
      <c r="LZ399"/>
      <c r="MA399"/>
      <c r="MB399"/>
      <c r="MC399"/>
      <c r="MD399"/>
      <c r="ME399"/>
      <c r="MF399"/>
      <c r="MG399"/>
      <c r="MH399"/>
      <c r="MI399"/>
      <c r="MJ399"/>
      <c r="MK399"/>
      <c r="ML399"/>
      <c r="MM399"/>
      <c r="MN399"/>
      <c r="MO399"/>
      <c r="MP399"/>
      <c r="MQ399"/>
      <c r="MR399"/>
      <c r="MS399"/>
      <c r="MT399"/>
      <c r="MU399"/>
      <c r="MV399"/>
      <c r="MW399"/>
      <c r="MX399"/>
      <c r="MY399"/>
      <c r="MZ399"/>
      <c r="NA399"/>
      <c r="NB399"/>
      <c r="NC399"/>
      <c r="ND399"/>
      <c r="NE399"/>
      <c r="NF399"/>
      <c r="NG399"/>
      <c r="NH399"/>
      <c r="NI399"/>
      <c r="NJ399"/>
      <c r="NK399"/>
      <c r="NL399"/>
      <c r="NM399"/>
      <c r="NN399"/>
      <c r="NO399"/>
      <c r="NP399"/>
      <c r="NQ399"/>
      <c r="NR399"/>
      <c r="NS399"/>
      <c r="NT399"/>
      <c r="NU399"/>
      <c r="NV399"/>
      <c r="NW399"/>
      <c r="NX399"/>
      <c r="NY399"/>
      <c r="NZ399"/>
      <c r="OA399"/>
      <c r="OB399"/>
      <c r="OC399"/>
      <c r="OD399"/>
      <c r="OE399"/>
      <c r="OF399"/>
      <c r="OG399"/>
      <c r="OH399"/>
      <c r="OI399"/>
      <c r="OJ399"/>
      <c r="OK399"/>
      <c r="OL399"/>
      <c r="OM399"/>
      <c r="ON399"/>
      <c r="OO399"/>
      <c r="OP399"/>
      <c r="OQ399"/>
      <c r="OR399"/>
      <c r="OS399"/>
      <c r="OT399"/>
      <c r="OU399"/>
      <c r="OV399"/>
      <c r="OW399"/>
      <c r="OX399"/>
      <c r="OY399"/>
      <c r="OZ399"/>
      <c r="PA399"/>
      <c r="PB399"/>
      <c r="PC399"/>
      <c r="PD399"/>
      <c r="PE399"/>
      <c r="PF399"/>
      <c r="PG399"/>
      <c r="PH399"/>
      <c r="PI399"/>
      <c r="PJ399"/>
      <c r="PK399"/>
      <c r="PL399"/>
      <c r="PM399"/>
      <c r="PN399"/>
      <c r="PO399"/>
      <c r="PP399"/>
      <c r="PQ399"/>
      <c r="PR399"/>
      <c r="PS399"/>
      <c r="PT399"/>
      <c r="PU399"/>
      <c r="PV399"/>
      <c r="PW399"/>
      <c r="PX399"/>
      <c r="PY399"/>
      <c r="PZ399"/>
      <c r="QA399"/>
      <c r="QB399"/>
      <c r="QC399"/>
      <c r="QD399"/>
      <c r="QE399"/>
      <c r="QF399"/>
      <c r="QG399"/>
      <c r="QH399"/>
      <c r="QI399"/>
      <c r="QJ399"/>
      <c r="QK399"/>
      <c r="QL399"/>
      <c r="QM399"/>
      <c r="QN399"/>
      <c r="QO399"/>
      <c r="QP399"/>
      <c r="QQ399"/>
      <c r="QR399"/>
      <c r="QS399"/>
      <c r="QT399"/>
      <c r="QU399"/>
      <c r="QV399"/>
      <c r="QW399"/>
      <c r="QX399"/>
      <c r="QY399"/>
      <c r="QZ399"/>
      <c r="RA399"/>
      <c r="RB399"/>
      <c r="RC399"/>
      <c r="RD399"/>
      <c r="RE399"/>
      <c r="RF399"/>
      <c r="RG399"/>
      <c r="RH399"/>
      <c r="RI399"/>
      <c r="RJ399"/>
      <c r="RK399"/>
      <c r="RL399"/>
      <c r="RM399"/>
      <c r="RN399"/>
      <c r="RO399"/>
      <c r="RP399"/>
      <c r="RQ399"/>
      <c r="RR399"/>
      <c r="RS399"/>
      <c r="RT399"/>
      <c r="RU399"/>
    </row>
    <row r="400" spans="3:489" x14ac:dyDescent="0.25">
      <c r="C400"/>
      <c r="D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  <c r="HB400"/>
      <c r="HC400"/>
      <c r="HD400"/>
      <c r="HE400"/>
      <c r="HF400"/>
      <c r="HG400"/>
      <c r="HH400"/>
      <c r="HI400"/>
      <c r="HJ400"/>
      <c r="HK400"/>
      <c r="HL400"/>
      <c r="HM400"/>
      <c r="HN400"/>
      <c r="HO400"/>
      <c r="HP400"/>
      <c r="HQ400"/>
      <c r="HR400"/>
      <c r="HS400"/>
      <c r="HT400"/>
      <c r="HU400"/>
      <c r="HV400"/>
      <c r="HW400"/>
      <c r="HX400"/>
      <c r="HY400"/>
      <c r="HZ400"/>
      <c r="IA400"/>
      <c r="IB400"/>
      <c r="IC400"/>
      <c r="ID400"/>
      <c r="IE400"/>
      <c r="IF400"/>
      <c r="IG400"/>
      <c r="IH400"/>
      <c r="II400"/>
      <c r="IJ400"/>
      <c r="IK400"/>
      <c r="IL400"/>
      <c r="IM400"/>
      <c r="IN400"/>
      <c r="IO400"/>
      <c r="IP400"/>
      <c r="IQ400"/>
      <c r="IR400"/>
      <c r="IS400"/>
      <c r="IT400"/>
      <c r="IU400"/>
      <c r="IV400"/>
      <c r="IW400"/>
      <c r="IX400"/>
      <c r="IY400"/>
      <c r="IZ400"/>
      <c r="JA400"/>
      <c r="JB400"/>
      <c r="JC400"/>
      <c r="JD400"/>
      <c r="JE400"/>
      <c r="JF400"/>
      <c r="JG400"/>
      <c r="JH400"/>
      <c r="JI400"/>
      <c r="JJ400"/>
      <c r="JK400"/>
      <c r="JL400"/>
      <c r="JM400"/>
      <c r="JN400"/>
      <c r="JO400"/>
      <c r="JP400"/>
      <c r="JQ400"/>
      <c r="JR400"/>
      <c r="JS400"/>
      <c r="JT400"/>
      <c r="JU400"/>
      <c r="JV400"/>
      <c r="JW400"/>
      <c r="JX400"/>
      <c r="JY400"/>
      <c r="JZ400"/>
      <c r="KA400"/>
      <c r="KB400"/>
      <c r="KC400"/>
      <c r="KD400"/>
      <c r="KE400"/>
      <c r="KF400"/>
      <c r="KG400"/>
      <c r="KH400"/>
      <c r="KI400"/>
      <c r="KJ400"/>
      <c r="KK400"/>
      <c r="KL400"/>
      <c r="KM400"/>
      <c r="KN400"/>
      <c r="KO400"/>
      <c r="KP400"/>
      <c r="KQ400"/>
      <c r="KR400"/>
      <c r="KS400"/>
      <c r="KT400"/>
      <c r="KU400"/>
      <c r="KV400"/>
      <c r="KW400"/>
      <c r="KX400"/>
      <c r="KY400"/>
      <c r="KZ400"/>
      <c r="LA400"/>
      <c r="LB400"/>
      <c r="LC400"/>
      <c r="LD400"/>
      <c r="LE400"/>
      <c r="LF400"/>
      <c r="LG400"/>
      <c r="LH400"/>
      <c r="LI400"/>
      <c r="LJ400"/>
      <c r="LK400"/>
      <c r="LL400"/>
      <c r="LM400"/>
      <c r="LN400"/>
      <c r="LO400"/>
      <c r="LP400"/>
      <c r="LQ400"/>
      <c r="LR400"/>
      <c r="LS400"/>
      <c r="LT400"/>
      <c r="LU400"/>
      <c r="LV400"/>
      <c r="LW400"/>
      <c r="LX400"/>
      <c r="LY400"/>
      <c r="LZ400"/>
      <c r="MA400"/>
      <c r="MB400"/>
      <c r="MC400"/>
      <c r="MD400"/>
      <c r="ME400"/>
      <c r="MF400"/>
      <c r="MG400"/>
      <c r="MH400"/>
      <c r="MI400"/>
      <c r="MJ400"/>
      <c r="MK400"/>
      <c r="ML400"/>
      <c r="MM400"/>
      <c r="MN400"/>
      <c r="MO400"/>
      <c r="MP400"/>
      <c r="MQ400"/>
      <c r="MR400"/>
      <c r="MS400"/>
      <c r="MT400"/>
      <c r="MU400"/>
      <c r="MV400"/>
      <c r="MW400"/>
      <c r="MX400"/>
      <c r="MY400"/>
      <c r="MZ400"/>
      <c r="NA400"/>
      <c r="NB400"/>
      <c r="NC400"/>
      <c r="ND400"/>
      <c r="NE400"/>
      <c r="NF400"/>
      <c r="NG400"/>
      <c r="NH400"/>
      <c r="NI400"/>
      <c r="NJ400"/>
      <c r="NK400"/>
      <c r="NL400"/>
      <c r="NM400"/>
      <c r="NN400"/>
      <c r="NO400"/>
      <c r="NP400"/>
      <c r="NQ400"/>
      <c r="NR400"/>
      <c r="NS400"/>
      <c r="NT400"/>
      <c r="NU400"/>
      <c r="NV400"/>
      <c r="NW400"/>
      <c r="NX400"/>
      <c r="NY400"/>
      <c r="NZ400"/>
      <c r="OA400"/>
      <c r="OB400"/>
      <c r="OC400"/>
      <c r="OD400"/>
      <c r="OE400"/>
      <c r="OF400"/>
      <c r="OG400"/>
      <c r="OH400"/>
      <c r="OI400"/>
      <c r="OJ400"/>
      <c r="OK400"/>
      <c r="OL400"/>
      <c r="OM400"/>
      <c r="ON400"/>
      <c r="OO400"/>
      <c r="OP400"/>
      <c r="OQ400"/>
      <c r="OR400"/>
      <c r="OS400"/>
      <c r="OT400"/>
      <c r="OU400"/>
      <c r="OV400"/>
      <c r="OW400"/>
      <c r="OX400"/>
      <c r="OY400"/>
      <c r="OZ400"/>
      <c r="PA400"/>
      <c r="PB400"/>
      <c r="PC400"/>
      <c r="PD400"/>
      <c r="PE400"/>
      <c r="PF400"/>
      <c r="PG400"/>
      <c r="PH400"/>
      <c r="PI400"/>
      <c r="PJ400"/>
      <c r="PK400"/>
      <c r="PL400"/>
      <c r="PM400"/>
      <c r="PN400"/>
      <c r="PO400"/>
      <c r="PP400"/>
      <c r="PQ400"/>
      <c r="PR400"/>
      <c r="PS400"/>
      <c r="PT400"/>
      <c r="PU400"/>
      <c r="PV400"/>
      <c r="PW400"/>
      <c r="PX400"/>
      <c r="PY400"/>
      <c r="PZ400"/>
      <c r="QA400"/>
      <c r="QB400"/>
      <c r="QC400"/>
      <c r="QD400"/>
      <c r="QE400"/>
      <c r="QF400"/>
      <c r="QG400"/>
      <c r="QH400"/>
      <c r="QI400"/>
      <c r="QJ400"/>
      <c r="QK400"/>
      <c r="QL400"/>
      <c r="QM400"/>
      <c r="QN400"/>
      <c r="QO400"/>
      <c r="QP400"/>
      <c r="QQ400"/>
      <c r="QR400"/>
      <c r="QS400"/>
      <c r="QT400"/>
      <c r="QU400"/>
      <c r="QV400"/>
      <c r="QW400"/>
      <c r="QX400"/>
      <c r="QY400"/>
      <c r="QZ400"/>
      <c r="RA400"/>
      <c r="RB400"/>
      <c r="RC400"/>
      <c r="RD400"/>
      <c r="RE400"/>
      <c r="RF400"/>
      <c r="RG400"/>
      <c r="RH400"/>
      <c r="RI400"/>
      <c r="RJ400"/>
      <c r="RK400"/>
      <c r="RL400"/>
      <c r="RM400"/>
      <c r="RN400"/>
      <c r="RO400"/>
      <c r="RP400"/>
      <c r="RQ400"/>
      <c r="RR400"/>
      <c r="RS400"/>
      <c r="RT400"/>
      <c r="RU400"/>
    </row>
    <row r="401" spans="3:489" x14ac:dyDescent="0.25">
      <c r="C401"/>
      <c r="D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  <c r="HB401"/>
      <c r="HC401"/>
      <c r="HD401"/>
      <c r="HE401"/>
      <c r="HF401"/>
      <c r="HG401"/>
      <c r="HH401"/>
      <c r="HI401"/>
      <c r="HJ401"/>
      <c r="HK401"/>
      <c r="HL401"/>
      <c r="HM401"/>
      <c r="HN401"/>
      <c r="HO401"/>
      <c r="HP401"/>
      <c r="HQ401"/>
      <c r="HR401"/>
      <c r="HS401"/>
      <c r="HT401"/>
      <c r="HU401"/>
      <c r="HV401"/>
      <c r="HW401"/>
      <c r="HX401"/>
      <c r="HY401"/>
      <c r="HZ401"/>
      <c r="IA401"/>
      <c r="IB401"/>
      <c r="IC401"/>
      <c r="ID401"/>
      <c r="IE401"/>
      <c r="IF401"/>
      <c r="IG401"/>
      <c r="IH401"/>
      <c r="II401"/>
      <c r="IJ401"/>
      <c r="IK401"/>
      <c r="IL401"/>
      <c r="IM401"/>
      <c r="IN401"/>
      <c r="IO401"/>
      <c r="IP401"/>
      <c r="IQ401"/>
      <c r="IR401"/>
      <c r="IS401"/>
      <c r="IT401"/>
      <c r="IU401"/>
      <c r="IV401"/>
      <c r="IW401"/>
      <c r="IX401"/>
      <c r="IY401"/>
      <c r="IZ401"/>
      <c r="JA401"/>
      <c r="JB401"/>
      <c r="JC401"/>
      <c r="JD401"/>
      <c r="JE401"/>
      <c r="JF401"/>
      <c r="JG401"/>
      <c r="JH401"/>
      <c r="JI401"/>
      <c r="JJ401"/>
      <c r="JK401"/>
      <c r="JL401"/>
      <c r="JM401"/>
      <c r="JN401"/>
      <c r="JO401"/>
      <c r="JP401"/>
      <c r="JQ401"/>
      <c r="JR401"/>
      <c r="JS401"/>
      <c r="JT401"/>
      <c r="JU401"/>
      <c r="JV401"/>
      <c r="JW401"/>
      <c r="JX401"/>
      <c r="JY401"/>
      <c r="JZ401"/>
      <c r="KA401"/>
      <c r="KB401"/>
      <c r="KC401"/>
      <c r="KD401"/>
      <c r="KE401"/>
      <c r="KF401"/>
      <c r="KG401"/>
      <c r="KH401"/>
      <c r="KI401"/>
      <c r="KJ401"/>
      <c r="KK401"/>
      <c r="KL401"/>
      <c r="KM401"/>
      <c r="KN401"/>
      <c r="KO401"/>
      <c r="KP401"/>
      <c r="KQ401"/>
      <c r="KR401"/>
      <c r="KS401"/>
      <c r="KT401"/>
      <c r="KU401"/>
      <c r="KV401"/>
      <c r="KW401"/>
      <c r="KX401"/>
      <c r="KY401"/>
      <c r="KZ401"/>
      <c r="LA401"/>
      <c r="LB401"/>
      <c r="LC401"/>
      <c r="LD401"/>
      <c r="LE401"/>
      <c r="LF401"/>
      <c r="LG401"/>
      <c r="LH401"/>
      <c r="LI401"/>
      <c r="LJ401"/>
      <c r="LK401"/>
      <c r="LL401"/>
      <c r="LM401"/>
      <c r="LN401"/>
      <c r="LO401"/>
      <c r="LP401"/>
      <c r="LQ401"/>
      <c r="LR401"/>
      <c r="LS401"/>
      <c r="LT401"/>
      <c r="LU401"/>
      <c r="LV401"/>
      <c r="LW401"/>
      <c r="LX401"/>
      <c r="LY401"/>
      <c r="LZ401"/>
      <c r="MA401"/>
      <c r="MB401"/>
      <c r="MC401"/>
      <c r="MD401"/>
      <c r="ME401"/>
      <c r="MF401"/>
      <c r="MG401"/>
      <c r="MH401"/>
      <c r="MI401"/>
      <c r="MJ401"/>
      <c r="MK401"/>
      <c r="ML401"/>
      <c r="MM401"/>
      <c r="MN401"/>
      <c r="MO401"/>
      <c r="MP401"/>
      <c r="MQ401"/>
      <c r="MR401"/>
      <c r="MS401"/>
      <c r="MT401"/>
      <c r="MU401"/>
      <c r="MV401"/>
      <c r="MW401"/>
      <c r="MX401"/>
      <c r="MY401"/>
      <c r="MZ401"/>
      <c r="NA401"/>
      <c r="NB401"/>
      <c r="NC401"/>
      <c r="ND401"/>
      <c r="NE401"/>
      <c r="NF401"/>
      <c r="NG401"/>
      <c r="NH401"/>
      <c r="NI401"/>
      <c r="NJ401"/>
      <c r="NK401"/>
      <c r="NL401"/>
      <c r="NM401"/>
      <c r="NN401"/>
      <c r="NO401"/>
      <c r="NP401"/>
      <c r="NQ401"/>
      <c r="NR401"/>
      <c r="NS401"/>
      <c r="NT401"/>
      <c r="NU401"/>
      <c r="NV401"/>
      <c r="NW401"/>
      <c r="NX401"/>
      <c r="NY401"/>
      <c r="NZ401"/>
      <c r="OA401"/>
      <c r="OB401"/>
      <c r="OC401"/>
      <c r="OD401"/>
      <c r="OE401"/>
      <c r="OF401"/>
      <c r="OG401"/>
      <c r="OH401"/>
      <c r="OI401"/>
      <c r="OJ401"/>
      <c r="OK401"/>
      <c r="OL401"/>
      <c r="OM401"/>
      <c r="ON401"/>
      <c r="OO401"/>
      <c r="OP401"/>
      <c r="OQ401"/>
      <c r="OR401"/>
      <c r="OS401"/>
      <c r="OT401"/>
      <c r="OU401"/>
      <c r="OV401"/>
      <c r="OW401"/>
      <c r="OX401"/>
      <c r="OY401"/>
      <c r="OZ401"/>
      <c r="PA401"/>
      <c r="PB401"/>
      <c r="PC401"/>
      <c r="PD401"/>
      <c r="PE401"/>
      <c r="PF401"/>
      <c r="PG401"/>
      <c r="PH401"/>
      <c r="PI401"/>
      <c r="PJ401"/>
      <c r="PK401"/>
      <c r="PL401"/>
      <c r="PM401"/>
      <c r="PN401"/>
      <c r="PO401"/>
      <c r="PP401"/>
      <c r="PQ401"/>
      <c r="PR401"/>
      <c r="PS401"/>
      <c r="PT401"/>
      <c r="PU401"/>
      <c r="PV401"/>
      <c r="PW401"/>
      <c r="PX401"/>
      <c r="PY401"/>
      <c r="PZ401"/>
      <c r="QA401"/>
      <c r="QB401"/>
      <c r="QC401"/>
      <c r="QD401"/>
      <c r="QE401"/>
      <c r="QF401"/>
      <c r="QG401"/>
      <c r="QH401"/>
      <c r="QI401"/>
      <c r="QJ401"/>
      <c r="QK401"/>
      <c r="QL401"/>
      <c r="QM401"/>
      <c r="QN401"/>
      <c r="QO401"/>
      <c r="QP401"/>
      <c r="QQ401"/>
      <c r="QR401"/>
      <c r="QS401"/>
      <c r="QT401"/>
      <c r="QU401"/>
      <c r="QV401"/>
      <c r="QW401"/>
      <c r="QX401"/>
      <c r="QY401"/>
      <c r="QZ401"/>
      <c r="RA401"/>
      <c r="RB401"/>
      <c r="RC401"/>
      <c r="RD401"/>
      <c r="RE401"/>
      <c r="RF401"/>
      <c r="RG401"/>
      <c r="RH401"/>
      <c r="RI401"/>
      <c r="RJ401"/>
      <c r="RK401"/>
      <c r="RL401"/>
      <c r="RM401"/>
      <c r="RN401"/>
      <c r="RO401"/>
      <c r="RP401"/>
      <c r="RQ401"/>
      <c r="RR401"/>
      <c r="RS401"/>
      <c r="RT401"/>
      <c r="RU401"/>
    </row>
    <row r="402" spans="3:489" x14ac:dyDescent="0.25">
      <c r="C402"/>
      <c r="D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  <c r="HB402"/>
      <c r="HC402"/>
      <c r="HD402"/>
      <c r="HE402"/>
      <c r="HF402"/>
      <c r="HG402"/>
      <c r="HH402"/>
      <c r="HI402"/>
      <c r="HJ402"/>
      <c r="HK402"/>
      <c r="HL402"/>
      <c r="HM402"/>
      <c r="HN402"/>
      <c r="HO402"/>
      <c r="HP402"/>
      <c r="HQ402"/>
      <c r="HR402"/>
      <c r="HS402"/>
      <c r="HT402"/>
      <c r="HU402"/>
      <c r="HV402"/>
      <c r="HW402"/>
      <c r="HX402"/>
      <c r="HY402"/>
      <c r="HZ402"/>
      <c r="IA402"/>
      <c r="IB402"/>
      <c r="IC402"/>
      <c r="ID402"/>
      <c r="IE402"/>
      <c r="IF402"/>
      <c r="IG402"/>
      <c r="IH402"/>
      <c r="II402"/>
      <c r="IJ402"/>
      <c r="IK402"/>
      <c r="IL402"/>
      <c r="IM402"/>
      <c r="IN402"/>
      <c r="IO402"/>
      <c r="IP402"/>
      <c r="IQ402"/>
      <c r="IR402"/>
      <c r="IS402"/>
      <c r="IT402"/>
      <c r="IU402"/>
      <c r="IV402"/>
      <c r="IW402"/>
      <c r="IX402"/>
      <c r="IY402"/>
      <c r="IZ402"/>
      <c r="JA402"/>
      <c r="JB402"/>
      <c r="JC402"/>
      <c r="JD402"/>
      <c r="JE402"/>
      <c r="JF402"/>
      <c r="JG402"/>
      <c r="JH402"/>
      <c r="JI402"/>
      <c r="JJ402"/>
      <c r="JK402"/>
      <c r="JL402"/>
      <c r="JM402"/>
      <c r="JN402"/>
      <c r="JO402"/>
      <c r="JP402"/>
      <c r="JQ402"/>
      <c r="JR402"/>
      <c r="JS402"/>
      <c r="JT402"/>
      <c r="JU402"/>
      <c r="JV402"/>
      <c r="JW402"/>
      <c r="JX402"/>
      <c r="JY402"/>
      <c r="JZ402"/>
      <c r="KA402"/>
      <c r="KB402"/>
      <c r="KC402"/>
      <c r="KD402"/>
      <c r="KE402"/>
      <c r="KF402"/>
      <c r="KG402"/>
      <c r="KH402"/>
      <c r="KI402"/>
      <c r="KJ402"/>
      <c r="KK402"/>
      <c r="KL402"/>
      <c r="KM402"/>
      <c r="KN402"/>
      <c r="KO402"/>
      <c r="KP402"/>
      <c r="KQ402"/>
      <c r="KR402"/>
      <c r="KS402"/>
      <c r="KT402"/>
      <c r="KU402"/>
      <c r="KV402"/>
      <c r="KW402"/>
      <c r="KX402"/>
      <c r="KY402"/>
      <c r="KZ402"/>
      <c r="LA402"/>
      <c r="LB402"/>
      <c r="LC402"/>
      <c r="LD402"/>
      <c r="LE402"/>
      <c r="LF402"/>
      <c r="LG402"/>
      <c r="LH402"/>
      <c r="LI402"/>
      <c r="LJ402"/>
      <c r="LK402"/>
      <c r="LL402"/>
      <c r="LM402"/>
      <c r="LN402"/>
      <c r="LO402"/>
      <c r="LP402"/>
      <c r="LQ402"/>
      <c r="LR402"/>
      <c r="LS402"/>
      <c r="LT402"/>
      <c r="LU402"/>
      <c r="LV402"/>
      <c r="LW402"/>
      <c r="LX402"/>
      <c r="LY402"/>
      <c r="LZ402"/>
      <c r="MA402"/>
      <c r="MB402"/>
      <c r="MC402"/>
      <c r="MD402"/>
      <c r="ME402"/>
      <c r="MF402"/>
      <c r="MG402"/>
      <c r="MH402"/>
      <c r="MI402"/>
      <c r="MJ402"/>
      <c r="MK402"/>
      <c r="ML402"/>
      <c r="MM402"/>
      <c r="MN402"/>
      <c r="MO402"/>
      <c r="MP402"/>
      <c r="MQ402"/>
      <c r="MR402"/>
      <c r="MS402"/>
      <c r="MT402"/>
      <c r="MU402"/>
      <c r="MV402"/>
      <c r="MW402"/>
      <c r="MX402"/>
      <c r="MY402"/>
      <c r="MZ402"/>
      <c r="NA402"/>
      <c r="NB402"/>
      <c r="NC402"/>
      <c r="ND402"/>
      <c r="NE402"/>
      <c r="NF402"/>
      <c r="NG402"/>
      <c r="NH402"/>
      <c r="NI402"/>
      <c r="NJ402"/>
      <c r="NK402"/>
      <c r="NL402"/>
      <c r="NM402"/>
      <c r="NN402"/>
      <c r="NO402"/>
      <c r="NP402"/>
      <c r="NQ402"/>
      <c r="NR402"/>
      <c r="NS402"/>
      <c r="NT402"/>
      <c r="NU402"/>
      <c r="NV402"/>
      <c r="NW402"/>
      <c r="NX402"/>
      <c r="NY402"/>
      <c r="NZ402"/>
      <c r="OA402"/>
      <c r="OB402"/>
      <c r="OC402"/>
      <c r="OD402"/>
      <c r="OE402"/>
      <c r="OF402"/>
      <c r="OG402"/>
      <c r="OH402"/>
      <c r="OI402"/>
      <c r="OJ402"/>
      <c r="OK402"/>
      <c r="OL402"/>
      <c r="OM402"/>
      <c r="ON402"/>
      <c r="OO402"/>
      <c r="OP402"/>
      <c r="OQ402"/>
      <c r="OR402"/>
      <c r="OS402"/>
      <c r="OT402"/>
      <c r="OU402"/>
      <c r="OV402"/>
      <c r="OW402"/>
      <c r="OX402"/>
      <c r="OY402"/>
      <c r="OZ402"/>
      <c r="PA402"/>
      <c r="PB402"/>
      <c r="PC402"/>
      <c r="PD402"/>
      <c r="PE402"/>
      <c r="PF402"/>
      <c r="PG402"/>
      <c r="PH402"/>
      <c r="PI402"/>
      <c r="PJ402"/>
      <c r="PK402"/>
      <c r="PL402"/>
      <c r="PM402"/>
      <c r="PN402"/>
      <c r="PO402"/>
      <c r="PP402"/>
      <c r="PQ402"/>
      <c r="PR402"/>
      <c r="PS402"/>
      <c r="PT402"/>
      <c r="PU402"/>
      <c r="PV402"/>
      <c r="PW402"/>
      <c r="PX402"/>
      <c r="PY402"/>
      <c r="PZ402"/>
      <c r="QA402"/>
      <c r="QB402"/>
      <c r="QC402"/>
      <c r="QD402"/>
      <c r="QE402"/>
      <c r="QF402"/>
      <c r="QG402"/>
      <c r="QH402"/>
      <c r="QI402"/>
      <c r="QJ402"/>
      <c r="QK402"/>
      <c r="QL402"/>
      <c r="QM402"/>
      <c r="QN402"/>
      <c r="QO402"/>
      <c r="QP402"/>
      <c r="QQ402"/>
      <c r="QR402"/>
      <c r="QS402"/>
      <c r="QT402"/>
      <c r="QU402"/>
      <c r="QV402"/>
      <c r="QW402"/>
      <c r="QX402"/>
      <c r="QY402"/>
      <c r="QZ402"/>
      <c r="RA402"/>
      <c r="RB402"/>
      <c r="RC402"/>
      <c r="RD402"/>
      <c r="RE402"/>
      <c r="RF402"/>
      <c r="RG402"/>
      <c r="RH402"/>
      <c r="RI402"/>
      <c r="RJ402"/>
      <c r="RK402"/>
      <c r="RL402"/>
      <c r="RM402"/>
      <c r="RN402"/>
      <c r="RO402"/>
      <c r="RP402"/>
      <c r="RQ402"/>
      <c r="RR402"/>
      <c r="RS402"/>
      <c r="RT402"/>
      <c r="RU402"/>
    </row>
    <row r="403" spans="3:489" x14ac:dyDescent="0.25">
      <c r="C403"/>
      <c r="D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  <c r="HB403"/>
      <c r="HC403"/>
      <c r="HD403"/>
      <c r="HE403"/>
      <c r="HF403"/>
      <c r="HG403"/>
      <c r="HH403"/>
      <c r="HI403"/>
      <c r="HJ403"/>
      <c r="HK403"/>
      <c r="HL403"/>
      <c r="HM403"/>
      <c r="HN403"/>
      <c r="HO403"/>
      <c r="HP403"/>
      <c r="HQ403"/>
      <c r="HR403"/>
      <c r="HS403"/>
      <c r="HT403"/>
      <c r="HU403"/>
      <c r="HV403"/>
      <c r="HW403"/>
      <c r="HX403"/>
      <c r="HY403"/>
      <c r="HZ403"/>
      <c r="IA403"/>
      <c r="IB403"/>
      <c r="IC403"/>
      <c r="ID403"/>
      <c r="IE403"/>
      <c r="IF403"/>
      <c r="IG403"/>
      <c r="IH403"/>
      <c r="II403"/>
      <c r="IJ403"/>
      <c r="IK403"/>
      <c r="IL403"/>
      <c r="IM403"/>
      <c r="IN403"/>
      <c r="IO403"/>
      <c r="IP403"/>
      <c r="IQ403"/>
      <c r="IR403"/>
      <c r="IS403"/>
      <c r="IT403"/>
      <c r="IU403"/>
      <c r="IV403"/>
      <c r="IW403"/>
      <c r="IX403"/>
      <c r="IY403"/>
      <c r="IZ403"/>
      <c r="JA403"/>
      <c r="JB403"/>
      <c r="JC403"/>
      <c r="JD403"/>
      <c r="JE403"/>
      <c r="JF403"/>
      <c r="JG403"/>
      <c r="JH403"/>
      <c r="JI403"/>
      <c r="JJ403"/>
      <c r="JK403"/>
      <c r="JL403"/>
      <c r="JM403"/>
      <c r="JN403"/>
      <c r="JO403"/>
      <c r="JP403"/>
      <c r="JQ403"/>
      <c r="JR403"/>
      <c r="JS403"/>
      <c r="JT403"/>
      <c r="JU403"/>
      <c r="JV403"/>
      <c r="JW403"/>
      <c r="JX403"/>
      <c r="JY403"/>
      <c r="JZ403"/>
      <c r="KA403"/>
      <c r="KB403"/>
      <c r="KC403"/>
      <c r="KD403"/>
      <c r="KE403"/>
      <c r="KF403"/>
      <c r="KG403"/>
      <c r="KH403"/>
      <c r="KI403"/>
      <c r="KJ403"/>
      <c r="KK403"/>
      <c r="KL403"/>
      <c r="KM403"/>
      <c r="KN403"/>
      <c r="KO403"/>
      <c r="KP403"/>
      <c r="KQ403"/>
      <c r="KR403"/>
      <c r="KS403"/>
      <c r="KT403"/>
      <c r="KU403"/>
      <c r="KV403"/>
      <c r="KW403"/>
      <c r="KX403"/>
      <c r="KY403"/>
      <c r="KZ403"/>
      <c r="LA403"/>
      <c r="LB403"/>
      <c r="LC403"/>
      <c r="LD403"/>
      <c r="LE403"/>
      <c r="LF403"/>
      <c r="LG403"/>
      <c r="LH403"/>
      <c r="LI403"/>
      <c r="LJ403"/>
      <c r="LK403"/>
      <c r="LL403"/>
      <c r="LM403"/>
      <c r="LN403"/>
      <c r="LO403"/>
      <c r="LP403"/>
      <c r="LQ403"/>
      <c r="LR403"/>
      <c r="LS403"/>
      <c r="LT403"/>
      <c r="LU403"/>
      <c r="LV403"/>
      <c r="LW403"/>
      <c r="LX403"/>
      <c r="LY403"/>
      <c r="LZ403"/>
      <c r="MA403"/>
      <c r="MB403"/>
      <c r="MC403"/>
      <c r="MD403"/>
      <c r="ME403"/>
      <c r="MF403"/>
      <c r="MG403"/>
      <c r="MH403"/>
      <c r="MI403"/>
      <c r="MJ403"/>
      <c r="MK403"/>
      <c r="ML403"/>
      <c r="MM403"/>
      <c r="MN403"/>
      <c r="MO403"/>
      <c r="MP403"/>
      <c r="MQ403"/>
      <c r="MR403"/>
      <c r="MS403"/>
      <c r="MT403"/>
      <c r="MU403"/>
      <c r="MV403"/>
      <c r="MW403"/>
      <c r="MX403"/>
      <c r="MY403"/>
      <c r="MZ403"/>
      <c r="NA403"/>
      <c r="NB403"/>
      <c r="NC403"/>
      <c r="ND403"/>
      <c r="NE403"/>
      <c r="NF403"/>
      <c r="NG403"/>
      <c r="NH403"/>
      <c r="NI403"/>
      <c r="NJ403"/>
      <c r="NK403"/>
      <c r="NL403"/>
      <c r="NM403"/>
      <c r="NN403"/>
      <c r="NO403"/>
      <c r="NP403"/>
      <c r="NQ403"/>
      <c r="NR403"/>
      <c r="NS403"/>
      <c r="NT403"/>
      <c r="NU403"/>
      <c r="NV403"/>
      <c r="NW403"/>
      <c r="NX403"/>
      <c r="NY403"/>
      <c r="NZ403"/>
      <c r="OA403"/>
      <c r="OB403"/>
      <c r="OC403"/>
      <c r="OD403"/>
      <c r="OE403"/>
      <c r="OF403"/>
      <c r="OG403"/>
      <c r="OH403"/>
      <c r="OI403"/>
      <c r="OJ403"/>
      <c r="OK403"/>
      <c r="OL403"/>
      <c r="OM403"/>
      <c r="ON403"/>
      <c r="OO403"/>
      <c r="OP403"/>
      <c r="OQ403"/>
      <c r="OR403"/>
      <c r="OS403"/>
      <c r="OT403"/>
      <c r="OU403"/>
      <c r="OV403"/>
      <c r="OW403"/>
      <c r="OX403"/>
      <c r="OY403"/>
      <c r="OZ403"/>
      <c r="PA403"/>
      <c r="PB403"/>
      <c r="PC403"/>
      <c r="PD403"/>
      <c r="PE403"/>
      <c r="PF403"/>
      <c r="PG403"/>
      <c r="PH403"/>
      <c r="PI403"/>
      <c r="PJ403"/>
      <c r="PK403"/>
      <c r="PL403"/>
      <c r="PM403"/>
      <c r="PN403"/>
      <c r="PO403"/>
      <c r="PP403"/>
      <c r="PQ403"/>
      <c r="PR403"/>
      <c r="PS403"/>
      <c r="PT403"/>
      <c r="PU403"/>
      <c r="PV403"/>
      <c r="PW403"/>
      <c r="PX403"/>
      <c r="PY403"/>
      <c r="PZ403"/>
      <c r="QA403"/>
      <c r="QB403"/>
      <c r="QC403"/>
      <c r="QD403"/>
      <c r="QE403"/>
      <c r="QF403"/>
      <c r="QG403"/>
      <c r="QH403"/>
      <c r="QI403"/>
      <c r="QJ403"/>
      <c r="QK403"/>
      <c r="QL403"/>
      <c r="QM403"/>
      <c r="QN403"/>
      <c r="QO403"/>
      <c r="QP403"/>
      <c r="QQ403"/>
      <c r="QR403"/>
      <c r="QS403"/>
      <c r="QT403"/>
      <c r="QU403"/>
      <c r="QV403"/>
      <c r="QW403"/>
      <c r="QX403"/>
      <c r="QY403"/>
      <c r="QZ403"/>
      <c r="RA403"/>
      <c r="RB403"/>
      <c r="RC403"/>
      <c r="RD403"/>
      <c r="RE403"/>
      <c r="RF403"/>
      <c r="RG403"/>
      <c r="RH403"/>
      <c r="RI403"/>
      <c r="RJ403"/>
      <c r="RK403"/>
      <c r="RL403"/>
      <c r="RM403"/>
      <c r="RN403"/>
      <c r="RO403"/>
      <c r="RP403"/>
      <c r="RQ403"/>
      <c r="RR403"/>
      <c r="RS403"/>
      <c r="RT403"/>
      <c r="RU403"/>
    </row>
    <row r="404" spans="3:489" x14ac:dyDescent="0.25">
      <c r="C404"/>
      <c r="D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  <c r="HB404"/>
      <c r="HC404"/>
      <c r="HD404"/>
      <c r="HE404"/>
      <c r="HF404"/>
      <c r="HG404"/>
      <c r="HH404"/>
      <c r="HI404"/>
      <c r="HJ404"/>
      <c r="HK404"/>
      <c r="HL404"/>
      <c r="HM404"/>
      <c r="HN404"/>
      <c r="HO404"/>
      <c r="HP404"/>
      <c r="HQ404"/>
      <c r="HR404"/>
      <c r="HS404"/>
      <c r="HT404"/>
      <c r="HU404"/>
      <c r="HV404"/>
      <c r="HW404"/>
      <c r="HX404"/>
      <c r="HY404"/>
      <c r="HZ404"/>
      <c r="IA404"/>
      <c r="IB404"/>
      <c r="IC404"/>
      <c r="ID404"/>
      <c r="IE404"/>
      <c r="IF404"/>
      <c r="IG404"/>
      <c r="IH404"/>
      <c r="II404"/>
      <c r="IJ404"/>
      <c r="IK404"/>
      <c r="IL404"/>
      <c r="IM404"/>
      <c r="IN404"/>
      <c r="IO404"/>
      <c r="IP404"/>
      <c r="IQ404"/>
      <c r="IR404"/>
      <c r="IS404"/>
      <c r="IT404"/>
      <c r="IU404"/>
      <c r="IV404"/>
      <c r="IW404"/>
      <c r="IX404"/>
      <c r="IY404"/>
      <c r="IZ404"/>
      <c r="JA404"/>
      <c r="JB404"/>
      <c r="JC404"/>
      <c r="JD404"/>
      <c r="JE404"/>
      <c r="JF404"/>
      <c r="JG404"/>
      <c r="JH404"/>
      <c r="JI404"/>
      <c r="JJ404"/>
      <c r="JK404"/>
      <c r="JL404"/>
      <c r="JM404"/>
      <c r="JN404"/>
      <c r="JO404"/>
      <c r="JP404"/>
      <c r="JQ404"/>
      <c r="JR404"/>
      <c r="JS404"/>
      <c r="JT404"/>
      <c r="JU404"/>
      <c r="JV404"/>
      <c r="JW404"/>
      <c r="JX404"/>
      <c r="JY404"/>
      <c r="JZ404"/>
      <c r="KA404"/>
      <c r="KB404"/>
      <c r="KC404"/>
      <c r="KD404"/>
      <c r="KE404"/>
      <c r="KF404"/>
      <c r="KG404"/>
      <c r="KH404"/>
      <c r="KI404"/>
      <c r="KJ404"/>
      <c r="KK404"/>
      <c r="KL404"/>
      <c r="KM404"/>
      <c r="KN404"/>
      <c r="KO404"/>
      <c r="KP404"/>
      <c r="KQ404"/>
      <c r="KR404"/>
      <c r="KS404"/>
      <c r="KT404"/>
      <c r="KU404"/>
      <c r="KV404"/>
      <c r="KW404"/>
      <c r="KX404"/>
      <c r="KY404"/>
      <c r="KZ404"/>
      <c r="LA404"/>
      <c r="LB404"/>
      <c r="LC404"/>
      <c r="LD404"/>
      <c r="LE404"/>
      <c r="LF404"/>
      <c r="LG404"/>
      <c r="LH404"/>
      <c r="LI404"/>
      <c r="LJ404"/>
      <c r="LK404"/>
      <c r="LL404"/>
      <c r="LM404"/>
      <c r="LN404"/>
      <c r="LO404"/>
      <c r="LP404"/>
      <c r="LQ404"/>
      <c r="LR404"/>
      <c r="LS404"/>
      <c r="LT404"/>
      <c r="LU404"/>
      <c r="LV404"/>
      <c r="LW404"/>
      <c r="LX404"/>
      <c r="LY404"/>
      <c r="LZ404"/>
      <c r="MA404"/>
      <c r="MB404"/>
      <c r="MC404"/>
      <c r="MD404"/>
      <c r="ME404"/>
      <c r="MF404"/>
      <c r="MG404"/>
      <c r="MH404"/>
      <c r="MI404"/>
      <c r="MJ404"/>
      <c r="MK404"/>
      <c r="ML404"/>
      <c r="MM404"/>
      <c r="MN404"/>
      <c r="MO404"/>
      <c r="MP404"/>
      <c r="MQ404"/>
      <c r="MR404"/>
      <c r="MS404"/>
      <c r="MT404"/>
      <c r="MU404"/>
      <c r="MV404"/>
      <c r="MW404"/>
      <c r="MX404"/>
      <c r="MY404"/>
      <c r="MZ404"/>
      <c r="NA404"/>
      <c r="NB404"/>
      <c r="NC404"/>
      <c r="ND404"/>
      <c r="NE404"/>
      <c r="NF404"/>
      <c r="NG404"/>
      <c r="NH404"/>
      <c r="NI404"/>
      <c r="NJ404"/>
      <c r="NK404"/>
      <c r="NL404"/>
      <c r="NM404"/>
      <c r="NN404"/>
      <c r="NO404"/>
      <c r="NP404"/>
      <c r="NQ404"/>
      <c r="NR404"/>
      <c r="NS404"/>
      <c r="NT404"/>
      <c r="NU404"/>
      <c r="NV404"/>
      <c r="NW404"/>
      <c r="NX404"/>
      <c r="NY404"/>
      <c r="NZ404"/>
      <c r="OA404"/>
      <c r="OB404"/>
      <c r="OC404"/>
      <c r="OD404"/>
      <c r="OE404"/>
      <c r="OF404"/>
      <c r="OG404"/>
      <c r="OH404"/>
      <c r="OI404"/>
      <c r="OJ404"/>
      <c r="OK404"/>
      <c r="OL404"/>
      <c r="OM404"/>
      <c r="ON404"/>
      <c r="OO404"/>
      <c r="OP404"/>
      <c r="OQ404"/>
      <c r="OR404"/>
      <c r="OS404"/>
      <c r="OT404"/>
      <c r="OU404"/>
      <c r="OV404"/>
      <c r="OW404"/>
      <c r="OX404"/>
      <c r="OY404"/>
      <c r="OZ404"/>
      <c r="PA404"/>
      <c r="PB404"/>
      <c r="PC404"/>
      <c r="PD404"/>
      <c r="PE404"/>
      <c r="PF404"/>
      <c r="PG404"/>
      <c r="PH404"/>
      <c r="PI404"/>
      <c r="PJ404"/>
      <c r="PK404"/>
      <c r="PL404"/>
      <c r="PM404"/>
      <c r="PN404"/>
      <c r="PO404"/>
      <c r="PP404"/>
      <c r="PQ404"/>
      <c r="PR404"/>
      <c r="PS404"/>
      <c r="PT404"/>
      <c r="PU404"/>
      <c r="PV404"/>
      <c r="PW404"/>
      <c r="PX404"/>
      <c r="PY404"/>
      <c r="PZ404"/>
      <c r="QA404"/>
      <c r="QB404"/>
      <c r="QC404"/>
      <c r="QD404"/>
      <c r="QE404"/>
      <c r="QF404"/>
      <c r="QG404"/>
      <c r="QH404"/>
      <c r="QI404"/>
      <c r="QJ404"/>
      <c r="QK404"/>
      <c r="QL404"/>
      <c r="QM404"/>
      <c r="QN404"/>
      <c r="QO404"/>
      <c r="QP404"/>
      <c r="QQ404"/>
      <c r="QR404"/>
      <c r="QS404"/>
      <c r="QT404"/>
      <c r="QU404"/>
      <c r="QV404"/>
      <c r="QW404"/>
      <c r="QX404"/>
      <c r="QY404"/>
      <c r="QZ404"/>
      <c r="RA404"/>
      <c r="RB404"/>
      <c r="RC404"/>
      <c r="RD404"/>
      <c r="RE404"/>
      <c r="RF404"/>
      <c r="RG404"/>
      <c r="RH404"/>
      <c r="RI404"/>
      <c r="RJ404"/>
      <c r="RK404"/>
      <c r="RL404"/>
      <c r="RM404"/>
      <c r="RN404"/>
      <c r="RO404"/>
      <c r="RP404"/>
      <c r="RQ404"/>
      <c r="RR404"/>
      <c r="RS404"/>
      <c r="RT404"/>
      <c r="RU404"/>
    </row>
    <row r="405" spans="3:489" x14ac:dyDescent="0.25">
      <c r="C405"/>
      <c r="D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  <c r="HB405"/>
      <c r="HC405"/>
      <c r="HD405"/>
      <c r="HE405"/>
      <c r="HF405"/>
      <c r="HG405"/>
      <c r="HH405"/>
      <c r="HI405"/>
      <c r="HJ405"/>
      <c r="HK405"/>
      <c r="HL405"/>
      <c r="HM405"/>
      <c r="HN405"/>
      <c r="HO405"/>
      <c r="HP405"/>
      <c r="HQ405"/>
      <c r="HR405"/>
      <c r="HS405"/>
      <c r="HT405"/>
      <c r="HU405"/>
      <c r="HV405"/>
      <c r="HW405"/>
      <c r="HX405"/>
      <c r="HY405"/>
      <c r="HZ405"/>
      <c r="IA405"/>
      <c r="IB405"/>
      <c r="IC405"/>
      <c r="ID405"/>
      <c r="IE405"/>
      <c r="IF405"/>
      <c r="IG405"/>
      <c r="IH405"/>
      <c r="II405"/>
      <c r="IJ405"/>
      <c r="IK405"/>
      <c r="IL405"/>
      <c r="IM405"/>
      <c r="IN405"/>
      <c r="IO405"/>
      <c r="IP405"/>
      <c r="IQ405"/>
      <c r="IR405"/>
      <c r="IS405"/>
      <c r="IT405"/>
      <c r="IU405"/>
      <c r="IV405"/>
      <c r="IW405"/>
      <c r="IX405"/>
      <c r="IY405"/>
      <c r="IZ405"/>
      <c r="JA405"/>
      <c r="JB405"/>
      <c r="JC405"/>
      <c r="JD405"/>
      <c r="JE405"/>
      <c r="JF405"/>
      <c r="JG405"/>
      <c r="JH405"/>
      <c r="JI405"/>
      <c r="JJ405"/>
      <c r="JK405"/>
      <c r="JL405"/>
      <c r="JM405"/>
      <c r="JN405"/>
      <c r="JO405"/>
      <c r="JP405"/>
      <c r="JQ405"/>
      <c r="JR405"/>
      <c r="JS405"/>
      <c r="JT405"/>
      <c r="JU405"/>
      <c r="JV405"/>
      <c r="JW405"/>
      <c r="JX405"/>
      <c r="JY405"/>
      <c r="JZ405"/>
      <c r="KA405"/>
      <c r="KB405"/>
      <c r="KC405"/>
      <c r="KD405"/>
      <c r="KE405"/>
      <c r="KF405"/>
      <c r="KG405"/>
      <c r="KH405"/>
      <c r="KI405"/>
      <c r="KJ405"/>
      <c r="KK405"/>
      <c r="KL405"/>
      <c r="KM405"/>
      <c r="KN405"/>
      <c r="KO405"/>
      <c r="KP405"/>
      <c r="KQ405"/>
      <c r="KR405"/>
      <c r="KS405"/>
      <c r="KT405"/>
      <c r="KU405"/>
      <c r="KV405"/>
      <c r="KW405"/>
      <c r="KX405"/>
      <c r="KY405"/>
      <c r="KZ405"/>
      <c r="LA405"/>
      <c r="LB405"/>
      <c r="LC405"/>
      <c r="LD405"/>
      <c r="LE405"/>
      <c r="LF405"/>
      <c r="LG405"/>
      <c r="LH405"/>
      <c r="LI405"/>
      <c r="LJ405"/>
      <c r="LK405"/>
      <c r="LL405"/>
      <c r="LM405"/>
      <c r="LN405"/>
      <c r="LO405"/>
      <c r="LP405"/>
      <c r="LQ405"/>
      <c r="LR405"/>
      <c r="LS405"/>
      <c r="LT405"/>
      <c r="LU405"/>
      <c r="LV405"/>
      <c r="LW405"/>
      <c r="LX405"/>
      <c r="LY405"/>
      <c r="LZ405"/>
      <c r="MA405"/>
      <c r="MB405"/>
      <c r="MC405"/>
      <c r="MD405"/>
      <c r="ME405"/>
      <c r="MF405"/>
      <c r="MG405"/>
      <c r="MH405"/>
      <c r="MI405"/>
      <c r="MJ405"/>
      <c r="MK405"/>
      <c r="ML405"/>
      <c r="MM405"/>
      <c r="MN405"/>
      <c r="MO405"/>
      <c r="MP405"/>
      <c r="MQ405"/>
      <c r="MR405"/>
      <c r="MS405"/>
      <c r="MT405"/>
      <c r="MU405"/>
      <c r="MV405"/>
      <c r="MW405"/>
      <c r="MX405"/>
      <c r="MY405"/>
      <c r="MZ405"/>
      <c r="NA405"/>
      <c r="NB405"/>
      <c r="NC405"/>
      <c r="ND405"/>
      <c r="NE405"/>
      <c r="NF405"/>
      <c r="NG405"/>
      <c r="NH405"/>
      <c r="NI405"/>
      <c r="NJ405"/>
      <c r="NK405"/>
      <c r="NL405"/>
      <c r="NM405"/>
      <c r="NN405"/>
      <c r="NO405"/>
      <c r="NP405"/>
      <c r="NQ405"/>
      <c r="NR405"/>
      <c r="NS405"/>
      <c r="NT405"/>
      <c r="NU405"/>
      <c r="NV405"/>
      <c r="NW405"/>
      <c r="NX405"/>
      <c r="NY405"/>
      <c r="NZ405"/>
      <c r="OA405"/>
      <c r="OB405"/>
      <c r="OC405"/>
      <c r="OD405"/>
      <c r="OE405"/>
      <c r="OF405"/>
      <c r="OG405"/>
      <c r="OH405"/>
      <c r="OI405"/>
      <c r="OJ405"/>
      <c r="OK405"/>
      <c r="OL405"/>
      <c r="OM405"/>
      <c r="ON405"/>
      <c r="OO405"/>
      <c r="OP405"/>
      <c r="OQ405"/>
      <c r="OR405"/>
      <c r="OS405"/>
      <c r="OT405"/>
      <c r="OU405"/>
      <c r="OV405"/>
      <c r="OW405"/>
      <c r="OX405"/>
      <c r="OY405"/>
      <c r="OZ405"/>
      <c r="PA405"/>
      <c r="PB405"/>
      <c r="PC405"/>
      <c r="PD405"/>
      <c r="PE405"/>
      <c r="PF405"/>
      <c r="PG405"/>
      <c r="PH405"/>
      <c r="PI405"/>
      <c r="PJ405"/>
      <c r="PK405"/>
      <c r="PL405"/>
      <c r="PM405"/>
      <c r="PN405"/>
      <c r="PO405"/>
      <c r="PP405"/>
      <c r="PQ405"/>
      <c r="PR405"/>
      <c r="PS405"/>
      <c r="PT405"/>
      <c r="PU405"/>
      <c r="PV405"/>
      <c r="PW405"/>
      <c r="PX405"/>
      <c r="PY405"/>
      <c r="PZ405"/>
      <c r="QA405"/>
      <c r="QB405"/>
      <c r="QC405"/>
      <c r="QD405"/>
      <c r="QE405"/>
      <c r="QF405"/>
      <c r="QG405"/>
      <c r="QH405"/>
      <c r="QI405"/>
      <c r="QJ405"/>
      <c r="QK405"/>
      <c r="QL405"/>
      <c r="QM405"/>
      <c r="QN405"/>
      <c r="QO405"/>
      <c r="QP405"/>
      <c r="QQ405"/>
      <c r="QR405"/>
      <c r="QS405"/>
      <c r="QT405"/>
      <c r="QU405"/>
      <c r="QV405"/>
      <c r="QW405"/>
      <c r="QX405"/>
      <c r="QY405"/>
      <c r="QZ405"/>
      <c r="RA405"/>
      <c r="RB405"/>
      <c r="RC405"/>
      <c r="RD405"/>
      <c r="RE405"/>
      <c r="RF405"/>
      <c r="RG405"/>
      <c r="RH405"/>
      <c r="RI405"/>
      <c r="RJ405"/>
      <c r="RK405"/>
      <c r="RL405"/>
      <c r="RM405"/>
      <c r="RN405"/>
      <c r="RO405"/>
      <c r="RP405"/>
      <c r="RQ405"/>
      <c r="RR405"/>
      <c r="RS405"/>
      <c r="RT405"/>
      <c r="RU405"/>
    </row>
    <row r="406" spans="3:489" x14ac:dyDescent="0.25">
      <c r="C406"/>
      <c r="D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  <c r="HB406"/>
      <c r="HC406"/>
      <c r="HD406"/>
      <c r="HE406"/>
      <c r="HF406"/>
      <c r="HG406"/>
      <c r="HH406"/>
      <c r="HI406"/>
      <c r="HJ406"/>
      <c r="HK406"/>
      <c r="HL406"/>
      <c r="HM406"/>
      <c r="HN406"/>
      <c r="HO406"/>
      <c r="HP406"/>
      <c r="HQ406"/>
      <c r="HR406"/>
      <c r="HS406"/>
      <c r="HT406"/>
      <c r="HU406"/>
      <c r="HV406"/>
      <c r="HW406"/>
      <c r="HX406"/>
      <c r="HY406"/>
      <c r="HZ406"/>
      <c r="IA406"/>
      <c r="IB406"/>
      <c r="IC406"/>
      <c r="ID406"/>
      <c r="IE406"/>
      <c r="IF406"/>
      <c r="IG406"/>
      <c r="IH406"/>
      <c r="II406"/>
      <c r="IJ406"/>
      <c r="IK406"/>
      <c r="IL406"/>
      <c r="IM406"/>
      <c r="IN406"/>
      <c r="IO406"/>
      <c r="IP406"/>
      <c r="IQ406"/>
      <c r="IR406"/>
      <c r="IS406"/>
      <c r="IT406"/>
      <c r="IU406"/>
      <c r="IV406"/>
      <c r="IW406"/>
      <c r="IX406"/>
      <c r="IY406"/>
      <c r="IZ406"/>
      <c r="JA406"/>
      <c r="JB406"/>
      <c r="JC406"/>
      <c r="JD406"/>
      <c r="JE406"/>
      <c r="JF406"/>
      <c r="JG406"/>
      <c r="JH406"/>
      <c r="JI406"/>
      <c r="JJ406"/>
      <c r="JK406"/>
      <c r="JL406"/>
      <c r="JM406"/>
      <c r="JN406"/>
      <c r="JO406"/>
      <c r="JP406"/>
      <c r="JQ406"/>
      <c r="JR406"/>
      <c r="JS406"/>
      <c r="JT406"/>
      <c r="JU406"/>
      <c r="JV406"/>
      <c r="JW406"/>
      <c r="JX406"/>
      <c r="JY406"/>
      <c r="JZ406"/>
      <c r="KA406"/>
      <c r="KB406"/>
      <c r="KC406"/>
      <c r="KD406"/>
      <c r="KE406"/>
      <c r="KF406"/>
      <c r="KG406"/>
      <c r="KH406"/>
      <c r="KI406"/>
      <c r="KJ406"/>
      <c r="KK406"/>
      <c r="KL406"/>
      <c r="KM406"/>
      <c r="KN406"/>
      <c r="KO406"/>
      <c r="KP406"/>
      <c r="KQ406"/>
      <c r="KR406"/>
      <c r="KS406"/>
      <c r="KT406"/>
      <c r="KU406"/>
      <c r="KV406"/>
      <c r="KW406"/>
      <c r="KX406"/>
      <c r="KY406"/>
      <c r="KZ406"/>
      <c r="LA406"/>
      <c r="LB406"/>
      <c r="LC406"/>
      <c r="LD406"/>
      <c r="LE406"/>
      <c r="LF406"/>
      <c r="LG406"/>
      <c r="LH406"/>
      <c r="LI406"/>
      <c r="LJ406"/>
      <c r="LK406"/>
      <c r="LL406"/>
      <c r="LM406"/>
      <c r="LN406"/>
      <c r="LO406"/>
      <c r="LP406"/>
      <c r="LQ406"/>
      <c r="LR406"/>
      <c r="LS406"/>
      <c r="LT406"/>
      <c r="LU406"/>
      <c r="LV406"/>
      <c r="LW406"/>
      <c r="LX406"/>
      <c r="LY406"/>
      <c r="LZ406"/>
      <c r="MA406"/>
      <c r="MB406"/>
      <c r="MC406"/>
      <c r="MD406"/>
      <c r="ME406"/>
      <c r="MF406"/>
      <c r="MG406"/>
      <c r="MH406"/>
      <c r="MI406"/>
      <c r="MJ406"/>
      <c r="MK406"/>
      <c r="ML406"/>
      <c r="MM406"/>
      <c r="MN406"/>
      <c r="MO406"/>
      <c r="MP406"/>
      <c r="MQ406"/>
      <c r="MR406"/>
      <c r="MS406"/>
      <c r="MT406"/>
      <c r="MU406"/>
      <c r="MV406"/>
      <c r="MW406"/>
      <c r="MX406"/>
      <c r="MY406"/>
      <c r="MZ406"/>
      <c r="NA406"/>
      <c r="NB406"/>
      <c r="NC406"/>
      <c r="ND406"/>
      <c r="NE406"/>
      <c r="NF406"/>
      <c r="NG406"/>
      <c r="NH406"/>
      <c r="NI406"/>
      <c r="NJ406"/>
      <c r="NK406"/>
      <c r="NL406"/>
      <c r="NM406"/>
      <c r="NN406"/>
      <c r="NO406"/>
      <c r="NP406"/>
      <c r="NQ406"/>
      <c r="NR406"/>
      <c r="NS406"/>
      <c r="NT406"/>
      <c r="NU406"/>
      <c r="NV406"/>
      <c r="NW406"/>
      <c r="NX406"/>
      <c r="NY406"/>
      <c r="NZ406"/>
      <c r="OA406"/>
      <c r="OB406"/>
      <c r="OC406"/>
      <c r="OD406"/>
      <c r="OE406"/>
      <c r="OF406"/>
      <c r="OG406"/>
      <c r="OH406"/>
      <c r="OI406"/>
      <c r="OJ406"/>
      <c r="OK406"/>
      <c r="OL406"/>
      <c r="OM406"/>
      <c r="ON406"/>
      <c r="OO406"/>
      <c r="OP406"/>
      <c r="OQ406"/>
      <c r="OR406"/>
      <c r="OS406"/>
      <c r="OT406"/>
      <c r="OU406"/>
      <c r="OV406"/>
      <c r="OW406"/>
      <c r="OX406"/>
      <c r="OY406"/>
      <c r="OZ406"/>
      <c r="PA406"/>
      <c r="PB406"/>
      <c r="PC406"/>
      <c r="PD406"/>
      <c r="PE406"/>
      <c r="PF406"/>
      <c r="PG406"/>
      <c r="PH406"/>
      <c r="PI406"/>
      <c r="PJ406"/>
      <c r="PK406"/>
      <c r="PL406"/>
      <c r="PM406"/>
      <c r="PN406"/>
      <c r="PO406"/>
      <c r="PP406"/>
      <c r="PQ406"/>
      <c r="PR406"/>
      <c r="PS406"/>
      <c r="PT406"/>
      <c r="PU406"/>
      <c r="PV406"/>
      <c r="PW406"/>
      <c r="PX406"/>
      <c r="PY406"/>
      <c r="PZ406"/>
      <c r="QA406"/>
      <c r="QB406"/>
      <c r="QC406"/>
      <c r="QD406"/>
      <c r="QE406"/>
      <c r="QF406"/>
      <c r="QG406"/>
      <c r="QH406"/>
      <c r="QI406"/>
      <c r="QJ406"/>
      <c r="QK406"/>
      <c r="QL406"/>
      <c r="QM406"/>
      <c r="QN406"/>
      <c r="QO406"/>
      <c r="QP406"/>
      <c r="QQ406"/>
      <c r="QR406"/>
      <c r="QS406"/>
      <c r="QT406"/>
      <c r="QU406"/>
      <c r="QV406"/>
      <c r="QW406"/>
      <c r="QX406"/>
      <c r="QY406"/>
      <c r="QZ406"/>
      <c r="RA406"/>
      <c r="RB406"/>
      <c r="RC406"/>
      <c r="RD406"/>
      <c r="RE406"/>
      <c r="RF406"/>
      <c r="RG406"/>
      <c r="RH406"/>
      <c r="RI406"/>
      <c r="RJ406"/>
      <c r="RK406"/>
      <c r="RL406"/>
      <c r="RM406"/>
      <c r="RN406"/>
      <c r="RO406"/>
      <c r="RP406"/>
      <c r="RQ406"/>
      <c r="RR406"/>
      <c r="RS406"/>
      <c r="RT406"/>
      <c r="RU406"/>
    </row>
    <row r="407" spans="3:489" x14ac:dyDescent="0.25">
      <c r="C407"/>
      <c r="D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  <c r="HB407"/>
      <c r="HC407"/>
      <c r="HD407"/>
      <c r="HE407"/>
      <c r="HF407"/>
      <c r="HG407"/>
      <c r="HH407"/>
      <c r="HI407"/>
      <c r="HJ407"/>
      <c r="HK407"/>
      <c r="HL407"/>
      <c r="HM407"/>
      <c r="HN407"/>
      <c r="HO407"/>
      <c r="HP407"/>
      <c r="HQ407"/>
      <c r="HR407"/>
      <c r="HS407"/>
      <c r="HT407"/>
      <c r="HU407"/>
      <c r="HV407"/>
      <c r="HW407"/>
      <c r="HX407"/>
      <c r="HY407"/>
      <c r="HZ407"/>
      <c r="IA407"/>
      <c r="IB407"/>
      <c r="IC407"/>
      <c r="ID407"/>
      <c r="IE407"/>
      <c r="IF407"/>
      <c r="IG407"/>
      <c r="IH407"/>
      <c r="II407"/>
      <c r="IJ407"/>
      <c r="IK407"/>
      <c r="IL407"/>
      <c r="IM407"/>
      <c r="IN407"/>
      <c r="IO407"/>
      <c r="IP407"/>
      <c r="IQ407"/>
      <c r="IR407"/>
      <c r="IS407"/>
      <c r="IT407"/>
      <c r="IU407"/>
      <c r="IV407"/>
      <c r="IW407"/>
      <c r="IX407"/>
      <c r="IY407"/>
      <c r="IZ407"/>
      <c r="JA407"/>
      <c r="JB407"/>
      <c r="JC407"/>
      <c r="JD407"/>
      <c r="JE407"/>
      <c r="JF407"/>
      <c r="JG407"/>
      <c r="JH407"/>
      <c r="JI407"/>
      <c r="JJ407"/>
      <c r="JK407"/>
      <c r="JL407"/>
      <c r="JM407"/>
      <c r="JN407"/>
      <c r="JO407"/>
      <c r="JP407"/>
      <c r="JQ407"/>
      <c r="JR407"/>
      <c r="JS407"/>
      <c r="JT407"/>
      <c r="JU407"/>
      <c r="JV407"/>
      <c r="JW407"/>
      <c r="JX407"/>
      <c r="JY407"/>
      <c r="JZ407"/>
      <c r="KA407"/>
      <c r="KB407"/>
      <c r="KC407"/>
      <c r="KD407"/>
      <c r="KE407"/>
      <c r="KF407"/>
      <c r="KG407"/>
      <c r="KH407"/>
      <c r="KI407"/>
      <c r="KJ407"/>
      <c r="KK407"/>
      <c r="KL407"/>
      <c r="KM407"/>
      <c r="KN407"/>
      <c r="KO407"/>
      <c r="KP407"/>
      <c r="KQ407"/>
      <c r="KR407"/>
      <c r="KS407"/>
      <c r="KT407"/>
      <c r="KU407"/>
      <c r="KV407"/>
      <c r="KW407"/>
      <c r="KX407"/>
      <c r="KY407"/>
      <c r="KZ407"/>
      <c r="LA407"/>
      <c r="LB407"/>
      <c r="LC407"/>
      <c r="LD407"/>
      <c r="LE407"/>
      <c r="LF407"/>
      <c r="LG407"/>
      <c r="LH407"/>
      <c r="LI407"/>
      <c r="LJ407"/>
      <c r="LK407"/>
      <c r="LL407"/>
      <c r="LM407"/>
      <c r="LN407"/>
      <c r="LO407"/>
      <c r="LP407"/>
      <c r="LQ407"/>
      <c r="LR407"/>
      <c r="LS407"/>
      <c r="LT407"/>
      <c r="LU407"/>
      <c r="LV407"/>
      <c r="LW407"/>
      <c r="LX407"/>
      <c r="LY407"/>
      <c r="LZ407"/>
      <c r="MA407"/>
      <c r="MB407"/>
      <c r="MC407"/>
      <c r="MD407"/>
      <c r="ME407"/>
      <c r="MF407"/>
      <c r="MG407"/>
      <c r="MH407"/>
      <c r="MI407"/>
      <c r="MJ407"/>
      <c r="MK407"/>
      <c r="ML407"/>
      <c r="MM407"/>
      <c r="MN407"/>
      <c r="MO407"/>
      <c r="MP407"/>
      <c r="MQ407"/>
      <c r="MR407"/>
      <c r="MS407"/>
      <c r="MT407"/>
      <c r="MU407"/>
      <c r="MV407"/>
      <c r="MW407"/>
      <c r="MX407"/>
      <c r="MY407"/>
      <c r="MZ407"/>
      <c r="NA407"/>
      <c r="NB407"/>
      <c r="NC407"/>
      <c r="ND407"/>
      <c r="NE407"/>
      <c r="NF407"/>
      <c r="NG407"/>
      <c r="NH407"/>
      <c r="NI407"/>
      <c r="NJ407"/>
      <c r="NK407"/>
      <c r="NL407"/>
      <c r="NM407"/>
      <c r="NN407"/>
      <c r="NO407"/>
      <c r="NP407"/>
      <c r="NQ407"/>
      <c r="NR407"/>
      <c r="NS407"/>
      <c r="NT407"/>
      <c r="NU407"/>
      <c r="NV407"/>
      <c r="NW407"/>
      <c r="NX407"/>
      <c r="NY407"/>
      <c r="NZ407"/>
      <c r="OA407"/>
      <c r="OB407"/>
      <c r="OC407"/>
      <c r="OD407"/>
      <c r="OE407"/>
      <c r="OF407"/>
      <c r="OG407"/>
      <c r="OH407"/>
      <c r="OI407"/>
      <c r="OJ407"/>
      <c r="OK407"/>
      <c r="OL407"/>
      <c r="OM407"/>
      <c r="ON407"/>
      <c r="OO407"/>
      <c r="OP407"/>
      <c r="OQ407"/>
      <c r="OR407"/>
      <c r="OS407"/>
      <c r="OT407"/>
      <c r="OU407"/>
      <c r="OV407"/>
      <c r="OW407"/>
      <c r="OX407"/>
      <c r="OY407"/>
      <c r="OZ407"/>
      <c r="PA407"/>
      <c r="PB407"/>
      <c r="PC407"/>
      <c r="PD407"/>
      <c r="PE407"/>
      <c r="PF407"/>
      <c r="PG407"/>
      <c r="PH407"/>
      <c r="PI407"/>
      <c r="PJ407"/>
      <c r="PK407"/>
      <c r="PL407"/>
      <c r="PM407"/>
      <c r="PN407"/>
      <c r="PO407"/>
      <c r="PP407"/>
      <c r="PQ407"/>
      <c r="PR407"/>
      <c r="PS407"/>
      <c r="PT407"/>
      <c r="PU407"/>
      <c r="PV407"/>
      <c r="PW407"/>
      <c r="PX407"/>
      <c r="PY407"/>
      <c r="PZ407"/>
      <c r="QA407"/>
      <c r="QB407"/>
      <c r="QC407"/>
      <c r="QD407"/>
      <c r="QE407"/>
      <c r="QF407"/>
      <c r="QG407"/>
      <c r="QH407"/>
      <c r="QI407"/>
      <c r="QJ407"/>
      <c r="QK407"/>
      <c r="QL407"/>
      <c r="QM407"/>
      <c r="QN407"/>
      <c r="QO407"/>
      <c r="QP407"/>
      <c r="QQ407"/>
      <c r="QR407"/>
      <c r="QS407"/>
      <c r="QT407"/>
      <c r="QU407"/>
      <c r="QV407"/>
      <c r="QW407"/>
      <c r="QX407"/>
      <c r="QY407"/>
      <c r="QZ407"/>
      <c r="RA407"/>
      <c r="RB407"/>
      <c r="RC407"/>
      <c r="RD407"/>
      <c r="RE407"/>
      <c r="RF407"/>
      <c r="RG407"/>
      <c r="RH407"/>
      <c r="RI407"/>
      <c r="RJ407"/>
      <c r="RK407"/>
      <c r="RL407"/>
      <c r="RM407"/>
      <c r="RN407"/>
      <c r="RO407"/>
      <c r="RP407"/>
      <c r="RQ407"/>
      <c r="RR407"/>
      <c r="RS407"/>
      <c r="RT407"/>
      <c r="RU407"/>
    </row>
    <row r="408" spans="3:489" x14ac:dyDescent="0.25">
      <c r="C408"/>
      <c r="D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  <c r="HB408"/>
      <c r="HC408"/>
      <c r="HD408"/>
      <c r="HE408"/>
      <c r="HF408"/>
      <c r="HG408"/>
      <c r="HH408"/>
      <c r="HI408"/>
      <c r="HJ408"/>
      <c r="HK408"/>
      <c r="HL408"/>
      <c r="HM408"/>
      <c r="HN408"/>
      <c r="HO408"/>
      <c r="HP408"/>
      <c r="HQ408"/>
      <c r="HR408"/>
      <c r="HS408"/>
      <c r="HT408"/>
      <c r="HU408"/>
      <c r="HV408"/>
      <c r="HW408"/>
      <c r="HX408"/>
      <c r="HY408"/>
      <c r="HZ408"/>
      <c r="IA408"/>
      <c r="IB408"/>
      <c r="IC408"/>
      <c r="ID408"/>
      <c r="IE408"/>
      <c r="IF408"/>
      <c r="IG408"/>
      <c r="IH408"/>
      <c r="II408"/>
      <c r="IJ408"/>
      <c r="IK408"/>
      <c r="IL408"/>
      <c r="IM408"/>
      <c r="IN408"/>
      <c r="IO408"/>
      <c r="IP408"/>
      <c r="IQ408"/>
      <c r="IR408"/>
      <c r="IS408"/>
      <c r="IT408"/>
      <c r="IU408"/>
      <c r="IV408"/>
      <c r="IW408"/>
      <c r="IX408"/>
      <c r="IY408"/>
      <c r="IZ408"/>
      <c r="JA408"/>
      <c r="JB408"/>
      <c r="JC408"/>
      <c r="JD408"/>
      <c r="JE408"/>
      <c r="JF408"/>
      <c r="JG408"/>
      <c r="JH408"/>
      <c r="JI408"/>
      <c r="JJ408"/>
      <c r="JK408"/>
      <c r="JL408"/>
      <c r="JM408"/>
      <c r="JN408"/>
      <c r="JO408"/>
      <c r="JP408"/>
      <c r="JQ408"/>
      <c r="JR408"/>
      <c r="JS408"/>
      <c r="JT408"/>
      <c r="JU408"/>
      <c r="JV408"/>
      <c r="JW408"/>
      <c r="JX408"/>
      <c r="JY408"/>
      <c r="JZ408"/>
      <c r="KA408"/>
      <c r="KB408"/>
      <c r="KC408"/>
      <c r="KD408"/>
      <c r="KE408"/>
      <c r="KF408"/>
      <c r="KG408"/>
      <c r="KH408"/>
      <c r="KI408"/>
      <c r="KJ408"/>
      <c r="KK408"/>
      <c r="KL408"/>
      <c r="KM408"/>
      <c r="KN408"/>
      <c r="KO408"/>
      <c r="KP408"/>
      <c r="KQ408"/>
      <c r="KR408"/>
      <c r="KS408"/>
      <c r="KT408"/>
      <c r="KU408"/>
      <c r="KV408"/>
      <c r="KW408"/>
      <c r="KX408"/>
      <c r="KY408"/>
      <c r="KZ408"/>
      <c r="LA408"/>
      <c r="LB408"/>
      <c r="LC408"/>
      <c r="LD408"/>
      <c r="LE408"/>
      <c r="LF408"/>
      <c r="LG408"/>
      <c r="LH408"/>
      <c r="LI408"/>
      <c r="LJ408"/>
      <c r="LK408"/>
      <c r="LL408"/>
      <c r="LM408"/>
      <c r="LN408"/>
      <c r="LO408"/>
      <c r="LP408"/>
      <c r="LQ408"/>
      <c r="LR408"/>
      <c r="LS408"/>
      <c r="LT408"/>
      <c r="LU408"/>
      <c r="LV408"/>
      <c r="LW408"/>
      <c r="LX408"/>
      <c r="LY408"/>
      <c r="LZ408"/>
      <c r="MA408"/>
      <c r="MB408"/>
      <c r="MC408"/>
      <c r="MD408"/>
      <c r="ME408"/>
      <c r="MF408"/>
      <c r="MG408"/>
      <c r="MH408"/>
      <c r="MI408"/>
      <c r="MJ408"/>
      <c r="MK408"/>
      <c r="ML408"/>
      <c r="MM408"/>
      <c r="MN408"/>
      <c r="MO408"/>
      <c r="MP408"/>
      <c r="MQ408"/>
      <c r="MR408"/>
      <c r="MS408"/>
      <c r="MT408"/>
      <c r="MU408"/>
      <c r="MV408"/>
      <c r="MW408"/>
      <c r="MX408"/>
      <c r="MY408"/>
      <c r="MZ408"/>
      <c r="NA408"/>
      <c r="NB408"/>
      <c r="NC408"/>
      <c r="ND408"/>
      <c r="NE408"/>
      <c r="NF408"/>
      <c r="NG408"/>
      <c r="NH408"/>
      <c r="NI408"/>
      <c r="NJ408"/>
      <c r="NK408"/>
      <c r="NL408"/>
      <c r="NM408"/>
      <c r="NN408"/>
      <c r="NO408"/>
      <c r="NP408"/>
      <c r="NQ408"/>
      <c r="NR408"/>
      <c r="NS408"/>
      <c r="NT408"/>
      <c r="NU408"/>
      <c r="NV408"/>
      <c r="NW408"/>
      <c r="NX408"/>
      <c r="NY408"/>
      <c r="NZ408"/>
      <c r="OA408"/>
      <c r="OB408"/>
      <c r="OC408"/>
      <c r="OD408"/>
      <c r="OE408"/>
      <c r="OF408"/>
      <c r="OG408"/>
      <c r="OH408"/>
      <c r="OI408"/>
      <c r="OJ408"/>
      <c r="OK408"/>
      <c r="OL408"/>
      <c r="OM408"/>
      <c r="ON408"/>
      <c r="OO408"/>
      <c r="OP408"/>
      <c r="OQ408"/>
      <c r="OR408"/>
      <c r="OS408"/>
      <c r="OT408"/>
      <c r="OU408"/>
      <c r="OV408"/>
      <c r="OW408"/>
      <c r="OX408"/>
      <c r="OY408"/>
      <c r="OZ408"/>
      <c r="PA408"/>
      <c r="PB408"/>
      <c r="PC408"/>
      <c r="PD408"/>
      <c r="PE408"/>
      <c r="PF408"/>
      <c r="PG408"/>
      <c r="PH408"/>
      <c r="PI408"/>
      <c r="PJ408"/>
      <c r="PK408"/>
      <c r="PL408"/>
      <c r="PM408"/>
      <c r="PN408"/>
      <c r="PO408"/>
      <c r="PP408"/>
      <c r="PQ408"/>
      <c r="PR408"/>
      <c r="PS408"/>
      <c r="PT408"/>
      <c r="PU408"/>
      <c r="PV408"/>
      <c r="PW408"/>
      <c r="PX408"/>
      <c r="PY408"/>
      <c r="PZ408"/>
      <c r="QA408"/>
      <c r="QB408"/>
      <c r="QC408"/>
      <c r="QD408"/>
      <c r="QE408"/>
      <c r="QF408"/>
      <c r="QG408"/>
      <c r="QH408"/>
      <c r="QI408"/>
      <c r="QJ408"/>
      <c r="QK408"/>
      <c r="QL408"/>
      <c r="QM408"/>
      <c r="QN408"/>
      <c r="QO408"/>
      <c r="QP408"/>
      <c r="QQ408"/>
      <c r="QR408"/>
      <c r="QS408"/>
      <c r="QT408"/>
      <c r="QU408"/>
      <c r="QV408"/>
      <c r="QW408"/>
      <c r="QX408"/>
      <c r="QY408"/>
      <c r="QZ408"/>
      <c r="RA408"/>
      <c r="RB408"/>
      <c r="RC408"/>
      <c r="RD408"/>
      <c r="RE408"/>
      <c r="RF408"/>
      <c r="RG408"/>
      <c r="RH408"/>
      <c r="RI408"/>
      <c r="RJ408"/>
      <c r="RK408"/>
      <c r="RL408"/>
      <c r="RM408"/>
      <c r="RN408"/>
      <c r="RO408"/>
      <c r="RP408"/>
      <c r="RQ408"/>
      <c r="RR408"/>
      <c r="RS408"/>
      <c r="RT408"/>
      <c r="RU408"/>
    </row>
    <row r="409" spans="3:489" x14ac:dyDescent="0.25">
      <c r="C409"/>
      <c r="D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  <c r="HB409"/>
      <c r="HC409"/>
      <c r="HD409"/>
      <c r="HE409"/>
      <c r="HF409"/>
      <c r="HG409"/>
      <c r="HH409"/>
      <c r="HI409"/>
      <c r="HJ409"/>
      <c r="HK409"/>
      <c r="HL409"/>
      <c r="HM409"/>
      <c r="HN409"/>
      <c r="HO409"/>
      <c r="HP409"/>
      <c r="HQ409"/>
      <c r="HR409"/>
      <c r="HS409"/>
      <c r="HT409"/>
      <c r="HU409"/>
      <c r="HV409"/>
      <c r="HW409"/>
      <c r="HX409"/>
      <c r="HY409"/>
      <c r="HZ409"/>
      <c r="IA409"/>
      <c r="IB409"/>
      <c r="IC409"/>
      <c r="ID409"/>
      <c r="IE409"/>
      <c r="IF409"/>
      <c r="IG409"/>
      <c r="IH409"/>
      <c r="II409"/>
      <c r="IJ409"/>
      <c r="IK409"/>
      <c r="IL409"/>
      <c r="IM409"/>
      <c r="IN409"/>
      <c r="IO409"/>
      <c r="IP409"/>
      <c r="IQ409"/>
      <c r="IR409"/>
      <c r="IS409"/>
      <c r="IT409"/>
      <c r="IU409"/>
      <c r="IV409"/>
      <c r="IW409"/>
      <c r="IX409"/>
      <c r="IY409"/>
      <c r="IZ409"/>
      <c r="JA409"/>
      <c r="JB409"/>
      <c r="JC409"/>
      <c r="JD409"/>
      <c r="JE409"/>
      <c r="JF409"/>
      <c r="JG409"/>
      <c r="JH409"/>
      <c r="JI409"/>
      <c r="JJ409"/>
      <c r="JK409"/>
      <c r="JL409"/>
      <c r="JM409"/>
      <c r="JN409"/>
      <c r="JO409"/>
      <c r="JP409"/>
      <c r="JQ409"/>
      <c r="JR409"/>
      <c r="JS409"/>
      <c r="JT409"/>
      <c r="JU409"/>
      <c r="JV409"/>
      <c r="JW409"/>
      <c r="JX409"/>
      <c r="JY409"/>
      <c r="JZ409"/>
      <c r="KA409"/>
      <c r="KB409"/>
      <c r="KC409"/>
      <c r="KD409"/>
      <c r="KE409"/>
      <c r="KF409"/>
      <c r="KG409"/>
      <c r="KH409"/>
      <c r="KI409"/>
      <c r="KJ409"/>
      <c r="KK409"/>
      <c r="KL409"/>
      <c r="KM409"/>
      <c r="KN409"/>
      <c r="KO409"/>
      <c r="KP409"/>
      <c r="KQ409"/>
      <c r="KR409"/>
      <c r="KS409"/>
      <c r="KT409"/>
      <c r="KU409"/>
      <c r="KV409"/>
      <c r="KW409"/>
      <c r="KX409"/>
      <c r="KY409"/>
      <c r="KZ409"/>
      <c r="LA409"/>
      <c r="LB409"/>
      <c r="LC409"/>
      <c r="LD409"/>
      <c r="LE409"/>
      <c r="LF409"/>
      <c r="LG409"/>
      <c r="LH409"/>
      <c r="LI409"/>
      <c r="LJ409"/>
      <c r="LK409"/>
      <c r="LL409"/>
      <c r="LM409"/>
      <c r="LN409"/>
      <c r="LO409"/>
      <c r="LP409"/>
      <c r="LQ409"/>
      <c r="LR409"/>
      <c r="LS409"/>
      <c r="LT409"/>
      <c r="LU409"/>
      <c r="LV409"/>
      <c r="LW409"/>
      <c r="LX409"/>
      <c r="LY409"/>
      <c r="LZ409"/>
      <c r="MA409"/>
      <c r="MB409"/>
      <c r="MC409"/>
      <c r="MD409"/>
      <c r="ME409"/>
      <c r="MF409"/>
      <c r="MG409"/>
      <c r="MH409"/>
      <c r="MI409"/>
      <c r="MJ409"/>
      <c r="MK409"/>
      <c r="ML409"/>
      <c r="MM409"/>
      <c r="MN409"/>
      <c r="MO409"/>
      <c r="MP409"/>
      <c r="MQ409"/>
      <c r="MR409"/>
      <c r="MS409"/>
      <c r="MT409"/>
      <c r="MU409"/>
      <c r="MV409"/>
      <c r="MW409"/>
      <c r="MX409"/>
      <c r="MY409"/>
      <c r="MZ409"/>
      <c r="NA409"/>
      <c r="NB409"/>
      <c r="NC409"/>
      <c r="ND409"/>
      <c r="NE409"/>
      <c r="NF409"/>
      <c r="NG409"/>
      <c r="NH409"/>
      <c r="NI409"/>
      <c r="NJ409"/>
      <c r="NK409"/>
      <c r="NL409"/>
      <c r="NM409"/>
      <c r="NN409"/>
      <c r="NO409"/>
      <c r="NP409"/>
      <c r="NQ409"/>
      <c r="NR409"/>
      <c r="NS409"/>
      <c r="NT409"/>
      <c r="NU409"/>
      <c r="NV409"/>
      <c r="NW409"/>
      <c r="NX409"/>
      <c r="NY409"/>
      <c r="NZ409"/>
      <c r="OA409"/>
      <c r="OB409"/>
      <c r="OC409"/>
      <c r="OD409"/>
      <c r="OE409"/>
      <c r="OF409"/>
      <c r="OG409"/>
      <c r="OH409"/>
      <c r="OI409"/>
      <c r="OJ409"/>
      <c r="OK409"/>
      <c r="OL409"/>
      <c r="OM409"/>
      <c r="ON409"/>
      <c r="OO409"/>
      <c r="OP409"/>
      <c r="OQ409"/>
      <c r="OR409"/>
      <c r="OS409"/>
      <c r="OT409"/>
      <c r="OU409"/>
      <c r="OV409"/>
      <c r="OW409"/>
      <c r="OX409"/>
      <c r="OY409"/>
      <c r="OZ409"/>
      <c r="PA409"/>
      <c r="PB409"/>
      <c r="PC409"/>
      <c r="PD409"/>
      <c r="PE409"/>
      <c r="PF409"/>
      <c r="PG409"/>
      <c r="PH409"/>
      <c r="PI409"/>
      <c r="PJ409"/>
      <c r="PK409"/>
      <c r="PL409"/>
      <c r="PM409"/>
      <c r="PN409"/>
      <c r="PO409"/>
      <c r="PP409"/>
      <c r="PQ409"/>
      <c r="PR409"/>
      <c r="PS409"/>
      <c r="PT409"/>
      <c r="PU409"/>
      <c r="PV409"/>
      <c r="PW409"/>
      <c r="PX409"/>
      <c r="PY409"/>
      <c r="PZ409"/>
      <c r="QA409"/>
      <c r="QB409"/>
      <c r="QC409"/>
      <c r="QD409"/>
      <c r="QE409"/>
      <c r="QF409"/>
      <c r="QG409"/>
      <c r="QH409"/>
      <c r="QI409"/>
      <c r="QJ409"/>
      <c r="QK409"/>
      <c r="QL409"/>
      <c r="QM409"/>
      <c r="QN409"/>
      <c r="QO409"/>
      <c r="QP409"/>
      <c r="QQ409"/>
      <c r="QR409"/>
      <c r="QS409"/>
      <c r="QT409"/>
      <c r="QU409"/>
      <c r="QV409"/>
      <c r="QW409"/>
      <c r="QX409"/>
      <c r="QY409"/>
      <c r="QZ409"/>
      <c r="RA409"/>
      <c r="RB409"/>
      <c r="RC409"/>
      <c r="RD409"/>
      <c r="RE409"/>
      <c r="RF409"/>
      <c r="RG409"/>
      <c r="RH409"/>
      <c r="RI409"/>
      <c r="RJ409"/>
      <c r="RK409"/>
      <c r="RL409"/>
      <c r="RM409"/>
      <c r="RN409"/>
      <c r="RO409"/>
      <c r="RP409"/>
      <c r="RQ409"/>
      <c r="RR409"/>
      <c r="RS409"/>
      <c r="RT409"/>
      <c r="RU409"/>
    </row>
    <row r="410" spans="3:489" x14ac:dyDescent="0.25">
      <c r="C410"/>
      <c r="D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  <c r="HB410"/>
      <c r="HC410"/>
      <c r="HD410"/>
      <c r="HE410"/>
      <c r="HF410"/>
      <c r="HG410"/>
      <c r="HH410"/>
      <c r="HI410"/>
      <c r="HJ410"/>
      <c r="HK410"/>
      <c r="HL410"/>
      <c r="HM410"/>
      <c r="HN410"/>
      <c r="HO410"/>
      <c r="HP410"/>
      <c r="HQ410"/>
      <c r="HR410"/>
      <c r="HS410"/>
      <c r="HT410"/>
      <c r="HU410"/>
      <c r="HV410"/>
      <c r="HW410"/>
      <c r="HX410"/>
      <c r="HY410"/>
      <c r="HZ410"/>
      <c r="IA410"/>
      <c r="IB410"/>
      <c r="IC410"/>
      <c r="ID410"/>
      <c r="IE410"/>
      <c r="IF410"/>
      <c r="IG410"/>
      <c r="IH410"/>
      <c r="II410"/>
      <c r="IJ410"/>
      <c r="IK410"/>
      <c r="IL410"/>
      <c r="IM410"/>
      <c r="IN410"/>
      <c r="IO410"/>
      <c r="IP410"/>
      <c r="IQ410"/>
      <c r="IR410"/>
      <c r="IS410"/>
      <c r="IT410"/>
      <c r="IU410"/>
      <c r="IV410"/>
      <c r="IW410"/>
      <c r="IX410"/>
      <c r="IY410"/>
      <c r="IZ410"/>
      <c r="JA410"/>
      <c r="JB410"/>
      <c r="JC410"/>
      <c r="JD410"/>
      <c r="JE410"/>
      <c r="JF410"/>
      <c r="JG410"/>
      <c r="JH410"/>
      <c r="JI410"/>
      <c r="JJ410"/>
      <c r="JK410"/>
      <c r="JL410"/>
      <c r="JM410"/>
      <c r="JN410"/>
      <c r="JO410"/>
      <c r="JP410"/>
      <c r="JQ410"/>
      <c r="JR410"/>
      <c r="JS410"/>
      <c r="JT410"/>
      <c r="JU410"/>
      <c r="JV410"/>
      <c r="JW410"/>
      <c r="JX410"/>
      <c r="JY410"/>
      <c r="JZ410"/>
      <c r="KA410"/>
      <c r="KB410"/>
      <c r="KC410"/>
      <c r="KD410"/>
      <c r="KE410"/>
      <c r="KF410"/>
      <c r="KG410"/>
      <c r="KH410"/>
      <c r="KI410"/>
      <c r="KJ410"/>
      <c r="KK410"/>
      <c r="KL410"/>
      <c r="KM410"/>
      <c r="KN410"/>
      <c r="KO410"/>
      <c r="KP410"/>
      <c r="KQ410"/>
      <c r="KR410"/>
      <c r="KS410"/>
      <c r="KT410"/>
      <c r="KU410"/>
      <c r="KV410"/>
      <c r="KW410"/>
      <c r="KX410"/>
      <c r="KY410"/>
      <c r="KZ410"/>
      <c r="LA410"/>
      <c r="LB410"/>
      <c r="LC410"/>
      <c r="LD410"/>
      <c r="LE410"/>
      <c r="LF410"/>
      <c r="LG410"/>
      <c r="LH410"/>
      <c r="LI410"/>
      <c r="LJ410"/>
      <c r="LK410"/>
      <c r="LL410"/>
      <c r="LM410"/>
      <c r="LN410"/>
      <c r="LO410"/>
      <c r="LP410"/>
      <c r="LQ410"/>
      <c r="LR410"/>
      <c r="LS410"/>
      <c r="LT410"/>
      <c r="LU410"/>
      <c r="LV410"/>
      <c r="LW410"/>
      <c r="LX410"/>
      <c r="LY410"/>
      <c r="LZ410"/>
      <c r="MA410"/>
      <c r="MB410"/>
      <c r="MC410"/>
      <c r="MD410"/>
      <c r="ME410"/>
      <c r="MF410"/>
      <c r="MG410"/>
      <c r="MH410"/>
      <c r="MI410"/>
      <c r="MJ410"/>
      <c r="MK410"/>
      <c r="ML410"/>
      <c r="MM410"/>
      <c r="MN410"/>
      <c r="MO410"/>
      <c r="MP410"/>
      <c r="MQ410"/>
      <c r="MR410"/>
      <c r="MS410"/>
      <c r="MT410"/>
      <c r="MU410"/>
      <c r="MV410"/>
      <c r="MW410"/>
      <c r="MX410"/>
      <c r="MY410"/>
      <c r="MZ410"/>
      <c r="NA410"/>
      <c r="NB410"/>
      <c r="NC410"/>
      <c r="ND410"/>
      <c r="NE410"/>
      <c r="NF410"/>
      <c r="NG410"/>
      <c r="NH410"/>
      <c r="NI410"/>
      <c r="NJ410"/>
      <c r="NK410"/>
      <c r="NL410"/>
      <c r="NM410"/>
      <c r="NN410"/>
      <c r="NO410"/>
      <c r="NP410"/>
      <c r="NQ410"/>
      <c r="NR410"/>
      <c r="NS410"/>
      <c r="NT410"/>
      <c r="NU410"/>
      <c r="NV410"/>
      <c r="NW410"/>
      <c r="NX410"/>
      <c r="NY410"/>
      <c r="NZ410"/>
      <c r="OA410"/>
      <c r="OB410"/>
      <c r="OC410"/>
      <c r="OD410"/>
      <c r="OE410"/>
      <c r="OF410"/>
      <c r="OG410"/>
      <c r="OH410"/>
      <c r="OI410"/>
      <c r="OJ410"/>
      <c r="OK410"/>
      <c r="OL410"/>
      <c r="OM410"/>
      <c r="ON410"/>
      <c r="OO410"/>
      <c r="OP410"/>
      <c r="OQ410"/>
      <c r="OR410"/>
      <c r="OS410"/>
      <c r="OT410"/>
      <c r="OU410"/>
      <c r="OV410"/>
      <c r="OW410"/>
      <c r="OX410"/>
      <c r="OY410"/>
      <c r="OZ410"/>
      <c r="PA410"/>
      <c r="PB410"/>
      <c r="PC410"/>
      <c r="PD410"/>
      <c r="PE410"/>
      <c r="PF410"/>
      <c r="PG410"/>
      <c r="PH410"/>
      <c r="PI410"/>
      <c r="PJ410"/>
      <c r="PK410"/>
      <c r="PL410"/>
      <c r="PM410"/>
      <c r="PN410"/>
      <c r="PO410"/>
      <c r="PP410"/>
      <c r="PQ410"/>
      <c r="PR410"/>
      <c r="PS410"/>
      <c r="PT410"/>
      <c r="PU410"/>
      <c r="PV410"/>
      <c r="PW410"/>
      <c r="PX410"/>
      <c r="PY410"/>
      <c r="PZ410"/>
      <c r="QA410"/>
      <c r="QB410"/>
      <c r="QC410"/>
      <c r="QD410"/>
      <c r="QE410"/>
      <c r="QF410"/>
      <c r="QG410"/>
      <c r="QH410"/>
      <c r="QI410"/>
      <c r="QJ410"/>
      <c r="QK410"/>
      <c r="QL410"/>
      <c r="QM410"/>
      <c r="QN410"/>
      <c r="QO410"/>
      <c r="QP410"/>
      <c r="QQ410"/>
      <c r="QR410"/>
      <c r="QS410"/>
      <c r="QT410"/>
      <c r="QU410"/>
      <c r="QV410"/>
      <c r="QW410"/>
      <c r="QX410"/>
      <c r="QY410"/>
      <c r="QZ410"/>
      <c r="RA410"/>
      <c r="RB410"/>
      <c r="RC410"/>
      <c r="RD410"/>
      <c r="RE410"/>
      <c r="RF410"/>
      <c r="RG410"/>
      <c r="RH410"/>
      <c r="RI410"/>
      <c r="RJ410"/>
      <c r="RK410"/>
      <c r="RL410"/>
      <c r="RM410"/>
      <c r="RN410"/>
      <c r="RO410"/>
      <c r="RP410"/>
      <c r="RQ410"/>
      <c r="RR410"/>
      <c r="RS410"/>
      <c r="RT410"/>
      <c r="RU410"/>
    </row>
    <row r="411" spans="3:489" x14ac:dyDescent="0.25">
      <c r="C411"/>
      <c r="D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  <c r="HB411"/>
      <c r="HC411"/>
      <c r="HD411"/>
      <c r="HE411"/>
      <c r="HF411"/>
      <c r="HG411"/>
      <c r="HH411"/>
      <c r="HI411"/>
      <c r="HJ411"/>
      <c r="HK411"/>
      <c r="HL411"/>
      <c r="HM411"/>
      <c r="HN411"/>
      <c r="HO411"/>
      <c r="HP411"/>
      <c r="HQ411"/>
      <c r="HR411"/>
      <c r="HS411"/>
      <c r="HT411"/>
      <c r="HU411"/>
      <c r="HV411"/>
      <c r="HW411"/>
      <c r="HX411"/>
      <c r="HY411"/>
      <c r="HZ411"/>
      <c r="IA411"/>
      <c r="IB411"/>
      <c r="IC411"/>
      <c r="ID411"/>
      <c r="IE411"/>
      <c r="IF411"/>
      <c r="IG411"/>
      <c r="IH411"/>
      <c r="II411"/>
      <c r="IJ411"/>
      <c r="IK411"/>
      <c r="IL411"/>
      <c r="IM411"/>
      <c r="IN411"/>
      <c r="IO411"/>
      <c r="IP411"/>
      <c r="IQ411"/>
      <c r="IR411"/>
      <c r="IS411"/>
      <c r="IT411"/>
      <c r="IU411"/>
      <c r="IV411"/>
      <c r="IW411"/>
      <c r="IX411"/>
      <c r="IY411"/>
      <c r="IZ411"/>
      <c r="JA411"/>
      <c r="JB411"/>
      <c r="JC411"/>
      <c r="JD411"/>
      <c r="JE411"/>
      <c r="JF411"/>
      <c r="JG411"/>
      <c r="JH411"/>
      <c r="JI411"/>
      <c r="JJ411"/>
      <c r="JK411"/>
      <c r="JL411"/>
      <c r="JM411"/>
      <c r="JN411"/>
      <c r="JO411"/>
      <c r="JP411"/>
      <c r="JQ411"/>
      <c r="JR411"/>
      <c r="JS411"/>
      <c r="JT411"/>
      <c r="JU411"/>
      <c r="JV411"/>
      <c r="JW411"/>
      <c r="JX411"/>
      <c r="JY411"/>
      <c r="JZ411"/>
      <c r="KA411"/>
      <c r="KB411"/>
      <c r="KC411"/>
      <c r="KD411"/>
      <c r="KE411"/>
      <c r="KF411"/>
      <c r="KG411"/>
      <c r="KH411"/>
      <c r="KI411"/>
      <c r="KJ411"/>
      <c r="KK411"/>
      <c r="KL411"/>
      <c r="KM411"/>
      <c r="KN411"/>
      <c r="KO411"/>
      <c r="KP411"/>
      <c r="KQ411"/>
      <c r="KR411"/>
      <c r="KS411"/>
      <c r="KT411"/>
      <c r="KU411"/>
      <c r="KV411"/>
      <c r="KW411"/>
      <c r="KX411"/>
      <c r="KY411"/>
      <c r="KZ411"/>
      <c r="LA411"/>
      <c r="LB411"/>
      <c r="LC411"/>
      <c r="LD411"/>
      <c r="LE411"/>
      <c r="LF411"/>
      <c r="LG411"/>
      <c r="LH411"/>
      <c r="LI411"/>
      <c r="LJ411"/>
      <c r="LK411"/>
      <c r="LL411"/>
      <c r="LM411"/>
      <c r="LN411"/>
      <c r="LO411"/>
      <c r="LP411"/>
      <c r="LQ411"/>
      <c r="LR411"/>
      <c r="LS411"/>
      <c r="LT411"/>
      <c r="LU411"/>
      <c r="LV411"/>
      <c r="LW411"/>
      <c r="LX411"/>
      <c r="LY411"/>
      <c r="LZ411"/>
      <c r="MA411"/>
      <c r="MB411"/>
      <c r="MC411"/>
      <c r="MD411"/>
      <c r="ME411"/>
      <c r="MF411"/>
      <c r="MG411"/>
      <c r="MH411"/>
      <c r="MI411"/>
      <c r="MJ411"/>
      <c r="MK411"/>
      <c r="ML411"/>
      <c r="MM411"/>
      <c r="MN411"/>
      <c r="MO411"/>
      <c r="MP411"/>
      <c r="MQ411"/>
      <c r="MR411"/>
      <c r="MS411"/>
      <c r="MT411"/>
      <c r="MU411"/>
      <c r="MV411"/>
      <c r="MW411"/>
      <c r="MX411"/>
      <c r="MY411"/>
      <c r="MZ411"/>
      <c r="NA411"/>
      <c r="NB411"/>
      <c r="NC411"/>
      <c r="ND411"/>
      <c r="NE411"/>
      <c r="NF411"/>
      <c r="NG411"/>
      <c r="NH411"/>
      <c r="NI411"/>
      <c r="NJ411"/>
      <c r="NK411"/>
      <c r="NL411"/>
      <c r="NM411"/>
      <c r="NN411"/>
      <c r="NO411"/>
      <c r="NP411"/>
      <c r="NQ411"/>
      <c r="NR411"/>
      <c r="NS411"/>
      <c r="NT411"/>
      <c r="NU411"/>
      <c r="NV411"/>
      <c r="NW411"/>
      <c r="NX411"/>
      <c r="NY411"/>
      <c r="NZ411"/>
      <c r="OA411"/>
      <c r="OB411"/>
      <c r="OC411"/>
      <c r="OD411"/>
      <c r="OE411"/>
      <c r="OF411"/>
      <c r="OG411"/>
      <c r="OH411"/>
      <c r="OI411"/>
      <c r="OJ411"/>
      <c r="OK411"/>
      <c r="OL411"/>
      <c r="OM411"/>
      <c r="ON411"/>
      <c r="OO411"/>
      <c r="OP411"/>
      <c r="OQ411"/>
      <c r="OR411"/>
      <c r="OS411"/>
      <c r="OT411"/>
      <c r="OU411"/>
      <c r="OV411"/>
      <c r="OW411"/>
      <c r="OX411"/>
      <c r="OY411"/>
      <c r="OZ411"/>
      <c r="PA411"/>
      <c r="PB411"/>
      <c r="PC411"/>
      <c r="PD411"/>
      <c r="PE411"/>
      <c r="PF411"/>
      <c r="PG411"/>
      <c r="PH411"/>
      <c r="PI411"/>
      <c r="PJ411"/>
      <c r="PK411"/>
      <c r="PL411"/>
      <c r="PM411"/>
      <c r="PN411"/>
      <c r="PO411"/>
      <c r="PP411"/>
      <c r="PQ411"/>
      <c r="PR411"/>
      <c r="PS411"/>
      <c r="PT411"/>
      <c r="PU411"/>
      <c r="PV411"/>
      <c r="PW411"/>
      <c r="PX411"/>
      <c r="PY411"/>
      <c r="PZ411"/>
      <c r="QA411"/>
      <c r="QB411"/>
      <c r="QC411"/>
      <c r="QD411"/>
      <c r="QE411"/>
      <c r="QF411"/>
      <c r="QG411"/>
      <c r="QH411"/>
      <c r="QI411"/>
      <c r="QJ411"/>
      <c r="QK411"/>
      <c r="QL411"/>
      <c r="QM411"/>
      <c r="QN411"/>
      <c r="QO411"/>
      <c r="QP411"/>
      <c r="QQ411"/>
      <c r="QR411"/>
      <c r="QS411"/>
      <c r="QT411"/>
      <c r="QU411"/>
      <c r="QV411"/>
      <c r="QW411"/>
      <c r="QX411"/>
      <c r="QY411"/>
      <c r="QZ411"/>
      <c r="RA411"/>
      <c r="RB411"/>
      <c r="RC411"/>
      <c r="RD411"/>
      <c r="RE411"/>
      <c r="RF411"/>
      <c r="RG411"/>
      <c r="RH411"/>
      <c r="RI411"/>
      <c r="RJ411"/>
      <c r="RK411"/>
      <c r="RL411"/>
      <c r="RM411"/>
      <c r="RN411"/>
      <c r="RO411"/>
      <c r="RP411"/>
      <c r="RQ411"/>
      <c r="RR411"/>
      <c r="RS411"/>
      <c r="RT411"/>
      <c r="RU411"/>
    </row>
    <row r="412" spans="3:489" x14ac:dyDescent="0.25">
      <c r="C412"/>
      <c r="D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  <c r="HB412"/>
      <c r="HC412"/>
      <c r="HD412"/>
      <c r="HE412"/>
      <c r="HF412"/>
      <c r="HG412"/>
      <c r="HH412"/>
      <c r="HI412"/>
      <c r="HJ412"/>
      <c r="HK412"/>
      <c r="HL412"/>
      <c r="HM412"/>
      <c r="HN412"/>
      <c r="HO412"/>
      <c r="HP412"/>
      <c r="HQ412"/>
      <c r="HR412"/>
      <c r="HS412"/>
      <c r="HT412"/>
      <c r="HU412"/>
      <c r="HV412"/>
      <c r="HW412"/>
      <c r="HX412"/>
      <c r="HY412"/>
      <c r="HZ412"/>
      <c r="IA412"/>
      <c r="IB412"/>
      <c r="IC412"/>
      <c r="ID412"/>
      <c r="IE412"/>
      <c r="IF412"/>
      <c r="IG412"/>
      <c r="IH412"/>
      <c r="II412"/>
      <c r="IJ412"/>
      <c r="IK412"/>
      <c r="IL412"/>
      <c r="IM412"/>
      <c r="IN412"/>
      <c r="IO412"/>
      <c r="IP412"/>
      <c r="IQ412"/>
      <c r="IR412"/>
      <c r="IS412"/>
      <c r="IT412"/>
      <c r="IU412"/>
      <c r="IV412"/>
      <c r="IW412"/>
      <c r="IX412"/>
      <c r="IY412"/>
      <c r="IZ412"/>
      <c r="JA412"/>
      <c r="JB412"/>
      <c r="JC412"/>
      <c r="JD412"/>
      <c r="JE412"/>
      <c r="JF412"/>
      <c r="JG412"/>
      <c r="JH412"/>
      <c r="JI412"/>
      <c r="JJ412"/>
      <c r="JK412"/>
      <c r="JL412"/>
      <c r="JM412"/>
      <c r="JN412"/>
      <c r="JO412"/>
      <c r="JP412"/>
      <c r="JQ412"/>
      <c r="JR412"/>
      <c r="JS412"/>
      <c r="JT412"/>
      <c r="JU412"/>
      <c r="JV412"/>
      <c r="JW412"/>
      <c r="JX412"/>
      <c r="JY412"/>
      <c r="JZ412"/>
      <c r="KA412"/>
      <c r="KB412"/>
      <c r="KC412"/>
      <c r="KD412"/>
      <c r="KE412"/>
      <c r="KF412"/>
      <c r="KG412"/>
      <c r="KH412"/>
      <c r="KI412"/>
      <c r="KJ412"/>
      <c r="KK412"/>
      <c r="KL412"/>
      <c r="KM412"/>
      <c r="KN412"/>
      <c r="KO412"/>
      <c r="KP412"/>
      <c r="KQ412"/>
      <c r="KR412"/>
      <c r="KS412"/>
      <c r="KT412"/>
      <c r="KU412"/>
      <c r="KV412"/>
      <c r="KW412"/>
      <c r="KX412"/>
      <c r="KY412"/>
      <c r="KZ412"/>
      <c r="LA412"/>
      <c r="LB412"/>
      <c r="LC412"/>
      <c r="LD412"/>
      <c r="LE412"/>
      <c r="LF412"/>
      <c r="LG412"/>
      <c r="LH412"/>
      <c r="LI412"/>
      <c r="LJ412"/>
      <c r="LK412"/>
      <c r="LL412"/>
      <c r="LM412"/>
      <c r="LN412"/>
      <c r="LO412"/>
      <c r="LP412"/>
      <c r="LQ412"/>
      <c r="LR412"/>
      <c r="LS412"/>
      <c r="LT412"/>
      <c r="LU412"/>
      <c r="LV412"/>
      <c r="LW412"/>
      <c r="LX412"/>
      <c r="LY412"/>
      <c r="LZ412"/>
      <c r="MA412"/>
      <c r="MB412"/>
      <c r="MC412"/>
      <c r="MD412"/>
      <c r="ME412"/>
      <c r="MF412"/>
      <c r="MG412"/>
      <c r="MH412"/>
      <c r="MI412"/>
      <c r="MJ412"/>
      <c r="MK412"/>
      <c r="ML412"/>
      <c r="MM412"/>
      <c r="MN412"/>
      <c r="MO412"/>
      <c r="MP412"/>
      <c r="MQ412"/>
      <c r="MR412"/>
      <c r="MS412"/>
      <c r="MT412"/>
      <c r="MU412"/>
      <c r="MV412"/>
      <c r="MW412"/>
      <c r="MX412"/>
      <c r="MY412"/>
      <c r="MZ412"/>
      <c r="NA412"/>
      <c r="NB412"/>
      <c r="NC412"/>
      <c r="ND412"/>
      <c r="NE412"/>
      <c r="NF412"/>
      <c r="NG412"/>
      <c r="NH412"/>
      <c r="NI412"/>
      <c r="NJ412"/>
      <c r="NK412"/>
      <c r="NL412"/>
      <c r="NM412"/>
      <c r="NN412"/>
      <c r="NO412"/>
      <c r="NP412"/>
      <c r="NQ412"/>
      <c r="NR412"/>
      <c r="NS412"/>
      <c r="NT412"/>
      <c r="NU412"/>
      <c r="NV412"/>
      <c r="NW412"/>
      <c r="NX412"/>
      <c r="NY412"/>
      <c r="NZ412"/>
      <c r="OA412"/>
      <c r="OB412"/>
      <c r="OC412"/>
      <c r="OD412"/>
      <c r="OE412"/>
      <c r="OF412"/>
      <c r="OG412"/>
      <c r="OH412"/>
      <c r="OI412"/>
      <c r="OJ412"/>
      <c r="OK412"/>
      <c r="OL412"/>
      <c r="OM412"/>
      <c r="ON412"/>
      <c r="OO412"/>
      <c r="OP412"/>
      <c r="OQ412"/>
      <c r="OR412"/>
      <c r="OS412"/>
      <c r="OT412"/>
      <c r="OU412"/>
      <c r="OV412"/>
      <c r="OW412"/>
      <c r="OX412"/>
      <c r="OY412"/>
      <c r="OZ412"/>
      <c r="PA412"/>
      <c r="PB412"/>
      <c r="PC412"/>
      <c r="PD412"/>
      <c r="PE412"/>
      <c r="PF412"/>
      <c r="PG412"/>
      <c r="PH412"/>
      <c r="PI412"/>
      <c r="PJ412"/>
      <c r="PK412"/>
      <c r="PL412"/>
      <c r="PM412"/>
      <c r="PN412"/>
      <c r="PO412"/>
      <c r="PP412"/>
      <c r="PQ412"/>
      <c r="PR412"/>
      <c r="PS412"/>
      <c r="PT412"/>
      <c r="PU412"/>
      <c r="PV412"/>
      <c r="PW412"/>
      <c r="PX412"/>
      <c r="PY412"/>
      <c r="PZ412"/>
      <c r="QA412"/>
      <c r="QB412"/>
      <c r="QC412"/>
      <c r="QD412"/>
      <c r="QE412"/>
      <c r="QF412"/>
      <c r="QG412"/>
      <c r="QH412"/>
      <c r="QI412"/>
      <c r="QJ412"/>
      <c r="QK412"/>
      <c r="QL412"/>
      <c r="QM412"/>
      <c r="QN412"/>
      <c r="QO412"/>
      <c r="QP412"/>
      <c r="QQ412"/>
      <c r="QR412"/>
      <c r="QS412"/>
      <c r="QT412"/>
      <c r="QU412"/>
      <c r="QV412"/>
      <c r="QW412"/>
      <c r="QX412"/>
      <c r="QY412"/>
      <c r="QZ412"/>
      <c r="RA412"/>
      <c r="RB412"/>
      <c r="RC412"/>
      <c r="RD412"/>
      <c r="RE412"/>
      <c r="RF412"/>
      <c r="RG412"/>
      <c r="RH412"/>
      <c r="RI412"/>
      <c r="RJ412"/>
      <c r="RK412"/>
      <c r="RL412"/>
      <c r="RM412"/>
      <c r="RN412"/>
      <c r="RO412"/>
      <c r="RP412"/>
      <c r="RQ412"/>
      <c r="RR412"/>
      <c r="RS412"/>
      <c r="RT412"/>
      <c r="RU412"/>
    </row>
    <row r="413" spans="3:489" x14ac:dyDescent="0.25">
      <c r="C413"/>
      <c r="D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  <c r="HB413"/>
      <c r="HC413"/>
      <c r="HD413"/>
      <c r="HE413"/>
      <c r="HF413"/>
      <c r="HG413"/>
      <c r="HH413"/>
      <c r="HI413"/>
      <c r="HJ413"/>
      <c r="HK413"/>
      <c r="HL413"/>
      <c r="HM413"/>
      <c r="HN413"/>
      <c r="HO413"/>
      <c r="HP413"/>
      <c r="HQ413"/>
      <c r="HR413"/>
      <c r="HS413"/>
      <c r="HT413"/>
      <c r="HU413"/>
      <c r="HV413"/>
      <c r="HW413"/>
      <c r="HX413"/>
      <c r="HY413"/>
      <c r="HZ413"/>
      <c r="IA413"/>
      <c r="IB413"/>
      <c r="IC413"/>
      <c r="ID413"/>
      <c r="IE413"/>
      <c r="IF413"/>
      <c r="IG413"/>
      <c r="IH413"/>
      <c r="II413"/>
      <c r="IJ413"/>
      <c r="IK413"/>
      <c r="IL413"/>
      <c r="IM413"/>
      <c r="IN413"/>
      <c r="IO413"/>
      <c r="IP413"/>
      <c r="IQ413"/>
      <c r="IR413"/>
      <c r="IS413"/>
      <c r="IT413"/>
      <c r="IU413"/>
      <c r="IV413"/>
      <c r="IW413"/>
      <c r="IX413"/>
      <c r="IY413"/>
      <c r="IZ413"/>
      <c r="JA413"/>
      <c r="JB413"/>
      <c r="JC413"/>
      <c r="JD413"/>
      <c r="JE413"/>
      <c r="JF413"/>
      <c r="JG413"/>
      <c r="JH413"/>
      <c r="JI413"/>
      <c r="JJ413"/>
      <c r="JK413"/>
      <c r="JL413"/>
      <c r="JM413"/>
      <c r="JN413"/>
      <c r="JO413"/>
      <c r="JP413"/>
      <c r="JQ413"/>
      <c r="JR413"/>
      <c r="JS413"/>
      <c r="JT413"/>
      <c r="JU413"/>
      <c r="JV413"/>
      <c r="JW413"/>
      <c r="JX413"/>
      <c r="JY413"/>
      <c r="JZ413"/>
      <c r="KA413"/>
      <c r="KB413"/>
      <c r="KC413"/>
      <c r="KD413"/>
      <c r="KE413"/>
      <c r="KF413"/>
      <c r="KG413"/>
      <c r="KH413"/>
      <c r="KI413"/>
      <c r="KJ413"/>
      <c r="KK413"/>
      <c r="KL413"/>
      <c r="KM413"/>
      <c r="KN413"/>
      <c r="KO413"/>
      <c r="KP413"/>
      <c r="KQ413"/>
      <c r="KR413"/>
      <c r="KS413"/>
      <c r="KT413"/>
      <c r="KU413"/>
      <c r="KV413"/>
      <c r="KW413"/>
      <c r="KX413"/>
      <c r="KY413"/>
      <c r="KZ413"/>
      <c r="LA413"/>
      <c r="LB413"/>
      <c r="LC413"/>
      <c r="LD413"/>
      <c r="LE413"/>
      <c r="LF413"/>
      <c r="LG413"/>
      <c r="LH413"/>
      <c r="LI413"/>
      <c r="LJ413"/>
      <c r="LK413"/>
      <c r="LL413"/>
      <c r="LM413"/>
      <c r="LN413"/>
      <c r="LO413"/>
      <c r="LP413"/>
      <c r="LQ413"/>
      <c r="LR413"/>
      <c r="LS413"/>
      <c r="LT413"/>
      <c r="LU413"/>
      <c r="LV413"/>
      <c r="LW413"/>
      <c r="LX413"/>
      <c r="LY413"/>
      <c r="LZ413"/>
      <c r="MA413"/>
      <c r="MB413"/>
      <c r="MC413"/>
      <c r="MD413"/>
      <c r="ME413"/>
      <c r="MF413"/>
      <c r="MG413"/>
      <c r="MH413"/>
      <c r="MI413"/>
      <c r="MJ413"/>
      <c r="MK413"/>
      <c r="ML413"/>
      <c r="MM413"/>
      <c r="MN413"/>
      <c r="MO413"/>
      <c r="MP413"/>
      <c r="MQ413"/>
      <c r="MR413"/>
      <c r="MS413"/>
      <c r="MT413"/>
      <c r="MU413"/>
      <c r="MV413"/>
      <c r="MW413"/>
      <c r="MX413"/>
      <c r="MY413"/>
      <c r="MZ413"/>
      <c r="NA413"/>
      <c r="NB413"/>
      <c r="NC413"/>
      <c r="ND413"/>
      <c r="NE413"/>
      <c r="NF413"/>
      <c r="NG413"/>
      <c r="NH413"/>
      <c r="NI413"/>
      <c r="NJ413"/>
      <c r="NK413"/>
      <c r="NL413"/>
      <c r="NM413"/>
      <c r="NN413"/>
      <c r="NO413"/>
      <c r="NP413"/>
      <c r="NQ413"/>
      <c r="NR413"/>
      <c r="NS413"/>
      <c r="NT413"/>
      <c r="NU413"/>
      <c r="NV413"/>
      <c r="NW413"/>
      <c r="NX413"/>
      <c r="NY413"/>
      <c r="NZ413"/>
      <c r="OA413"/>
      <c r="OB413"/>
      <c r="OC413"/>
      <c r="OD413"/>
      <c r="OE413"/>
      <c r="OF413"/>
      <c r="OG413"/>
      <c r="OH413"/>
      <c r="OI413"/>
      <c r="OJ413"/>
      <c r="OK413"/>
      <c r="OL413"/>
      <c r="OM413"/>
      <c r="ON413"/>
      <c r="OO413"/>
      <c r="OP413"/>
      <c r="OQ413"/>
      <c r="OR413"/>
      <c r="OS413"/>
      <c r="OT413"/>
      <c r="OU413"/>
      <c r="OV413"/>
      <c r="OW413"/>
      <c r="OX413"/>
      <c r="OY413"/>
      <c r="OZ413"/>
      <c r="PA413"/>
      <c r="PB413"/>
      <c r="PC413"/>
      <c r="PD413"/>
      <c r="PE413"/>
      <c r="PF413"/>
      <c r="PG413"/>
      <c r="PH413"/>
      <c r="PI413"/>
      <c r="PJ413"/>
      <c r="PK413"/>
      <c r="PL413"/>
      <c r="PM413"/>
      <c r="PN413"/>
      <c r="PO413"/>
      <c r="PP413"/>
      <c r="PQ413"/>
      <c r="PR413"/>
      <c r="PS413"/>
      <c r="PT413"/>
      <c r="PU413"/>
      <c r="PV413"/>
      <c r="PW413"/>
      <c r="PX413"/>
      <c r="PY413"/>
      <c r="PZ413"/>
      <c r="QA413"/>
      <c r="QB413"/>
      <c r="QC413"/>
      <c r="QD413"/>
      <c r="QE413"/>
      <c r="QF413"/>
      <c r="QG413"/>
      <c r="QH413"/>
      <c r="QI413"/>
      <c r="QJ413"/>
      <c r="QK413"/>
      <c r="QL413"/>
      <c r="QM413"/>
      <c r="QN413"/>
      <c r="QO413"/>
      <c r="QP413"/>
      <c r="QQ413"/>
      <c r="QR413"/>
      <c r="QS413"/>
      <c r="QT413"/>
      <c r="QU413"/>
      <c r="QV413"/>
      <c r="QW413"/>
      <c r="QX413"/>
      <c r="QY413"/>
      <c r="QZ413"/>
      <c r="RA413"/>
      <c r="RB413"/>
      <c r="RC413"/>
      <c r="RD413"/>
      <c r="RE413"/>
      <c r="RF413"/>
      <c r="RG413"/>
      <c r="RH413"/>
      <c r="RI413"/>
      <c r="RJ413"/>
      <c r="RK413"/>
      <c r="RL413"/>
      <c r="RM413"/>
      <c r="RN413"/>
      <c r="RO413"/>
      <c r="RP413"/>
      <c r="RQ413"/>
      <c r="RR413"/>
      <c r="RS413"/>
      <c r="RT413"/>
      <c r="RU413"/>
    </row>
    <row r="414" spans="3:489" x14ac:dyDescent="0.25">
      <c r="C414"/>
      <c r="D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  <c r="HB414"/>
      <c r="HC414"/>
      <c r="HD414"/>
      <c r="HE414"/>
      <c r="HF414"/>
      <c r="HG414"/>
      <c r="HH414"/>
      <c r="HI414"/>
      <c r="HJ414"/>
      <c r="HK414"/>
      <c r="HL414"/>
      <c r="HM414"/>
      <c r="HN414"/>
      <c r="HO414"/>
      <c r="HP414"/>
      <c r="HQ414"/>
      <c r="HR414"/>
      <c r="HS414"/>
      <c r="HT414"/>
      <c r="HU414"/>
      <c r="HV414"/>
      <c r="HW414"/>
      <c r="HX414"/>
      <c r="HY414"/>
      <c r="HZ414"/>
      <c r="IA414"/>
      <c r="IB414"/>
      <c r="IC414"/>
      <c r="ID414"/>
      <c r="IE414"/>
      <c r="IF414"/>
      <c r="IG414"/>
      <c r="IH414"/>
      <c r="II414"/>
      <c r="IJ414"/>
      <c r="IK414"/>
      <c r="IL414"/>
      <c r="IM414"/>
      <c r="IN414"/>
      <c r="IO414"/>
      <c r="IP414"/>
      <c r="IQ414"/>
      <c r="IR414"/>
      <c r="IS414"/>
      <c r="IT414"/>
      <c r="IU414"/>
      <c r="IV414"/>
      <c r="IW414"/>
      <c r="IX414"/>
      <c r="IY414"/>
      <c r="IZ414"/>
      <c r="JA414"/>
      <c r="JB414"/>
      <c r="JC414"/>
      <c r="JD414"/>
      <c r="JE414"/>
      <c r="JF414"/>
      <c r="JG414"/>
      <c r="JH414"/>
      <c r="JI414"/>
      <c r="JJ414"/>
      <c r="JK414"/>
      <c r="JL414"/>
      <c r="JM414"/>
      <c r="JN414"/>
      <c r="JO414"/>
      <c r="JP414"/>
      <c r="JQ414"/>
      <c r="JR414"/>
      <c r="JS414"/>
      <c r="JT414"/>
      <c r="JU414"/>
      <c r="JV414"/>
      <c r="JW414"/>
      <c r="JX414"/>
      <c r="JY414"/>
      <c r="JZ414"/>
      <c r="KA414"/>
      <c r="KB414"/>
      <c r="KC414"/>
      <c r="KD414"/>
      <c r="KE414"/>
      <c r="KF414"/>
      <c r="KG414"/>
      <c r="KH414"/>
      <c r="KI414"/>
      <c r="KJ414"/>
      <c r="KK414"/>
      <c r="KL414"/>
      <c r="KM414"/>
      <c r="KN414"/>
      <c r="KO414"/>
      <c r="KP414"/>
      <c r="KQ414"/>
      <c r="KR414"/>
      <c r="KS414"/>
      <c r="KT414"/>
      <c r="KU414"/>
      <c r="KV414"/>
      <c r="KW414"/>
      <c r="KX414"/>
      <c r="KY414"/>
      <c r="KZ414"/>
      <c r="LA414"/>
      <c r="LB414"/>
      <c r="LC414"/>
      <c r="LD414"/>
      <c r="LE414"/>
      <c r="LF414"/>
      <c r="LG414"/>
      <c r="LH414"/>
      <c r="LI414"/>
      <c r="LJ414"/>
      <c r="LK414"/>
      <c r="LL414"/>
      <c r="LM414"/>
      <c r="LN414"/>
      <c r="LO414"/>
      <c r="LP414"/>
      <c r="LQ414"/>
      <c r="LR414"/>
      <c r="LS414"/>
      <c r="LT414"/>
      <c r="LU414"/>
      <c r="LV414"/>
      <c r="LW414"/>
      <c r="LX414"/>
      <c r="LY414"/>
      <c r="LZ414"/>
      <c r="MA414"/>
      <c r="MB414"/>
      <c r="MC414"/>
      <c r="MD414"/>
      <c r="ME414"/>
      <c r="MF414"/>
      <c r="MG414"/>
      <c r="MH414"/>
      <c r="MI414"/>
      <c r="MJ414"/>
      <c r="MK414"/>
      <c r="ML414"/>
      <c r="MM414"/>
      <c r="MN414"/>
      <c r="MO414"/>
      <c r="MP414"/>
      <c r="MQ414"/>
      <c r="MR414"/>
      <c r="MS414"/>
      <c r="MT414"/>
      <c r="MU414"/>
      <c r="MV414"/>
      <c r="MW414"/>
      <c r="MX414"/>
      <c r="MY414"/>
      <c r="MZ414"/>
      <c r="NA414"/>
      <c r="NB414"/>
      <c r="NC414"/>
      <c r="ND414"/>
      <c r="NE414"/>
      <c r="NF414"/>
      <c r="NG414"/>
      <c r="NH414"/>
      <c r="NI414"/>
      <c r="NJ414"/>
      <c r="NK414"/>
      <c r="NL414"/>
      <c r="NM414"/>
      <c r="NN414"/>
      <c r="NO414"/>
      <c r="NP414"/>
      <c r="NQ414"/>
      <c r="NR414"/>
      <c r="NS414"/>
      <c r="NT414"/>
      <c r="NU414"/>
      <c r="NV414"/>
      <c r="NW414"/>
      <c r="NX414"/>
      <c r="NY414"/>
      <c r="NZ414"/>
      <c r="OA414"/>
      <c r="OB414"/>
      <c r="OC414"/>
      <c r="OD414"/>
      <c r="OE414"/>
      <c r="OF414"/>
      <c r="OG414"/>
      <c r="OH414"/>
      <c r="OI414"/>
      <c r="OJ414"/>
      <c r="OK414"/>
      <c r="OL414"/>
      <c r="OM414"/>
      <c r="ON414"/>
      <c r="OO414"/>
      <c r="OP414"/>
      <c r="OQ414"/>
      <c r="OR414"/>
      <c r="OS414"/>
      <c r="OT414"/>
      <c r="OU414"/>
      <c r="OV414"/>
      <c r="OW414"/>
      <c r="OX414"/>
      <c r="OY414"/>
      <c r="OZ414"/>
      <c r="PA414"/>
      <c r="PB414"/>
      <c r="PC414"/>
      <c r="PD414"/>
      <c r="PE414"/>
      <c r="PF414"/>
      <c r="PG414"/>
      <c r="PH414"/>
      <c r="PI414"/>
      <c r="PJ414"/>
      <c r="PK414"/>
      <c r="PL414"/>
      <c r="PM414"/>
      <c r="PN414"/>
      <c r="PO414"/>
      <c r="PP414"/>
      <c r="PQ414"/>
      <c r="PR414"/>
      <c r="PS414"/>
      <c r="PT414"/>
      <c r="PU414"/>
      <c r="PV414"/>
      <c r="PW414"/>
      <c r="PX414"/>
      <c r="PY414"/>
      <c r="PZ414"/>
      <c r="QA414"/>
      <c r="QB414"/>
      <c r="QC414"/>
      <c r="QD414"/>
      <c r="QE414"/>
      <c r="QF414"/>
      <c r="QG414"/>
      <c r="QH414"/>
      <c r="QI414"/>
      <c r="QJ414"/>
      <c r="QK414"/>
      <c r="QL414"/>
      <c r="QM414"/>
      <c r="QN414"/>
      <c r="QO414"/>
      <c r="QP414"/>
      <c r="QQ414"/>
      <c r="QR414"/>
      <c r="QS414"/>
      <c r="QT414"/>
      <c r="QU414"/>
      <c r="QV414"/>
      <c r="QW414"/>
      <c r="QX414"/>
      <c r="QY414"/>
      <c r="QZ414"/>
      <c r="RA414"/>
      <c r="RB414"/>
      <c r="RC414"/>
      <c r="RD414"/>
      <c r="RE414"/>
      <c r="RF414"/>
      <c r="RG414"/>
      <c r="RH414"/>
      <c r="RI414"/>
      <c r="RJ414"/>
      <c r="RK414"/>
      <c r="RL414"/>
      <c r="RM414"/>
      <c r="RN414"/>
      <c r="RO414"/>
      <c r="RP414"/>
      <c r="RQ414"/>
      <c r="RR414"/>
      <c r="RS414"/>
      <c r="RT414"/>
      <c r="RU414"/>
    </row>
    <row r="415" spans="3:489" x14ac:dyDescent="0.25">
      <c r="C415"/>
      <c r="D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  <c r="HB415"/>
      <c r="HC415"/>
      <c r="HD415"/>
      <c r="HE415"/>
      <c r="HF415"/>
      <c r="HG415"/>
      <c r="HH415"/>
      <c r="HI415"/>
      <c r="HJ415"/>
      <c r="HK415"/>
      <c r="HL415"/>
      <c r="HM415"/>
      <c r="HN415"/>
      <c r="HO415"/>
      <c r="HP415"/>
      <c r="HQ415"/>
      <c r="HR415"/>
      <c r="HS415"/>
      <c r="HT415"/>
      <c r="HU415"/>
      <c r="HV415"/>
      <c r="HW415"/>
      <c r="HX415"/>
      <c r="HY415"/>
      <c r="HZ415"/>
      <c r="IA415"/>
      <c r="IB415"/>
      <c r="IC415"/>
      <c r="ID415"/>
      <c r="IE415"/>
      <c r="IF415"/>
      <c r="IG415"/>
      <c r="IH415"/>
      <c r="II415"/>
      <c r="IJ415"/>
      <c r="IK415"/>
      <c r="IL415"/>
      <c r="IM415"/>
      <c r="IN415"/>
      <c r="IO415"/>
      <c r="IP415"/>
      <c r="IQ415"/>
      <c r="IR415"/>
      <c r="IS415"/>
      <c r="IT415"/>
      <c r="IU415"/>
      <c r="IV415"/>
      <c r="IW415"/>
      <c r="IX415"/>
      <c r="IY415"/>
      <c r="IZ415"/>
      <c r="JA415"/>
      <c r="JB415"/>
      <c r="JC415"/>
      <c r="JD415"/>
      <c r="JE415"/>
      <c r="JF415"/>
      <c r="JG415"/>
      <c r="JH415"/>
      <c r="JI415"/>
      <c r="JJ415"/>
      <c r="JK415"/>
      <c r="JL415"/>
      <c r="JM415"/>
      <c r="JN415"/>
      <c r="JO415"/>
      <c r="JP415"/>
      <c r="JQ415"/>
      <c r="JR415"/>
      <c r="JS415"/>
      <c r="JT415"/>
      <c r="JU415"/>
      <c r="JV415"/>
      <c r="JW415"/>
      <c r="JX415"/>
      <c r="JY415"/>
      <c r="JZ415"/>
      <c r="KA415"/>
      <c r="KB415"/>
      <c r="KC415"/>
      <c r="KD415"/>
      <c r="KE415"/>
      <c r="KF415"/>
      <c r="KG415"/>
      <c r="KH415"/>
      <c r="KI415"/>
      <c r="KJ415"/>
      <c r="KK415"/>
      <c r="KL415"/>
      <c r="KM415"/>
      <c r="KN415"/>
      <c r="KO415"/>
      <c r="KP415"/>
      <c r="KQ415"/>
      <c r="KR415"/>
      <c r="KS415"/>
      <c r="KT415"/>
      <c r="KU415"/>
      <c r="KV415"/>
      <c r="KW415"/>
      <c r="KX415"/>
      <c r="KY415"/>
      <c r="KZ415"/>
      <c r="LA415"/>
      <c r="LB415"/>
      <c r="LC415"/>
      <c r="LD415"/>
      <c r="LE415"/>
      <c r="LF415"/>
      <c r="LG415"/>
      <c r="LH415"/>
      <c r="LI415"/>
      <c r="LJ415"/>
      <c r="LK415"/>
      <c r="LL415"/>
      <c r="LM415"/>
      <c r="LN415"/>
      <c r="LO415"/>
      <c r="LP415"/>
      <c r="LQ415"/>
      <c r="LR415"/>
      <c r="LS415"/>
      <c r="LT415"/>
      <c r="LU415"/>
      <c r="LV415"/>
      <c r="LW415"/>
      <c r="LX415"/>
      <c r="LY415"/>
      <c r="LZ415"/>
      <c r="MA415"/>
      <c r="MB415"/>
      <c r="MC415"/>
      <c r="MD415"/>
      <c r="ME415"/>
      <c r="MF415"/>
      <c r="MG415"/>
      <c r="MH415"/>
      <c r="MI415"/>
      <c r="MJ415"/>
      <c r="MK415"/>
      <c r="ML415"/>
      <c r="MM415"/>
      <c r="MN415"/>
      <c r="MO415"/>
      <c r="MP415"/>
      <c r="MQ415"/>
      <c r="MR415"/>
      <c r="MS415"/>
      <c r="MT415"/>
      <c r="MU415"/>
      <c r="MV415"/>
      <c r="MW415"/>
      <c r="MX415"/>
      <c r="MY415"/>
      <c r="MZ415"/>
      <c r="NA415"/>
      <c r="NB415"/>
      <c r="NC415"/>
      <c r="ND415"/>
      <c r="NE415"/>
      <c r="NF415"/>
      <c r="NG415"/>
      <c r="NH415"/>
      <c r="NI415"/>
      <c r="NJ415"/>
      <c r="NK415"/>
      <c r="NL415"/>
      <c r="NM415"/>
      <c r="NN415"/>
      <c r="NO415"/>
      <c r="NP415"/>
      <c r="NQ415"/>
      <c r="NR415"/>
      <c r="NS415"/>
      <c r="NT415"/>
      <c r="NU415"/>
      <c r="NV415"/>
      <c r="NW415"/>
      <c r="NX415"/>
      <c r="NY415"/>
      <c r="NZ415"/>
      <c r="OA415"/>
      <c r="OB415"/>
      <c r="OC415"/>
      <c r="OD415"/>
      <c r="OE415"/>
      <c r="OF415"/>
      <c r="OG415"/>
      <c r="OH415"/>
      <c r="OI415"/>
      <c r="OJ415"/>
      <c r="OK415"/>
      <c r="OL415"/>
      <c r="OM415"/>
      <c r="ON415"/>
      <c r="OO415"/>
      <c r="OP415"/>
      <c r="OQ415"/>
      <c r="OR415"/>
      <c r="OS415"/>
      <c r="OT415"/>
      <c r="OU415"/>
      <c r="OV415"/>
      <c r="OW415"/>
      <c r="OX415"/>
      <c r="OY415"/>
      <c r="OZ415"/>
      <c r="PA415"/>
      <c r="PB415"/>
      <c r="PC415"/>
      <c r="PD415"/>
      <c r="PE415"/>
      <c r="PF415"/>
      <c r="PG415"/>
      <c r="PH415"/>
      <c r="PI415"/>
      <c r="PJ415"/>
      <c r="PK415"/>
      <c r="PL415"/>
      <c r="PM415"/>
      <c r="PN415"/>
      <c r="PO415"/>
      <c r="PP415"/>
      <c r="PQ415"/>
      <c r="PR415"/>
      <c r="PS415"/>
      <c r="PT415"/>
      <c r="PU415"/>
      <c r="PV415"/>
      <c r="PW415"/>
      <c r="PX415"/>
      <c r="PY415"/>
      <c r="PZ415"/>
      <c r="QA415"/>
      <c r="QB415"/>
      <c r="QC415"/>
      <c r="QD415"/>
      <c r="QE415"/>
      <c r="QF415"/>
      <c r="QG415"/>
      <c r="QH415"/>
      <c r="QI415"/>
      <c r="QJ415"/>
      <c r="QK415"/>
      <c r="QL415"/>
      <c r="QM415"/>
      <c r="QN415"/>
      <c r="QO415"/>
      <c r="QP415"/>
      <c r="QQ415"/>
      <c r="QR415"/>
      <c r="QS415"/>
      <c r="QT415"/>
      <c r="QU415"/>
      <c r="QV415"/>
      <c r="QW415"/>
      <c r="QX415"/>
      <c r="QY415"/>
      <c r="QZ415"/>
      <c r="RA415"/>
      <c r="RB415"/>
      <c r="RC415"/>
      <c r="RD415"/>
      <c r="RE415"/>
      <c r="RF415"/>
      <c r="RG415"/>
      <c r="RH415"/>
      <c r="RI415"/>
      <c r="RJ415"/>
      <c r="RK415"/>
      <c r="RL415"/>
      <c r="RM415"/>
      <c r="RN415"/>
      <c r="RO415"/>
      <c r="RP415"/>
      <c r="RQ415"/>
      <c r="RR415"/>
      <c r="RS415"/>
      <c r="RT415"/>
      <c r="RU415"/>
    </row>
    <row r="416" spans="3:489" x14ac:dyDescent="0.25">
      <c r="C416"/>
      <c r="D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  <c r="HB416"/>
      <c r="HC416"/>
      <c r="HD416"/>
      <c r="HE416"/>
      <c r="HF416"/>
      <c r="HG416"/>
      <c r="HH416"/>
      <c r="HI416"/>
      <c r="HJ416"/>
      <c r="HK416"/>
      <c r="HL416"/>
      <c r="HM416"/>
      <c r="HN416"/>
      <c r="HO416"/>
      <c r="HP416"/>
      <c r="HQ416"/>
      <c r="HR416"/>
      <c r="HS416"/>
      <c r="HT416"/>
      <c r="HU416"/>
      <c r="HV416"/>
      <c r="HW416"/>
      <c r="HX416"/>
      <c r="HY416"/>
      <c r="HZ416"/>
      <c r="IA416"/>
      <c r="IB416"/>
      <c r="IC416"/>
      <c r="ID416"/>
      <c r="IE416"/>
      <c r="IF416"/>
      <c r="IG416"/>
      <c r="IH416"/>
      <c r="II416"/>
      <c r="IJ416"/>
      <c r="IK416"/>
      <c r="IL416"/>
      <c r="IM416"/>
      <c r="IN416"/>
      <c r="IO416"/>
      <c r="IP416"/>
      <c r="IQ416"/>
      <c r="IR416"/>
      <c r="IS416"/>
      <c r="IT416"/>
      <c r="IU416"/>
      <c r="IV416"/>
      <c r="IW416"/>
      <c r="IX416"/>
      <c r="IY416"/>
      <c r="IZ416"/>
      <c r="JA416"/>
      <c r="JB416"/>
      <c r="JC416"/>
      <c r="JD416"/>
      <c r="JE416"/>
      <c r="JF416"/>
      <c r="JG416"/>
      <c r="JH416"/>
      <c r="JI416"/>
      <c r="JJ416"/>
      <c r="JK416"/>
      <c r="JL416"/>
      <c r="JM416"/>
      <c r="JN416"/>
      <c r="JO416"/>
      <c r="JP416"/>
      <c r="JQ416"/>
      <c r="JR416"/>
      <c r="JS416"/>
      <c r="JT416"/>
      <c r="JU416"/>
      <c r="JV416"/>
      <c r="JW416"/>
      <c r="JX416"/>
      <c r="JY416"/>
      <c r="JZ416"/>
      <c r="KA416"/>
      <c r="KB416"/>
      <c r="KC416"/>
      <c r="KD416"/>
      <c r="KE416"/>
      <c r="KF416"/>
      <c r="KG416"/>
      <c r="KH416"/>
      <c r="KI416"/>
      <c r="KJ416"/>
      <c r="KK416"/>
      <c r="KL416"/>
      <c r="KM416"/>
      <c r="KN416"/>
      <c r="KO416"/>
      <c r="KP416"/>
      <c r="KQ416"/>
      <c r="KR416"/>
      <c r="KS416"/>
      <c r="KT416"/>
      <c r="KU416"/>
      <c r="KV416"/>
      <c r="KW416"/>
      <c r="KX416"/>
      <c r="KY416"/>
      <c r="KZ416"/>
      <c r="LA416"/>
      <c r="LB416"/>
      <c r="LC416"/>
      <c r="LD416"/>
      <c r="LE416"/>
      <c r="LF416"/>
      <c r="LG416"/>
      <c r="LH416"/>
      <c r="LI416"/>
      <c r="LJ416"/>
      <c r="LK416"/>
      <c r="LL416"/>
      <c r="LM416"/>
      <c r="LN416"/>
      <c r="LO416"/>
      <c r="LP416"/>
      <c r="LQ416"/>
      <c r="LR416"/>
      <c r="LS416"/>
      <c r="LT416"/>
      <c r="LU416"/>
      <c r="LV416"/>
      <c r="LW416"/>
      <c r="LX416"/>
      <c r="LY416"/>
      <c r="LZ416"/>
      <c r="MA416"/>
      <c r="MB416"/>
      <c r="MC416"/>
      <c r="MD416"/>
      <c r="ME416"/>
      <c r="MF416"/>
      <c r="MG416"/>
      <c r="MH416"/>
      <c r="MI416"/>
      <c r="MJ416"/>
      <c r="MK416"/>
      <c r="ML416"/>
      <c r="MM416"/>
      <c r="MN416"/>
      <c r="MO416"/>
      <c r="MP416"/>
      <c r="MQ416"/>
      <c r="MR416"/>
      <c r="MS416"/>
      <c r="MT416"/>
      <c r="MU416"/>
      <c r="MV416"/>
      <c r="MW416"/>
      <c r="MX416"/>
      <c r="MY416"/>
      <c r="MZ416"/>
      <c r="NA416"/>
      <c r="NB416"/>
      <c r="NC416"/>
      <c r="ND416"/>
      <c r="NE416"/>
      <c r="NF416"/>
      <c r="NG416"/>
      <c r="NH416"/>
      <c r="NI416"/>
      <c r="NJ416"/>
      <c r="NK416"/>
      <c r="NL416"/>
      <c r="NM416"/>
      <c r="NN416"/>
      <c r="NO416"/>
      <c r="NP416"/>
      <c r="NQ416"/>
      <c r="NR416"/>
      <c r="NS416"/>
      <c r="NT416"/>
      <c r="NU416"/>
      <c r="NV416"/>
      <c r="NW416"/>
      <c r="NX416"/>
      <c r="NY416"/>
      <c r="NZ416"/>
      <c r="OA416"/>
      <c r="OB416"/>
      <c r="OC416"/>
      <c r="OD416"/>
      <c r="OE416"/>
      <c r="OF416"/>
      <c r="OG416"/>
      <c r="OH416"/>
      <c r="OI416"/>
      <c r="OJ416"/>
      <c r="OK416"/>
      <c r="OL416"/>
      <c r="OM416"/>
      <c r="ON416"/>
      <c r="OO416"/>
      <c r="OP416"/>
      <c r="OQ416"/>
      <c r="OR416"/>
      <c r="OS416"/>
      <c r="OT416"/>
      <c r="OU416"/>
      <c r="OV416"/>
      <c r="OW416"/>
      <c r="OX416"/>
      <c r="OY416"/>
      <c r="OZ416"/>
      <c r="PA416"/>
      <c r="PB416"/>
      <c r="PC416"/>
      <c r="PD416"/>
      <c r="PE416"/>
      <c r="PF416"/>
      <c r="PG416"/>
      <c r="PH416"/>
      <c r="PI416"/>
      <c r="PJ416"/>
      <c r="PK416"/>
      <c r="PL416"/>
      <c r="PM416"/>
      <c r="PN416"/>
      <c r="PO416"/>
      <c r="PP416"/>
      <c r="PQ416"/>
      <c r="PR416"/>
      <c r="PS416"/>
      <c r="PT416"/>
      <c r="PU416"/>
      <c r="PV416"/>
      <c r="PW416"/>
      <c r="PX416"/>
      <c r="PY416"/>
      <c r="PZ416"/>
      <c r="QA416"/>
      <c r="QB416"/>
      <c r="QC416"/>
      <c r="QD416"/>
      <c r="QE416"/>
      <c r="QF416"/>
      <c r="QG416"/>
      <c r="QH416"/>
      <c r="QI416"/>
      <c r="QJ416"/>
      <c r="QK416"/>
      <c r="QL416"/>
      <c r="QM416"/>
      <c r="QN416"/>
      <c r="QO416"/>
      <c r="QP416"/>
      <c r="QQ416"/>
      <c r="QR416"/>
      <c r="QS416"/>
      <c r="QT416"/>
      <c r="QU416"/>
      <c r="QV416"/>
      <c r="QW416"/>
      <c r="QX416"/>
      <c r="QY416"/>
      <c r="QZ416"/>
      <c r="RA416"/>
      <c r="RB416"/>
      <c r="RC416"/>
      <c r="RD416"/>
      <c r="RE416"/>
      <c r="RF416"/>
      <c r="RG416"/>
      <c r="RH416"/>
      <c r="RI416"/>
      <c r="RJ416"/>
      <c r="RK416"/>
      <c r="RL416"/>
      <c r="RM416"/>
      <c r="RN416"/>
      <c r="RO416"/>
      <c r="RP416"/>
      <c r="RQ416"/>
      <c r="RR416"/>
      <c r="RS416"/>
      <c r="RT416"/>
      <c r="RU416"/>
    </row>
    <row r="417" spans="3:489" x14ac:dyDescent="0.25">
      <c r="C417"/>
      <c r="D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  <c r="HB417"/>
      <c r="HC417"/>
      <c r="HD417"/>
      <c r="HE417"/>
      <c r="HF417"/>
      <c r="HG417"/>
      <c r="HH417"/>
      <c r="HI417"/>
      <c r="HJ417"/>
      <c r="HK417"/>
      <c r="HL417"/>
      <c r="HM417"/>
      <c r="HN417"/>
      <c r="HO417"/>
      <c r="HP417"/>
      <c r="HQ417"/>
      <c r="HR417"/>
      <c r="HS417"/>
      <c r="HT417"/>
      <c r="HU417"/>
      <c r="HV417"/>
      <c r="HW417"/>
      <c r="HX417"/>
      <c r="HY417"/>
      <c r="HZ417"/>
      <c r="IA417"/>
      <c r="IB417"/>
      <c r="IC417"/>
      <c r="ID417"/>
      <c r="IE417"/>
      <c r="IF417"/>
      <c r="IG417"/>
      <c r="IH417"/>
      <c r="II417"/>
      <c r="IJ417"/>
      <c r="IK417"/>
      <c r="IL417"/>
      <c r="IM417"/>
      <c r="IN417"/>
      <c r="IO417"/>
      <c r="IP417"/>
      <c r="IQ417"/>
      <c r="IR417"/>
      <c r="IS417"/>
      <c r="IT417"/>
      <c r="IU417"/>
      <c r="IV417"/>
      <c r="IW417"/>
      <c r="IX417"/>
      <c r="IY417"/>
      <c r="IZ417"/>
      <c r="JA417"/>
      <c r="JB417"/>
      <c r="JC417"/>
      <c r="JD417"/>
      <c r="JE417"/>
      <c r="JF417"/>
      <c r="JG417"/>
      <c r="JH417"/>
      <c r="JI417"/>
      <c r="JJ417"/>
      <c r="JK417"/>
      <c r="JL417"/>
      <c r="JM417"/>
      <c r="JN417"/>
      <c r="JO417"/>
      <c r="JP417"/>
      <c r="JQ417"/>
      <c r="JR417"/>
      <c r="JS417"/>
      <c r="JT417"/>
      <c r="JU417"/>
      <c r="JV417"/>
      <c r="JW417"/>
      <c r="JX417"/>
      <c r="JY417"/>
      <c r="JZ417"/>
      <c r="KA417"/>
      <c r="KB417"/>
      <c r="KC417"/>
      <c r="KD417"/>
      <c r="KE417"/>
      <c r="KF417"/>
      <c r="KG417"/>
      <c r="KH417"/>
      <c r="KI417"/>
      <c r="KJ417"/>
      <c r="KK417"/>
      <c r="KL417"/>
      <c r="KM417"/>
      <c r="KN417"/>
      <c r="KO417"/>
      <c r="KP417"/>
      <c r="KQ417"/>
      <c r="KR417"/>
      <c r="KS417"/>
      <c r="KT417"/>
      <c r="KU417"/>
      <c r="KV417"/>
      <c r="KW417"/>
      <c r="KX417"/>
      <c r="KY417"/>
      <c r="KZ417"/>
      <c r="LA417"/>
      <c r="LB417"/>
      <c r="LC417"/>
      <c r="LD417"/>
      <c r="LE417"/>
      <c r="LF417"/>
      <c r="LG417"/>
      <c r="LH417"/>
      <c r="LI417"/>
      <c r="LJ417"/>
      <c r="LK417"/>
      <c r="LL417"/>
      <c r="LM417"/>
      <c r="LN417"/>
      <c r="LO417"/>
      <c r="LP417"/>
      <c r="LQ417"/>
      <c r="LR417"/>
      <c r="LS417"/>
      <c r="LT417"/>
      <c r="LU417"/>
      <c r="LV417"/>
      <c r="LW417"/>
      <c r="LX417"/>
      <c r="LY417"/>
      <c r="LZ417"/>
      <c r="MA417"/>
      <c r="MB417"/>
      <c r="MC417"/>
      <c r="MD417"/>
      <c r="ME417"/>
      <c r="MF417"/>
      <c r="MG417"/>
      <c r="MH417"/>
      <c r="MI417"/>
      <c r="MJ417"/>
      <c r="MK417"/>
      <c r="ML417"/>
      <c r="MM417"/>
      <c r="MN417"/>
      <c r="MO417"/>
      <c r="MP417"/>
      <c r="MQ417"/>
      <c r="MR417"/>
      <c r="MS417"/>
      <c r="MT417"/>
      <c r="MU417"/>
      <c r="MV417"/>
      <c r="MW417"/>
      <c r="MX417"/>
      <c r="MY417"/>
      <c r="MZ417"/>
      <c r="NA417"/>
      <c r="NB417"/>
      <c r="NC417"/>
      <c r="ND417"/>
      <c r="NE417"/>
      <c r="NF417"/>
      <c r="NG417"/>
      <c r="NH417"/>
      <c r="NI417"/>
      <c r="NJ417"/>
      <c r="NK417"/>
      <c r="NL417"/>
      <c r="NM417"/>
      <c r="NN417"/>
      <c r="NO417"/>
      <c r="NP417"/>
      <c r="NQ417"/>
      <c r="NR417"/>
      <c r="NS417"/>
      <c r="NT417"/>
      <c r="NU417"/>
      <c r="NV417"/>
      <c r="NW417"/>
      <c r="NX417"/>
      <c r="NY417"/>
      <c r="NZ417"/>
      <c r="OA417"/>
      <c r="OB417"/>
      <c r="OC417"/>
      <c r="OD417"/>
      <c r="OE417"/>
      <c r="OF417"/>
      <c r="OG417"/>
      <c r="OH417"/>
      <c r="OI417"/>
      <c r="OJ417"/>
      <c r="OK417"/>
      <c r="OL417"/>
      <c r="OM417"/>
      <c r="ON417"/>
      <c r="OO417"/>
      <c r="OP417"/>
      <c r="OQ417"/>
      <c r="OR417"/>
      <c r="OS417"/>
      <c r="OT417"/>
      <c r="OU417"/>
      <c r="OV417"/>
      <c r="OW417"/>
      <c r="OX417"/>
      <c r="OY417"/>
      <c r="OZ417"/>
      <c r="PA417"/>
      <c r="PB417"/>
      <c r="PC417"/>
      <c r="PD417"/>
      <c r="PE417"/>
      <c r="PF417"/>
      <c r="PG417"/>
      <c r="PH417"/>
      <c r="PI417"/>
      <c r="PJ417"/>
      <c r="PK417"/>
      <c r="PL417"/>
      <c r="PM417"/>
      <c r="PN417"/>
      <c r="PO417"/>
      <c r="PP417"/>
      <c r="PQ417"/>
      <c r="PR417"/>
      <c r="PS417"/>
      <c r="PT417"/>
      <c r="PU417"/>
      <c r="PV417"/>
      <c r="PW417"/>
      <c r="PX417"/>
      <c r="PY417"/>
      <c r="PZ417"/>
      <c r="QA417"/>
      <c r="QB417"/>
      <c r="QC417"/>
      <c r="QD417"/>
      <c r="QE417"/>
      <c r="QF417"/>
      <c r="QG417"/>
      <c r="QH417"/>
      <c r="QI417"/>
      <c r="QJ417"/>
      <c r="QK417"/>
      <c r="QL417"/>
      <c r="QM417"/>
      <c r="QN417"/>
      <c r="QO417"/>
      <c r="QP417"/>
      <c r="QQ417"/>
      <c r="QR417"/>
      <c r="QS417"/>
      <c r="QT417"/>
      <c r="QU417"/>
      <c r="QV417"/>
      <c r="QW417"/>
      <c r="QX417"/>
      <c r="QY417"/>
      <c r="QZ417"/>
      <c r="RA417"/>
      <c r="RB417"/>
      <c r="RC417"/>
      <c r="RD417"/>
      <c r="RE417"/>
      <c r="RF417"/>
      <c r="RG417"/>
      <c r="RH417"/>
      <c r="RI417"/>
      <c r="RJ417"/>
      <c r="RK417"/>
      <c r="RL417"/>
      <c r="RM417"/>
      <c r="RN417"/>
      <c r="RO417"/>
      <c r="RP417"/>
      <c r="RQ417"/>
      <c r="RR417"/>
      <c r="RS417"/>
      <c r="RT417"/>
      <c r="RU417"/>
    </row>
    <row r="418" spans="3:489" x14ac:dyDescent="0.25">
      <c r="C418"/>
      <c r="D418"/>
    </row>
    <row r="419" spans="3:489" x14ac:dyDescent="0.25">
      <c r="C419"/>
      <c r="D419"/>
    </row>
    <row r="420" spans="3:489" x14ac:dyDescent="0.25">
      <c r="C420"/>
      <c r="D420"/>
    </row>
    <row r="421" spans="3:489" x14ac:dyDescent="0.25">
      <c r="C421"/>
      <c r="D421"/>
    </row>
    <row r="422" spans="3:489" x14ac:dyDescent="0.25">
      <c r="C422"/>
      <c r="D422"/>
    </row>
    <row r="423" spans="3:489" x14ac:dyDescent="0.25">
      <c r="C423"/>
      <c r="D423"/>
    </row>
    <row r="424" spans="3:489" x14ac:dyDescent="0.25">
      <c r="C424"/>
      <c r="D424"/>
    </row>
    <row r="425" spans="3:489" x14ac:dyDescent="0.25">
      <c r="C425"/>
      <c r="D425"/>
    </row>
    <row r="426" spans="3:489" x14ac:dyDescent="0.25">
      <c r="C426"/>
      <c r="D426"/>
    </row>
    <row r="427" spans="3:489" x14ac:dyDescent="0.25">
      <c r="C427"/>
      <c r="D427"/>
    </row>
    <row r="428" spans="3:489" x14ac:dyDescent="0.25">
      <c r="C428"/>
      <c r="D428"/>
    </row>
    <row r="429" spans="3:489" x14ac:dyDescent="0.25">
      <c r="C429"/>
      <c r="D429"/>
    </row>
    <row r="430" spans="3:489" x14ac:dyDescent="0.25">
      <c r="C430"/>
      <c r="D430"/>
    </row>
    <row r="431" spans="3:489" x14ac:dyDescent="0.25">
      <c r="C431"/>
      <c r="D431"/>
    </row>
    <row r="432" spans="3:489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862" spans="3:4" x14ac:dyDescent="0.25">
      <c r="C862"/>
      <c r="D862"/>
    </row>
    <row r="863" spans="3:4" x14ac:dyDescent="0.25">
      <c r="C863"/>
      <c r="D863"/>
    </row>
    <row r="864" spans="3:4" x14ac:dyDescent="0.25">
      <c r="C864"/>
      <c r="D864"/>
    </row>
    <row r="865" spans="3:4" x14ac:dyDescent="0.25">
      <c r="C865"/>
      <c r="D865"/>
    </row>
    <row r="866" spans="3:4" x14ac:dyDescent="0.25">
      <c r="C866"/>
      <c r="D866"/>
    </row>
    <row r="867" spans="3:4" x14ac:dyDescent="0.25">
      <c r="C867"/>
      <c r="D867"/>
    </row>
    <row r="868" spans="3:4" x14ac:dyDescent="0.25">
      <c r="C868"/>
      <c r="D868"/>
    </row>
    <row r="869" spans="3:4" x14ac:dyDescent="0.25">
      <c r="C869"/>
      <c r="D869"/>
    </row>
    <row r="870" spans="3:4" x14ac:dyDescent="0.25">
      <c r="C870"/>
      <c r="D870"/>
    </row>
    <row r="871" spans="3:4" x14ac:dyDescent="0.25">
      <c r="C871"/>
      <c r="D871"/>
    </row>
    <row r="872" spans="3:4" x14ac:dyDescent="0.25">
      <c r="C872"/>
      <c r="D872"/>
    </row>
    <row r="873" spans="3:4" x14ac:dyDescent="0.25">
      <c r="C873"/>
      <c r="D873"/>
    </row>
    <row r="874" spans="3:4" x14ac:dyDescent="0.25">
      <c r="C874"/>
      <c r="D874"/>
    </row>
    <row r="875" spans="3:4" x14ac:dyDescent="0.25">
      <c r="C875"/>
      <c r="D875"/>
    </row>
    <row r="876" spans="3:4" x14ac:dyDescent="0.25">
      <c r="C876"/>
      <c r="D876"/>
    </row>
    <row r="877" spans="3:4" x14ac:dyDescent="0.25">
      <c r="C877"/>
      <c r="D877"/>
    </row>
    <row r="878" spans="3:4" x14ac:dyDescent="0.25">
      <c r="C878"/>
      <c r="D878"/>
    </row>
    <row r="879" spans="3:4" x14ac:dyDescent="0.25">
      <c r="C879"/>
      <c r="D879"/>
    </row>
    <row r="880" spans="3:4" x14ac:dyDescent="0.25">
      <c r="C880"/>
      <c r="D880"/>
    </row>
    <row r="881" spans="3:4" x14ac:dyDescent="0.25">
      <c r="C881"/>
      <c r="D881"/>
    </row>
    <row r="882" spans="3:4" x14ac:dyDescent="0.25">
      <c r="C882"/>
      <c r="D882"/>
    </row>
    <row r="883" spans="3:4" x14ac:dyDescent="0.25">
      <c r="C883"/>
      <c r="D883"/>
    </row>
    <row r="884" spans="3:4" x14ac:dyDescent="0.25">
      <c r="C884"/>
      <c r="D884"/>
    </row>
    <row r="885" spans="3:4" x14ac:dyDescent="0.25">
      <c r="C885"/>
      <c r="D885"/>
    </row>
    <row r="886" spans="3:4" x14ac:dyDescent="0.25">
      <c r="C886"/>
      <c r="D886"/>
    </row>
    <row r="887" spans="3:4" x14ac:dyDescent="0.25">
      <c r="C887"/>
      <c r="D887"/>
    </row>
    <row r="888" spans="3:4" x14ac:dyDescent="0.25">
      <c r="C888"/>
      <c r="D888"/>
    </row>
    <row r="889" spans="3:4" x14ac:dyDescent="0.25">
      <c r="C889"/>
      <c r="D889"/>
    </row>
    <row r="890" spans="3:4" x14ac:dyDescent="0.25">
      <c r="C890"/>
      <c r="D890"/>
    </row>
    <row r="891" spans="3:4" x14ac:dyDescent="0.25">
      <c r="C891"/>
      <c r="D891"/>
    </row>
    <row r="892" spans="3:4" x14ac:dyDescent="0.25">
      <c r="C892"/>
      <c r="D892"/>
    </row>
    <row r="893" spans="3:4" x14ac:dyDescent="0.25">
      <c r="C893"/>
      <c r="D893"/>
    </row>
    <row r="894" spans="3:4" x14ac:dyDescent="0.25">
      <c r="C894"/>
      <c r="D894"/>
    </row>
    <row r="895" spans="3:4" x14ac:dyDescent="0.25">
      <c r="C895"/>
      <c r="D895"/>
    </row>
    <row r="896" spans="3:4" x14ac:dyDescent="0.25">
      <c r="C896"/>
      <c r="D896"/>
    </row>
    <row r="897" spans="3:4" x14ac:dyDescent="0.25">
      <c r="C897"/>
      <c r="D897"/>
    </row>
    <row r="898" spans="3:4" x14ac:dyDescent="0.25">
      <c r="C898"/>
      <c r="D898"/>
    </row>
    <row r="899" spans="3:4" x14ac:dyDescent="0.25">
      <c r="C899"/>
      <c r="D899"/>
    </row>
    <row r="900" spans="3:4" x14ac:dyDescent="0.25">
      <c r="C900"/>
      <c r="D900"/>
    </row>
    <row r="901" spans="3:4" x14ac:dyDescent="0.25">
      <c r="C901"/>
      <c r="D901"/>
    </row>
    <row r="902" spans="3:4" x14ac:dyDescent="0.25">
      <c r="C902"/>
      <c r="D902"/>
    </row>
    <row r="903" spans="3:4" x14ac:dyDescent="0.25">
      <c r="C903"/>
      <c r="D903"/>
    </row>
    <row r="904" spans="3:4" x14ac:dyDescent="0.25">
      <c r="C904"/>
      <c r="D904"/>
    </row>
    <row r="905" spans="3:4" x14ac:dyDescent="0.25">
      <c r="C905"/>
      <c r="D905"/>
    </row>
    <row r="906" spans="3:4" x14ac:dyDescent="0.25">
      <c r="C906"/>
      <c r="D906"/>
    </row>
    <row r="907" spans="3:4" x14ac:dyDescent="0.25">
      <c r="C907"/>
      <c r="D907"/>
    </row>
    <row r="908" spans="3:4" x14ac:dyDescent="0.25">
      <c r="C908"/>
      <c r="D908"/>
    </row>
    <row r="909" spans="3:4" x14ac:dyDescent="0.25">
      <c r="C909"/>
      <c r="D909"/>
    </row>
    <row r="910" spans="3:4" x14ac:dyDescent="0.25">
      <c r="C910"/>
      <c r="D910"/>
    </row>
    <row r="911" spans="3:4" x14ac:dyDescent="0.25">
      <c r="C911"/>
      <c r="D911"/>
    </row>
    <row r="912" spans="3:4" x14ac:dyDescent="0.25">
      <c r="C912"/>
      <c r="D912"/>
    </row>
    <row r="913" spans="3:4" x14ac:dyDescent="0.25">
      <c r="C913"/>
      <c r="D913"/>
    </row>
    <row r="914" spans="3:4" x14ac:dyDescent="0.25">
      <c r="C914"/>
      <c r="D914"/>
    </row>
    <row r="915" spans="3:4" x14ac:dyDescent="0.25">
      <c r="C915"/>
      <c r="D915"/>
    </row>
    <row r="916" spans="3:4" x14ac:dyDescent="0.25">
      <c r="C916"/>
      <c r="D916"/>
    </row>
    <row r="917" spans="3:4" x14ac:dyDescent="0.25">
      <c r="C917"/>
      <c r="D917"/>
    </row>
    <row r="918" spans="3:4" x14ac:dyDescent="0.25">
      <c r="C918"/>
      <c r="D918"/>
    </row>
    <row r="919" spans="3:4" x14ac:dyDescent="0.25">
      <c r="C919"/>
      <c r="D919"/>
    </row>
    <row r="920" spans="3:4" x14ac:dyDescent="0.25">
      <c r="C920"/>
      <c r="D920"/>
    </row>
    <row r="921" spans="3:4" x14ac:dyDescent="0.25">
      <c r="C921"/>
      <c r="D921"/>
    </row>
    <row r="922" spans="3:4" x14ac:dyDescent="0.25">
      <c r="C922"/>
      <c r="D922"/>
    </row>
    <row r="923" spans="3:4" x14ac:dyDescent="0.25">
      <c r="C923"/>
      <c r="D923"/>
    </row>
    <row r="924" spans="3:4" x14ac:dyDescent="0.25">
      <c r="C924"/>
      <c r="D924"/>
    </row>
    <row r="925" spans="3:4" x14ac:dyDescent="0.25">
      <c r="C925"/>
      <c r="D925"/>
    </row>
    <row r="926" spans="3:4" x14ac:dyDescent="0.25">
      <c r="C926"/>
      <c r="D926"/>
    </row>
    <row r="927" spans="3:4" x14ac:dyDescent="0.25">
      <c r="C927"/>
      <c r="D927"/>
    </row>
    <row r="928" spans="3:4" x14ac:dyDescent="0.25">
      <c r="C928"/>
      <c r="D928"/>
    </row>
    <row r="929" spans="3:4" x14ac:dyDescent="0.25">
      <c r="C929"/>
      <c r="D929"/>
    </row>
    <row r="930" spans="3:4" x14ac:dyDescent="0.25">
      <c r="C930"/>
      <c r="D930"/>
    </row>
    <row r="931" spans="3:4" x14ac:dyDescent="0.25">
      <c r="C931"/>
      <c r="D931"/>
    </row>
    <row r="932" spans="3:4" x14ac:dyDescent="0.25">
      <c r="C932"/>
      <c r="D932"/>
    </row>
    <row r="933" spans="3:4" x14ac:dyDescent="0.25">
      <c r="C933"/>
      <c r="D933"/>
    </row>
    <row r="934" spans="3:4" x14ac:dyDescent="0.25">
      <c r="C934"/>
      <c r="D934"/>
    </row>
    <row r="935" spans="3:4" x14ac:dyDescent="0.25">
      <c r="C935"/>
      <c r="D935"/>
    </row>
    <row r="936" spans="3:4" x14ac:dyDescent="0.25">
      <c r="C936"/>
      <c r="D936"/>
    </row>
    <row r="937" spans="3:4" x14ac:dyDescent="0.25">
      <c r="C937"/>
      <c r="D937"/>
    </row>
    <row r="938" spans="3:4" x14ac:dyDescent="0.25">
      <c r="C938"/>
      <c r="D938"/>
    </row>
    <row r="939" spans="3:4" x14ac:dyDescent="0.25">
      <c r="C939"/>
      <c r="D939"/>
    </row>
    <row r="940" spans="3:4" x14ac:dyDescent="0.25">
      <c r="C940"/>
      <c r="D940"/>
    </row>
    <row r="941" spans="3:4" x14ac:dyDescent="0.25">
      <c r="C941"/>
      <c r="D941"/>
    </row>
    <row r="942" spans="3:4" x14ac:dyDescent="0.25">
      <c r="C942"/>
      <c r="D942"/>
    </row>
    <row r="943" spans="3:4" x14ac:dyDescent="0.25">
      <c r="C943"/>
      <c r="D943"/>
    </row>
    <row r="944" spans="3:4" x14ac:dyDescent="0.25">
      <c r="C944"/>
      <c r="D944"/>
    </row>
    <row r="945" spans="3:4" x14ac:dyDescent="0.25">
      <c r="C945"/>
      <c r="D945"/>
    </row>
    <row r="946" spans="3:4" x14ac:dyDescent="0.25">
      <c r="C946"/>
      <c r="D946"/>
    </row>
    <row r="947" spans="3:4" x14ac:dyDescent="0.25">
      <c r="C947"/>
      <c r="D947"/>
    </row>
    <row r="948" spans="3:4" x14ac:dyDescent="0.25">
      <c r="C948"/>
      <c r="D948"/>
    </row>
    <row r="949" spans="3:4" x14ac:dyDescent="0.25">
      <c r="C949"/>
      <c r="D949"/>
    </row>
    <row r="950" spans="3:4" x14ac:dyDescent="0.25">
      <c r="C950"/>
      <c r="D950"/>
    </row>
    <row r="951" spans="3:4" x14ac:dyDescent="0.25">
      <c r="C951"/>
      <c r="D951"/>
    </row>
    <row r="952" spans="3:4" x14ac:dyDescent="0.25">
      <c r="C952"/>
      <c r="D952"/>
    </row>
    <row r="953" spans="3:4" x14ac:dyDescent="0.25">
      <c r="C953"/>
      <c r="D953"/>
    </row>
    <row r="954" spans="3:4" x14ac:dyDescent="0.25">
      <c r="C954"/>
      <c r="D954"/>
    </row>
    <row r="955" spans="3:4" x14ac:dyDescent="0.25">
      <c r="C955"/>
      <c r="D955"/>
    </row>
    <row r="956" spans="3:4" x14ac:dyDescent="0.25">
      <c r="C956"/>
      <c r="D956"/>
    </row>
    <row r="957" spans="3:4" x14ac:dyDescent="0.25">
      <c r="C957"/>
      <c r="D957"/>
    </row>
    <row r="958" spans="3:4" x14ac:dyDescent="0.25">
      <c r="C958"/>
      <c r="D958"/>
    </row>
    <row r="959" spans="3:4" x14ac:dyDescent="0.25">
      <c r="C959"/>
      <c r="D959"/>
    </row>
    <row r="960" spans="3:4" x14ac:dyDescent="0.25">
      <c r="C960"/>
      <c r="D960"/>
    </row>
    <row r="961" spans="3:4" x14ac:dyDescent="0.25">
      <c r="C961"/>
      <c r="D961"/>
    </row>
    <row r="962" spans="3:4" x14ac:dyDescent="0.25">
      <c r="C962"/>
      <c r="D962"/>
    </row>
    <row r="963" spans="3:4" x14ac:dyDescent="0.25">
      <c r="C963"/>
      <c r="D963"/>
    </row>
    <row r="964" spans="3:4" x14ac:dyDescent="0.25">
      <c r="C964"/>
      <c r="D964"/>
    </row>
    <row r="965" spans="3:4" x14ac:dyDescent="0.25">
      <c r="C965"/>
      <c r="D965"/>
    </row>
    <row r="966" spans="3:4" x14ac:dyDescent="0.25">
      <c r="C966"/>
      <c r="D966"/>
    </row>
    <row r="967" spans="3:4" x14ac:dyDescent="0.25">
      <c r="C967"/>
      <c r="D967"/>
    </row>
    <row r="968" spans="3:4" x14ac:dyDescent="0.25">
      <c r="C968"/>
      <c r="D968"/>
    </row>
    <row r="969" spans="3:4" x14ac:dyDescent="0.25">
      <c r="C969"/>
      <c r="D969"/>
    </row>
    <row r="970" spans="3:4" x14ac:dyDescent="0.25">
      <c r="C970"/>
      <c r="D970"/>
    </row>
    <row r="971" spans="3:4" x14ac:dyDescent="0.25">
      <c r="C971"/>
      <c r="D971"/>
    </row>
    <row r="972" spans="3:4" x14ac:dyDescent="0.25">
      <c r="C972"/>
      <c r="D972"/>
    </row>
    <row r="973" spans="3:4" x14ac:dyDescent="0.25">
      <c r="C973"/>
      <c r="D973"/>
    </row>
    <row r="974" spans="3:4" x14ac:dyDescent="0.25">
      <c r="C974"/>
      <c r="D974"/>
    </row>
    <row r="975" spans="3:4" x14ac:dyDescent="0.25">
      <c r="C975"/>
      <c r="D975"/>
    </row>
    <row r="976" spans="3:4" x14ac:dyDescent="0.25">
      <c r="C976"/>
      <c r="D976"/>
    </row>
    <row r="977" spans="3:4" x14ac:dyDescent="0.25">
      <c r="C977"/>
      <c r="D977"/>
    </row>
    <row r="978" spans="3:4" x14ac:dyDescent="0.25">
      <c r="C978"/>
      <c r="D978"/>
    </row>
    <row r="979" spans="3:4" x14ac:dyDescent="0.25">
      <c r="C979"/>
      <c r="D979"/>
    </row>
    <row r="980" spans="3:4" x14ac:dyDescent="0.25">
      <c r="C980"/>
      <c r="D980"/>
    </row>
    <row r="981" spans="3:4" x14ac:dyDescent="0.25">
      <c r="C981"/>
      <c r="D981"/>
    </row>
    <row r="982" spans="3:4" x14ac:dyDescent="0.25">
      <c r="C982"/>
      <c r="D982"/>
    </row>
    <row r="983" spans="3:4" x14ac:dyDescent="0.25">
      <c r="C983"/>
      <c r="D983"/>
    </row>
    <row r="984" spans="3:4" x14ac:dyDescent="0.25">
      <c r="C984"/>
      <c r="D984"/>
    </row>
    <row r="985" spans="3:4" x14ac:dyDescent="0.25">
      <c r="C985"/>
      <c r="D985"/>
    </row>
    <row r="986" spans="3:4" x14ac:dyDescent="0.25">
      <c r="C986"/>
      <c r="D986"/>
    </row>
    <row r="987" spans="3:4" x14ac:dyDescent="0.25">
      <c r="C987"/>
      <c r="D987"/>
    </row>
    <row r="988" spans="3:4" x14ac:dyDescent="0.25">
      <c r="C988"/>
      <c r="D988"/>
    </row>
    <row r="989" spans="3:4" x14ac:dyDescent="0.25">
      <c r="C989"/>
      <c r="D989"/>
    </row>
    <row r="990" spans="3:4" x14ac:dyDescent="0.25">
      <c r="C990"/>
      <c r="D990"/>
    </row>
    <row r="991" spans="3:4" x14ac:dyDescent="0.25">
      <c r="C991"/>
      <c r="D991"/>
    </row>
    <row r="992" spans="3:4" x14ac:dyDescent="0.25">
      <c r="C992"/>
      <c r="D992"/>
    </row>
    <row r="993" spans="3:4" x14ac:dyDescent="0.25">
      <c r="C993"/>
      <c r="D993"/>
    </row>
    <row r="994" spans="3:4" x14ac:dyDescent="0.25">
      <c r="C994"/>
      <c r="D994"/>
    </row>
    <row r="995" spans="3:4" x14ac:dyDescent="0.25">
      <c r="C995"/>
      <c r="D995"/>
    </row>
    <row r="996" spans="3:4" x14ac:dyDescent="0.25">
      <c r="C996"/>
      <c r="D996"/>
    </row>
    <row r="997" spans="3:4" x14ac:dyDescent="0.25">
      <c r="C997"/>
      <c r="D997"/>
    </row>
    <row r="998" spans="3:4" x14ac:dyDescent="0.25">
      <c r="C998"/>
      <c r="D998"/>
    </row>
    <row r="999" spans="3:4" x14ac:dyDescent="0.25">
      <c r="C999"/>
      <c r="D999"/>
    </row>
    <row r="1000" spans="3:4" x14ac:dyDescent="0.25">
      <c r="C1000"/>
      <c r="D1000"/>
    </row>
    <row r="1001" spans="3:4" x14ac:dyDescent="0.25">
      <c r="C1001"/>
      <c r="D1001"/>
    </row>
    <row r="1002" spans="3:4" x14ac:dyDescent="0.25">
      <c r="C1002"/>
      <c r="D1002"/>
    </row>
    <row r="1003" spans="3:4" x14ac:dyDescent="0.25">
      <c r="C1003"/>
      <c r="D1003"/>
    </row>
    <row r="1004" spans="3:4" x14ac:dyDescent="0.25">
      <c r="C1004"/>
      <c r="D1004"/>
    </row>
    <row r="1005" spans="3:4" x14ac:dyDescent="0.25">
      <c r="C1005"/>
      <c r="D1005"/>
    </row>
    <row r="1006" spans="3:4" x14ac:dyDescent="0.25">
      <c r="C1006"/>
      <c r="D1006"/>
    </row>
    <row r="1007" spans="3:4" x14ac:dyDescent="0.25">
      <c r="C1007"/>
      <c r="D1007"/>
    </row>
    <row r="1008" spans="3:4" x14ac:dyDescent="0.25">
      <c r="C1008"/>
      <c r="D1008"/>
    </row>
    <row r="1009" spans="3:4" x14ac:dyDescent="0.25">
      <c r="C1009"/>
      <c r="D1009"/>
    </row>
    <row r="1010" spans="3:4" x14ac:dyDescent="0.25">
      <c r="C1010"/>
      <c r="D1010"/>
    </row>
    <row r="1011" spans="3:4" x14ac:dyDescent="0.25">
      <c r="C1011"/>
      <c r="D1011"/>
    </row>
    <row r="1012" spans="3:4" x14ac:dyDescent="0.25">
      <c r="C1012"/>
      <c r="D1012"/>
    </row>
    <row r="1013" spans="3:4" x14ac:dyDescent="0.25">
      <c r="C1013"/>
      <c r="D1013"/>
    </row>
    <row r="1014" spans="3:4" x14ac:dyDescent="0.25">
      <c r="C1014"/>
      <c r="D1014"/>
    </row>
    <row r="1015" spans="3:4" x14ac:dyDescent="0.25">
      <c r="C1015"/>
      <c r="D1015"/>
    </row>
    <row r="1016" spans="3:4" x14ac:dyDescent="0.25">
      <c r="C1016"/>
      <c r="D1016"/>
    </row>
    <row r="1017" spans="3:4" x14ac:dyDescent="0.25">
      <c r="C1017"/>
      <c r="D1017"/>
    </row>
    <row r="1018" spans="3:4" x14ac:dyDescent="0.25">
      <c r="C1018"/>
      <c r="D1018"/>
    </row>
    <row r="1019" spans="3:4" x14ac:dyDescent="0.25">
      <c r="C1019"/>
      <c r="D1019"/>
    </row>
    <row r="1020" spans="3:4" x14ac:dyDescent="0.25">
      <c r="C1020"/>
      <c r="D1020"/>
    </row>
    <row r="1021" spans="3:4" x14ac:dyDescent="0.25">
      <c r="C1021"/>
      <c r="D1021"/>
    </row>
    <row r="1022" spans="3:4" x14ac:dyDescent="0.25">
      <c r="C1022"/>
      <c r="D1022"/>
    </row>
    <row r="1023" spans="3:4" x14ac:dyDescent="0.25">
      <c r="C1023"/>
      <c r="D1023"/>
    </row>
    <row r="1024" spans="3:4" x14ac:dyDescent="0.25">
      <c r="C1024"/>
      <c r="D1024"/>
    </row>
    <row r="1025" spans="3:4" x14ac:dyDescent="0.25">
      <c r="C1025"/>
      <c r="D1025"/>
    </row>
    <row r="1026" spans="3:4" x14ac:dyDescent="0.25">
      <c r="C1026"/>
      <c r="D1026"/>
    </row>
    <row r="1027" spans="3:4" x14ac:dyDescent="0.25">
      <c r="C1027"/>
      <c r="D1027"/>
    </row>
    <row r="1028" spans="3:4" x14ac:dyDescent="0.25">
      <c r="C1028"/>
      <c r="D1028"/>
    </row>
    <row r="1029" spans="3:4" x14ac:dyDescent="0.25">
      <c r="C1029"/>
      <c r="D1029"/>
    </row>
    <row r="1030" spans="3:4" x14ac:dyDescent="0.25">
      <c r="C1030"/>
      <c r="D1030"/>
    </row>
    <row r="1031" spans="3:4" x14ac:dyDescent="0.25">
      <c r="C1031"/>
      <c r="D1031"/>
    </row>
    <row r="1032" spans="3:4" x14ac:dyDescent="0.25">
      <c r="C1032"/>
      <c r="D1032"/>
    </row>
    <row r="1033" spans="3:4" x14ac:dyDescent="0.25">
      <c r="C1033"/>
      <c r="D1033"/>
    </row>
    <row r="1034" spans="3:4" x14ac:dyDescent="0.25">
      <c r="C1034"/>
      <c r="D1034"/>
    </row>
    <row r="1035" spans="3:4" x14ac:dyDescent="0.25">
      <c r="C1035"/>
      <c r="D1035"/>
    </row>
    <row r="1036" spans="3:4" x14ac:dyDescent="0.25">
      <c r="C1036"/>
      <c r="D1036"/>
    </row>
    <row r="1037" spans="3:4" x14ac:dyDescent="0.25">
      <c r="C1037"/>
      <c r="D1037"/>
    </row>
    <row r="1038" spans="3:4" x14ac:dyDescent="0.25">
      <c r="C1038"/>
      <c r="D1038"/>
    </row>
    <row r="1039" spans="3:4" x14ac:dyDescent="0.25">
      <c r="C1039"/>
      <c r="D1039"/>
    </row>
    <row r="1040" spans="3:4" x14ac:dyDescent="0.25">
      <c r="C1040"/>
      <c r="D1040"/>
    </row>
    <row r="1041" spans="3:4" x14ac:dyDescent="0.25">
      <c r="C1041"/>
      <c r="D1041"/>
    </row>
    <row r="1042" spans="3:4" x14ac:dyDescent="0.25">
      <c r="C1042"/>
      <c r="D1042"/>
    </row>
    <row r="1043" spans="3:4" x14ac:dyDescent="0.25">
      <c r="C1043"/>
      <c r="D1043"/>
    </row>
    <row r="1044" spans="3:4" x14ac:dyDescent="0.25">
      <c r="C1044"/>
      <c r="D1044"/>
    </row>
    <row r="1045" spans="3:4" x14ac:dyDescent="0.25">
      <c r="C1045"/>
      <c r="D1045"/>
    </row>
    <row r="1046" spans="3:4" x14ac:dyDescent="0.25">
      <c r="C1046"/>
      <c r="D1046"/>
    </row>
    <row r="1047" spans="3:4" x14ac:dyDescent="0.25">
      <c r="C1047"/>
      <c r="D1047"/>
    </row>
    <row r="1048" spans="3:4" x14ac:dyDescent="0.25">
      <c r="C1048"/>
      <c r="D1048"/>
    </row>
    <row r="1049" spans="3:4" x14ac:dyDescent="0.25">
      <c r="C1049"/>
      <c r="D1049"/>
    </row>
    <row r="1050" spans="3:4" x14ac:dyDescent="0.25">
      <c r="C1050"/>
      <c r="D1050"/>
    </row>
    <row r="1051" spans="3:4" x14ac:dyDescent="0.25">
      <c r="C1051"/>
      <c r="D1051"/>
    </row>
    <row r="1052" spans="3:4" x14ac:dyDescent="0.25">
      <c r="C1052"/>
      <c r="D1052"/>
    </row>
    <row r="1053" spans="3:4" x14ac:dyDescent="0.25">
      <c r="C1053"/>
      <c r="D1053"/>
    </row>
    <row r="1054" spans="3:4" x14ac:dyDescent="0.25">
      <c r="C1054"/>
      <c r="D1054"/>
    </row>
    <row r="1055" spans="3:4" x14ac:dyDescent="0.25">
      <c r="C1055"/>
      <c r="D1055"/>
    </row>
    <row r="1056" spans="3:4" x14ac:dyDescent="0.25">
      <c r="C1056"/>
      <c r="D1056"/>
    </row>
    <row r="1057" spans="3:4" x14ac:dyDescent="0.25">
      <c r="C1057"/>
      <c r="D1057"/>
    </row>
    <row r="1058" spans="3:4" x14ac:dyDescent="0.25">
      <c r="C1058"/>
      <c r="D1058"/>
    </row>
    <row r="1059" spans="3:4" x14ac:dyDescent="0.25">
      <c r="C1059"/>
      <c r="D1059"/>
    </row>
    <row r="1060" spans="3:4" x14ac:dyDescent="0.25">
      <c r="C1060"/>
      <c r="D1060"/>
    </row>
    <row r="1061" spans="3:4" x14ac:dyDescent="0.25">
      <c r="C1061"/>
      <c r="D1061"/>
    </row>
    <row r="1062" spans="3:4" x14ac:dyDescent="0.25">
      <c r="C1062"/>
      <c r="D1062"/>
    </row>
    <row r="1063" spans="3:4" x14ac:dyDescent="0.25">
      <c r="C1063"/>
      <c r="D1063"/>
    </row>
    <row r="1064" spans="3:4" x14ac:dyDescent="0.25">
      <c r="C1064"/>
      <c r="D1064"/>
    </row>
    <row r="1065" spans="3:4" x14ac:dyDescent="0.25">
      <c r="C1065"/>
      <c r="D1065"/>
    </row>
    <row r="1066" spans="3:4" x14ac:dyDescent="0.25">
      <c r="C1066"/>
      <c r="D1066"/>
    </row>
    <row r="1067" spans="3:4" x14ac:dyDescent="0.25">
      <c r="C1067"/>
      <c r="D1067"/>
    </row>
    <row r="1068" spans="3:4" x14ac:dyDescent="0.25">
      <c r="C1068"/>
      <c r="D1068"/>
    </row>
    <row r="1069" spans="3:4" x14ac:dyDescent="0.25">
      <c r="C1069"/>
      <c r="D1069"/>
    </row>
    <row r="1070" spans="3:4" x14ac:dyDescent="0.25">
      <c r="C1070"/>
      <c r="D1070"/>
    </row>
    <row r="1071" spans="3:4" x14ac:dyDescent="0.25">
      <c r="C1071"/>
      <c r="D1071"/>
    </row>
    <row r="1072" spans="3:4" x14ac:dyDescent="0.25">
      <c r="C1072"/>
      <c r="D1072"/>
    </row>
    <row r="1073" spans="3:4" x14ac:dyDescent="0.25">
      <c r="C1073"/>
      <c r="D1073"/>
    </row>
    <row r="1074" spans="3:4" x14ac:dyDescent="0.25">
      <c r="C1074"/>
      <c r="D1074"/>
    </row>
    <row r="1075" spans="3:4" x14ac:dyDescent="0.25">
      <c r="C1075"/>
      <c r="D1075"/>
    </row>
    <row r="1076" spans="3:4" x14ac:dyDescent="0.25">
      <c r="C1076"/>
      <c r="D1076"/>
    </row>
    <row r="1077" spans="3:4" x14ac:dyDescent="0.25">
      <c r="C1077"/>
      <c r="D1077"/>
    </row>
    <row r="1078" spans="3:4" x14ac:dyDescent="0.25">
      <c r="C1078"/>
      <c r="D1078"/>
    </row>
    <row r="1079" spans="3:4" x14ac:dyDescent="0.25">
      <c r="C1079"/>
      <c r="D1079"/>
    </row>
    <row r="1080" spans="3:4" x14ac:dyDescent="0.25">
      <c r="C1080"/>
      <c r="D1080"/>
    </row>
    <row r="1081" spans="3:4" x14ac:dyDescent="0.25">
      <c r="C1081"/>
      <c r="D1081"/>
    </row>
    <row r="1082" spans="3:4" x14ac:dyDescent="0.25">
      <c r="C1082"/>
      <c r="D1082"/>
    </row>
    <row r="1083" spans="3:4" x14ac:dyDescent="0.25">
      <c r="C1083"/>
      <c r="D1083"/>
    </row>
    <row r="1084" spans="3:4" x14ac:dyDescent="0.25">
      <c r="C1084"/>
      <c r="D1084"/>
    </row>
    <row r="1085" spans="3:4" x14ac:dyDescent="0.25">
      <c r="C1085"/>
      <c r="D1085"/>
    </row>
    <row r="1086" spans="3:4" x14ac:dyDescent="0.25">
      <c r="C1086"/>
      <c r="D1086"/>
    </row>
    <row r="1087" spans="3:4" x14ac:dyDescent="0.25">
      <c r="C1087"/>
      <c r="D1087"/>
    </row>
    <row r="1088" spans="3:4" x14ac:dyDescent="0.25">
      <c r="C1088"/>
      <c r="D1088"/>
    </row>
    <row r="1089" spans="3:4" x14ac:dyDescent="0.25">
      <c r="C1089"/>
      <c r="D1089"/>
    </row>
    <row r="1090" spans="3:4" x14ac:dyDescent="0.25">
      <c r="C1090"/>
      <c r="D1090"/>
    </row>
    <row r="1091" spans="3:4" x14ac:dyDescent="0.25">
      <c r="C1091"/>
      <c r="D1091"/>
    </row>
    <row r="1092" spans="3:4" x14ac:dyDescent="0.25">
      <c r="C1092"/>
      <c r="D1092"/>
    </row>
    <row r="1093" spans="3:4" x14ac:dyDescent="0.25">
      <c r="C1093"/>
      <c r="D1093"/>
    </row>
    <row r="1094" spans="3:4" x14ac:dyDescent="0.25">
      <c r="C1094"/>
      <c r="D1094"/>
    </row>
    <row r="1095" spans="3:4" x14ac:dyDescent="0.25">
      <c r="C1095"/>
      <c r="D1095"/>
    </row>
    <row r="1096" spans="3:4" x14ac:dyDescent="0.25">
      <c r="C1096"/>
      <c r="D1096"/>
    </row>
    <row r="1097" spans="3:4" x14ac:dyDescent="0.25">
      <c r="C1097"/>
      <c r="D1097"/>
    </row>
    <row r="1098" spans="3:4" x14ac:dyDescent="0.25">
      <c r="C1098"/>
      <c r="D1098"/>
    </row>
    <row r="1099" spans="3:4" x14ac:dyDescent="0.25">
      <c r="C1099"/>
      <c r="D1099"/>
    </row>
    <row r="1100" spans="3:4" x14ac:dyDescent="0.25">
      <c r="C1100"/>
      <c r="D1100"/>
    </row>
    <row r="1101" spans="3:4" x14ac:dyDescent="0.25">
      <c r="C1101"/>
      <c r="D1101"/>
    </row>
    <row r="1102" spans="3:4" x14ac:dyDescent="0.25">
      <c r="C1102"/>
      <c r="D1102"/>
    </row>
    <row r="1103" spans="3:4" x14ac:dyDescent="0.25">
      <c r="C1103"/>
      <c r="D1103"/>
    </row>
    <row r="1104" spans="3:4" x14ac:dyDescent="0.25">
      <c r="C1104"/>
      <c r="D1104"/>
    </row>
    <row r="1105" spans="3:4" x14ac:dyDescent="0.25">
      <c r="C1105"/>
      <c r="D1105"/>
    </row>
    <row r="1106" spans="3:4" x14ac:dyDescent="0.25">
      <c r="C1106"/>
      <c r="D1106"/>
    </row>
    <row r="1107" spans="3:4" x14ac:dyDescent="0.25">
      <c r="C1107"/>
      <c r="D1107"/>
    </row>
    <row r="1108" spans="3:4" x14ac:dyDescent="0.25">
      <c r="C1108"/>
      <c r="D1108"/>
    </row>
    <row r="1109" spans="3:4" x14ac:dyDescent="0.25">
      <c r="C1109"/>
      <c r="D1109"/>
    </row>
    <row r="1110" spans="3:4" x14ac:dyDescent="0.25">
      <c r="C1110"/>
      <c r="D1110"/>
    </row>
    <row r="1111" spans="3:4" x14ac:dyDescent="0.25">
      <c r="C1111"/>
      <c r="D1111"/>
    </row>
    <row r="1112" spans="3:4" x14ac:dyDescent="0.25">
      <c r="C1112"/>
      <c r="D1112"/>
    </row>
    <row r="1113" spans="3:4" x14ac:dyDescent="0.25">
      <c r="C1113"/>
      <c r="D1113"/>
    </row>
    <row r="1114" spans="3:4" x14ac:dyDescent="0.25">
      <c r="C1114"/>
      <c r="D1114"/>
    </row>
    <row r="1115" spans="3:4" x14ac:dyDescent="0.25">
      <c r="C1115"/>
      <c r="D1115"/>
    </row>
    <row r="1116" spans="3:4" x14ac:dyDescent="0.25">
      <c r="C1116"/>
      <c r="D1116"/>
    </row>
    <row r="1117" spans="3:4" x14ac:dyDescent="0.25">
      <c r="C1117"/>
      <c r="D1117"/>
    </row>
    <row r="1118" spans="3:4" x14ac:dyDescent="0.25">
      <c r="C1118"/>
      <c r="D1118"/>
    </row>
    <row r="1119" spans="3:4" x14ac:dyDescent="0.25">
      <c r="C1119"/>
      <c r="D1119"/>
    </row>
    <row r="1120" spans="3:4" x14ac:dyDescent="0.25">
      <c r="C1120"/>
      <c r="D1120"/>
    </row>
    <row r="1121" spans="3:4" x14ac:dyDescent="0.25">
      <c r="C1121"/>
      <c r="D1121"/>
    </row>
    <row r="1122" spans="3:4" x14ac:dyDescent="0.25">
      <c r="C1122"/>
      <c r="D1122"/>
    </row>
    <row r="1123" spans="3:4" x14ac:dyDescent="0.25">
      <c r="C1123"/>
      <c r="D1123"/>
    </row>
    <row r="1124" spans="3:4" x14ac:dyDescent="0.25">
      <c r="C1124"/>
      <c r="D1124"/>
    </row>
    <row r="1125" spans="3:4" x14ac:dyDescent="0.25">
      <c r="C1125"/>
      <c r="D1125"/>
    </row>
    <row r="1126" spans="3:4" x14ac:dyDescent="0.25">
      <c r="C1126"/>
      <c r="D1126"/>
    </row>
    <row r="1127" spans="3:4" x14ac:dyDescent="0.25">
      <c r="C1127"/>
      <c r="D1127"/>
    </row>
    <row r="1128" spans="3:4" x14ac:dyDescent="0.25">
      <c r="C1128"/>
      <c r="D1128"/>
    </row>
    <row r="1129" spans="3:4" x14ac:dyDescent="0.25">
      <c r="C1129"/>
      <c r="D1129"/>
    </row>
    <row r="1130" spans="3:4" x14ac:dyDescent="0.25">
      <c r="C1130"/>
      <c r="D1130"/>
    </row>
    <row r="1131" spans="3:4" x14ac:dyDescent="0.25">
      <c r="C1131"/>
      <c r="D1131"/>
    </row>
    <row r="1132" spans="3:4" x14ac:dyDescent="0.25">
      <c r="C1132"/>
      <c r="D1132"/>
    </row>
    <row r="1133" spans="3:4" x14ac:dyDescent="0.25">
      <c r="C1133"/>
      <c r="D1133"/>
    </row>
    <row r="1134" spans="3:4" x14ac:dyDescent="0.25">
      <c r="C1134"/>
      <c r="D1134"/>
    </row>
    <row r="1135" spans="3:4" x14ac:dyDescent="0.25">
      <c r="C1135"/>
      <c r="D1135"/>
    </row>
    <row r="1136" spans="3:4" x14ac:dyDescent="0.25">
      <c r="C1136"/>
      <c r="D1136"/>
    </row>
    <row r="1137" spans="3:4" x14ac:dyDescent="0.25">
      <c r="C1137"/>
      <c r="D1137"/>
    </row>
    <row r="1138" spans="3:4" x14ac:dyDescent="0.25">
      <c r="C1138"/>
      <c r="D1138"/>
    </row>
    <row r="1139" spans="3:4" x14ac:dyDescent="0.25">
      <c r="C1139"/>
      <c r="D1139"/>
    </row>
    <row r="1140" spans="3:4" x14ac:dyDescent="0.25">
      <c r="C1140"/>
      <c r="D1140"/>
    </row>
    <row r="1141" spans="3:4" x14ac:dyDescent="0.25">
      <c r="C1141"/>
      <c r="D1141"/>
    </row>
    <row r="1142" spans="3:4" x14ac:dyDescent="0.25">
      <c r="C1142"/>
      <c r="D1142"/>
    </row>
    <row r="1143" spans="3:4" x14ac:dyDescent="0.25">
      <c r="C1143"/>
      <c r="D1143"/>
    </row>
    <row r="1144" spans="3:4" x14ac:dyDescent="0.25">
      <c r="C1144"/>
      <c r="D1144"/>
    </row>
    <row r="1145" spans="3:4" x14ac:dyDescent="0.25">
      <c r="C1145"/>
      <c r="D1145"/>
    </row>
    <row r="1146" spans="3:4" x14ac:dyDescent="0.25">
      <c r="C1146"/>
      <c r="D1146"/>
    </row>
    <row r="1147" spans="3:4" x14ac:dyDescent="0.25">
      <c r="C1147"/>
      <c r="D1147"/>
    </row>
    <row r="1148" spans="3:4" x14ac:dyDescent="0.25">
      <c r="C1148"/>
      <c r="D1148"/>
    </row>
    <row r="1149" spans="3:4" x14ac:dyDescent="0.25">
      <c r="C1149"/>
      <c r="D1149"/>
    </row>
    <row r="1150" spans="3:4" x14ac:dyDescent="0.25">
      <c r="C1150"/>
      <c r="D1150"/>
    </row>
    <row r="1151" spans="3:4" x14ac:dyDescent="0.25">
      <c r="C1151"/>
      <c r="D1151"/>
    </row>
    <row r="1152" spans="3:4" x14ac:dyDescent="0.25">
      <c r="C1152"/>
      <c r="D1152"/>
    </row>
    <row r="1153" spans="3:4" x14ac:dyDescent="0.25">
      <c r="C1153"/>
      <c r="D1153"/>
    </row>
    <row r="1154" spans="3:4" x14ac:dyDescent="0.25">
      <c r="C1154"/>
      <c r="D1154"/>
    </row>
    <row r="1155" spans="3:4" x14ac:dyDescent="0.25">
      <c r="C1155"/>
      <c r="D1155"/>
    </row>
    <row r="1156" spans="3:4" x14ac:dyDescent="0.25">
      <c r="C1156"/>
      <c r="D1156"/>
    </row>
    <row r="1157" spans="3:4" x14ac:dyDescent="0.25">
      <c r="C1157"/>
      <c r="D1157"/>
    </row>
    <row r="1158" spans="3:4" x14ac:dyDescent="0.25">
      <c r="C1158"/>
      <c r="D1158"/>
    </row>
    <row r="1159" spans="3:4" x14ac:dyDescent="0.25">
      <c r="C1159"/>
      <c r="D1159"/>
    </row>
    <row r="1160" spans="3:4" x14ac:dyDescent="0.25">
      <c r="C1160"/>
      <c r="D1160"/>
    </row>
    <row r="1161" spans="3:4" x14ac:dyDescent="0.25">
      <c r="C1161"/>
      <c r="D1161"/>
    </row>
    <row r="1162" spans="3:4" x14ac:dyDescent="0.25">
      <c r="C1162"/>
      <c r="D1162"/>
    </row>
    <row r="1163" spans="3:4" x14ac:dyDescent="0.25">
      <c r="C1163"/>
      <c r="D1163"/>
    </row>
    <row r="1164" spans="3:4" x14ac:dyDescent="0.25">
      <c r="C1164"/>
      <c r="D1164"/>
    </row>
    <row r="1165" spans="3:4" x14ac:dyDescent="0.25">
      <c r="C1165"/>
      <c r="D1165"/>
    </row>
    <row r="1166" spans="3:4" x14ac:dyDescent="0.25">
      <c r="C1166"/>
      <c r="D1166"/>
    </row>
    <row r="1167" spans="3:4" x14ac:dyDescent="0.25">
      <c r="C1167"/>
      <c r="D1167"/>
    </row>
    <row r="1168" spans="3:4" x14ac:dyDescent="0.25">
      <c r="C1168"/>
      <c r="D1168"/>
    </row>
    <row r="1169" spans="3:4" x14ac:dyDescent="0.25">
      <c r="C1169"/>
      <c r="D1169"/>
    </row>
    <row r="1170" spans="3:4" x14ac:dyDescent="0.25">
      <c r="C1170"/>
      <c r="D1170"/>
    </row>
    <row r="1171" spans="3:4" x14ac:dyDescent="0.25">
      <c r="C1171"/>
      <c r="D1171"/>
    </row>
    <row r="1172" spans="3:4" x14ac:dyDescent="0.25">
      <c r="C1172"/>
      <c r="D1172"/>
    </row>
    <row r="1173" spans="3:4" x14ac:dyDescent="0.25">
      <c r="C1173"/>
      <c r="D1173"/>
    </row>
    <row r="1174" spans="3:4" x14ac:dyDescent="0.25">
      <c r="C1174"/>
      <c r="D1174"/>
    </row>
    <row r="1175" spans="3:4" x14ac:dyDescent="0.25">
      <c r="C1175"/>
      <c r="D1175"/>
    </row>
    <row r="1176" spans="3:4" x14ac:dyDescent="0.25">
      <c r="C1176"/>
      <c r="D1176"/>
    </row>
    <row r="1177" spans="3:4" x14ac:dyDescent="0.25">
      <c r="C1177"/>
      <c r="D1177"/>
    </row>
    <row r="1178" spans="3:4" x14ac:dyDescent="0.25">
      <c r="C1178"/>
      <c r="D1178"/>
    </row>
    <row r="1179" spans="3:4" x14ac:dyDescent="0.25">
      <c r="C1179"/>
      <c r="D1179"/>
    </row>
    <row r="1180" spans="3:4" x14ac:dyDescent="0.25">
      <c r="C1180"/>
      <c r="D1180"/>
    </row>
    <row r="1181" spans="3:4" x14ac:dyDescent="0.25">
      <c r="C1181"/>
      <c r="D1181"/>
    </row>
    <row r="1182" spans="3:4" x14ac:dyDescent="0.25">
      <c r="C1182"/>
      <c r="D1182"/>
    </row>
    <row r="1183" spans="3:4" x14ac:dyDescent="0.25">
      <c r="C1183"/>
      <c r="D1183"/>
    </row>
    <row r="1184" spans="3:4" x14ac:dyDescent="0.25">
      <c r="C1184"/>
      <c r="D1184"/>
    </row>
    <row r="1185" spans="3:4" x14ac:dyDescent="0.25">
      <c r="C1185"/>
      <c r="D1185"/>
    </row>
    <row r="1186" spans="3:4" x14ac:dyDescent="0.25">
      <c r="C1186"/>
      <c r="D1186"/>
    </row>
    <row r="1187" spans="3:4" x14ac:dyDescent="0.25">
      <c r="C1187"/>
      <c r="D1187"/>
    </row>
    <row r="1188" spans="3:4" x14ac:dyDescent="0.25">
      <c r="C1188"/>
      <c r="D1188"/>
    </row>
    <row r="1189" spans="3:4" x14ac:dyDescent="0.25">
      <c r="C1189"/>
      <c r="D1189"/>
    </row>
    <row r="1190" spans="3:4" x14ac:dyDescent="0.25">
      <c r="C1190"/>
      <c r="D1190"/>
    </row>
    <row r="1191" spans="3:4" x14ac:dyDescent="0.25">
      <c r="C1191"/>
      <c r="D1191"/>
    </row>
    <row r="1192" spans="3:4" x14ac:dyDescent="0.25">
      <c r="C1192"/>
      <c r="D1192"/>
    </row>
    <row r="1193" spans="3:4" x14ac:dyDescent="0.25">
      <c r="C1193"/>
      <c r="D1193"/>
    </row>
    <row r="1194" spans="3:4" x14ac:dyDescent="0.25">
      <c r="C1194"/>
      <c r="D1194"/>
    </row>
    <row r="1195" spans="3:4" x14ac:dyDescent="0.25">
      <c r="C1195"/>
      <c r="D1195"/>
    </row>
    <row r="1196" spans="3:4" x14ac:dyDescent="0.25">
      <c r="C1196"/>
      <c r="D1196"/>
    </row>
    <row r="1197" spans="3:4" x14ac:dyDescent="0.25">
      <c r="C1197"/>
      <c r="D1197"/>
    </row>
    <row r="1198" spans="3:4" x14ac:dyDescent="0.25">
      <c r="C1198"/>
      <c r="D1198"/>
    </row>
    <row r="1199" spans="3:4" x14ac:dyDescent="0.25">
      <c r="C1199"/>
      <c r="D1199"/>
    </row>
    <row r="1200" spans="3:4" x14ac:dyDescent="0.25">
      <c r="C1200"/>
      <c r="D1200"/>
    </row>
    <row r="1201" spans="3:4" x14ac:dyDescent="0.25">
      <c r="C1201"/>
      <c r="D1201"/>
    </row>
    <row r="1202" spans="3:4" x14ac:dyDescent="0.25">
      <c r="C1202"/>
      <c r="D1202"/>
    </row>
    <row r="1203" spans="3:4" x14ac:dyDescent="0.25">
      <c r="C1203"/>
      <c r="D1203"/>
    </row>
    <row r="1204" spans="3:4" x14ac:dyDescent="0.25">
      <c r="C1204"/>
      <c r="D1204"/>
    </row>
    <row r="1205" spans="3:4" x14ac:dyDescent="0.25">
      <c r="C1205"/>
      <c r="D1205"/>
    </row>
    <row r="1206" spans="3:4" x14ac:dyDescent="0.25">
      <c r="C1206"/>
      <c r="D1206"/>
    </row>
    <row r="1207" spans="3:4" x14ac:dyDescent="0.25">
      <c r="C1207"/>
      <c r="D1207"/>
    </row>
    <row r="1208" spans="3:4" x14ac:dyDescent="0.25">
      <c r="C1208"/>
      <c r="D1208"/>
    </row>
    <row r="1209" spans="3:4" x14ac:dyDescent="0.25">
      <c r="C1209"/>
      <c r="D1209"/>
    </row>
    <row r="1210" spans="3:4" x14ac:dyDescent="0.25">
      <c r="C1210"/>
      <c r="D1210"/>
    </row>
    <row r="1211" spans="3:4" x14ac:dyDescent="0.25">
      <c r="C1211"/>
      <c r="D1211"/>
    </row>
    <row r="1212" spans="3:4" x14ac:dyDescent="0.25">
      <c r="C1212"/>
      <c r="D1212"/>
    </row>
    <row r="1213" spans="3:4" x14ac:dyDescent="0.25">
      <c r="C1213"/>
      <c r="D1213"/>
    </row>
    <row r="1214" spans="3:4" x14ac:dyDescent="0.25">
      <c r="C1214"/>
      <c r="D1214"/>
    </row>
    <row r="1215" spans="3:4" x14ac:dyDescent="0.25">
      <c r="C1215"/>
      <c r="D1215"/>
    </row>
    <row r="1216" spans="3:4" x14ac:dyDescent="0.25">
      <c r="C1216"/>
      <c r="D1216"/>
    </row>
    <row r="1217" spans="3:4" x14ac:dyDescent="0.25">
      <c r="C1217"/>
      <c r="D1217"/>
    </row>
    <row r="1218" spans="3:4" x14ac:dyDescent="0.25">
      <c r="C1218"/>
      <c r="D1218"/>
    </row>
    <row r="1219" spans="3:4" x14ac:dyDescent="0.25">
      <c r="C1219"/>
      <c r="D1219"/>
    </row>
    <row r="1220" spans="3:4" x14ac:dyDescent="0.25">
      <c r="C1220"/>
      <c r="D1220"/>
    </row>
    <row r="1221" spans="3:4" x14ac:dyDescent="0.25">
      <c r="C1221"/>
      <c r="D1221"/>
    </row>
    <row r="1222" spans="3:4" x14ac:dyDescent="0.25">
      <c r="C1222"/>
      <c r="D1222"/>
    </row>
    <row r="1223" spans="3:4" x14ac:dyDescent="0.25">
      <c r="C1223"/>
      <c r="D1223"/>
    </row>
    <row r="1224" spans="3:4" x14ac:dyDescent="0.25">
      <c r="C1224"/>
      <c r="D1224"/>
    </row>
    <row r="1225" spans="3:4" x14ac:dyDescent="0.25">
      <c r="C1225"/>
      <c r="D1225"/>
    </row>
    <row r="1226" spans="3:4" x14ac:dyDescent="0.25">
      <c r="C1226"/>
      <c r="D1226"/>
    </row>
    <row r="1227" spans="3:4" x14ac:dyDescent="0.25">
      <c r="C1227"/>
      <c r="D1227"/>
    </row>
    <row r="1228" spans="3:4" x14ac:dyDescent="0.25">
      <c r="C1228"/>
      <c r="D1228"/>
    </row>
    <row r="1229" spans="3:4" x14ac:dyDescent="0.25">
      <c r="C1229"/>
      <c r="D1229"/>
    </row>
    <row r="1230" spans="3:4" x14ac:dyDescent="0.25">
      <c r="C1230"/>
      <c r="D1230"/>
    </row>
    <row r="1231" spans="3:4" x14ac:dyDescent="0.25">
      <c r="C1231"/>
      <c r="D1231"/>
    </row>
    <row r="1232" spans="3:4" x14ac:dyDescent="0.25">
      <c r="C1232"/>
      <c r="D1232"/>
    </row>
    <row r="1233" spans="3:4" x14ac:dyDescent="0.25">
      <c r="C1233"/>
      <c r="D1233"/>
    </row>
    <row r="1234" spans="3:4" x14ac:dyDescent="0.25">
      <c r="C1234"/>
      <c r="D1234"/>
    </row>
    <row r="1235" spans="3:4" x14ac:dyDescent="0.25">
      <c r="C1235"/>
      <c r="D1235"/>
    </row>
    <row r="1236" spans="3:4" x14ac:dyDescent="0.25">
      <c r="C1236"/>
      <c r="D1236"/>
    </row>
    <row r="1237" spans="3:4" x14ac:dyDescent="0.25">
      <c r="C1237"/>
      <c r="D1237"/>
    </row>
    <row r="1238" spans="3:4" x14ac:dyDescent="0.25">
      <c r="C1238"/>
      <c r="D1238"/>
    </row>
    <row r="1239" spans="3:4" x14ac:dyDescent="0.25">
      <c r="C1239"/>
      <c r="D1239"/>
    </row>
    <row r="1240" spans="3:4" x14ac:dyDescent="0.25">
      <c r="C1240"/>
      <c r="D1240"/>
    </row>
    <row r="1241" spans="3:4" x14ac:dyDescent="0.25">
      <c r="C1241"/>
      <c r="D1241"/>
    </row>
    <row r="1242" spans="3:4" x14ac:dyDescent="0.25">
      <c r="C1242"/>
      <c r="D1242"/>
    </row>
    <row r="1243" spans="3:4" x14ac:dyDescent="0.25">
      <c r="C1243"/>
      <c r="D1243"/>
    </row>
    <row r="1244" spans="3:4" x14ac:dyDescent="0.25">
      <c r="C1244"/>
      <c r="D1244"/>
    </row>
    <row r="1245" spans="3:4" x14ac:dyDescent="0.25">
      <c r="C1245"/>
      <c r="D1245"/>
    </row>
    <row r="1246" spans="3:4" x14ac:dyDescent="0.25">
      <c r="C1246"/>
      <c r="D1246"/>
    </row>
    <row r="1247" spans="3:4" x14ac:dyDescent="0.25">
      <c r="C1247"/>
      <c r="D1247"/>
    </row>
    <row r="1248" spans="3:4" x14ac:dyDescent="0.25">
      <c r="C1248"/>
      <c r="D1248"/>
    </row>
    <row r="1249" spans="3:4" x14ac:dyDescent="0.25">
      <c r="C1249"/>
      <c r="D1249"/>
    </row>
    <row r="1250" spans="3:4" x14ac:dyDescent="0.25">
      <c r="C1250"/>
      <c r="D1250"/>
    </row>
    <row r="1251" spans="3:4" x14ac:dyDescent="0.25">
      <c r="C1251"/>
      <c r="D1251"/>
    </row>
    <row r="1252" spans="3:4" x14ac:dyDescent="0.25">
      <c r="C1252"/>
      <c r="D1252"/>
    </row>
    <row r="1253" spans="3:4" x14ac:dyDescent="0.25">
      <c r="C1253"/>
      <c r="D1253"/>
    </row>
    <row r="1254" spans="3:4" x14ac:dyDescent="0.25">
      <c r="C1254"/>
      <c r="D1254"/>
    </row>
    <row r="1255" spans="3:4" x14ac:dyDescent="0.25">
      <c r="C1255"/>
      <c r="D1255"/>
    </row>
    <row r="1256" spans="3:4" x14ac:dyDescent="0.25">
      <c r="C1256"/>
      <c r="D1256"/>
    </row>
    <row r="1257" spans="3:4" x14ac:dyDescent="0.25">
      <c r="C1257"/>
      <c r="D1257"/>
    </row>
    <row r="1258" spans="3:4" x14ac:dyDescent="0.25">
      <c r="C1258"/>
      <c r="D1258"/>
    </row>
    <row r="1259" spans="3:4" x14ac:dyDescent="0.25">
      <c r="C1259"/>
      <c r="D1259"/>
    </row>
    <row r="1260" spans="3:4" x14ac:dyDescent="0.25">
      <c r="C1260"/>
      <c r="D1260"/>
    </row>
    <row r="1261" spans="3:4" x14ac:dyDescent="0.25">
      <c r="C1261"/>
      <c r="D1261"/>
    </row>
    <row r="1262" spans="3:4" x14ac:dyDescent="0.25">
      <c r="C1262"/>
      <c r="D1262"/>
    </row>
    <row r="1263" spans="3:4" x14ac:dyDescent="0.25">
      <c r="C1263"/>
      <c r="D1263"/>
    </row>
    <row r="1264" spans="3:4" x14ac:dyDescent="0.25">
      <c r="C1264"/>
      <c r="D1264"/>
    </row>
    <row r="1265" spans="3:4" x14ac:dyDescent="0.25">
      <c r="C1265"/>
      <c r="D1265"/>
    </row>
    <row r="1266" spans="3:4" x14ac:dyDescent="0.25">
      <c r="C1266"/>
      <c r="D1266"/>
    </row>
    <row r="1267" spans="3:4" x14ac:dyDescent="0.25">
      <c r="C1267"/>
      <c r="D1267"/>
    </row>
    <row r="1268" spans="3:4" x14ac:dyDescent="0.25">
      <c r="C1268"/>
      <c r="D1268"/>
    </row>
    <row r="1269" spans="3:4" x14ac:dyDescent="0.25">
      <c r="C1269"/>
      <c r="D1269"/>
    </row>
    <row r="1270" spans="3:4" x14ac:dyDescent="0.25">
      <c r="C1270"/>
      <c r="D1270"/>
    </row>
    <row r="1271" spans="3:4" x14ac:dyDescent="0.25">
      <c r="C1271"/>
      <c r="D1271"/>
    </row>
    <row r="1272" spans="3:4" x14ac:dyDescent="0.25">
      <c r="C1272"/>
      <c r="D1272"/>
    </row>
    <row r="1273" spans="3:4" x14ac:dyDescent="0.25">
      <c r="C1273"/>
      <c r="D1273"/>
    </row>
    <row r="1274" spans="3:4" x14ac:dyDescent="0.25">
      <c r="C1274"/>
      <c r="D1274"/>
    </row>
    <row r="1275" spans="3:4" x14ac:dyDescent="0.25">
      <c r="C1275"/>
      <c r="D1275"/>
    </row>
    <row r="1276" spans="3:4" x14ac:dyDescent="0.25">
      <c r="C1276"/>
      <c r="D1276"/>
    </row>
    <row r="1277" spans="3:4" x14ac:dyDescent="0.25">
      <c r="C1277"/>
      <c r="D1277"/>
    </row>
    <row r="1278" spans="3:4" x14ac:dyDescent="0.25">
      <c r="C1278"/>
      <c r="D1278"/>
    </row>
    <row r="1279" spans="3:4" x14ac:dyDescent="0.25">
      <c r="C1279"/>
      <c r="D1279"/>
    </row>
    <row r="1280" spans="3:4" x14ac:dyDescent="0.25">
      <c r="C1280"/>
      <c r="D1280"/>
    </row>
    <row r="1281" spans="3:4" x14ac:dyDescent="0.25">
      <c r="C1281"/>
      <c r="D1281"/>
    </row>
    <row r="1282" spans="3:4" x14ac:dyDescent="0.25">
      <c r="C1282"/>
      <c r="D1282"/>
    </row>
    <row r="1283" spans="3:4" x14ac:dyDescent="0.25">
      <c r="C1283"/>
      <c r="D1283"/>
    </row>
    <row r="1284" spans="3:4" x14ac:dyDescent="0.25">
      <c r="C1284"/>
      <c r="D1284"/>
    </row>
    <row r="1285" spans="3:4" x14ac:dyDescent="0.25">
      <c r="C1285"/>
      <c r="D1285"/>
    </row>
    <row r="1286" spans="3:4" x14ac:dyDescent="0.25">
      <c r="C1286"/>
      <c r="D1286"/>
    </row>
    <row r="1287" spans="3:4" x14ac:dyDescent="0.25">
      <c r="C1287"/>
      <c r="D1287"/>
    </row>
    <row r="1288" spans="3:4" x14ac:dyDescent="0.25">
      <c r="C1288"/>
      <c r="D1288"/>
    </row>
    <row r="1289" spans="3:4" x14ac:dyDescent="0.25">
      <c r="C1289"/>
      <c r="D1289"/>
    </row>
    <row r="1290" spans="3:4" x14ac:dyDescent="0.25">
      <c r="C1290"/>
      <c r="D1290"/>
    </row>
    <row r="1291" spans="3:4" x14ac:dyDescent="0.25">
      <c r="C1291"/>
      <c r="D1291"/>
    </row>
    <row r="1292" spans="3:4" x14ac:dyDescent="0.25">
      <c r="C1292"/>
      <c r="D1292"/>
    </row>
    <row r="1293" spans="3:4" x14ac:dyDescent="0.25">
      <c r="C1293"/>
      <c r="D1293"/>
    </row>
    <row r="1294" spans="3:4" x14ac:dyDescent="0.25">
      <c r="C1294"/>
      <c r="D1294"/>
    </row>
    <row r="1295" spans="3:4" x14ac:dyDescent="0.25">
      <c r="C1295"/>
      <c r="D1295"/>
    </row>
    <row r="1296" spans="3:4" x14ac:dyDescent="0.25">
      <c r="C1296"/>
      <c r="D1296"/>
    </row>
    <row r="1297" spans="3:4" x14ac:dyDescent="0.25">
      <c r="C1297"/>
      <c r="D1297"/>
    </row>
    <row r="1298" spans="3:4" x14ac:dyDescent="0.25">
      <c r="C1298"/>
      <c r="D1298"/>
    </row>
    <row r="1299" spans="3:4" x14ac:dyDescent="0.25">
      <c r="C1299"/>
      <c r="D1299"/>
    </row>
    <row r="1300" spans="3:4" x14ac:dyDescent="0.25">
      <c r="C1300"/>
      <c r="D1300"/>
    </row>
    <row r="1301" spans="3:4" x14ac:dyDescent="0.25">
      <c r="C1301"/>
      <c r="D1301"/>
    </row>
    <row r="1302" spans="3:4" x14ac:dyDescent="0.25">
      <c r="C1302"/>
      <c r="D1302"/>
    </row>
    <row r="1303" spans="3:4" x14ac:dyDescent="0.25">
      <c r="C1303"/>
      <c r="D1303"/>
    </row>
    <row r="1304" spans="3:4" x14ac:dyDescent="0.25">
      <c r="C1304"/>
      <c r="D1304"/>
    </row>
    <row r="1305" spans="3:4" x14ac:dyDescent="0.25">
      <c r="C1305"/>
      <c r="D1305"/>
    </row>
    <row r="1306" spans="3:4" x14ac:dyDescent="0.25">
      <c r="C1306"/>
      <c r="D1306"/>
    </row>
    <row r="1307" spans="3:4" x14ac:dyDescent="0.25">
      <c r="C1307"/>
      <c r="D1307"/>
    </row>
    <row r="1308" spans="3:4" x14ac:dyDescent="0.25">
      <c r="C1308"/>
      <c r="D1308"/>
    </row>
    <row r="1309" spans="3:4" x14ac:dyDescent="0.25">
      <c r="C1309"/>
      <c r="D1309"/>
    </row>
    <row r="1310" spans="3:4" x14ac:dyDescent="0.25">
      <c r="C1310"/>
      <c r="D1310"/>
    </row>
    <row r="1311" spans="3:4" x14ac:dyDescent="0.25">
      <c r="C1311"/>
      <c r="D1311"/>
    </row>
    <row r="1312" spans="3:4" x14ac:dyDescent="0.25">
      <c r="C1312"/>
      <c r="D1312"/>
    </row>
    <row r="1313" spans="3:4" x14ac:dyDescent="0.25">
      <c r="C1313"/>
      <c r="D1313"/>
    </row>
    <row r="1314" spans="3:4" x14ac:dyDescent="0.25">
      <c r="C1314"/>
      <c r="D1314"/>
    </row>
    <row r="1315" spans="3:4" x14ac:dyDescent="0.25">
      <c r="C1315"/>
      <c r="D1315"/>
    </row>
    <row r="1316" spans="3:4" x14ac:dyDescent="0.25">
      <c r="C1316"/>
      <c r="D1316"/>
    </row>
    <row r="1317" spans="3:4" x14ac:dyDescent="0.25">
      <c r="C1317"/>
      <c r="D1317"/>
    </row>
    <row r="1318" spans="3:4" x14ac:dyDescent="0.25">
      <c r="C1318"/>
      <c r="D1318"/>
    </row>
    <row r="1319" spans="3:4" x14ac:dyDescent="0.25">
      <c r="C1319"/>
      <c r="D1319"/>
    </row>
    <row r="1320" spans="3:4" x14ac:dyDescent="0.25">
      <c r="C1320"/>
      <c r="D1320"/>
    </row>
    <row r="1321" spans="3:4" x14ac:dyDescent="0.25">
      <c r="C1321"/>
      <c r="D1321"/>
    </row>
    <row r="1322" spans="3:4" x14ac:dyDescent="0.25">
      <c r="C1322"/>
      <c r="D1322"/>
    </row>
    <row r="1323" spans="3:4" x14ac:dyDescent="0.25">
      <c r="C1323"/>
      <c r="D1323"/>
    </row>
    <row r="1324" spans="3:4" x14ac:dyDescent="0.25">
      <c r="C1324"/>
      <c r="D1324"/>
    </row>
    <row r="1325" spans="3:4" x14ac:dyDescent="0.25">
      <c r="C1325"/>
      <c r="D1325"/>
    </row>
    <row r="1326" spans="3:4" x14ac:dyDescent="0.25">
      <c r="C1326"/>
      <c r="D1326"/>
    </row>
    <row r="1327" spans="3:4" x14ac:dyDescent="0.25">
      <c r="C1327"/>
      <c r="D1327"/>
    </row>
    <row r="1328" spans="3:4" x14ac:dyDescent="0.25">
      <c r="C1328"/>
      <c r="D1328"/>
    </row>
    <row r="1329" spans="3:4" x14ac:dyDescent="0.25">
      <c r="C1329"/>
      <c r="D1329"/>
    </row>
    <row r="1330" spans="3:4" x14ac:dyDescent="0.25">
      <c r="C1330"/>
      <c r="D1330"/>
    </row>
    <row r="1331" spans="3:4" x14ac:dyDescent="0.25">
      <c r="C1331"/>
      <c r="D1331"/>
    </row>
    <row r="1332" spans="3:4" x14ac:dyDescent="0.25">
      <c r="C1332"/>
      <c r="D1332"/>
    </row>
    <row r="1333" spans="3:4" x14ac:dyDescent="0.25">
      <c r="C1333"/>
      <c r="D1333"/>
    </row>
    <row r="1334" spans="3:4" x14ac:dyDescent="0.25">
      <c r="C1334"/>
      <c r="D1334"/>
    </row>
    <row r="1335" spans="3:4" x14ac:dyDescent="0.25">
      <c r="C1335"/>
      <c r="D1335"/>
    </row>
    <row r="1336" spans="3:4" x14ac:dyDescent="0.25">
      <c r="C1336"/>
      <c r="D1336"/>
    </row>
    <row r="1337" spans="3:4" x14ac:dyDescent="0.25">
      <c r="C1337"/>
      <c r="D1337"/>
    </row>
    <row r="1338" spans="3:4" x14ac:dyDescent="0.25">
      <c r="C1338"/>
      <c r="D1338"/>
    </row>
    <row r="1339" spans="3:4" x14ac:dyDescent="0.25">
      <c r="C1339"/>
      <c r="D1339"/>
    </row>
    <row r="1340" spans="3:4" x14ac:dyDescent="0.25">
      <c r="C1340"/>
      <c r="D1340"/>
    </row>
    <row r="1341" spans="3:4" x14ac:dyDescent="0.25">
      <c r="C1341"/>
      <c r="D1341"/>
    </row>
    <row r="1342" spans="3:4" x14ac:dyDescent="0.25">
      <c r="C1342"/>
      <c r="D1342"/>
    </row>
    <row r="1343" spans="3:4" x14ac:dyDescent="0.25">
      <c r="C1343"/>
      <c r="D1343"/>
    </row>
    <row r="1344" spans="3:4" x14ac:dyDescent="0.25">
      <c r="C1344"/>
      <c r="D1344"/>
    </row>
    <row r="1345" spans="3:4" x14ac:dyDescent="0.25">
      <c r="C1345"/>
      <c r="D1345"/>
    </row>
    <row r="1346" spans="3:4" x14ac:dyDescent="0.25">
      <c r="C1346"/>
      <c r="D1346"/>
    </row>
    <row r="1347" spans="3:4" x14ac:dyDescent="0.25">
      <c r="C1347"/>
      <c r="D1347"/>
    </row>
    <row r="1348" spans="3:4" x14ac:dyDescent="0.25">
      <c r="C1348"/>
      <c r="D1348"/>
    </row>
    <row r="1349" spans="3:4" x14ac:dyDescent="0.25">
      <c r="C1349"/>
      <c r="D1349"/>
    </row>
    <row r="1350" spans="3:4" x14ac:dyDescent="0.25">
      <c r="C1350"/>
      <c r="D1350"/>
    </row>
    <row r="1351" spans="3:4" x14ac:dyDescent="0.25">
      <c r="C1351"/>
      <c r="D1351"/>
    </row>
    <row r="1352" spans="3:4" x14ac:dyDescent="0.25">
      <c r="C1352"/>
      <c r="D1352"/>
    </row>
    <row r="1353" spans="3:4" x14ac:dyDescent="0.25">
      <c r="C1353"/>
      <c r="D1353"/>
    </row>
    <row r="1354" spans="3:4" x14ac:dyDescent="0.25">
      <c r="C1354"/>
      <c r="D1354"/>
    </row>
    <row r="1355" spans="3:4" x14ac:dyDescent="0.25">
      <c r="C1355"/>
      <c r="D1355"/>
    </row>
    <row r="1356" spans="3:4" x14ac:dyDescent="0.25">
      <c r="C1356"/>
      <c r="D1356"/>
    </row>
    <row r="1357" spans="3:4" x14ac:dyDescent="0.25">
      <c r="C1357"/>
      <c r="D1357"/>
    </row>
    <row r="1358" spans="3:4" x14ac:dyDescent="0.25">
      <c r="C1358"/>
      <c r="D1358"/>
    </row>
    <row r="1359" spans="3:4" x14ac:dyDescent="0.25">
      <c r="C1359"/>
      <c r="D1359"/>
    </row>
    <row r="1360" spans="3:4" x14ac:dyDescent="0.25">
      <c r="C1360"/>
      <c r="D1360"/>
    </row>
    <row r="1361" spans="3:4" x14ac:dyDescent="0.25">
      <c r="C1361"/>
      <c r="D1361"/>
    </row>
    <row r="1362" spans="3:4" x14ac:dyDescent="0.25">
      <c r="C1362"/>
      <c r="D1362"/>
    </row>
    <row r="1363" spans="3:4" x14ac:dyDescent="0.25">
      <c r="C1363"/>
      <c r="D1363"/>
    </row>
  </sheetData>
  <pageMargins left="0.7" right="0.7" top="0.75" bottom="0.75" header="0.3" footer="0.3"/>
  <drawing r:id="rId4"/>
  <extLs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3" priority="1" operator="equal">
      <formula>0</formula>
    </cfRule>
    <cfRule type="cellIs" dxfId="2" priority="2" operator="between">
      <formula>1</formula>
      <formula>4</formula>
    </cfRule>
    <cfRule type="cellIs" dxfId="1" priority="3" operator="greaterThanOrEqual">
      <formula>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OLD</vt:lpstr>
      <vt:lpstr>naar word</vt:lpstr>
      <vt:lpstr>BRON</vt:lpstr>
      <vt:lpstr>Blad1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2025-11-26T10:03:12Z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