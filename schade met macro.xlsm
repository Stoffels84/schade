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41" documentId="13_ncr:1_{10FCACA5-8197-478D-90D3-5F83063FB753}" xr6:coauthVersionLast="47" xr6:coauthVersionMax="47" xr10:uidLastSave="{C8981E8C-0846-4C90-9552-5790B3A05B55}"/>
  <bookViews>
    <workbookView minimized="1" xWindow="-11190" yWindow="-12810" windowWidth="21600" windowHeight="11295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4" i="16" l="1"/>
  <c r="C1001" i="1"/>
  <c r="B1001" i="1" s="1"/>
  <c r="D1001" i="1"/>
  <c r="E1001" i="1"/>
  <c r="S1001" i="1"/>
  <c r="C1000" i="1"/>
  <c r="B1000" i="1" s="1"/>
  <c r="D1000" i="1"/>
  <c r="E1000" i="1"/>
  <c r="S1000" i="1"/>
  <c r="C999" i="1"/>
  <c r="B999" i="1" s="1"/>
  <c r="D999" i="1"/>
  <c r="E999" i="1"/>
  <c r="S999" i="1"/>
  <c r="C998" i="1"/>
  <c r="B998" i="1" s="1"/>
  <c r="D998" i="1"/>
  <c r="E998" i="1"/>
  <c r="S998" i="1"/>
  <c r="C997" i="1"/>
  <c r="B997" i="1" s="1"/>
  <c r="D997" i="1"/>
  <c r="E997" i="1"/>
  <c r="S997" i="1"/>
  <c r="C996" i="1"/>
  <c r="B996" i="1" s="1"/>
  <c r="D996" i="1"/>
  <c r="E996" i="1"/>
  <c r="S996" i="1"/>
  <c r="C995" i="1"/>
  <c r="B995" i="1" s="1"/>
  <c r="D995" i="1"/>
  <c r="E995" i="1"/>
  <c r="S995" i="1"/>
  <c r="C994" i="1"/>
  <c r="B994" i="1" s="1"/>
  <c r="D994" i="1"/>
  <c r="E994" i="1"/>
  <c r="S994" i="1"/>
  <c r="C993" i="1"/>
  <c r="B993" i="1" s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AB997" i="1" s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4" i="1" l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<sst xmlns="http://schemas.openxmlformats.org/spreadsheetml/2006/main" count="13964" uniqueCount="4546">
  <si>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</si>
  <si>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</si>
  <si>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</si>
  <si>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</si>
  <si>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</si>
  <si>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</si>
  <si>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</si>
  <si>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</si>
  <si>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</si>
  <si>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</si>
  <si>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</si>
  <si>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</si>
  <si>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</si>
  <si>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</si>
  <si>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</si>
  <si>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</si>
  <si>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</si>
  <si>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</si>
  <si>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</si>
  <si>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</si>
  <si>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</si>
  <si>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</si>
  <si>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</si>
  <si>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</si>
  <si>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</si>
  <si>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</si>
  <si>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</si>
  <si>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</si>
  <si>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</si>
  <si>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</si>
  <si>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</si>
  <si>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</si>
  <si>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</si>
  <si>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</si>
  <si>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</si>
  <si>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</si>
  <si>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</si>
  <si>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</si>
  <si>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</si>
  <si>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</si>
  <si>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</si>
  <si>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</si>
  <si>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</si>
  <si>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</si>
  <si>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</si>
  <si>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</si>
  <si>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</si>
  <si>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</si>
  <si>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</si>
  <si>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</si>
  <si>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</si>
  <si>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</si>
  <si>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</si>
  <si>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</si>
  <si>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</si>
  <si>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</si>
  <si>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</si>
  <si>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</si>
  <si>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</si>
  <si>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</si>
  <si>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</si>
  <si>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</si>
  <si>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</si>
  <si>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</si>
  <si>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</si>
  <si>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</si>
  <si>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</si>
  <si>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</si>
  <si>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</si>
  <si>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</si>
  <si>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</si>
  <si>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</si>
  <si>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</si>
  <si>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</si>
  <si>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</si>
  <si>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</si>
  <si>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</si>
  <si>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</si>
  <si>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</si>
  <si>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</si>
  <si>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</si>
  <si>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</si>
  <si>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</si>
  <si>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</si>
  <si>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</si>
  <si>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</si>
  <si>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</si>
  <si>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</si>
  <si>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</si>
  <si>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</si>
  <si>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</si>
  <si>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</si>
  <si>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</si>
  <si>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</si>
  <si>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</si>
  <si>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</si>
  <si>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</si>
  <si>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</si>
  <si>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</si>
  <si>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</si>
  <si>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</si>
  <si>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</si>
  <si>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</si>
  <si>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</si>
  <si>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</si>
  <si>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</si>
  <si>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</si>
  <si>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</si>
  <si>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</si>
  <si>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</si>
  <si>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</si>
  <si>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</si>
  <si>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</si>
  <si>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</si>
  <si>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</si>
  <si>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</si>
  <si>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</si>
  <si>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</si>
  <si>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</si>
  <si>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</si>
  <si>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</si>
  <si>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</si>
  <si>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</si>
  <si>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</si>
  <si>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</si>
  <si>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</si>
  <si>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</si>
  <si>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</si>
  <si>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</si>
  <si>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</si>
  <si>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</si>
  <si>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</si>
  <si>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</si>
  <si>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</si>
  <si>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</si>
  <si>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</si>
  <si>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</si>
  <si>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</si>
  <si>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</si>
  <si>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</si>
  <si>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</si>
  <si>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</si>
  <si>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</si>
  <si>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</si>
  <si>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</si>
  <si>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</si>
  <si>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</si>
  <si>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</si>
  <si>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</si>
  <si>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</si>
  <si>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</si>
  <si>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</si>
  <si>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</si>
  <si>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</si>
  <si>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</si>
  <si>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</si>
  <si>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</si>
  <si>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</si>
  <si>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</si>
  <si>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</si>
  <si>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</si>
  <si>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</si>
  <si>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</si>
  <si>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</si>
  <si>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</si>
  <si>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</si>
  <si>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</si>
  <si>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</si>
  <si>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</si>
  <si>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</si>
  <si>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</si>
  <si>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</si>
  <si>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</si>
  <si>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</si>
  <si>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</si>
  <si>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</si>
  <si>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</si>
  <si>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</si>
  <si>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</si>
  <si>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</si>
  <si>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</si>
  <si>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</si>
  <si>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</si>
  <si>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</si>
  <si>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</si>
  <si>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</si>
  <si>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</si>
  <si>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</si>
  <si>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</si>
  <si>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</si>
  <si>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</si>
  <si>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</si>
  <si>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</si>
  <si>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</si>
  <si>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</si>
  <si>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</si>
  <si>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</si>
  <si>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</si>
  <si>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</si>
  <si>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</si>
  <si>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</si>
  <si>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</si>
  <si>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</si>
  <si>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</si>
  <si>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</si>
  <si>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</si>
  <si>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</si>
  <si>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</si>
  <si>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</si>
  <si>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</si>
  <si>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</si>
  <si>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</si>
  <si>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</si>
  <si>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</si>
  <si>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</si>
  <si>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</si>
  <si>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</si>
  <si>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</si>
  <si>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</si>
  <si>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</si>
  <si>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</si>
  <si>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</si>
  <si>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</si>
  <si>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</si>
  <si>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</si>
  <si>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</si>
  <si>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</si>
  <si>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</si>
  <si>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</si>
  <si>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</si>
  <si>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</si>
  <si>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</si>
  <si>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</si>
  <si>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</si>
  <si>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</si>
  <si>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</si>
  <si>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</si>
  <si>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</si>
  <si>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</si>
  <si>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</si>
  <si>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</si>
  <si>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</si>
  <si>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</si>
  <si>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</si>
  <si>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</si>
  <si>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</si>
  <si>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</si>
  <si>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</si>
  <si>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</si>
  <si>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</si>
  <si>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</si>
  <si>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</si>
  <si>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</si>
  <si>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</si>
  <si>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</si>
  <si>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</si>
  <si>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</si>
  <si>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</si>
  <si>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</si>
  <si>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</si>
  <si>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</si>
  <si>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</si>
  <si>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</si>
  <si>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</si>
  <si>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</si>
  <si>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</si>
  <si>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</si>
  <si>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</si>
  <si>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</si>
  <si>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</si>
  <si>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</si>
  <si>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</si>
  <si>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</si>
  <si>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</si>
  <si>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</si>
  <si>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</si>
  <si>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</si>
  <si>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</si>
  <si>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</si>
  <si>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</si>
  <si>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</si>
  <si>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</si>
  <si>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</si>
  <si>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</si>
  <si>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</si>
  <si>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</si>
  <si>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</si>
  <si>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</si>
  <si>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</si>
  <si>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</si>
  <si>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</si>
  <si>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</si>
  <si>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</si>
  <si>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</si>
  <si>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</si>
  <si>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</si>
  <si>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</si>
  <si>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</si>
  <si>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</si>
  <si>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</si>
  <si>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</si>
  <si>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</si>
  <si>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</si>
  <si>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</si>
  <si>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</si>
  <si>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</si>
  <si>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</si>
  <si>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</si>
  <si>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</si>
  <si>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</si>
  <si>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</si>
  <si>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</si>
  <si>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</si>
  <si>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</si>
  <si>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</si>
  <si>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</si>
  <si>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</si>
  <si>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</si>
  <si>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</si>
  <si>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</si>
  <si>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</si>
  <si>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</si>
  <si>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</si>
  <si>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</si>
  <si>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</si>
  <si>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</si>
  <si>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</si>
  <si>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</si>
  <si>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</si>
  <si>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</si>
  <si>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</si>
  <si>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</si>
  <si>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</si>
  <si>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</si>
  <si>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</si>
  <si>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</si>
  <si>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</si>
  <si>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</si>
  <si>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</si>
  <si>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</si>
  <si>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</si>
  <si>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</si>
  <si>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</si>
  <si>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</si>
  <si>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</si>
  <si>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</si>
  <si>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</si>
  <si>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</si>
  <si>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</si>
  <si>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</si>
  <si>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</si>
  <si>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</si>
  <si>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</si>
  <si>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</si>
  <si>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</si>
  <si>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</si>
  <si>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</si>
  <si>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</si>
  <si>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</si>
  <si>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</si>
  <si>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</si>
  <si>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</si>
  <si>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</si>
  <si>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</si>
  <si>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</si>
  <si>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</si>
  <si>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</si>
  <si>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</si>
  <si>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</si>
  <si>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</si>
  <si>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</si>
  <si>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</si>
  <si>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</si>
  <si>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</si>
  <si>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</si>
  <si>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</si>
  <si>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</si>
  <si>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</si>
  <si>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</si>
  <si>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</si>
  <si>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</si>
  <si>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</si>
  <si>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</si>
  <si>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</si>
  <si>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</si>
  <si>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</si>
  <si>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</si>
  <si>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</si>
  <si>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</si>
  <si>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</si>
  <si>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</si>
  <si>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</si>
  <si>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</si>
  <si>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</si>
  <si>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</si>
  <si>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</si>
  <si>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</si>
  <si>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</si>
  <si>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</si>
  <si>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</si>
  <si>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</si>
  <si>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</si>
  <si>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</si>
  <si>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</si>
  <si>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</si>
  <si>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</si>
  <si>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</si>
  <si>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</si>
  <si>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</si>
  <si>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</si>
  <si>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</si>
  <si>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</si>
  <si>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</si>
  <si>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</si>
  <si>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</si>
  <si>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</si>
  <si>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</si>
  <si>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</si>
  <si>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</si>
  <si>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</si>
  <si>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</si>
  <si>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</si>
  <si>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</si>
  <si>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</si>
  <si>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</si>
  <si>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</si>
  <si>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</si>
  <si>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</si>
  <si>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</si>
  <si>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</si>
  <si>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</si>
  <si>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</si>
  <si>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</si>
  <si>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</si>
  <si>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</si>
  <si>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</si>
  <si>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</si>
  <si>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</si>
  <si>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</si>
  <si>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</si>
  <si>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</si>
  <si>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</si>
  <si>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</si>
  <si>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</si>
  <si>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</si>
  <si>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</si>
  <si>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</si>
  <si>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</si>
  <si>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</si>
  <si>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</si>
  <si>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</si>
  <si>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</si>
  <si>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</si>
  <si>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</si>
  <si>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</si>
  <si>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</si>
  <si>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</si>
  <si>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</si>
  <si>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</si>
  <si>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</si>
  <si>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</si>
  <si>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</si>
  <si>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</si>
  <si>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</si>
  <si>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</si>
  <si>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</si>
  <si>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</si>
  <si>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</si>
  <si>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</si>
  <si>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</si>
  <si>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</si>
  <si>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</si>
  <si>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</si>
  <si>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</si>
  <si>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</si>
  <si>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</si>
  <si>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</si>
  <si>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</si>
  <si>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</si>
  <si>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</si>
  <si>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</si>
  <si>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</si>
  <si>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</si>
  <si>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</si>
  <si>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</si>
  <si>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</si>
  <si>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</si>
  <si>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</si>
  <si>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</si>
  <si>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</si>
  <si>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</si>
  <si>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</si>
  <si>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</si>
  <si>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</si>
  <si>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</si>
  <si>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</si>
  <si>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</si>
  <si>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</si>
  <si>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</si>
  <si>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</si>
  <si>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</si>
  <si>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</si>
  <si>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</si>
  <si>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</si>
  <si>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</si>
  <si>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</si>
  <si>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</si>
  <si>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</si>
  <si>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</si>
  <si>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</si>
  <si>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</si>
  <si>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</si>
  <si>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</si>
  <si>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</si>
  <si>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</si>
  <si>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</si>
  <si>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</si>
  <si>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</si>
  <si>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</si>
  <si>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</si>
  <si>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</si>
  <si>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</si>
  <si>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</si>
  <si>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</si>
  <si>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</si>
  <si>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</si>
  <si>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</si>
  <si>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</si>
  <si>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</si>
  <si>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</si>
  <si>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</si>
  <si>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</si>
  <si>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</si>
  <si>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</si>
  <si>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</si>
  <si>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</si>
  <si>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</si>
  <si>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</si>
  <si>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</si>
  <si>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</si>
  <si>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</si>
  <si>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</si>
  <si>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</si>
  <si>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</si>
  <si>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</si>
  <si>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</si>
  <si>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</si>
  <si>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</si>
  <si>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</si>
  <si>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</si>
  <si>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</si>
  <si>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</si>
  <si>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</si>
  <si>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</si>
  <si>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</si>
  <si>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</si>
  <si>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</si>
  <si>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</si>
  <si>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</si>
  <si>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</si>
  <si>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</si>
  <si>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</si>
  <si>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</si>
  <si>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</si>
  <si>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</si>
  <si>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</si>
  <si>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</si>
  <si>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</si>
  <si>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</si>
  <si>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</si>
  <si>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</si>
  <si>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</si>
  <si>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</si>
  <si>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</si>
  <si>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</si>
  <si>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</si>
  <si>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</si>
  <si>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</si>
  <si>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</si>
  <si>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</si>
  <si>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</si>
  <si>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</si>
  <si>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</si>
  <si>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</si>
  <si>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</si>
  <si>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</si>
  <si>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</si>
  <si>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</si>
  <si>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</si>
  <si>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</si>
  <si>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</si>
  <si>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</si>
  <si>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</si>
  <si>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</si>
  <si>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</si>
  <si>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</si>
  <si>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</si>
  <si>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</si>
  <si>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</si>
  <si>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</si>
  <si>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</si>
  <si>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</si>
  <si>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</si>
  <si>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</si>
  <si>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</si>
  <si>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</si>
  <si>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</si>
  <si>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</si>
  <si>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</si>
  <si>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</si>
  <si>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</si>
  <si>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</si>
  <si>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</si>
  <si>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</si>
  <si>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</si>
  <si>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</si>
  <si>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</si>
  <si>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</si>
  <si>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</si>
  <si>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</si>
  <si>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</si>
  <si>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</si>
  <si>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</si>
  <si>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</si>
  <si>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</si>
  <si>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</si>
  <si>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</si>
  <si>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</si>
  <si>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</si>
  <si>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</si>
  <si>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</si>
  <si>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</si>
  <si>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</si>
  <si>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</si>
  <si>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</si>
  <si>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</si>
  <si>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</si>
  <si>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</si>
  <si>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</si>
  <si>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</si>
  <si>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</si>
  <si>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</si>
  <si>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</si>
  <si>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</si>
  <si>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</si>
  <si>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</si>
  <si>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</si>
  <si>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</si>
  <si>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</si>
  <si>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</si>
  <si>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</si>
  <si>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</si>
  <si>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</si>
  <si>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</si>
  <si>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</si>
  <si>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</si>
  <si>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</si>
  <si>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</si>
  <si>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</si>
  <si>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</si>
  <si>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</si>
  <si>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</si>
  <si>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</si>
  <si>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</si>
  <si>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</si>
  <si>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</si>
  <si>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</si>
  <si>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</si>
  <si>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</si>
  <si>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</si>
  <si>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</si>
  <si>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</si>
  <si>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</si>
  <si>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</si>
  <si>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</si>
  <si>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</si>
  <si>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</si>
  <si>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</si>
  <si>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</si>
  <si>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</si>
  <si>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</si>
  <si>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</si>
  <si>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</si>
  <si>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</si>
  <si>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</si>
  <si>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</si>
  <si>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</si>
  <si>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</si>
  <si>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</si>
  <si>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</si>
  <si>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</si>
  <si>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</si>
  <si>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</si>
  <si>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</si>
  <si>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</si>
  <si>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</si>
  <si>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</si>
  <si>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</si>
  <si>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</si>
  <si>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</si>
  <si>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</si>
  <si>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</si>
  <si>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</si>
  <si>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</si>
  <si>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</si>
  <si>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</si>
  <si>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</si>
  <si>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</si>
  <si>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</si>
  <si>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</si>
  <si>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</si>
  <si>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</si>
  <si>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</si>
  <si>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</si>
  <si>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</si>
  <si>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</si>
  <si>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</si>
  <si>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</si>
  <si>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</si>
  <si>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</si>
  <si>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</si>
  <si>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</si>
  <si>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</si>
  <si>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</si>
  <si>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</si>
  <si>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</si>
  <si>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</si>
  <si>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</si>
  <si>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</si>
  <si>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</si>
  <si>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</si>
  <si>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</si>
  <si>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</si>
  <si>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</si>
  <si>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</si>
  <si>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</si>
  <si>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</si>
  <si>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</si>
  <si>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</si>
  <si>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</si>
  <si>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</si>
  <si>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</si>
  <si>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</si>
  <si>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</si>
  <si>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</si>
  <si>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</si>
  <si>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</si>
  <si>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</si>
  <si>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</si>
  <si>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</si>
  <si>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</si>
  <si>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</si>
  <si>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</si>
  <si>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</si>
  <si>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</si>
  <si>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</si>
  <si>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</si>
  <si>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</si>
  <si>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</si>
  <si>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</si>
  <si>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</si>
  <si>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</si>
  <si>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</si>
  <si>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</si>
  <si>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</si>
  <si>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</si>
  <si>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</si>
  <si>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</si>
  <si>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</si>
  <si>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</si>
  <si>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</si>
  <si>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</si>
  <si>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</si>
  <si>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</si>
  <si>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</si>
  <si>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</si>
  <si>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</si>
  <si>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</si>
  <si>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</si>
  <si>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</si>
  <si>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</si>
  <si>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</si>
  <si>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</si>
  <si>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</si>
  <si>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</si>
  <si>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</si>
  <si>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</si>
  <si>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</si>
  <si>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</si>
  <si>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</si>
  <si>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</si>
  <si>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</si>
  <si>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</si>
  <si>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</si>
  <si>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</si>
  <si>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</si>
  <si>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</si>
  <si>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</si>
  <si>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</si>
  <si>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</si>
  <si>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</si>
  <si>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</si>
  <si>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</si>
  <si>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</si>
  <si>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</si>
  <si>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</si>
  <si>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</si>
  <si>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</si>
  <si>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</si>
  <si>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</si>
  <si>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</si>
  <si>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</si>
  <si>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</si>
  <si>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</si>
  <si>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</si>
  <si>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</si>
  <si>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</si>
  <si>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</si>
  <si>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</si>
  <si>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</si>
  <si>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</si>
  <si>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</si>
  <si>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</si>
  <si>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</si>
  <si>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</si>
  <si>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</si>
  <si>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</si>
  <si>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</si>
  <si>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</si>
  <si>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</si>
  <si>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</si>
  <si>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</si>
  <si>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</si>
  <si>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</si>
  <si>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</si>
  <si>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</si>
  <si>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</si>
  <si>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</si>
  <si>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</si>
  <si>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</si>
  <si>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</si>
  <si>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</si>
  <si>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</si>
  <si>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</si>
  <si>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</si>
  <si>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</si>
  <si>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</si>
  <si>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</si>
  <si>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</si>
  <si>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</si>
  <si>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</si>
  <si>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</si>
  <si>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</si>
  <si>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</si>
  <si>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</si>
  <si>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</si>
  <si>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</si>
  <si>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</si>
  <si>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</si>
  <si>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</si>
  <si>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</si>
  <si>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</si>
  <si>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</si>
  <si>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</si>
  <si>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</si>
  <si>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</si>
  <si>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</si>
  <si>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</si>
  <si>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</si>
  <si>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</si>
  <si>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</si>
  <si>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</si>
  <si>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</si>
  <si>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</si>
  <si>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</si>
  <si>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</si>
  <si>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</si>
  <si>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</si>
  <si>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</si>
  <si>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</si>
  <si>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</si>
  <si>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</si>
  <si>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</si>
  <si>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</si>
  <si>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</si>
  <si>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</si>
  <si>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</si>
  <si>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</si>
  <si>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</si>
  <si>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</si>
  <si>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</si>
  <si>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</si>
  <si>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</si>
  <si>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</si>
  <si>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</si>
  <si>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</si>
  <si>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</si>
  <si>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</si>
  <si>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</si>
  <si>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</si>
  <si>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</si>
  <si>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</si>
  <si>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</si>
  <si>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</si>
  <si>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</si>
  <si>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</si>
  <si>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</si>
  <si>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</si>
  <si>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</si>
  <si>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</si>
  <si>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</si>
  <si>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</si>
  <si>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</si>
  <si>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</si>
  <si>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</si>
  <si>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</si>
  <si>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</si>
  <si>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</si>
  <si>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</si>
  <si>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</si>
  <si>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</si>
  <si>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</si>
  <si>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</si>
  <si>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</si>
  <si>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</si>
  <si>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</si>
  <si>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</si>
  <si>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</si>
  <si>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</si>
  <si>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</si>
  <si>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</si>
  <si>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</si>
  <si>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</si>
  <si>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</si>
  <si>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</si>
  <si>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</si>
  <si>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</si>
  <si>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</si>
  <si>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</si>
  <si>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</si>
  <si>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</si>
  <si>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</si>
  <si>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</si>
  <si>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</si>
  <si>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</si>
  <si>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</si>
  <si>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</si>
  <si>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</si>
  <si>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</si>
  <si>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</si>
  <si>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</si>
  <si>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</si>
  <si>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</si>
  <si>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</si>
  <si>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</si>
  <si>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</si>
  <si>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</si>
  <si>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</si>
  <si>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</si>
  <si>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</si>
  <si>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</si>
  <si>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</si>
  <si>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</si>
  <si>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</si>
  <si>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</si>
  <si>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</si>
  <si>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</si>
  <si>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</si>
  <si>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</si>
  <si>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</si>
  <si>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</si>
  <si>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</si>
  <si>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</si>
  <si>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</si>
  <si>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</si>
  <si>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</si>
  <si>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</si>
  <si>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</si>
  <si>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</si>
  <si>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</si>
  <si>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</si>
  <si>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</si>
  <si>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</si>
  <si>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</si>
  <si>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</si>
  <si>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</si>
  <si>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</si>
  <si>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</si>
  <si>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</si>
  <si>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</si>
  <si>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</si>
  <si>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</si>
  <si>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</si>
  <si>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</si>
  <si>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</si>
  <si>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</si>
  <si>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</si>
  <si>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</si>
  <si>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</si>
  <si>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</si>
  <si>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</si>
  <si>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</si>
  <si>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</si>
  <si>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</si>
  <si>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</si>
  <si>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</si>
  <si>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</si>
  <si>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</si>
  <si>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</si>
  <si>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</si>
  <si>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</si>
  <si>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</si>
  <si>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</si>
  <si>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</si>
  <si>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</si>
  <si>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</si>
  <si>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</si>
  <si>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</si>
  <si>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</si>
  <si>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</si>
  <si>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</si>
  <si>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</si>
  <si>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</si>
  <si>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</si>
  <si>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</si>
  <si>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</si>
  <si>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</si>
  <si>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</si>
  <si>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</si>
  <si>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</si>
  <si>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</si>
  <si>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</si>
  <si>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</si>
  <si>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</si>
  <si>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</si>
  <si>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</si>
  <si>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</si>
  <si>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</si>
  <si>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</si>
  <si>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</si>
  <si>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</si>
  <si>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</si>
  <si>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</si>
  <si>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</si>
  <si>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</si>
  <si>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</si>
  <si>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</si>
  <si>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</si>
  <si>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</si>
  <si>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</si>
  <si>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</si>
  <si>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</si>
  <si>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</si>
  <si>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</si>
  <si>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</si>
  <si>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</si>
  <si>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</si>
  <si>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</si>
  <si>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</si>
  <si>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</si>
  <si>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</si>
  <si>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</si>
  <si>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</si>
  <si>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</si>
  <si>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</si>
  <si>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</si>
  <si>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</si>
  <si>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</si>
  <si>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</si>
  <si>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</si>
  <si>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</si>
  <si>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</si>
  <si>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</si>
  <si>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</si>
  <si>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</si>
  <si>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</si>
  <si>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</si>
  <si>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</si>
  <si>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</si>
  <si>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</si>
  <si>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</si>
  <si>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</si>
  <si>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</si>
  <si>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</si>
  <si>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</si>
  <si>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</si>
  <si>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</si>
  <si>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</si>
  <si>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</si>
  <si>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</si>
  <si>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</si>
  <si>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</si>
  <si>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</si>
  <si>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</si>
  <si>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</si>
  <si>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</si>
  <si>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</si>
  <si>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</si>
  <si>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</si>
  <si>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</si>
  <si>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</si>
  <si>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</si>
  <si>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</si>
  <si>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</si>
  <si>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</si>
  <si>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</si>
  <si>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</si>
  <si>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</si>
  <si>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</si>
  <si>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</si>
  <si>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</si>
  <si>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</si>
  <si>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</si>
  <si>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</si>
  <si>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</si>
  <si>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</si>
  <si>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</si>
  <si>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</si>
  <si>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</si>
  <si>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</si>
  <si>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</si>
  <si>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</si>
  <si>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</si>
  <si>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</si>
  <si>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</si>
  <si>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</si>
  <si>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</si>
  <si>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</si>
  <si>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</si>
  <si>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</si>
  <si>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</si>
  <si>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</si>
  <si>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</si>
  <si>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</si>
  <si>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</si>
  <si>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</si>
  <si>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</si>
  <si>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</si>
  <si>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</si>
  <si>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</si>
  <si>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</si>
  <si>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</si>
  <si>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</si>
  <si>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</si>
  <si>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</si>
  <si>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</si>
  <si>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</si>
  <si>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</si>
  <si>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</si>
  <si>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</si>
  <si>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</si>
  <si>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</si>
  <si>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</si>
  <si>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</si>
  <si>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</si>
  <si>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</si>
  <si>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</si>
  <si>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</si>
  <si>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</si>
  <si>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</si>
  <si>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</si>
  <si>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</si>
  <si>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</si>
  <si>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</si>
  <si>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</si>
  <si>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</si>
  <si>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</si>
  <si>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</si>
  <si>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</si>
  <si>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</si>
  <si>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</si>
  <si>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</si>
  <si>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</si>
  <si>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</si>
  <si>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</si>
  <si>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</si>
  <si>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</si>
  <si>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</si>
  <si>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</si>
  <si>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</si>
  <si>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</si>
  <si>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</si>
  <si>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</si>
  <si>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</si>
  <si>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</si>
  <si>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</si>
  <si>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</si>
  <si>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</si>
  <si>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</si>
  <si>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</si>
  <si>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</si>
  <si>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</si>
  <si>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</si>
  <si>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</si>
  <si>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</si>
  <si>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</si>
  <si>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</si>
  <si>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</si>
  <si>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</si>
  <si>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</si>
  <si>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</si>
  <si>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</si>
  <si>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</si>
  <si>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</si>
  <si>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</si>
  <si>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</si>
  <si>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</si>
  <si>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</si>
  <si>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</si>
  <si>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</si>
  <si>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</si>
  <si>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</si>
  <si>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</si>
  <si>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</si>
  <si>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</si>
  <si>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</si>
  <si>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</si>
  <si>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</si>
  <si>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</si>
  <si>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</si>
  <si>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</si>
  <si>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</si>
  <si>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</si>
  <si>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</si>
  <si>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</si>
  <si>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</si>
  <si>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</si>
  <si>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</si>
  <si>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</si>
  <si>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</si>
  <si>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</si>
  <si>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</si>
  <si>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</si>
  <si>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</si>
  <si>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</si>
  <si>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</si>
  <si>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</si>
  <si>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</si>
  <si>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</si>
  <si>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</si>
  <si>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</si>
  <si>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</si>
  <si>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</si>
  <si>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</si>
  <si>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</si>
  <si>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</si>
  <si>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</si>
  <si>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</si>
  <si>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</si>
  <si>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</si>
  <si>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</si>
  <si>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</si>
  <si>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</si>
  <si>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</si>
  <si>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</si>
  <si>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</si>
  <si>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</si>
  <si>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</si>
  <si>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</si>
  <si>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</si>
  <si>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</si>
  <si>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</si>
  <si>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</si>
  <si>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</si>
  <si>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</si>
  <si>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</si>
  <si>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</si>
  <si>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</si>
  <si>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</si>
  <si>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</si>
  <si>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</si>
  <si>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</si>
  <si>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</si>
  <si>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</si>
  <si>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</si>
  <si>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</si>
  <si>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</si>
  <si>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</si>
  <si>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</si>
  <si>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</si>
  <si>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</si>
  <si>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</si>
  <si>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</si>
  <si>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</si>
  <si>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</si>
  <si>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</si>
  <si>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</si>
  <si>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</si>
  <si>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</si>
  <si>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</si>
  <si>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</si>
  <si>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</si>
  <si>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</si>
  <si>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</si>
  <si>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</si>
  <si>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</si>
  <si>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</si>
  <si>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</si>
  <si>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</si>
  <si>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</si>
  <si>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</si>
  <si>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</si>
  <si>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</si>
  <si>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</si>
  <si>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</si>
  <si>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</si>
  <si>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</si>
  <si>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</si>
  <si>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</si>
  <si>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</si>
  <si>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</si>
  <si>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</si>
  <si>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</si>
  <si>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</si>
  <si>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</si>
  <si>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</si>
  <si>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</si>
  <si>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</si>
  <si>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</si>
  <si>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</si>
  <si>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</si>
  <si>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</si>
  <si>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</si>
  <si>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</si>
  <si>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</si>
  <si>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</si>
  <si>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</si>
  <si>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</si>
  <si>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</si>
  <si>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</si>
  <si>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</si>
  <si>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</si>
  <si>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</si>
  <si>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</si>
  <si>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</si>
  <si>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</si>
  <si>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</si>
  <si>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</si>
  <si>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</si>
  <si>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</si>
  <si>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</si>
  <si>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</si>
  <si>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</si>
  <si>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</si>
  <si>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</si>
  <si>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</si>
  <si>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</si>
  <si>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</si>
  <si>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</si>
  <si>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</si>
  <si>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</si>
  <si>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</si>
  <si>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</si>
  <si>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</si>
  <si>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</si>
  <si>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</si>
  <si>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</si>
  <si>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</si>
  <si>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</si>
  <si>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</si>
  <si>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</si>
  <si>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</si>
  <si>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</si>
  <si>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</si>
  <si>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</si>
  <si>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</si>
  <si>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</si>
  <si>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</si>
  <si>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</si>
  <si>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</si>
  <si>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</si>
  <si>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</si>
  <si>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</si>
  <si>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</si>
  <si>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</si>
  <si>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</si>
  <si>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</si>
  <si>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</si>
  <si>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</si>
  <si>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</si>
  <si>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</si>
  <si>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</si>
  <si>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</si>
  <si>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</si>
  <si>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</si>
  <si>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</si>
  <si>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</si>
  <si>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</si>
  <si>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</si>
  <si>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</si>
  <si>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</si>
  <si>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</si>
  <si>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</si>
  <si>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</si>
  <si>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</si>
  <si>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</si>
  <si>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</si>
  <si>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</si>
  <si>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</si>
  <si>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</si>
  <si>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</si>
  <si>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</si>
  <si>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</si>
  <si>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</si>
  <si>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</si>
  <si>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</si>
  <si>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</si>
  <si>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</si>
  <si>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</si>
  <si>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</si>
  <si>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</si>
  <si>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</si>
  <si>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</si>
  <si>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</si>
  <si>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</si>
  <si>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</si>
  <si>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</si>
  <si>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</si>
  <si>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</si>
  <si>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</si>
  <si>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</si>
  <si>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</si>
  <si>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</si>
  <si>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</si>
  <si>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</si>
  <si>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</si>
  <si>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</si>
  <si>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</si>
  <si>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</si>
  <si>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</si>
  <si>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</si>
  <si>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</si>
  <si>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</si>
  <si>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</si>
  <si>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</si>
  <si>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</si>
  <si>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</si>
  <si>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</si>
  <si>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</si>
  <si>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</si>
  <si>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</si>
  <si>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</si>
  <si>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</si>
  <si>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</si>
  <si>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</si>
  <si>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</si>
  <si>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</si>
  <si>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</si>
  <si>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</si>
  <si>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</si>
  <si>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</si>
  <si>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</si>
  <si>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</si>
  <si>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</si>
  <si>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</si>
  <si>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</si>
  <si>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</si>
  <si>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</si>
  <si>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</si>
  <si>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</si>
  <si>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</si>
  <si>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</si>
  <si>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</si>
  <si>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</si>
  <si>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</si>
  <si>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</si>
  <si>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</si>
  <si>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</si>
  <si>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</si>
  <si>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</si>
  <si>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</si>
  <si>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</si>
  <si>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</si>
  <si>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</si>
  <si>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</si>
  <si>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</si>
  <si>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</si>
  <si>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</si>
  <si>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</si>
  <si>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</si>
  <si>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</si>
  <si>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</si>
  <si>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</si>
  <si>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</si>
  <si>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</si>
  <si>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</si>
  <si>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</si>
  <si>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</si>
  <si>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</si>
  <si>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</si>
  <si>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</si>
  <si>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</si>
  <si>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</si>
  <si>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</si>
  <si>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</si>
  <si>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</si>
  <si>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</si>
  <si>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</si>
  <si>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</si>
  <si>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</si>
  <si>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</si>
  <si>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</si>
  <si>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</si>
  <si>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</si>
  <si>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</si>
  <si>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</si>
  <si>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</si>
  <si>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</si>
  <si>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</si>
  <si>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</si>
  <si>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</si>
  <si>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</si>
  <si>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</si>
  <si>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</si>
  <si>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</si>
  <si>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</si>
  <si>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</si>
  <si>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</si>
  <si>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</si>
  <si>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</si>
  <si>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</si>
  <si>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</si>
  <si>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</si>
  <si>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</si>
  <si>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</si>
  <si>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</si>
  <si>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</si>
  <si>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</si>
  <si>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</si>
  <si>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</si>
  <si>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</si>
  <si>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</si>
  <si>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</si>
  <si>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</si>
  <si>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</si>
  <si>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</si>
  <si>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</si>
  <si>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</si>
  <si>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</si>
  <si>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</si>
  <si>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</si>
  <si>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</si>
  <si>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</si>
  <si>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</si>
  <si>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</si>
  <si>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</si>
  <si>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</si>
  <si>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</si>
  <si>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</si>
  <si>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</si>
  <si>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</si>
  <si>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</si>
  <si>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</si>
  <si>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</si>
  <si>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</si>
  <si>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</si>
  <si>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</si>
  <si>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</si>
  <si>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</si>
  <si>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</si>
  <si>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</si>
  <si>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</si>
  <si>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</si>
  <si>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</si>
  <si>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</si>
  <si>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</si>
  <si>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</si>
  <si>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</si>
  <si>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</si>
  <si>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</si>
  <si>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</si>
  <si>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</si>
  <si>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</si>
  <si>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</si>
  <si>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</si>
  <si>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</si>
  <si>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</si>
  <si>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</si>
  <si>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</si>
  <si>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</si>
  <si>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</si>
  <si>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</si>
  <si>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</si>
  <si>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</si>
  <si>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</si>
  <si>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</si>
  <si>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</si>
  <si>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</si>
  <si>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</si>
  <si>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</si>
  <si>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</si>
  <si>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</si>
  <si>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</si>
  <si>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</si>
  <si>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</si>
  <si>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</si>
  <si>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</si>
  <si>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</si>
  <si>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</si>
  <si>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</si>
  <si>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</si>
  <si>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</si>
  <si>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</si>
  <si>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</si>
  <si>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</si>
  <si>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</si>
  <si>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</si>
  <si>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</si>
  <si>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</si>
  <si>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</si>
  <si>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</si>
  <si>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</si>
  <si>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</si>
  <si>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</si>
  <si>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</si>
  <si>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</si>
  <si>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</si>
  <si>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</si>
  <si>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</si>
  <si>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</si>
  <si>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</si>
  <si>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</si>
  <si>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</si>
  <si>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</si>
  <si>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</si>
  <si>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</si>
  <si>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</si>
  <si>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</si>
  <si>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</si>
  <si>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</si>
  <si>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</si>
  <si>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</si>
  <si>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</si>
  <si>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</si>
  <si>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</si>
  <si>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</si>
  <si>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</si>
  <si>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</si>
  <si>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</si>
  <si>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</si>
  <si>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</si>
  <si>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</si>
  <si>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</si>
  <si>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</si>
  <si>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</si>
  <si>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</si>
  <si>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</si>
  <si>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</si>
  <si>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</si>
  <si>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</si>
  <si>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</si>
  <si>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</si>
  <si>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</si>
  <si>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</si>
  <si>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</si>
  <si>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</si>
  <si>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</si>
  <si>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</si>
  <si>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</si>
  <si>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</si>
  <si>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</si>
  <si>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</si>
  <si>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</si>
  <si>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</si>
  <si>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</si>
  <si>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</si>
  <si>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</si>
  <si>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</si>
  <si>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</si>
  <si>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</si>
  <si>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</si>
  <si>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</si>
  <si>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</si>
  <si>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</si>
  <si>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</si>
  <si>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</si>
  <si>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</si>
  <si>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</si>
  <si>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</si>
  <si>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</si>
  <si>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</si>
  <si>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</si>
  <si>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</si>
  <si>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</si>
  <si>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</si>
  <si>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</si>
  <si>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</si>
  <si>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</si>
  <si>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</si>
  <si>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</si>
  <si>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</si>
  <si>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</si>
  <si>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</si>
  <si>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</si>
  <si>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</si>
  <si>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</si>
  <si>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</si>
  <si>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</si>
  <si>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</si>
  <si>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</si>
  <si>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</si>
  <si>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</si>
  <si>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</si>
  <si>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</si>
  <si>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</si>
  <si>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</si>
  <si>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</si>
  <si>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</si>
  <si>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</si>
  <si>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</si>
  <si>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</si>
  <si>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</si>
  <si>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</si>
  <si>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</si>
  <si>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</si>
  <si>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</si>
  <si>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</si>
  <si>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</si>
  <si>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</si>
  <si>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</si>
  <si>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</si>
  <si>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</si>
  <si>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</si>
  <si>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</si>
  <si>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</si>
  <si>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</si>
  <si>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</si>
  <si>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</si>
  <si>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</si>
  <si>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</si>
  <si>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</si>
  <si>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</si>
  <si>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</si>
  <si>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</si>
  <si>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</si>
  <si>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</si>
  <si>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</si>
  <si>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</si>
  <si>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</si>
  <si>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</si>
  <si>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</si>
  <si>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</si>
  <si>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</si>
  <si>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</si>
  <si>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</si>
  <si>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</si>
  <si>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</si>
  <si>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</si>
  <si>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</si>
  <si>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</si>
  <si>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</si>
  <si>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</si>
  <si>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</si>
  <si>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</si>
  <si>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</si>
  <si>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</si>
  <si>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</si>
  <si>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</si>
  <si>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</si>
  <si>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</si>
  <si>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</si>
  <si>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</si>
  <si>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</si>
  <si>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</si>
  <si>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</si>
  <si>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</si>
  <si>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</si>
  <si>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</si>
  <si>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</si>
  <si>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</si>
  <si>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</si>
  <si>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</si>
  <si>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</si>
  <si>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</si>
  <si>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</si>
  <si>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</si>
  <si>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</si>
  <si>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</si>
  <si>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</si>
  <si>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</si>
  <si>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</si>
  <si>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</si>
  <si>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</si>
  <si>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</si>
  <si>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</si>
  <si>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</si>
  <si>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</si>
  <si>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</si>
  <si>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</si>
  <si>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</si>
  <si>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</si>
  <si>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</si>
  <si>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</si>
  <si>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</si>
  <si>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</si>
  <si>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</si>
  <si>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</si>
  <si>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</si>
  <si>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</si>
  <si>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</si>
  <si>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</si>
  <si>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</si>
  <si>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</si>
  <si>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</si>
  <si>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</si>
  <si>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</si>
  <si>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</si>
  <si>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</si>
  <si>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</si>
  <si>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</si>
  <si>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</si>
  <si>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</si>
  <si>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</si>
  <si>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</si>
  <si>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</si>
  <si>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</si>
  <si>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</si>
  <si>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</si>
  <si>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</si>
  <si>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</si>
  <si>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</si>
  <si>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</si>
  <si>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</si>
  <si>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</si>
  <si>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</si>
  <si>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</si>
  <si>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</si>
  <si>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</si>
  <si>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</si>
  <si>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</si>
  <si>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</si>
  <si>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</si>
  <si>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</si>
  <si>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</si>
  <si>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</si>
  <si>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</si>
  <si>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</si>
  <si>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</si>
  <si>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</si>
  <si>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</si>
  <si>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</si>
  <si>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</si>
  <si>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</si>
  <si>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</si>
  <si>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</si>
  <si>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</si>
  <si>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</si>
  <si>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</si>
  <si>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</si>
  <si>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</si>
  <si>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</si>
  <si>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</si>
  <si>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</si>
  <si>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</si>
  <si>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</si>
  <si>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</si>
  <si>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</si>
  <si>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</si>
  <si>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</si>
  <si>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</si>
  <si>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</si>
  <si>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</si>
  <si>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</si>
  <si>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</si>
  <si>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</si>
  <si>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</si>
  <si>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</si>
  <si>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</si>
  <si>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</si>
  <si>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</si>
  <si>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</si>
  <si>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</si>
  <si>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</si>
  <si>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</si>
  <si>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</si>
  <si>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</si>
  <si>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</si>
  <si>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</si>
  <si>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</si>
  <si>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</si>
  <si>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</si>
  <si>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</si>
  <si>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</si>
  <si>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</si>
  <si>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</si>
  <si>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</si>
  <si>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</si>
  <si>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</si>
  <si>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</si>
  <si>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</si>
  <si>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</si>
  <si>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</si>
  <si>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</si>
  <si>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</si>
  <si>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</si>
  <si>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</si>
  <si>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</si>
  <si>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</si>
  <si>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</si>
  <si>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</si>
  <si>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</si>
  <si>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</si>
  <si>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</si>
  <si>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</si>
  <si>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</si>
  <si>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</si>
  <si>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</si>
  <si>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</si>
  <si>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</si>
  <si>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</si>
  <si>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</si>
  <si>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</si>
  <si>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</si>
  <si>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</si>
  <si>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</si>
  <si>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</si>
  <si>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</si>
  <si>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</si>
  <si>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</si>
  <si>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</si>
  <si>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</si>
  <si>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</si>
  <si>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</si>
  <si>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</si>
  <si>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</si>
  <si>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</si>
  <si>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</si>
  <si>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</si>
  <si>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</si>
  <si>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</si>
  <si>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</si>
  <si>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</si>
  <si>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</si>
  <si>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</si>
  <si>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</si>
  <si>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</si>
  <si>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</si>
  <si>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</si>
  <si>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</si>
  <si>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</si>
  <si>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</si>
  <si>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</si>
  <si>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</si>
  <si>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</si>
  <si>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</si>
  <si>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</si>
  <si>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</si>
  <si>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</si>
  <si>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</si>
  <si>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</si>
  <si>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</si>
  <si>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</si>
  <si>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</si>
  <si>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</si>
  <si>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</si>
  <si>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</si>
  <si>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</si>
  <si>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</si>
  <si>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</si>
  <si>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</si>
  <si>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</si>
  <si>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</si>
  <si>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</si>
  <si>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</si>
  <si>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</si>
  <si>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</si>
  <si>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</si>
  <si>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</si>
  <si>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</si>
  <si>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</si>
  <si>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</si>
  <si>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</si>
  <si>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</si>
  <si>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</si>
  <si>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</si>
  <si>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</si>
  <si>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</si>
  <si>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</si>
  <si>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</si>
  <si>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</si>
  <si>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</si>
  <si>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</si>
  <si>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</si>
  <si>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</si>
  <si>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</si>
  <si>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</si>
  <si>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</si>
  <si>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</si>
  <si>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</si>
  <si>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</si>
  <si>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</si>
  <si>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</si>
  <si>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</si>
  <si>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</si>
  <si>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</si>
  <si>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</si>
  <si>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</si>
  <si>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</si>
  <si>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</si>
  <si>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</si>
  <si>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</si>
  <si>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</si>
  <si>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</si>
  <si>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</si>
  <si>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</si>
  <si>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</si>
  <si>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</si>
  <si>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</si>
  <si>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</si>
  <si>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</si>
  <si>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</si>
  <si>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</si>
  <si>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</si>
  <si>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</si>
  <si>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</si>
  <si>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</si>
  <si>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</si>
  <si>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</si>
  <si>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</si>
  <si>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</si>
  <si>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</si>
  <si>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</si>
  <si>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</si>
  <si>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</si>
  <si>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</si>
  <si>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</si>
  <si>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</si>
  <si>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</si>
  <si>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</si>
  <si>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</si>
  <si>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</si>
  <si>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</si>
  <si>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</si>
  <si>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</si>
  <si>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</si>
  <si>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</si>
  <si>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</si>
  <si>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</si>
  <si>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</si>
  <si>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</si>
  <si>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</si>
  <si>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</si>
  <si>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</si>
  <si>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</si>
  <si>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</si>
  <si>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</si>
  <si>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</si>
  <si>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</si>
  <si>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</si>
  <si>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</si>
  <si>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</si>
  <si>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</si>
  <si>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</si>
  <si>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</si>
  <si>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</si>
  <si>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</si>
  <si>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</si>
  <si>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</si>
  <si>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</si>
  <si>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</si>
  <si>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</si>
  <si>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</si>
  <si>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</si>
  <si>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</si>
  <si>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</si>
  <si>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</si>
  <si>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</si>
  <si>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</si>
  <si>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</si>
  <si>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</si>
  <si>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</si>
  <si>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</si>
  <si>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</si>
  <si>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</si>
  <si>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</si>
  <si>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</si>
  <si>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</si>
  <si>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</si>
  <si>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</si>
  <si>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</si>
  <si>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</si>
  <si>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</si>
  <si>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</si>
  <si>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</si>
  <si>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</si>
  <si>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</si>
  <si>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</si>
  <si>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</si>
  <si>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</si>
  <si>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</si>
  <si>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</si>
  <si>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</si>
  <si>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</si>
  <si>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</si>
  <si>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</si>
  <si>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</si>
  <si>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</si>
  <si>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</si>
  <si>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</si>
  <si>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</si>
  <si>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</si>
  <si>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</si>
  <si>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</si>
  <si>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</si>
  <si>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</si>
  <si>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</si>
  <si>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</si>
  <si>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</si>
  <si>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</si>
  <si>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</si>
  <si>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</si>
  <si>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</si>
  <si>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</si>
  <si>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</si>
  <si>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</si>
  <si>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</si>
  <si>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</si>
  <si>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</si>
  <si>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</si>
  <si>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</si>
  <si>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</si>
  <si>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</si>
  <si>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</si>
  <si>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</si>
  <si>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</si>
  <si>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</si>
  <si>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</si>
  <si>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</si>
  <si>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</si>
  <si>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</si>
  <si>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</si>
  <si>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</si>
  <si>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</si>
  <si>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</si>
  <si>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</si>
  <si>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</si>
  <si>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</si>
  <si>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</si>
  <si>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</si>
  <si>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</si>
  <si>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</si>
  <si>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</si>
  <si>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</si>
  <si>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</si>
  <si>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</si>
  <si>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</si>
  <si>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</si>
  <si>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</si>
  <si>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</si>
  <si>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</si>
  <si>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</si>
  <si>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</si>
  <si>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</si>
  <si>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</si>
  <si>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</si>
  <si>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</si>
  <si>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</si>
  <si>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</si>
  <si>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</si>
  <si>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</si>
  <si>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</si>
  <si>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</si>
  <si>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</si>
  <si>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</si>
  <si>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</si>
  <si>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</si>
  <si>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</si>
  <si>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</si>
  <si>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</si>
  <si>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</si>
  <si>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</si>
  <si>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</si>
  <si>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</si>
  <si>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</si>
  <si>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</si>
  <si>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</si>
  <si>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</si>
  <si>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</si>
  <si>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</si>
  <si>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</si>
  <si>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</si>
  <si>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</si>
  <si>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</si>
  <si>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</si>
  <si>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</si>
  <si>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</si>
  <si>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</si>
  <si>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</si>
  <si>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</si>
  <si>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</si>
  <si>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</si>
  <si>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</si>
  <si>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</si>
  <si>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</si>
  <si>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</si>
  <si>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</si>
  <si>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</si>
  <si>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</si>
  <si>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</si>
  <si>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</si>
  <si>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</si>
  <si>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</si>
  <si>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</si>
  <si>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</si>
  <si>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</si>
  <si>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</si>
  <si>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</si>
  <si>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</si>
  <si>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</si>
  <si>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</si>
  <si>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</si>
  <si>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</si>
  <si>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</si>
  <si>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</si>
  <si>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</si>
  <si>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</si>
  <si>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</si>
  <si>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</si>
  <si>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</si>
  <si>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</si>
  <si>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</si>
  <si>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</si>
  <si>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</si>
  <si>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</si>
  <si>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</si>
  <si>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</si>
  <si>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</si>
  <si>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</si>
  <si>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</si>
  <si>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</si>
  <si>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</si>
  <si>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</si>
  <si>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</si>
  <si>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</si>
  <si>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</si>
  <si>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</si>
  <si>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</si>
  <si>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</si>
  <si>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</si>
  <si>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</si>
  <si>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</si>
  <si>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</si>
  <si>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</si>
  <si>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</si>
  <si>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</si>
  <si>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</si>
  <si>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</si>
  <si>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</si>
  <si>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</si>
  <si>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</si>
  <si>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</si>
  <si>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</si>
  <si>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</si>
  <si>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</si>
  <si>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</si>
  <si>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</si>
  <si>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</si>
  <si>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</si>
  <si>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</si>
  <si>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</si>
  <si>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</si>
  <si>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</si>
  <si>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</si>
  <si>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</si>
  <si>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</si>
  <si>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</si>
  <si>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</si>
  <si>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</si>
  <si>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</si>
  <si>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</si>
  <si>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</si>
  <si>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</si>
  <si>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</si>
  <si>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</si>
  <si>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</si>
  <si>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</si>
  <si>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</si>
  <si>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</si>
  <si>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</si>
  <si>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</si>
  <si>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</si>
  <si>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</si>
  <si>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</si>
  <si>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</si>
  <si>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</si>
  <si>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</si>
  <si>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</si>
  <si>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</si>
  <si>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</si>
  <si>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</si>
  <si>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</si>
  <si>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</si>
  <si>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</si>
  <si>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</si>
  <si>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</si>
  <si>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</si>
  <si>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</si>
  <si>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</si>
  <si>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</si>
  <si>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</si>
  <si>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</si>
  <si>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</si>
  <si>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</si>
  <si>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</si>
  <si>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</si>
  <si>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</si>
  <si>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</si>
  <si>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</si>
  <si>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</si>
  <si>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</si>
  <si>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</si>
  <si>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</si>
  <si>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</si>
  <si>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</si>
  <si>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</si>
  <si>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</si>
  <si>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</si>
  <si>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</si>
  <si>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</si>
  <si>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</si>
  <si>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</si>
  <si>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</si>
  <si>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</si>
  <si>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</si>
  <si>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</si>
  <si>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</si>
  <si>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</si>
  <si>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</si>
  <si>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</si>
  <si>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</si>
  <si>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</si>
  <si>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</si>
  <si>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</si>
  <si>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</si>
  <si>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</si>
  <si>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</si>
  <si>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</si>
  <si>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</si>
  <si>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</si>
  <si>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</si>
  <si>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</si>
  <si>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</si>
  <si>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</si>
  <si>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</si>
  <si>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</si>
  <si>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</si>
  <si>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</si>
  <si>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</si>
  <si>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</si>
  <si>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</si>
  <si>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</si>
  <si>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</si>
  <si>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</si>
  <si>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</si>
  <si>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</si>
  <si>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</si>
  <si>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</si>
  <si>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</si>
  <si>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</si>
  <si>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</si>
  <si>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</si>
  <si>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</si>
  <si>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</si>
  <si>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</si>
  <si>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</si>
  <si>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</si>
  <si>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</si>
  <si>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</si>
  <si>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</si>
  <si>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</si>
  <si>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</si>
  <si>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</si>
  <si>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</si>
  <si>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</si>
  <si>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</si>
  <si>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</si>
  <si>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</si>
  <si>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</si>
  <si>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</si>
  <si>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</si>
  <si>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</si>
  <si>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</si>
  <si>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</si>
  <si>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</si>
  <si>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</si>
  <si>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</si>
  <si>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</si>
  <si>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</si>
  <si>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</si>
  <si>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</si>
  <si>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</si>
  <si>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</si>
  <si>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</si>
  <si>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</si>
  <si>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</si>
  <si>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</si>
  <si>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</si>
  <si>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</si>
  <si>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</si>
  <si>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</si>
  <si>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</si>
  <si>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</si>
  <si>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</si>
  <si>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</si>
  <si>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</si>
  <si>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</si>
  <si>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</si>
  <si>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</si>
  <si>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</si>
  <si>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</si>
  <si>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</si>
  <si>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</si>
  <si>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</si>
  <si>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</si>
  <si>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</si>
  <si>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</si>
  <si>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</si>
  <si>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</si>
  <si>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</si>
  <si>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</si>
  <si>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</si>
  <si>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</si>
  <si>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</si>
  <si>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</si>
  <si>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</si>
  <si>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</si>
  <si>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</si>
  <si>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</si>
  <si>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</si>
  <si>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</si>
  <si>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</si>
  <si>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</si>
  <si>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</si>
  <si>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</si>
  <si>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</si>
  <si>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</si>
  <si>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</si>
  <si>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</si>
  <si>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</si>
  <si>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</si>
  <si>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</si>
  <si>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</si>
  <si>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</si>
  <si>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</si>
  <si>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</si>
  <si>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</si>
  <si>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</si>
  <si>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</si>
  <si>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</si>
  <si>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</si>
  <si>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</si>
  <si>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</si>
  <si>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</si>
  <si>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</si>
  <si>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</si>
  <si>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</si>
  <si>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</si>
  <si>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</si>
  <si>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</si>
  <si>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</si>
  <si>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</si>
  <si>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</si>
  <si>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</si>
  <si>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</si>
  <si>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</si>
  <si>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</si>
  <si>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</si>
  <si>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</si>
  <si>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</si>
  <si>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</si>
  <si>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</si>
  <si>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</si>
  <si>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</si>
  <si>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</si>
  <si>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</si>
  <si>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</si>
  <si>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</si>
  <si>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</si>
  <si>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</si>
  <si>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</si>
  <si>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</si>
  <si>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</si>
  <si>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</si>
  <si>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</si>
  <si>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</si>
  <si>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</si>
  <si>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</si>
  <si>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</si>
  <si>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</si>
  <si>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</si>
  <si>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</si>
  <si>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</si>
  <si>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</si>
  <si>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</si>
  <si>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</si>
  <si>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</si>
  <si>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</si>
  <si>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</si>
  <si>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</si>
  <si>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</si>
  <si>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</si>
  <si>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</si>
  <si>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</si>
  <si>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</si>
  <si>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</si>
  <si>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</si>
  <si>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</si>
  <si>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</si>
  <si>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</si>
  <si>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</si>
  <si>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</si>
  <si>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</si>
  <si>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</si>
  <si>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</si>
  <si>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</si>
  <si>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</si>
  <si>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</si>
  <si>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</si>
  <si>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</si>
  <si>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</si>
  <si>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</si>
  <si>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</si>
  <si>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</si>
  <si>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</si>
  <si>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</si>
  <si>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</si>
  <si>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</si>
  <si>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</si>
  <si>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</si>
  <si>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</si>
  <si>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</si>
  <si>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</si>
  <si>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</si>
  <si>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</si>
  <si>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</si>
  <si>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</si>
  <si>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</si>
  <si>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</si>
  <si>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</si>
  <si>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</si>
  <si>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</si>
  <si>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</si>
  <si>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</si>
  <si>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</si>
  <si>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</si>
  <si>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</si>
  <si>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</si>
  <si>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</si>
  <si>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</si>
  <si>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</si>
  <si>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</si>
  <si>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</si>
  <si>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</si>
  <si>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</si>
  <si>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</si>
  <si>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</si>
  <si>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</si>
  <si>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</si>
  <si>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</si>
  <si>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</si>
  <si>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</si>
  <si>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</si>
  <si>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</si>
  <si>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</si>
  <si>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</si>
  <si>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</si>
  <si>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</si>
  <si>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</si>
  <si>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</si>
  <si>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</si>
  <si>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</si>
  <si>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</si>
  <si>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</si>
  <si>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</si>
  <si>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</si>
  <si>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</si>
  <si>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</si>
  <si>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</si>
  <si>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</si>
  <si>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</si>
  <si>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</si>
  <si>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</si>
  <si>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</si>
  <si>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</si>
  <si>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</si>
  <si>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</si>
  <si>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</si>
  <si>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</si>
  <si>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</si>
  <si>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</si>
  <si>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</si>
  <si>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</si>
  <si>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</si>
  <si>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</si>
  <si>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</si>
  <si>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</si>
  <si>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</si>
  <si>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</si>
  <si>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</si>
  <si>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</si>
  <si>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</si>
  <si>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</si>
  <si>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</si>
  <si>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</si>
  <si>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</si>
  <si>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</si>
  <si>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</si>
  <si>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</si>
  <si>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</si>
  <si>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</si>
  <si>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</si>
  <si>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</si>
  <si>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</si>
  <si>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</si>
  <si>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</si>
  <si>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</si>
  <si>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</si>
  <si>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</si>
  <si>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</si>
  <si>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</si>
  <si>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</si>
  <si>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</si>
  <si>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</si>
  <si>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</si>
  <si>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</si>
  <si>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</si>
  <si>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</si>
  <si>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</si>
  <si>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</si>
  <si>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</si>
  <si>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</si>
  <si>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</si>
  <si>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</si>
  <si>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</si>
  <si>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</si>
  <si>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</si>
  <si>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</si>
  <si>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</si>
  <si>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</si>
  <si>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</si>
  <si>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</si>
  <si>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</si>
  <si>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</si>
  <si>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</si>
  <si>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</si>
  <si>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</si>
  <si>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</si>
  <si>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</si>
  <si>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</si>
  <si>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</si>
  <si>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</si>
  <si>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</si>
  <si>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</si>
  <si>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</si>
  <si>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</si>
  <si>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</si>
  <si>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</si>
  <si>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</si>
  <si>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</si>
  <si>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</si>
  <si>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</si>
  <si>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</si>
  <si>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</si>
  <si>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</si>
  <si>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</si>
  <si>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</si>
  <si>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</si>
  <si>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</si>
  <si>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</si>
  <si>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</si>
  <si>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</si>
  <si>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</si>
  <si>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</si>
  <si>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</si>
  <si>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</si>
  <si>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</si>
  <si>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</si>
  <si>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</si>
  <si>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</si>
  <si>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</si>
  <si>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</si>
  <si>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</si>
  <si>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</si>
  <si>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</si>
  <si>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</si>
  <si>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</si>
  <si>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</si>
  <si>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</si>
  <si>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</si>
  <si>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</si>
  <si>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</si>
  <si>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</si>
  <si>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</si>
  <si>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</si>
  <si>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</si>
  <si>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</si>
  <si>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</si>
  <si>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</si>
  <si>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</si>
  <si>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</si>
  <si>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</si>
  <si>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</si>
  <si>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</si>
  <si>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</si>
  <si>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</si>
  <si>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</si>
  <si>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</si>
  <si>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</si>
  <si>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</si>
  <si>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</si>
  <si>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</si>
  <si>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</si>
  <si>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</si>
  <si>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</si>
  <si>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</si>
  <si>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</si>
  <si>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</si>
  <si>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</si>
  <si>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</si>
  <si>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</si>
  <si>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</si>
  <si>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</si>
  <si>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</si>
  <si>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</si>
  <si>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</si>
  <si>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</si>
  <si>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</si>
  <si>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</si>
  <si>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</si>
  <si>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</si>
  <si>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</si>
  <si>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</si>
  <si>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</si>
  <si>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</si>
  <si>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</si>
  <si>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</si>
  <si>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</si>
  <si>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</si>
  <si>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</si>
  <si>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</si>
  <si>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</si>
  <si>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</si>
  <si>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</si>
  <si>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</si>
  <si>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</si>
  <si>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</si>
  <si>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</si>
  <si>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</si>
  <si>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</si>
  <si>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</si>
  <si>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</si>
  <si>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</si>
  <si>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</si>
  <si>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</si>
  <si>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</si>
  <si>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</si>
  <si>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</si>
  <si>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</si>
  <si>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</si>
  <si>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</si>
  <si>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</si>
  <si>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</si>
  <si>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</si>
  <si>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</si>
  <si>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</si>
  <si>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</si>
  <si>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</si>
  <si>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</si>
  <si>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</si>
  <si>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</si>
  <si>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</si>
  <si>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</si>
  <si>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</si>
  <si>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</si>
  <si>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</si>
  <si>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</si>
  <si>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</si>
  <si>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</si>
  <si>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</si>
  <si>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</si>
  <si>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</si>
  <si>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</si>
  <si>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</si>
  <si>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</si>
  <si>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</si>
  <si>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</si>
  <si>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</si>
  <si>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</si>
  <si>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</si>
  <si>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</si>
  <si>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</si>
  <si>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</si>
  <si>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</si>
  <si>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</si>
  <si>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</si>
  <si>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</si>
  <si>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</si>
  <si>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</si>
  <si>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</si>
  <si>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</si>
  <si>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</si>
  <si>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</si>
  <si>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</si>
  <si>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</si>
  <si>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</si>
  <si>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</si>
  <si>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</si>
  <si>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</si>
  <si>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</si>
  <si>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</si>
  <si>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</si>
  <si>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</si>
  <si>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</si>
  <si>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</si>
  <si>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</si>
  <si>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</si>
  <si>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</si>
  <si>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</si>
  <si>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</si>
  <si>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</si>
  <si>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</si>
  <si>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</si>
  <si>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</si>
  <si>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</si>
  <si>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</si>
  <si>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</si>
  <si>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</si>
  <si>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</si>
  <si>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</si>
  <si>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</si>
  <si>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</si>
  <si>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</si>
  <si>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</si>
  <si>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</si>
  <si>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</si>
  <si>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</si>
  <si>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</si>
  <si>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</si>
  <si>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</si>
  <si>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</si>
  <si>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</si>
  <si>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</si>
  <si>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</si>
  <si>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</si>
  <si>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</si>
  <si>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</si>
  <si>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</si>
  <si>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</si>
  <si>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</si>
  <si>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</si>
  <si>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</si>
  <si>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</si>
  <si>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</si>
  <si>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</si>
  <si>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</si>
  <si>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</si>
  <si>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</si>
  <si>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</si>
  <si>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</si>
  <si>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</si>
  <si>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</si>
  <si>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</si>
  <si>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</si>
  <si>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</si>
  <si>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</si>
  <si>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</si>
  <si>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</si>
  <si>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</si>
  <si>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</si>
  <si>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</si>
  <si>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</si>
  <si>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</si>
  <si>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</si>
  <si>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</si>
  <si>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</si>
  <si>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</si>
  <si>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</si>
  <si>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</si>
  <si>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</si>
  <si>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</si>
  <si>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</si>
  <si>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</si>
  <si>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</si>
  <si>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</si>
  <si>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</si>
  <si>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</si>
  <si>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</si>
  <si>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</si>
  <si>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</si>
  <si>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</si>
  <si>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</si>
  <si>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</si>
  <si>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</si>
  <si>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</si>
  <si>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</si>
  <si>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</si>
  <si>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</si>
  <si>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</si>
  <si>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</si>
  <si>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</si>
  <si>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</si>
  <si>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</si>
  <si>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</si>
  <si>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</si>
  <si>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</si>
  <si>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</si>
  <si>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</si>
  <si>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</si>
  <si>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</si>
  <si>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</si>
  <si>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</si>
  <si>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</si>
  <si>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</si>
  <si>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</si>
  <si>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</si>
  <si>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</si>
  <si>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</si>
  <si>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</si>
  <si>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</si>
  <si>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</si>
  <si>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</si>
  <si>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</si>
  <si>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</si>
  <si>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</si>
  <si>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</si>
  <si>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</si>
  <si>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</si>
  <si>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</si>
  <si>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</si>
  <si>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</si>
  <si>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</si>
  <si>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</si>
  <si>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</si>
  <si>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</si>
  <si>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</si>
  <si>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</si>
  <si>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</si>
  <si>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</si>
  <si>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</si>
  <si>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</si>
  <si>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</si>
  <si>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</si>
  <si>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</si>
  <si>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</si>
  <si>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</si>
  <si>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</si>
  <si>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</si>
  <si>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</si>
  <si>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</si>
  <si>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</si>
  <si>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</si>
  <si>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</si>
  <si>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</si>
  <si>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</si>
  <si>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</si>
  <si>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</si>
  <si>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</si>
  <si>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</si>
  <si>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</si>
  <si>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</si>
  <si>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</si>
  <si>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</si>
  <si>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</si>
  <si>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</si>
  <si>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</si>
  <si>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</si>
  <si>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</si>
  <si>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</si>
  <si>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</si>
  <si>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</si>
  <si>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</si>
  <si>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</si>
  <si>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</si>
  <si>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</si>
  <si>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</si>
  <si>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</si>
  <si>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</si>
  <si>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</si>
  <si>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</si>
  <si>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</si>
  <si>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</si>
  <si>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</si>
  <si>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</si>
  <si>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</si>
  <si>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</si>
  <si>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</si>
  <si>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</si>
  <si>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</si>
  <si>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</si>
  <si>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</si>
  <si>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</si>
  <si>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</si>
  <si>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</si>
  <si>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</si>
  <si>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</si>
  <si>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</si>
  <si>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</si>
  <si>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</si>
  <si>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</si>
  <si>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</si>
  <si>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</si>
  <si>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</si>
  <si>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</si>
  <si>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</si>
  <si>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</si>
  <si>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</si>
  <si>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</si>
  <si>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</si>
  <si>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</si>
  <si>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</si>
  <si>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</si>
  <si>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</si>
  <si>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</si>
  <si>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</si>
  <si>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</si>
  <si>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</si>
  <si>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</si>
  <si>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</si>
  <si>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</si>
  <si>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</si>
  <si>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</si>
  <si>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</si>
  <si>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</si>
  <si>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</si>
  <si>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</si>
  <si>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</si>
  <si>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</si>
  <si>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</si>
  <si>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</si>
  <si>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</si>
  <si>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</si>
  <si>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</si>
  <si>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</si>
  <si>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</si>
  <si>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</si>
  <si>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</si>
  <si>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</si>
  <si>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</si>
  <si>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</si>
  <si>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</si>
  <si>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</si>
  <si>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</si>
  <si>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</si>
  <si>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</si>
  <si>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</si>
  <si>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</si>
  <si>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</si>
  <si>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</si>
  <si>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</si>
  <si>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</si>
  <si>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</si>
  <si>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</si>
  <si>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</si>
  <si>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</si>
  <si>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</si>
  <si>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</si>
  <si>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</si>
  <si>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</si>
  <si>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</si>
  <si>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</si>
  <si>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</si>
  <si>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</si>
  <si>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</si>
  <si>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</si>
  <si>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</si>
  <si>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</si>
  <si>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</si>
  <si>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</si>
  <si>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</si>
  <si>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</si>
  <si>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</si>
  <si>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</si>
  <si>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</si>
  <si>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</si>
  <si>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</si>
  <si>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</si>
  <si>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</si>
  <si>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</si>
  <si>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</si>
  <si>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</si>
  <si>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</si>
  <si>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</si>
  <si>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</si>
  <si>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</si>
  <si>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</si>
  <si>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</si>
  <si>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</si>
  <si>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</si>
  <si>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</si>
  <si>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</si>
  <si>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</si>
  <si>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</si>
  <si>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</si>
  <si>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</si>
  <si>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</si>
  <si>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</si>
  <si>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</si>
  <si>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</si>
  <si>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</si>
  <si>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</si>
  <si>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</si>
  <si>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</si>
  <si>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</si>
  <si>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</si>
  <si>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</si>
  <si>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</si>
  <si>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</si>
  <si>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</si>
  <si>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</si>
  <si>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</si>
  <si>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</si>
  <si>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</si>
  <si>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</si>
  <si>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</si>
  <si>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</si>
  <si>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</si>
  <si>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</si>
  <si>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</si>
  <si>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</si>
  <si>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</si>
  <si>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</si>
  <si>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</si>
  <si>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</si>
  <si>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</si>
  <si>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</si>
  <si>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</si>
  <si>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</si>
  <si>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</si>
  <si>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</si>
  <si>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</si>
  <si>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</si>
  <si>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</si>
  <si>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</si>
  <si>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</si>
  <si>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</si>
  <si>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</si>
  <si>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</si>
  <si>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</si>
  <si>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</si>
  <si>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</si>
  <si>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</si>
  <si>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</si>
  <si>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</si>
  <si>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</si>
  <si>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</si>
  <si>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</si>
  <si>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</si>
  <si>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</si>
  <si>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</si>
  <si>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</si>
  <si>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</si>
  <si>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</si>
  <si>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</si>
  <si>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</si>
  <si>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</si>
  <si>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</si>
  <si>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</si>
  <si>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</si>
  <si>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</si>
  <si>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</si>
  <si>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</si>
  <si>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</si>
  <si>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</si>
  <si>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</si>
  <si>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</si>
  <si>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</si>
  <si>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</si>
  <si>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</si>
  <si>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</si>
  <si>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</si>
  <si>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</si>
  <si>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</si>
  <si>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</si>
  <si>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</si>
  <si>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</si>
  <si>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</si>
  <si>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</si>
  <si>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</si>
  <si>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</si>
  <si>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</si>
  <si>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</si>
  <si>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</si>
  <si>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</si>
  <si>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</si>
  <si>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</si>
  <si>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</si>
  <si>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</si>
  <si>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</si>
  <si>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</si>
  <si>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</si>
  <si>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</si>
  <si>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</si>
  <si>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</si>
  <si>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</si>
  <si>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</si>
  <si>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</si>
  <si>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</si>
  <si>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</si>
  <si>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</si>
  <si>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</si>
  <si>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</si>
  <si>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</si>
  <si>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</si>
  <si>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</si>
  <si>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</si>
  <si>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</si>
  <si>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</si>
  <si>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</si>
  <si>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</si>
  <si>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</si>
  <si>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</si>
  <si>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</si>
  <si>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</si>
  <si>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</si>
  <si>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</si>
  <si>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</si>
  <si>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</si>
  <si>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</si>
  <si>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</si>
  <si>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</si>
  <si>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</si>
  <si>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</si>
  <si>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</si>
  <si>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</si>
  <si>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</si>
  <si>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</si>
  <si>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</si>
  <si>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</si>
  <si>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</si>
  <si>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</si>
  <si>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</si>
  <si>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</si>
  <si>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</si>
  <si>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</si>
  <si>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</si>
  <si>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</si>
  <si>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</si>
  <si>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</si>
  <si>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</si>
  <si>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</si>
  <si>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</si>
  <si>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</si>
  <si>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</si>
  <si>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</si>
  <si>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</si>
  <si>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</si>
  <si>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</si>
  <si>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</si>
  <si>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</si>
  <si>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</si>
  <si>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</si>
  <si>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</si>
  <si>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</si>
  <si>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</si>
  <si>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</si>
  <si>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</si>
  <si>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</si>
  <si>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</si>
  <si>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</si>
  <si>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</si>
  <si>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</si>
  <si>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</si>
  <si>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</si>
  <si>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</si>
  <si>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</si>
  <si>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</si>
  <si>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</si>
  <si>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</si>
  <si>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</si>
  <si>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</si>
  <si>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</si>
  <si>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</si>
  <si>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</si>
  <si>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</si>
  <si>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</si>
  <si>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</si>
  <si>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</si>
  <si>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</si>
  <si>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</si>
  <si>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</si>
  <si>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</si>
  <si>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</si>
  <si>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</si>
  <si>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</si>
  <si>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</si>
  <si>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</si>
  <si>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</si>
  <si>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</si>
  <si>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</si>
  <si>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</si>
  <si>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</si>
  <si>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</si>
  <si>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</si>
  <si>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</si>
  <si>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</si>
  <si>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</si>
  <si>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</si>
  <si>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</si>
  <si>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</si>
  <si>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</si>
  <si>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</si>
  <si>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</si>
  <si>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</si>
  <si>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</si>
  <si>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</si>
  <si>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</si>
  <si>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</si>
  <si>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</si>
  <si>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</si>
  <si>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</si>
  <si>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</si>
  <si>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</si>
  <si>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</si>
  <si>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</si>
  <si>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</si>
  <si>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</si>
  <si>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</si>
  <si>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</si>
  <si>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</si>
  <si>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</si>
  <si>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</si>
  <si>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</si>
  <si>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</si>
  <si>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</si>
  <si>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</si>
  <si>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</si>
  <si>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</si>
  <si>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</si>
  <si>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</si>
  <si>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</si>
  <si>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</si>
  <si>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</si>
  <si>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</si>
  <si>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</si>
  <si>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</si>
  <si>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</si>
  <si>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</si>
  <si>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</si>
  <si>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</si>
  <si>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</si>
  <si>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</si>
  <si>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</si>
  <si>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</si>
  <si>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</si>
  <si>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</si>
  <si>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</si>
  <si>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</si>
  <si>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</si>
  <si>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</si>
  <si>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</si>
  <si>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</si>
  <si>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</si>
  <si>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</si>
  <si>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</si>
  <si>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</si>
  <si>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</si>
  <si>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</si>
  <si>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</si>
  <si>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</si>
  <si>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</si>
  <si>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</si>
  <si>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</si>
  <si>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</si>
  <si>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</si>
  <si>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</si>
  <si>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</si>
  <si>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</si>
  <si>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</si>
  <si>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</si>
  <si>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</si>
  <si>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</si>
  <si>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</si>
  <si>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</si>
  <si>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</si>
  <si>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</si>
  <si>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</si>
  <si>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</si>
  <si>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</si>
  <si>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</si>
  <si>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</si>
  <si>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</si>
  <si>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</si>
  <si>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</si>
  <si>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</si>
  <si>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</si>
  <si>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</si>
  <si>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</si>
  <si>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</si>
  <si>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</si>
  <si>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</si>
  <si>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</si>
  <si>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</si>
  <si>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</si>
  <si>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</si>
  <si>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</si>
  <si>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</si>
  <si>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</si>
  <si>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</si>
  <si>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</si>
  <si>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</si>
  <si>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</si>
  <si>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</si>
  <si>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</si>
  <si>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</si>
  <si>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</si>
  <si>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</si>
  <si>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</si>
  <si>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</si>
  <si>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</si>
  <si>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</si>
  <si>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</si>
  <si>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</si>
  <si>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</si>
  <si>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</si>
  <si>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</si>
  <si>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</si>
  <si>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</si>
  <si>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</si>
  <si>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</si>
  <si>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</si>
  <si>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</si>
  <si>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</si>
  <si>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</si>
  <si>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</si>
  <si>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</si>
  <si>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</si>
  <si>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</si>
  <si>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</si>
  <si>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</si>
  <si>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</si>
  <si>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</si>
  <si>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</si>
  <si>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</si>
  <si>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</si>
  <si>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</si>
  <si>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</si>
  <si>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</si>
  <si>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</si>
  <si>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</si>
  <si>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</si>
  <si>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</si>
  <si>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</si>
  <si>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</si>
  <si>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</si>
  <si>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</si>
  <si>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</si>
  <si>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</si>
  <si>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</si>
  <si>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</si>
  <si>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</si>
  <si>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</si>
  <si>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</si>
  <si>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</si>
  <si>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</si>
  <si>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</si>
  <si>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</si>
  <si>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</si>
  <si>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</si>
  <si>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</si>
  <si>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</si>
  <si>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</si>
  <si>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</si>
  <si>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</si>
  <si>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</si>
  <si>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</si>
  <si>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</si>
  <si>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</si>
  <si>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</si>
  <si>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</si>
  <si>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</si>
  <si>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</si>
  <si>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</si>
  <si>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</si>
  <si>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</si>
  <si>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</si>
  <si>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</si>
  <si>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</si>
  <si>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</si>
  <si>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</si>
  <si>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</si>
  <si>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</si>
  <si>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</si>
  <si>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</si>
  <si>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</si>
  <si>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</si>
  <si>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</si>
  <si>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</si>
  <si>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</si>
  <si>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</si>
  <si>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</si>
  <si>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</si>
  <si>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</si>
  <si>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</si>
  <si>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</si>
  <si>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</si>
  <si>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</si>
  <si>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</si>
  <si>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</si>
  <si>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</si>
  <si>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</si>
  <si>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</si>
  <si>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</si>
  <si>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</si>
  <si>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</si>
  <si>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</si>
  <si>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</si>
  <si>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</si>
  <si>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</si>
  <si>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</si>
  <si>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</si>
  <si>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</si>
  <si>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</si>
  <si>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</si>
  <si>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</si>
  <si>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</si>
  <si>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</si>
  <si>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</si>
  <si>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</si>
  <si>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</si>
  <si>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</si>
  <si>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</si>
  <si>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</si>
  <si>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</si>
  <si>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</si>
  <si>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</si>
  <si>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</si>
  <si>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</si>
  <si>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</si>
  <si>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</si>
  <si>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</si>
  <si>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</si>
  <si>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</si>
  <si>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</si>
  <si>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</si>
  <si>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</si>
  <si>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</si>
  <si>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</si>
  <si>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</si>
  <si>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</si>
  <si>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</si>
  <si>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</si>
  <si>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</si>
  <si>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</si>
  <si>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</si>
  <si>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</si>
  <si>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</si>
  <si>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</si>
  <si>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</si>
  <si>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</si>
  <si>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</si>
  <si>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</si>
  <si>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</si>
  <si>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</si>
  <si>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</si>
  <si>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</si>
  <si>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</si>
  <si>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</si>
  <si>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</si>
  <si>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</si>
  <si>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</si>
  <si>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</si>
  <si>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</si>
  <si>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</si>
  <si>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</si>
  <si>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</si>
  <si>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</si>
  <si>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</si>
  <si>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</si>
  <si>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</si>
  <si>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</si>
  <si>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</si>
  <si>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</si>
  <si>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</si>
  <si>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</si>
  <si>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</si>
  <si>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</si>
  <si>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</si>
  <si>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</si>
  <si>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</si>
  <si>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</si>
  <si>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</si>
  <si>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</si>
  <si>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</si>
  <si>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</si>
  <si>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</si>
  <si>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</si>
  <si>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</si>
  <si>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</si>
  <si>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</si>
  <si>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</si>
  <si>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</si>
  <si>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</si>
  <si>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</si>
  <si>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</si>
  <si>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</si>
  <si>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</si>
  <si>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</si>
  <si>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</si>
  <si>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</si>
  <si>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</si>
  <si>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</si>
  <si>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</si>
  <si>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</si>
  <si>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</si>
  <si>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</si>
  <si>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</si>
  <si>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</si>
  <si>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</si>
  <si>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</si>
  <si>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</si>
  <si>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</si>
  <si>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</si>
  <si>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</si>
  <si>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</si>
  <si>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</si>
  <si>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</si>
  <si>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</si>
  <si>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</si>
  <si>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</si>
  <si>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</si>
  <si>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</si>
  <si>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</si>
  <si>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</si>
  <si>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</si>
  <si>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</si>
  <si>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</si>
  <si>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</si>
  <si>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</si>
  <si>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</si>
  <si>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</si>
  <si>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</si>
  <si>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</si>
  <si>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</si>
  <si>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</si>
  <si>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</si>
  <si>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</si>
  <si>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</si>
  <si>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</si>
  <si>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</si>
  <si>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</si>
  <si>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</si>
  <si>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</si>
  <si>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</si>
  <si>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</si>
  <si>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</si>
  <si>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</si>
  <si>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</si>
  <si>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</si>
  <si>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</si>
  <si>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</si>
  <si>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</si>
  <si>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</si>
  <si>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</si>
  <si>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</si>
  <si>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</si>
  <si>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</si>
  <si>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</si>
  <si>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</si>
  <si>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</si>
  <si>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</si>
  <si>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</si>
  <si>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</si>
  <si>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</si>
  <si>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</si>
  <si>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</si>
  <si>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</si>
  <si>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</si>
  <si>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</si>
  <si>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</si>
  <si>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</si>
  <si>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</si>
  <si>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</si>
  <si>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</si>
  <si>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</si>
  <si>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</si>
  <si>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</si>
  <si>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</si>
  <si>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</si>
  <si>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</si>
  <si>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</si>
  <si>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</si>
  <si>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</si>
  <si>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</si>
  <si>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</si>
  <si>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</si>
  <si>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</si>
  <si>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</si>
  <si>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</si>
  <si>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</si>
  <si>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</si>
  <si>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</si>
  <si>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</si>
  <si>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</si>
  <si>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</si>
  <si>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</si>
  <si>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</si>
  <si>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</si>
  <si>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</si>
  <si>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</si>
  <si>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</si>
  <si>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</si>
  <si>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</si>
  <si>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</si>
  <si>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</si>
  <si>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</si>
  <si>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</si>
  <si>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</si>
  <si>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</si>
  <si>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</si>
  <si>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</si>
  <si>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</si>
  <si>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</si>
  <si>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</si>
  <si>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</si>
  <si>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</si>
  <si>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</si>
  <si>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</si>
  <si>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</si>
  <si>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</si>
  <si>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</si>
  <si>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</si>
  <si>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</si>
  <si>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</si>
  <si>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</si>
  <si>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</si>
  <si>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</si>
  <si>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</si>
  <si>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</si>
  <si>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</si>
  <si>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</si>
  <si>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</si>
  <si>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</si>
  <si>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</si>
  <si>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</si>
  <si>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</si>
  <si>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</si>
  <si>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</si>
  <si>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</si>
  <si>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</si>
  <si>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</si>
  <si>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</si>
  <si>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</si>
  <si>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</si>
  <si>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</si>
  <si>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</si>
  <si>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</si>
  <si>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</si>
  <si>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</si>
  <si>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</si>
  <si>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</si>
  <si>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</si>
  <si>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</si>
  <si>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</si>
  <si>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</si>
  <si>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</si>
  <si>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</si>
  <si>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</si>
  <si>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</si>
  <si>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</si>
  <si>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</si>
  <si>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</si>
  <si>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</si>
  <si>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</si>
  <si>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</si>
  <si>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</si>
  <si>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</si>
  <si>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</si>
  <si>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</si>
  <si>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</si>
  <si>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</si>
  <si>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</si>
  <si>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</si>
  <si>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</si>
  <si>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</si>
  <si>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</si>
  <si>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</si>
  <si>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</si>
  <si>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</si>
  <si>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</si>
  <si>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</si>
  <si>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</si>
  <si>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</si>
  <si>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</si>
  <si>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</si>
  <si>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</si>
  <si>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</si>
  <si>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</si>
  <si>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</si>
  <si>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</si>
  <si>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</si>
  <si>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</si>
  <si>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</si>
  <si>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</si>
  <si>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</si>
  <si>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</si>
  <si>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</si>
  <si>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</si>
  <si>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</si>
  <si>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</si>
  <si>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</si>
  <si>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</si>
  <si>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</si>
  <si>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</si>
  <si>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</si>
  <si>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</si>
  <si>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</si>
  <si>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</si>
  <si>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</si>
  <si>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</si>
  <si>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</si>
  <si>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</si>
  <si>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</si>
  <si>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</si>
  <si>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</si>
  <si>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</si>
  <si>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</si>
  <si>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</si>
  <si>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</si>
  <si>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</si>
  <si>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</si>
  <si>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</si>
  <si>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</si>
  <si>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</si>
  <si>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</si>
  <si>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</si>
  <si>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</si>
  <si>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</si>
  <si>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</si>
  <si>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</si>
  <si>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</si>
  <si>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</si>
  <si>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</si>
  <si>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</si>
  <si>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</si>
  <si>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</si>
  <si>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</si>
  <si>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</si>
  <si>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</si>
  <si>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</si>
  <si>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</si>
  <si>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</si>
  <si>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</si>
  <si>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</si>
  <si>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</si>
  <si>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</si>
  <si>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</si>
  <si>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</si>
  <si>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</si>
  <si>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</si>
  <si>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</si>
  <si>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</si>
  <si>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</si>
  <si>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</si>
  <si>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</si>
  <si>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</si>
  <si>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</si>
  <si>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</si>
  <si>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</si>
  <si>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</si>
  <si>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</si>
  <si>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</si>
  <si>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</si>
  <si>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</si>
  <si>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</si>
  <si>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</si>
  <si>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</si>
  <si>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</si>
  <si>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</si>
  <si>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</si>
  <si>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</si>
  <si>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</si>
  <si>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</si>
  <si>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</si>
  <si>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</si>
  <si>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</si>
  <si>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</si>
  <si>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</si>
  <si>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</si>
  <si>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</si>
  <si>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</si>
  <si>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</si>
  <si>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</si>
  <si>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</si>
  <si>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</si>
  <si>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</si>
  <si>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</si>
  <si>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</si>
  <si>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</si>
  <si>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</si>
  <si>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</si>
  <si>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</si>
  <si>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</si>
  <si>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</si>
  <si>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</si>
  <si>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</si>
  <si>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</si>
  <si>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</si>
  <si>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</si>
  <si>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</si>
  <si>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</si>
  <si>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</si>
  <si>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</si>
  <si>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</si>
  <si>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</si>
  <si>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</si>
  <si>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</si>
  <si>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</si>
  <si>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</si>
  <si>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</si>
  <si>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</si>
  <si>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</si>
  <si>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</si>
  <si>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</si>
  <si>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</si>
  <si>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</si>
  <si>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</si>
  <si>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</si>
  <si>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</si>
  <si>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</si>
  <si>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</si>
  <si>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</si>
  <si>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</si>
  <si>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</si>
  <si>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</si>
  <si>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</si>
  <si>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</si>
  <si>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</si>
  <si>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</si>
  <si>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</si>
  <si>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</si>
  <si>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</si>
  <si>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</si>
  <si>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</si>
  <si>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</si>
  <si>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</si>
  <si>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</si>
  <si>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</si>
  <si>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</si>
  <si>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</si>
  <si>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</si>
  <si>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</si>
  <si>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</si>
  <si>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</si>
  <si>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</si>
  <si>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</si>
  <si>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</si>
  <si>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</si>
  <si>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</si>
  <si>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</si>
  <si>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</si>
  <si>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</si>
  <si>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</si>
  <si>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</si>
  <si>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</si>
  <si>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</si>
  <si>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</si>
  <si>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</si>
  <si>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</si>
  <si>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</si>
  <si>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</si>
  <si>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</si>
  <si>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</si>
  <si>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</si>
  <si>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</si>
  <si>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</si>
  <si>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</si>
  <si>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</si>
  <si>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</si>
  <si>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</si>
  <si>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</si>
  <si>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</si>
  <si>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</si>
  <si>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</si>
  <si>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</si>
  <si>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</si>
  <si>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</si>
  <si>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</si>
  <si>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</si>
  <si>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</si>
  <si>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</si>
  <si>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</si>
  <si>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</si>
  <si>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</si>
  <si>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</si>
  <si>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</si>
  <si>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</si>
  <si>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</si>
  <si>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</si>
  <si>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</si>
  <si>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</si>
  <si>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</si>
  <si>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</si>
  <si>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</si>
  <si>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</si>
  <si>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</si>
  <si>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</si>
  <si>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</si>
  <si>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</si>
  <si>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</si>
  <si>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</si>
  <si>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</si>
  <si>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</si>
  <si>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</si>
  <si>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</si>
  <si>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</si>
  <si>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</si>
  <si>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</si>
  <si>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</si>
  <si>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</si>
  <si>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</si>
  <si>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</si>
  <si>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</si>
  <si>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</si>
  <si>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</si>
  <si>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</si>
  <si>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</si>
  <si>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</si>
  <si>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</si>
  <si>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</si>
  <si>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</si>
  <si>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</si>
  <si>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</si>
  <si>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</si>
  <si>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</si>
  <si>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</si>
  <si>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</si>
  <si>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</si>
  <si>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</si>
  <si>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</si>
  <si>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</si>
  <si>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</si>
  <si>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</si>
  <si>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</si>
  <si>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</si>
  <si>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</si>
  <si>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</si>
  <si>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</si>
  <si>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</si>
  <si>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</si>
  <si>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</si>
  <si>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</si>
  <si>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</si>
  <si>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</si>
  <si>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</si>
  <si>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</si>
  <si>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</si>
  <si>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</si>
  <si>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</si>
  <si>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</si>
  <si>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</si>
  <si>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</si>
  <si>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</si>
  <si>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</si>
  <si>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</si>
  <si>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</si>
  <si>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</si>
  <si>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</si>
  <si>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</si>
  <si>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</si>
  <si>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</si>
  <si>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</si>
  <si>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</si>
  <si>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</si>
  <si>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</si>
  <si>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</si>
  <si>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</si>
  <si>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</si>
  <si>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</si>
  <si>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</si>
  <si>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</si>
  <si>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</si>
  <si>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</si>
  <si>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</si>
  <si>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</si>
  <si>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</si>
  <si>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</si>
  <si>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</si>
  <si>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</si>
  <si>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</si>
  <si>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</si>
  <si>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</si>
  <si>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</si>
  <si>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</si>
  <si>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</si>
  <si>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</si>
  <si>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</si>
  <si>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</si>
  <si>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</si>
  <si>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</si>
  <si>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</si>
  <si>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</si>
  <si>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</si>
  <si>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</si>
  <si>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</si>
  <si>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</si>
  <si>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</si>
  <si>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</si>
  <si>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</si>
  <si>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</si>
  <si>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</si>
  <si>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</si>
  <si>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</si>
  <si>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</si>
  <si>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</si>
  <si>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</si>
  <si>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</si>
  <si>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</si>
  <si>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</si>
  <si>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</si>
  <si>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</si>
  <si>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</si>
  <si>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</si>
  <si>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</si>
  <si>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</si>
  <si>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</si>
  <si>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</si>
  <si>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</si>
  <si>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</si>
  <si>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</si>
  <si>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</si>
  <si>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</si>
  <si>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</si>
  <si>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</si>
  <si>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</si>
  <si>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</si>
  <si>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</si>
  <si>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</si>
  <si>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</si>
  <si>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</si>
  <si>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</si>
  <si>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</si>
  <si>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</si>
  <si>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</si>
  <si>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</si>
  <si>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</si>
  <si>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</si>
  <si>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</si>
  <si>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</si>
  <si>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</si>
  <si>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</si>
  <si>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</si>
  <si>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</si>
  <si>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</si>
  <si>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</si>
  <si>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</si>
  <si>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</si>
  <si>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</si>
  <si>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</si>
  <si>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</si>
  <si>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</si>
  <si>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</si>
  <si>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</si>
  <si>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</si>
  <si>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</si>
  <si>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</si>
  <si>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</si>
  <si>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</si>
  <si>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</si>
  <si>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</si>
  <si>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</si>
  <si>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</si>
  <si>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</si>
  <si>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</si>
  <si>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</si>
  <si>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</si>
  <si>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</si>
  <si>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</si>
  <si>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</si>
  <si>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</si>
  <si>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</si>
  <si>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</si>
  <si>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</si>
  <si>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</si>
  <si>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</si>
  <si>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</si>
  <si>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</si>
  <si>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</si>
  <si>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</si>
  <si>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</si>
  <si>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</si>
  <si>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</si>
  <si>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</si>
  <si>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</si>
  <si>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</si>
  <si>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</si>
  <si>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</si>
  <si>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</si>
  <si>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</si>
  <si>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</si>
  <si>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</si>
  <si>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</si>
  <si>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</si>
  <si>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</si>
  <si>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</si>
  <si>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</si>
  <si>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</si>
  <si>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</si>
  <si>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</si>
  <si>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</si>
  <si>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</si>
  <si>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</si>
  <si>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</si>
  <si>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</si>
  <si>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</si>
  <si>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</si>
  <si>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</si>
  <si>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</si>
  <si>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</si>
  <si>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</si>
  <si>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</si>
  <si>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</si>
  <si>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</si>
  <si>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</si>
  <si>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</si>
  <si>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</si>
  <si>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</si>
  <si>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</si>
  <si>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</si>
  <si>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</si>
  <si>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</si>
  <si>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</si>
  <si>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</si>
  <si>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</si>
  <si>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</si>
  <si>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</si>
  <si>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</si>
  <si>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</si>
  <si>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</si>
  <si>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</si>
  <si>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</si>
  <si>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</si>
  <si>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</si>
  <si>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</si>
  <si>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</si>
  <si>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</si>
  <si>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</si>
  <si>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</si>
  <si>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</si>
  <si>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</si>
  <si>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</si>
  <si>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</si>
  <si>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</si>
  <si>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</si>
  <si>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</si>
  <si>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</si>
  <si>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</si>
  <si>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</si>
  <si>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</si>
  <si>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</si>
  <si>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</si>
  <si>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</si>
  <si>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</si>
  <si>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</si>
  <si>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</si>
  <si>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</si>
  <si>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</si>
  <si>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</si>
  <si>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</si>
  <si>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</si>
  <si>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</si>
  <si>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</si>
  <si>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</si>
  <si>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</si>
  <si>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</si>
  <si>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</si>
  <si>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</si>
  <si>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</si>
  <si>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</si>
  <si>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</si>
  <si>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</si>
  <si>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</si>
  <si>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</si>
  <si>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</si>
  <si>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</si>
  <si>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</si>
  <si>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</si>
  <si>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</si>
  <si>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</si>
  <si>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</si>
  <si>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</si>
  <si>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</si>
  <si>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</si>
  <si>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</si>
  <si>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</si>
  <si>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</si>
  <si>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</si>
  <si>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</si>
  <si>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</si>
  <si>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</si>
  <si>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</si>
  <si>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</si>
  <si>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</si>
  <si>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</si>
  <si>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</si>
  <si>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</si>
  <si>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</si>
  <si>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</si>
  <si>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</si>
  <si>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</si>
  <si>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</si>
  <si>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</si>
  <si>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</si>
  <si>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</si>
  <si>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</si>
  <si>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</si>
  <si>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</si>
  <si>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</si>
  <si>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</si>
  <si>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</si>
  <si>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</si>
  <si>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</si>
  <si>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</si>
  <si>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</si>
  <si>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</si>
  <si>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</si>
  <si>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</si>
  <si>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</si>
  <si>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</si>
  <si>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</si>
  <si>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</si>
  <si>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</si>
  <si>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</si>
  <si>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</si>
  <si>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</si>
  <si>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</si>
  <si>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</si>
  <si>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</si>
  <si>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</si>
  <si>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</si>
  <si>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</si>
  <si>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</si>
  <si>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</si>
  <si>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</si>
  <si>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</si>
  <si>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</si>
  <si>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</si>
  <si>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</si>
  <si>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</si>
  <si>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</si>
  <si>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</si>
  <si>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</si>
  <si>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</si>
  <si>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</si>
  <si>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</si>
  <si>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</si>
  <si>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</si>
  <si>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</si>
  <si>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</si>
  <si>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</si>
  <si>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</si>
  <si>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</si>
  <si>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</si>
  <si>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</si>
  <si>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</si>
  <si>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</si>
  <si>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</si>
  <si>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</si>
  <si>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</si>
  <si>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</si>
  <si>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</si>
  <si>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</si>
  <si>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</si>
  <si>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</si>
  <si>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</si>
  <si>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</si>
  <si>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</si>
  <si>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</si>
  <si>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</si>
  <si>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</si>
  <si>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</si>
  <si>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</si>
  <si>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</si>
  <si>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</si>
  <si>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</si>
  <si>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</si>
  <si>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</si>
  <si>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</si>
  <si>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</si>
  <si>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</si>
  <si>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</si>
  <si>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</si>
  <si>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</si>
  <si>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</si>
  <si>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</si>
  <si>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</si>
  <si>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</si>
  <si>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</si>
  <si>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</si>
  <si>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</si>
  <si>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</si>
  <si>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</si>
  <si>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</si>
  <si>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</si>
  <si>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</si>
  <si>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</si>
  <si>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</si>
  <si>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</si>
  <si>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</si>
  <si>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</si>
  <si>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</si>
  <si>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</si>
  <si>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</si>
  <si>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</si>
  <si>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</si>
  <si>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</si>
  <si>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</si>
  <si>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</si>
  <si>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</si>
  <si>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</si>
  <si>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</si>
  <si>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</si>
  <si>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</si>
  <si>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</si>
  <si>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</si>
  <si>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</si>
  <si>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</si>
  <si>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</si>
  <si>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</si>
  <si>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</si>
  <si>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</si>
  <si>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</si>
  <si>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</si>
  <si>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</si>
  <si>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</si>
  <si>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</si>
  <si>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</si>
  <si>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</si>
  <si>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</si>
  <si>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</si>
  <si>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</si>
  <si>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</si>
  <si>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</si>
  <si>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</si>
  <si>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</si>
  <si>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</si>
  <si>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</si>
  <si>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</si>
  <si>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</si>
  <si>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</si>
  <si>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</si>
  <si>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</si>
  <si>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</si>
  <si>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</si>
  <si>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</si>
  <si>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</si>
  <si>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</si>
  <si>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</si>
  <si>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</si>
  <si>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</si>
  <si>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</si>
  <si>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</si>
  <si>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</si>
  <si>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</si>
  <si>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</si>
  <si>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</si>
  <si>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</si>
  <si>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</si>
  <si>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</si>
  <si>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</si>
  <si>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</si>
  <si>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</si>
  <si>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</si>
  <si>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</si>
  <si>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</si>
  <si>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</si>
  <si>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</si>
  <si>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</si>
  <si>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</si>
  <si>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</si>
  <si>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</si>
  <si>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</si>
  <si>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</si>
  <si>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</si>
  <si>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</si>
  <si>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</si>
  <si>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</si>
  <si>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</si>
  <si>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</si>
  <si>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</si>
  <si>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</si>
  <si>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</si>
  <si>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</si>
  <si>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</si>
  <si>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</si>
  <si>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</si>
  <si>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</si>
  <si>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</si>
  <si>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</si>
  <si>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</si>
  <si>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</si>
  <si>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</si>
  <si>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</si>
  <si>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</si>
  <si>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</si>
  <si>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</si>
  <si>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</si>
  <si>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</si>
  <si>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</si>
  <si>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</si>
  <si>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</si>
  <si>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</si>
  <si>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</si>
  <si>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</si>
  <si>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</si>
  <si>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</si>
  <si>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</si>
  <si>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</si>
  <si>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</si>
  <si>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</si>
  <si>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</si>
  <si>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</si>
  <si>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</si>
  <si>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</si>
  <si>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</si>
  <si>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</si>
  <si>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</si>
  <si>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</si>
  <si>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</si>
  <si>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</si>
  <si>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</si>
  <si>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</si>
  <si>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</si>
  <si>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</si>
  <si>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</si>
  <si>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</si>
  <si>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</si>
  <si>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</si>
  <si>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</si>
  <si>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</si>
  <si>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</si>
  <si>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</si>
  <si>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</si>
  <si>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</si>
  <si>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</si>
  <si>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</si>
  <si>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</si>
  <si>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</si>
  <si>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</si>
  <si>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</si>
  <si>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</si>
  <si>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</si>
  <si>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</si>
  <si>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</si>
  <si>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</si>
  <si>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</si>
  <si>
    <t xml:space="preserve"> https://delijn.sharepoint.com/:b:/r/teams/CTM-OTGentStad/Shared%20Documents/General/EAF/CSI(nieuwe%20sharepoint)%202025/12.%20December/Scan_28740_1692_001.pdf?csf=1&amp;web=1&amp;e=0Kslsh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</si>
</sst>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34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30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2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8"/>
    <tableColumn id="11" xr3:uid="{97ECF1D5-48DC-4487-B3C2-17232CC8E19E}" name="Januari" dataDxfId="27"/>
    <tableColumn id="12" xr3:uid="{7B2FF520-A575-45C0-BB5A-19B87DDB4EA0}" name="Februari" dataDxfId="26"/>
    <tableColumn id="13" xr3:uid="{4E6C30D1-FB72-4AB2-900F-14A3D53F34DE}" name="Maart" dataDxfId="2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4">
      <calculatedColumnFormula>SUM(bron[[#This Row],[Januari]:[December]])</calculatedColumnFormula>
    </tableColumn>
    <tableColumn id="10" xr3:uid="{8D9646BD-38B6-4F4D-9859-B3933369346B}" name="Datum" dataDxfId="2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Dienstjaren" dataDxfId="0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tabSelected="1" zoomScale="85" zoomScaleNormal="85" workbookViewId="0">
      <pane ySplit="1" topLeftCell="A964" activePane="bottomLeft" state="frozen"/>
      <selection activeCell="F1" sqref="F1"/>
      <selection pane="bottomLeft" activeCell="AB994" sqref="AB994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25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25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25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25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25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25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25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25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25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25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25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25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25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2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25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25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25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25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25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1:28" x14ac:dyDescent="0.25">
      <c r="A993" s="38">
        <v>38580</v>
      </c>
      <c r="B993" t="str">
        <f>_xlfn.CONCAT(bron[[#This Row],[personeelsnr]]," ",bron[[#This Row],[achternaam]]," ",bron[[#This Row],[voornaam]])</f>
        <v>38580 Smajla Samet</v>
      </c>
      <c r="C993" t="str">
        <f>VLOOKUP(bron[[#This Row],[personeelsnr]],'data hastus'!$A:$C,2,0)</f>
        <v>Smajla</v>
      </c>
      <c r="D993" t="str">
        <f>VLOOKUP(bron[[#This Row],[personeelsnr]],'data hastus'!$A:$C,3,0)</f>
        <v>Samet</v>
      </c>
      <c r="E993" s="2" t="str">
        <f>VLOOKUP(bron[[#This Row],[personeelsnr]],'data hastus'!A:K,11,FALSE)</f>
        <v>Els Dewulf</v>
      </c>
      <c r="F993" s="10"/>
      <c r="G993" s="28"/>
      <c r="H993" s="28"/>
      <c r="I993" s="28"/>
      <c r="S993" s="44">
        <f>SUM(bron[[#This Row],[Januari]:[December]])</f>
        <v>0</v>
      </c>
      <c r="T993" s="30">
        <v>45995</v>
      </c>
      <c r="U993" s="5" t="s">
        <v>4544</v>
      </c>
      <c r="V993" s="26"/>
      <c r="W993" s="26"/>
      <c r="X993" t="s">
        <v>3493</v>
      </c>
      <c r="Y993" t="s">
        <v>930</v>
      </c>
      <c r="Z993" s="2">
        <v>4952</v>
      </c>
      <c r="AA993" s="32" t="s">
        <v>3538</v>
      </c>
      <c r="AB993" s="43">
        <f>COUNTIF(B:B,bron[[#This Row],[volledige naam]])</f>
        <v>2</v>
      </c>
    </row>
    <row r="994" spans="1:28" x14ac:dyDescent="0.25">
      <c r="A994" s="38">
        <v>33049</v>
      </c>
      <c r="B994" t="str">
        <f>_xlfn.CONCAT(bron[[#This Row],[personeelsnr]]," ",bron[[#This Row],[achternaam]]," ",bron[[#This Row],[voornaam]])</f>
        <v>33049 Depaepe Dirk</v>
      </c>
      <c r="C994" t="str">
        <f>VLOOKUP(bron[[#This Row],[personeelsnr]],'data hastus'!$A:$C,2,0)</f>
        <v>Depaepe</v>
      </c>
      <c r="D994" t="str">
        <f>VLOOKUP(bron[[#This Row],[personeelsnr]],'data hastus'!$A:$C,3,0)</f>
        <v>Dirk</v>
      </c>
      <c r="E994" s="2" t="str">
        <f>VLOOKUP(bron[[#This Row],[personeelsnr]],'data hastus'!A:K,11,FALSE)</f>
        <v>Kenneth De Rick</v>
      </c>
      <c r="F994" s="10"/>
      <c r="G994" s="28"/>
      <c r="H994" s="28"/>
      <c r="I994" s="28"/>
      <c r="S994" s="44">
        <f>SUM(bron[[#This Row],[Januari]:[December]])</f>
        <v>0</v>
      </c>
      <c r="T994" s="30">
        <v>45992</v>
      </c>
      <c r="U994" s="5" t="s">
        <v>4545</v>
      </c>
      <c r="V994" s="26"/>
      <c r="W994" s="26"/>
      <c r="X994" t="s">
        <v>3527</v>
      </c>
      <c r="Y994" t="s">
        <v>2</v>
      </c>
      <c r="Z994" s="2">
        <v>6326</v>
      </c>
      <c r="AA994" s="32" t="s">
        <v>3538</v>
      </c>
      <c r="AB994" s="43">
        <f>COUNTIF(B:B,bron[[#This Row],[volledige naam]])</f>
        <v>1</v>
      </c>
    </row>
    <row r="995" spans="1:28" x14ac:dyDescent="0.25">
      <c r="B995" t="e">
        <f>_xlfn.CONCAT(bron[[#This Row],[personeelsnr]]," ",bron[[#This Row],[achternaam]]," ",bron[[#This Row],[voornaam]])</f>
        <v>#N/A</v>
      </c>
      <c r="C995" t="e">
        <f>VLOOKUP(bron[[#This Row],[personeelsnr]],'data hastus'!$A:$C,2,0)</f>
        <v>#N/A</v>
      </c>
      <c r="D995" t="e">
        <f>VLOOKUP(bron[[#This Row],[personeelsnr]],'data hastus'!$A:$C,3,0)</f>
        <v>#N/A</v>
      </c>
      <c r="E995" s="2" t="e">
        <f>VLOOKUP(bron[[#This Row],[personeelsnr]],'data hastus'!A:K,11,FALSE)</f>
        <v>#N/A</v>
      </c>
      <c r="F995" s="10"/>
      <c r="G995" s="28"/>
      <c r="H995" s="28"/>
      <c r="I995" s="28"/>
      <c r="S995" s="44">
        <f>SUM(bron[[#This Row],[Januari]:[December]])</f>
        <v>0</v>
      </c>
      <c r="V995" s="26"/>
      <c r="W995" s="26"/>
      <c r="AB995" s="43">
        <f>COUNTIF(B:B,bron[[#This Row],[volledige naam]])</f>
        <v>25</v>
      </c>
    </row>
    <row r="996" spans="1:28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25</v>
      </c>
    </row>
    <row r="997" spans="1:28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25</v>
      </c>
    </row>
    <row r="998" spans="1:28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25</v>
      </c>
    </row>
    <row r="999" spans="1:28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25</v>
      </c>
    </row>
    <row r="1000" spans="1:28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25</v>
      </c>
    </row>
    <row r="1001" spans="1:28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25</v>
      </c>
    </row>
  </sheetData>
  <sheetProtection sort="0" autoFilter="0"/>
  <phoneticPr fontId="1" type="noConversion"/>
  <conditionalFormatting sqref="F2:F1001">
    <cfRule type="cellIs" dxfId="33" priority="5" operator="equal">
      <formula>0</formula>
    </cfRule>
    <cfRule type="cellIs" dxfId="32" priority="7" operator="between">
      <formula>1</formula>
      <formula>4</formula>
    </cfRule>
    <cfRule type="cellIs" dxfId="3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5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2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2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1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G594" sqref="G594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1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2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t="shared" ca="1" si="0"/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t="shared" ca="1" si="0"/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t="shared" ca="1" si="0"/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t="shared" ca="1" si="0"/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t="shared" ca="1" si="0"/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t="shared" ca="1" si="0"/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t="shared" ca="1" si="0"/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t="shared" ca="1" si="0"/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t="shared" ca="1" si="0"/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t="shared" ca="1" si="0"/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t="shared" ca="1" si="0"/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t="shared" ca="1" si="0"/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t="shared" ca="1" si="0"/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t="shared" ca="1" si="0"/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t="shared" ca="1" si="0"/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t="shared" ca="1" si="0"/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t="shared" ca="1" si="0"/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t="shared" ca="1" si="0"/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t="shared" ca="1" si="0"/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t="shared" ca="1" si="0"/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t="shared" ca="1" si="0"/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t="shared" ca="1" si="0"/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t="shared" ca="1" si="0"/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t="shared" ca="1" si="0"/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t="shared" ca="1" si="0"/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t="shared" ca="1" si="0"/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t="shared" ca="1" si="0"/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t="shared" ca="1" si="0"/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t="shared" ca="1" si="0"/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t="shared" ca="1" si="0"/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t="shared" ca="1" si="0"/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t="shared" ca="1" si="0"/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t="shared" ca="1" si="0"/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t="shared" ca="1" si="0"/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t="shared" ca="1" si="0"/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t="shared" ca="1" si="0"/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t="shared" ca="1" si="0"/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t="shared" ca="1" si="0"/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t="shared" ca="1" si="0"/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t="shared" ca="1" si="0"/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t="shared" ca="1" si="0"/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t="shared" ca="1" si="0"/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t="shared" ca="1" si="0"/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t="shared" ca="1" si="0"/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t="shared" ca="1" si="0"/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t="shared" ca="1" si="0"/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t="shared" ca="1" si="0"/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t="shared" ca="1" si="0"/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t="shared" ca="1" si="0"/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t="shared" ca="1" si="0"/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t="shared" ca="1" si="0"/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t="shared" ca="1" si="0"/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t="shared" ca="1" si="0"/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t="shared" ca="1" si="0"/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t="shared" ca="1" si="0"/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t="shared" ca="1" si="0"/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t="shared" ca="1" si="0"/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t="shared" ca="1" si="0"/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t="shared" ca="1" si="0"/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t="shared" ca="1" si="0"/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t="shared" ca="1" si="0"/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t="shared" ca="1" si="0"/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t="shared" ca="1" si="0"/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t="shared" ca="1" si="1"/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t="shared" ca="1" si="1"/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t="shared" ca="1" si="1"/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t="shared" ca="1" si="1"/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t="shared" ca="1" si="1"/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t="shared" ca="1" si="1"/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t="shared" ca="1" si="1"/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t="shared" ca="1" si="1"/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t="shared" ca="1" si="1"/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t="shared" ca="1" si="1"/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t="shared" ca="1" si="1"/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t="shared" ca="1" si="1"/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t="shared" ca="1" si="1"/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t="shared" ca="1" si="1"/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t="shared" ca="1" si="1"/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t="shared" ca="1" si="1"/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t="shared" ca="1" si="1"/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t="shared" ca="1" si="1"/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t="shared" ca="1" si="1"/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t="shared" ca="1" si="1"/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t="shared" ca="1" si="1"/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t="shared" ca="1" si="1"/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t="shared" ca="1" si="1"/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t="shared" ca="1" si="1"/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t="shared" ca="1" si="1"/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t="shared" ca="1" si="1"/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t="shared" ca="1" si="1"/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t="shared" ca="1" si="1"/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t="shared" ca="1" si="1"/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t="shared" ca="1" si="1"/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t="shared" ca="1" si="1"/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t="shared" ca="1" si="1"/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t="shared" ca="1" si="1"/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t="shared" ca="1" si="1"/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t="shared" ca="1" si="1"/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t="shared" ca="1" si="1"/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t="shared" ca="1" si="1"/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t="shared" ca="1" si="1"/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t="shared" ca="1" si="1"/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t="shared" ca="1" si="1"/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t="shared" ca="1" si="1"/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t="shared" ca="1" si="1"/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t="shared" ca="1" si="1"/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t="shared" ca="1" si="1"/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t="shared" ca="1" si="1"/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t="shared" ca="1" si="1"/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t="shared" ca="1" si="1"/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t="shared" ca="1" si="1"/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t="shared" ca="1" si="1"/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t="shared" ca="1" si="1"/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t="shared" ca="1" si="1"/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t="shared" ca="1" si="1"/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t="shared" ca="1" si="1"/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t="shared" ca="1" si="1"/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t="shared" ca="1" si="1"/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t="shared" ca="1" si="1"/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t="shared" ca="1" si="1"/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t="shared" ca="1" si="1"/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t="shared" ca="1" si="1"/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t="shared" ca="1" si="1"/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t="shared" ca="1" si="1"/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t="shared" ca="1" si="1"/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t="shared" ca="1" si="1"/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t="shared" ca="1" si="2"/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t="shared" ca="1" si="2"/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t="shared" ca="1" si="2"/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t="shared" ca="1" si="2"/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t="shared" ca="1" si="2"/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t="shared" ca="1" si="2"/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t="shared" ca="1" si="2"/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t="shared" ca="1" si="2"/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t="shared" ca="1" si="2"/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t="shared" ca="1" si="2"/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t="shared" ca="1" si="2"/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t="shared" ca="1" si="2"/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t="shared" ca="1" si="2"/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t="shared" ca="1" si="2"/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t="shared" ca="1" si="2"/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t="shared" ca="1" si="2"/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t="shared" ca="1" si="2"/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t="shared" ca="1" si="2"/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t="shared" ca="1" si="2"/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t="shared" ca="1" si="2"/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t="shared" ca="1" si="2"/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t="shared" ca="1" si="2"/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t="shared" ca="1" si="2"/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t="shared" ca="1" si="2"/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t="shared" ca="1" si="2"/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t="shared" ca="1" si="2"/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t="shared" ca="1" si="2"/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t="shared" ca="1" si="2"/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t="shared" ca="1" si="2"/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t="shared" ca="1" si="2"/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t="shared" ca="1" si="2"/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t="shared" ca="1" si="2"/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t="shared" ca="1" si="2"/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t="shared" ca="1" si="2"/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t="shared" ca="1" si="2"/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t="shared" ca="1" si="2"/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t="shared" ca="1" si="2"/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t="shared" ca="1" si="2"/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t="shared" ca="1" si="2"/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t="shared" ca="1" si="2"/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t="shared" ca="1" si="2"/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t="shared" ca="1" si="2"/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t="shared" ca="1" si="2"/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t="shared" ca="1" si="2"/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t="shared" ca="1" si="2"/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t="shared" ca="1" si="2"/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t="shared" ca="1" si="2"/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t="shared" ca="1" si="2"/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t="shared" ca="1" si="2"/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t="shared" ca="1" si="2"/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t="shared" ca="1" si="2"/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t="shared" ca="1" si="2"/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t="shared" ca="1" si="2"/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t="shared" ca="1" si="2"/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t="shared" ca="1" si="2"/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t="shared" ca="1" si="2"/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t="shared" ca="1" si="2"/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t="shared" ca="1" si="2"/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t="shared" ca="1" si="2"/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t="shared" ca="1" si="2"/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t="shared" ca="1" si="2"/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t="shared" ca="1" si="2"/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t="shared" ca="1" si="2"/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t="shared" ca="1" si="3"/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t="shared" ca="1" si="3"/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t="shared" ca="1" si="3"/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t="shared" ca="1" si="3"/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t="shared" ca="1" si="3"/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t="shared" ca="1" si="3"/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t="shared" ca="1" si="3"/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t="shared" ca="1" si="3"/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t="shared" ca="1" si="3"/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t="shared" ca="1" si="3"/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t="shared" ca="1" si="3"/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t="shared" ca="1" si="3"/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t="shared" ca="1" si="3"/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t="shared" ca="1" si="3"/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t="shared" ca="1" si="3"/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t="shared" ca="1" si="3"/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t="shared" ca="1" si="3"/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t="shared" ca="1" si="3"/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t="shared" ca="1" si="3"/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t="shared" ca="1" si="3"/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t="shared" ca="1" si="3"/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t="shared" ca="1" si="3"/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t="shared" ca="1" si="3"/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t="shared" ca="1" si="3"/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t="shared" ca="1" si="3"/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t="shared" ca="1" si="3"/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t="shared" ca="1" si="3"/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t="shared" ca="1" si="3"/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t="shared" ca="1" si="3"/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t="shared" ca="1" si="3"/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t="shared" ca="1" si="3"/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t="shared" ca="1" si="3"/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t="shared" ca="1" si="3"/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t="shared" ca="1" si="3"/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t="shared" ca="1" si="3"/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t="shared" ca="1" si="3"/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t="shared" ca="1" si="3"/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t="shared" ca="1" si="3"/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t="shared" ca="1" si="3"/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t="shared" ca="1" si="3"/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t="shared" ca="1" si="3"/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t="shared" ca="1" si="3"/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t="shared" ca="1" si="3"/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t="shared" ca="1" si="3"/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t="shared" ca="1" si="3"/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t="shared" ca="1" si="3"/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t="shared" ca="1" si="3"/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t="shared" ca="1" si="3"/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t="shared" ca="1" si="3"/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t="shared" ca="1" si="3"/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t="shared" ca="1" si="3"/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t="shared" ca="1" si="3"/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t="shared" ca="1" si="3"/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t="shared" ca="1" si="3"/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t="shared" ca="1" si="3"/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t="shared" ca="1" si="3"/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t="shared" ca="1" si="3"/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t="shared" ca="1" si="3"/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t="shared" ca="1" si="3"/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t="shared" ca="1" si="3"/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t="shared" ca="1" si="3"/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t="shared" ca="1" si="3"/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t="shared" ca="1" si="3"/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t="shared" ca="1" si="4"/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t="shared" ca="1" si="4"/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t="shared" ca="1" si="4"/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t="shared" ca="1" si="4"/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t="shared" ca="1" si="4"/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t="shared" ca="1" si="4"/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t="shared" ca="1" si="4"/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t="shared" ca="1" si="4"/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t="shared" ca="1" si="4"/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t="shared" ca="1" si="4"/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t="shared" ca="1" si="4"/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t="shared" ca="1" si="4"/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t="shared" ca="1" si="4"/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t="shared" ca="1" si="4"/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t="shared" ca="1" si="4"/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t="shared" ca="1" si="4"/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t="shared" ca="1" si="4"/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t="shared" ca="1" si="4"/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t="shared" ca="1" si="4"/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t="shared" ca="1" si="4"/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t="shared" ca="1" si="4"/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t="shared" ca="1" si="4"/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t="shared" ca="1" si="4"/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t="shared" ca="1" si="4"/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t="shared" ca="1" si="4"/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t="shared" ca="1" si="4"/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t="shared" ca="1" si="4"/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t="shared" ca="1" si="4"/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t="shared" ca="1" si="4"/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t="shared" ca="1" si="4"/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t="shared" ca="1" si="4"/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t="shared" ca="1" si="4"/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t="shared" ca="1" si="4"/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t="shared" ca="1" si="4"/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t="shared" ca="1" si="4"/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t="shared" ca="1" si="4"/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t="shared" ca="1" si="4"/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t="shared" ca="1" si="4"/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t="shared" ca="1" si="4"/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t="shared" ca="1" si="4"/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t="shared" ca="1" si="4"/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t="shared" ca="1" si="4"/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t="shared" ca="1" si="4"/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t="shared" ca="1" si="4"/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t="shared" ca="1" si="4"/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t="shared" ca="1" si="4"/>
        <v>7</v>
      </c>
      <c r="H304">
        <f>COUNTIF(BRON!A:A,Tabel6[[#This Row],[Personeelsnummer]])</f>
        <v>1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t="shared" ca="1" si="4"/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t="shared" ca="1" si="4"/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t="shared" ca="1" si="4"/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t="shared" ca="1" si="4"/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t="shared" ca="1" si="4"/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t="shared" ca="1" si="4"/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t="shared" ca="1" si="4"/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t="shared" ca="1" si="4"/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t="shared" ca="1" si="4"/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t="shared" ca="1" si="4"/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t="shared" ca="1" si="4"/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t="shared" ca="1" si="4"/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t="shared" ca="1" si="4"/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t="shared" ca="1" si="4"/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t="shared" ca="1" si="4"/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t="shared" ca="1" si="4"/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t="shared" ca="1" si="4"/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t="shared" ca="1" si="5"/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t="shared" ca="1" si="5"/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t="shared" ca="1" si="5"/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t="shared" ca="1" si="5"/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t="shared" ca="1" si="5"/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t="shared" ca="1" si="5"/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t="shared" ca="1" si="5"/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t="shared" ca="1" si="5"/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t="shared" ca="1" si="5"/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t="shared" ca="1" si="5"/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t="shared" ca="1" si="5"/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t="shared" ca="1" si="5"/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t="shared" ca="1" si="5"/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t="shared" ca="1" si="5"/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t="shared" ca="1" si="5"/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t="shared" ca="1" si="5"/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t="shared" ca="1" si="5"/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t="shared" ca="1" si="5"/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t="shared" ca="1" si="5"/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t="shared" ca="1" si="5"/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t="shared" ca="1" si="5"/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t="shared" ca="1" si="5"/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t="shared" ca="1" si="5"/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t="shared" ca="1" si="5"/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t="shared" ca="1" si="5"/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t="shared" ca="1" si="5"/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t="shared" ca="1" si="5"/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t="shared" ca="1" si="5"/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t="shared" ca="1" si="5"/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t="shared" ca="1" si="5"/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t="shared" ca="1" si="5"/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t="shared" ca="1" si="5"/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t="shared" ca="1" si="5"/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t="shared" ca="1" si="5"/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t="shared" ca="1" si="5"/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t="shared" ca="1" si="5"/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t="shared" ca="1" si="5"/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t="shared" ca="1" si="5"/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t="shared" ca="1" si="5"/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t="shared" ca="1" si="5"/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t="shared" ca="1" si="5"/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t="shared" ca="1" si="5"/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t="shared" ca="1" si="5"/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t="shared" ca="1" si="5"/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t="shared" ca="1" si="5"/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t="shared" ca="1" si="5"/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t="shared" ca="1" si="5"/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t="shared" ca="1" si="5"/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t="shared" ca="1" si="5"/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t="shared" ca="1" si="5"/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t="shared" ca="1" si="5"/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t="shared" ca="1" si="5"/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t="shared" ca="1" si="5"/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t="shared" ca="1" si="5"/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t="shared" ca="1" si="5"/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t="shared" ca="1" si="5"/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t="shared" ca="1" si="5"/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t="shared" ca="1" si="5"/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t="shared" ca="1" si="5"/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t="shared" ca="1" si="5"/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t="shared" ca="1" si="5"/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t="shared" ca="1" si="5"/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t="shared" ca="1" si="5"/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t="shared" ca="1" si="6"/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t="shared" ca="1" si="6"/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t="shared" ca="1" si="6"/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t="shared" ca="1" si="6"/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t="shared" ca="1" si="6"/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t="shared" ca="1" si="6"/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t="shared" ca="1" si="6"/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t="shared" ca="1" si="6"/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t="shared" ca="1" si="6"/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t="shared" ca="1" si="6"/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t="shared" ca="1" si="6"/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t="shared" ca="1" si="6"/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t="shared" ca="1" si="6"/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t="shared" ca="1" si="6"/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t="shared" ca="1" si="6"/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t="shared" ca="1" si="6"/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t="shared" ca="1" si="6"/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t="shared" ca="1" si="6"/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t="shared" ca="1" si="6"/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t="shared" ca="1" si="6"/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t="shared" ca="1" si="6"/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t="shared" ca="1" si="6"/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t="shared" ca="1" si="6"/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t="shared" ca="1" si="6"/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t="shared" ca="1" si="6"/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t="shared" ca="1" si="6"/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t="shared" ca="1" si="6"/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t="shared" ca="1" si="6"/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t="shared" ca="1" si="6"/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t="shared" ca="1" si="6"/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t="shared" ca="1" si="6"/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t="shared" ca="1" si="6"/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t="shared" ca="1" si="6"/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t="shared" ca="1" si="6"/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t="shared" ca="1" si="6"/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t="shared" ca="1" si="6"/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t="shared" ca="1" si="6"/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t="shared" ca="1" si="6"/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t="shared" ca="1" si="6"/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t="shared" ca="1" si="6"/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t="shared" ca="1" si="6"/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t="shared" ca="1" si="6"/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t="shared" ca="1" si="6"/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t="shared" ca="1" si="6"/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t="shared" ca="1" si="6"/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t="shared" ca="1" si="6"/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t="shared" ca="1" si="6"/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t="shared" ca="1" si="6"/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t="shared" ca="1" si="6"/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t="shared" ca="1" si="6"/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t="shared" ca="1" si="6"/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t="shared" ca="1" si="6"/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t="shared" ca="1" si="6"/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t="shared" ca="1" si="6"/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t="shared" ca="1" si="6"/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t="shared" ca="1" si="6"/>
        <v>2</v>
      </c>
      <c r="H442">
        <f>COUNTIF(BRON!A:A,Tabel6[[#This Row],[Personeelsnummer]])</f>
        <v>2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t="shared" ca="1" si="6"/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t="shared" ca="1" si="6"/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t="shared" ca="1" si="6"/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t="shared" ca="1" si="6"/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t="shared" ca="1" si="6"/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t="shared" ca="1" si="6"/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t="shared" ca="1" si="6"/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t="shared" ref="G450:G513" ca="1" si="7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t="shared" ca="1" si="7"/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t="shared" ca="1" si="7"/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t="shared" ca="1" si="7"/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t="shared" ca="1" si="7"/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t="shared" ca="1" si="7"/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t="shared" ca="1" si="7"/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t="shared" ca="1" si="7"/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t="shared" ca="1" si="7"/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t="shared" ca="1" si="7"/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t="shared" ca="1" si="7"/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t="shared" ca="1" si="7"/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t="shared" ca="1" si="7"/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t="shared" ca="1" si="7"/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t="shared" ca="1" si="7"/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t="shared" ca="1" si="7"/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t="shared" ca="1" si="7"/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t="shared" ca="1" si="7"/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t="shared" ca="1" si="7"/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t="shared" ca="1" si="7"/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t="shared" ca="1" si="7"/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t="shared" ca="1" si="7"/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t="shared" ca="1" si="7"/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t="shared" ca="1" si="7"/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t="shared" ca="1" si="7"/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t="shared" ca="1" si="7"/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t="shared" ca="1" si="7"/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t="shared" ca="1" si="7"/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t="shared" ca="1" si="7"/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t="shared" ca="1" si="7"/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t="shared" ca="1" si="7"/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t="shared" ca="1" si="7"/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t="shared" ca="1" si="7"/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t="shared" ca="1" si="7"/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t="shared" ca="1" si="7"/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t="shared" ca="1" si="7"/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t="shared" ca="1" si="7"/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t="shared" ca="1" si="7"/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t="shared" ca="1" si="7"/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t="shared" ca="1" si="7"/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t="shared" ca="1" si="7"/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t="shared" ca="1" si="7"/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t="shared" ca="1" si="7"/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t="shared" ca="1" si="7"/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t="shared" ca="1" si="7"/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t="shared" ca="1" si="7"/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t="shared" ca="1" si="7"/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t="shared" ca="1" si="7"/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t="shared" ca="1" si="7"/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t="shared" ca="1" si="7"/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t="shared" ca="1" si="7"/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t="shared" ca="1" si="7"/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t="shared" ca="1" si="7"/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t="shared" ca="1" si="7"/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t="shared" ca="1" si="7"/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t="shared" ca="1" si="7"/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t="shared" ca="1" si="7"/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t="shared" ca="1" si="7"/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t="shared" ca="1" si="7"/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t="shared" ca="1" si="7"/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t="shared" ca="1" si="7"/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t="shared" ca="1" si="7"/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t="shared" ca="1" si="8"/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t="shared" ca="1" si="8"/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t="shared" ca="1" si="8"/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t="shared" ca="1" si="8"/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t="shared" ca="1" si="8"/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t="shared" ca="1" si="8"/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t="shared" ca="1" si="8"/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t="shared" ca="1" si="8"/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t="shared" ca="1" si="8"/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t="shared" ca="1" si="8"/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t="shared" ca="1" si="8"/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t="shared" ca="1" si="8"/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t="shared" ca="1" si="8"/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t="shared" ca="1" si="8"/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t="shared" ca="1" si="8"/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t="shared" ca="1" si="8"/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t="shared" ca="1" si="8"/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t="shared" ca="1" si="8"/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t="shared" ca="1" si="8"/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t="shared" ca="1" si="8"/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t="shared" ca="1" si="8"/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t="shared" ca="1" si="8"/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t="shared" ca="1" si="8"/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t="shared" ca="1" si="8"/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t="shared" ca="1" si="8"/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t="shared" ca="1" si="8"/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t="shared" ca="1" si="8"/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t="shared" ca="1" si="8"/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t="shared" ca="1" si="8"/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t="shared" ca="1" si="8"/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t="shared" ca="1" si="8"/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t="shared" ca="1" si="8"/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t="shared" ca="1" si="8"/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t="shared" ca="1" si="8"/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t="shared" ca="1" si="8"/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t="shared" ca="1" si="8"/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t="shared" ca="1" si="8"/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t="shared" ca="1" si="8"/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t="shared" ca="1" si="8"/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t="shared" ca="1" si="8"/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t="shared" ca="1" si="8"/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t="shared" ca="1" si="8"/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t="shared" ca="1" si="8"/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t="shared" ca="1" si="8"/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t="shared" ca="1" si="8"/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41" ca="1" si="9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2025-12-05T11:33:47Z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