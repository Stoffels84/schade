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6" documentId="13_ncr:1_{10FCACA5-8197-478D-90D3-5F83063FB753}" xr6:coauthVersionLast="47" xr6:coauthVersionMax="47" xr10:uidLastSave="{66467B15-4469-4A85-B304-C1DCDBE239BA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3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D918" i="1"/>
  <c r="E918" i="1"/>
  <c r="S918" i="1"/>
  <c r="C917" i="1"/>
  <c r="D917" i="1"/>
  <c r="E917" i="1"/>
  <c r="S917" i="1"/>
  <c r="C916" i="1"/>
  <c r="D916" i="1"/>
  <c r="E916" i="1"/>
  <c r="S916" i="1"/>
  <c r="C915" i="1"/>
  <c r="D915" i="1"/>
  <c r="E915" i="1"/>
  <c r="S915" i="1"/>
  <c r="C914" i="1"/>
  <c r="D914" i="1"/>
  <c r="E914" i="1"/>
  <c r="S914" i="1"/>
  <c r="C913" i="1"/>
  <c r="D913" i="1"/>
  <c r="E913" i="1"/>
  <c r="S913" i="1"/>
  <c r="C912" i="1"/>
  <c r="D912" i="1"/>
  <c r="E912" i="1"/>
  <c r="S912" i="1"/>
  <c r="C911" i="1"/>
  <c r="D911" i="1"/>
  <c r="E911" i="1"/>
  <c r="S911" i="1"/>
  <c r="C910" i="1"/>
  <c r="B910" i="1" s="1"/>
  <c r="D910" i="1"/>
  <c r="E910" i="1"/>
  <c r="S910" i="1"/>
  <c r="C904" i="1"/>
  <c r="D904" i="1"/>
  <c r="E904" i="1"/>
  <c r="S904" i="1"/>
  <c r="C908" i="1"/>
  <c r="D908" i="1"/>
  <c r="E908" i="1"/>
  <c r="S908" i="1"/>
  <c r="C907" i="1"/>
  <c r="D907" i="1"/>
  <c r="E907" i="1"/>
  <c r="S907" i="1"/>
  <c r="C902" i="1"/>
  <c r="D902" i="1"/>
  <c r="E902" i="1"/>
  <c r="S902" i="1"/>
  <c r="C909" i="1"/>
  <c r="D909" i="1"/>
  <c r="E909" i="1"/>
  <c r="S909" i="1"/>
  <c r="C906" i="1"/>
  <c r="D906" i="1"/>
  <c r="E906" i="1"/>
  <c r="S906" i="1"/>
  <c r="C903" i="1"/>
  <c r="D903" i="1"/>
  <c r="E903" i="1"/>
  <c r="S903" i="1"/>
  <c r="C898" i="1"/>
  <c r="D898" i="1"/>
  <c r="E898" i="1"/>
  <c r="S898" i="1"/>
  <c r="C905" i="1"/>
  <c r="D905" i="1"/>
  <c r="E905" i="1"/>
  <c r="S905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09" i="1" l="1"/>
  <c r="B907" i="1"/>
  <c r="B904" i="1"/>
  <c r="B906" i="1"/>
  <c r="B908" i="1"/>
  <c r="B902" i="1"/>
  <c r="B855" i="1"/>
  <c r="B886" i="1"/>
  <c r="B890" i="1"/>
  <c r="B896" i="1"/>
  <c r="B898" i="1"/>
  <c r="B884" i="1"/>
  <c r="B887" i="1"/>
  <c r="B895" i="1"/>
  <c r="B901" i="1"/>
  <c r="B905" i="1"/>
  <c r="B903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<sst xmlns="http://schemas.openxmlformats.org/spreadsheetml/2006/main" count="8654" uniqueCount="3723">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</sst>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  <xf numFmtId="0" fontId="0" fillId="0" borderId="0" xfId="0" applyNumberFormat="1"/>
    <xf numFmtId="0" fontId="0" fillId="8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86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  <sheetName val="Blad1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3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85">
      <pivotArea dataOnly="0" labelOnly="1" fieldPosition="0">
        <references count="1">
          <reference field="1" count="1">
            <x v="511"/>
          </reference>
        </references>
      </pivotArea>
    </format>
    <format dxfId="84">
      <pivotArea dataOnly="0" labelOnly="1" fieldPosition="0">
        <references count="1">
          <reference field="1" count="1">
            <x v="473"/>
          </reference>
        </references>
      </pivotArea>
    </format>
    <format dxfId="83">
      <pivotArea dataOnly="0" labelOnly="1" fieldPosition="0">
        <references count="1">
          <reference field="1" count="1">
            <x v="497"/>
          </reference>
        </references>
      </pivotArea>
    </format>
    <format dxfId="82">
      <pivotArea dataOnly="0" labelOnly="1" fieldPosition="0">
        <references count="1">
          <reference field="1" count="1">
            <x v="512"/>
          </reference>
        </references>
      </pivotArea>
    </format>
    <format dxfId="81">
      <pivotArea dataOnly="0" labelOnly="1" fieldPosition="0">
        <references count="1">
          <reference field="1" count="1">
            <x v="504"/>
          </reference>
        </references>
      </pivotArea>
    </format>
    <format dxfId="80">
      <pivotArea dataOnly="0" labelOnly="1" fieldPosition="0">
        <references count="1">
          <reference field="1" count="1">
            <x v="90"/>
          </reference>
        </references>
      </pivotArea>
    </format>
    <format dxfId="79">
      <pivotArea dataOnly="0" labelOnly="1" fieldPosition="0">
        <references count="1">
          <reference field="1" count="1">
            <x v="280"/>
          </reference>
        </references>
      </pivotArea>
    </format>
    <format dxfId="78">
      <pivotArea dataOnly="0" labelOnly="1" fieldPosition="0">
        <references count="1">
          <reference field="1" count="1">
            <x v="514"/>
          </reference>
        </references>
      </pivotArea>
    </format>
    <format dxfId="77">
      <pivotArea dataOnly="0" labelOnly="1" fieldPosition="0">
        <references count="1">
          <reference field="1" count="1">
            <x v="478"/>
          </reference>
        </references>
      </pivotArea>
    </format>
    <format dxfId="76">
      <pivotArea dataOnly="0" labelOnly="1" fieldPosition="0">
        <references count="1">
          <reference field="1" count="1">
            <x v="510"/>
          </reference>
        </references>
      </pivotArea>
    </format>
    <format dxfId="75">
      <pivotArea dataOnly="0" labelOnly="1" fieldPosition="0">
        <references count="1">
          <reference field="1" count="1">
            <x v="481"/>
          </reference>
        </references>
      </pivotArea>
    </format>
    <format dxfId="74">
      <pivotArea dataOnly="0" labelOnly="1" fieldPosition="0">
        <references count="1">
          <reference field="1" count="1">
            <x v="435"/>
          </reference>
        </references>
      </pivotArea>
    </format>
    <format dxfId="73">
      <pivotArea dataOnly="0" labelOnly="1" fieldPosition="0">
        <references count="1">
          <reference field="1" count="1">
            <x v="112"/>
          </reference>
        </references>
      </pivotArea>
    </format>
    <format dxfId="72">
      <pivotArea dataOnly="0" labelOnly="1" fieldPosition="0">
        <references count="1">
          <reference field="1" count="1">
            <x v="157"/>
          </reference>
        </references>
      </pivotArea>
    </format>
    <format dxfId="71">
      <pivotArea dataOnly="0" labelOnly="1" fieldPosition="0">
        <references count="1">
          <reference field="1" count="1">
            <x v="490"/>
          </reference>
        </references>
      </pivotArea>
    </format>
    <format dxfId="70">
      <pivotArea dataOnly="0" labelOnly="1" fieldPosition="0">
        <references count="1">
          <reference field="1" count="1">
            <x v="506"/>
          </reference>
        </references>
      </pivotArea>
    </format>
    <format dxfId="69">
      <pivotArea dataOnly="0" labelOnly="1" fieldPosition="0">
        <references count="1">
          <reference field="1" count="1">
            <x v="520"/>
          </reference>
        </references>
      </pivotArea>
    </format>
    <format dxfId="68">
      <pivotArea dataOnly="0" labelOnly="1" fieldPosition="0">
        <references count="1">
          <reference field="1" count="1">
            <x v="250"/>
          </reference>
        </references>
      </pivotArea>
    </format>
    <format dxfId="67">
      <pivotArea dataOnly="0" labelOnly="1" fieldPosition="0">
        <references count="1">
          <reference field="1" count="1">
            <x v="432"/>
          </reference>
        </references>
      </pivotArea>
    </format>
    <format dxfId="66">
      <pivotArea dataOnly="0" labelOnly="1" fieldPosition="0">
        <references count="1">
          <reference field="1" count="1">
            <x v="440"/>
          </reference>
        </references>
      </pivotArea>
    </format>
    <format dxfId="65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64">
      <pivotArea dataOnly="0" labelOnly="1" fieldPosition="0">
        <references count="1">
          <reference field="1" count="1">
            <x v="348"/>
          </reference>
        </references>
      </pivotArea>
    </format>
    <format dxfId="63">
      <pivotArea dataOnly="0" labelOnly="1" fieldPosition="0">
        <references count="1">
          <reference field="1" count="1">
            <x v="355"/>
          </reference>
        </references>
      </pivotArea>
    </format>
    <format dxfId="62">
      <pivotArea dataOnly="0" labelOnly="1" fieldPosition="0">
        <references count="1">
          <reference field="1" count="1">
            <x v="498"/>
          </reference>
        </references>
      </pivotArea>
    </format>
    <format dxfId="61">
      <pivotArea dataOnly="0" labelOnly="1" fieldPosition="0">
        <references count="1">
          <reference field="1" count="1">
            <x v="508"/>
          </reference>
        </references>
      </pivotArea>
    </format>
    <format dxfId="60">
      <pivotArea dataOnly="0" labelOnly="1" fieldPosition="0">
        <references count="1">
          <reference field="1" count="1">
            <x v="397"/>
          </reference>
        </references>
      </pivotArea>
    </format>
    <format dxfId="59">
      <pivotArea dataOnly="0" labelOnly="1" fieldPosition="0">
        <references count="1">
          <reference field="1" count="1">
            <x v="513"/>
          </reference>
        </references>
      </pivotArea>
    </format>
    <format dxfId="58">
      <pivotArea dataOnly="0" labelOnly="1" fieldPosition="0">
        <references count="1">
          <reference field="1" count="1">
            <x v="412"/>
          </reference>
        </references>
      </pivotArea>
    </format>
    <format dxfId="57">
      <pivotArea dataOnly="0" labelOnly="1" fieldPosition="0">
        <references count="1">
          <reference field="1" count="1">
            <x v="507"/>
          </reference>
        </references>
      </pivotArea>
    </format>
    <format dxfId="56">
      <pivotArea dataOnly="0" labelOnly="1" fieldPosition="0">
        <references count="1">
          <reference field="1" count="1">
            <x v="507"/>
          </reference>
        </references>
      </pivotArea>
    </format>
    <format dxfId="55">
      <pivotArea dataOnly="0" labelOnly="1" fieldPosition="0">
        <references count="1">
          <reference field="1" count="1">
            <x v="342"/>
          </reference>
        </references>
      </pivotArea>
    </format>
    <format dxfId="54">
      <pivotArea dataOnly="0" labelOnly="1" fieldPosition="0">
        <references count="1">
          <reference field="1" count="1">
            <x v="501"/>
          </reference>
        </references>
      </pivotArea>
    </format>
    <format dxfId="53">
      <pivotArea dataOnly="0" labelOnly="1" fieldPosition="0">
        <references count="1">
          <reference field="1" count="1">
            <x v="351"/>
          </reference>
        </references>
      </pivotArea>
    </format>
    <format dxfId="52">
      <pivotArea dataOnly="0" labelOnly="1" fieldPosition="0">
        <references count="1">
          <reference field="1" count="1">
            <x v="156"/>
          </reference>
        </references>
      </pivotArea>
    </format>
    <format dxfId="51">
      <pivotArea dataOnly="0" labelOnly="1" fieldPosition="0">
        <references count="1">
          <reference field="1" count="1">
            <x v="358"/>
          </reference>
        </references>
      </pivotArea>
    </format>
    <format dxfId="50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49">
      <pivotArea dataOnly="0" labelOnly="1" fieldPosition="0">
        <references count="1">
          <reference field="1" count="1">
            <x v="438"/>
          </reference>
        </references>
      </pivotArea>
    </format>
    <format dxfId="48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47">
      <pivotArea dataOnly="0" labelOnly="1" fieldPosition="0">
        <references count="1">
          <reference field="1" count="1">
            <x v="309"/>
          </reference>
        </references>
      </pivotArea>
    </format>
    <format dxfId="46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45">
      <pivotArea dataOnly="0" labelOnly="1" fieldPosition="0">
        <references count="1">
          <reference field="1" count="1">
            <x v="374"/>
          </reference>
        </references>
      </pivotArea>
    </format>
    <format dxfId="44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43">
      <pivotArea dataOnly="0" labelOnly="1" fieldPosition="0">
        <references count="1">
          <reference field="1" count="1">
            <x v="407"/>
          </reference>
        </references>
      </pivotArea>
    </format>
    <format dxfId="42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3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0"/>
    <tableColumn id="5" xr3:uid="{DF37AD45-FC5C-478A-989D-9143E744CEEA}" name="voornaam" dataDxfId="39">
      <calculatedColumnFormula>VLOOKUP(Tabel2[[#This Row],[nr]],'data hastus'!A:C,3,FALSE)</calculatedColumnFormula>
    </tableColumn>
    <tableColumn id="6" xr3:uid="{4098FAFB-9B09-4A81-8B22-18CC90B5F979}" name="achternaam" dataDxfId="3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34">
  <autoFilter ref="A1:AA918" xr:uid="{2FDE3AF6-1CE1-4F38-BD72-1F03CD30F4FC}"/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3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2"/>
    <tableColumn id="11" xr3:uid="{97ECF1D5-48DC-4487-B3C2-17232CC8E19E}" name="Januari" dataDxfId="31"/>
    <tableColumn id="12" xr3:uid="{7B2FF520-A575-45C0-BB5A-19B87DDB4EA0}" name="Februari" dataDxfId="30"/>
    <tableColumn id="13" xr3:uid="{4E6C30D1-FB72-4AB2-900F-14A3D53F34DE}" name="Maart" dataDxfId="2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8">
      <calculatedColumnFormula>SUM(bron[[#This Row],[Januari]:[December]])</calculatedColumnFormula>
    </tableColumn>
    <tableColumn id="10" xr3:uid="{8D9646BD-38B6-4F4D-9859-B3933369346B}" name="Datum" dataDxfId="2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83</v>
      </c>
      <c r="J50" s="14" t="s">
        <v>109</v>
      </c>
      <c r="K50" s="14"/>
      <c r="L50" s="25"/>
      <c r="M50" s="14">
        <f>SUM(M42:M49)</f>
        <v>192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1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883" activePane="bottomLeft" state="frozen"/>
      <selection activeCell="F1" sqref="F1"/>
      <selection pane="bottomLeft" activeCell="A911" sqref="A91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3717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3720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3712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3715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A908">
        <v>39928</v>
      </c>
      <c r="B908" t="str">
        <f>_xlfn.CONCAT(bron[[#This Row],[personeelsnr]]," ",bron[[#This Row],[achternaam]]," ",bron[[#This Row],[voornaam]])</f>
        <v>39928 Momand Abdullah</v>
      </c>
      <c r="C908" t="str">
        <f>VLOOKUP(bron[[#This Row],[personeelsnr]],'data hastus'!$A:$C,2,0)</f>
        <v>Momand</v>
      </c>
      <c r="D908" t="str">
        <f>VLOOKUP(bron[[#This Row],[personeelsnr]],'data hastus'!$A:$C,3,0)</f>
        <v>Abdullah</v>
      </c>
      <c r="E908" s="2" t="str">
        <f>VLOOKUP(bron[[#This Row],[personeelsnr]],'data hastus'!A:K,11,FALSE)</f>
        <v>Bart Van Der Beken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3719</v>
      </c>
      <c r="V908" s="37"/>
      <c r="W908" s="37"/>
      <c r="X908" t="s">
        <v>3512</v>
      </c>
      <c r="Y908" t="s">
        <v>3563</v>
      </c>
      <c r="Z908" s="2">
        <v>5934</v>
      </c>
      <c r="AA908" s="43" t="s">
        <v>3558</v>
      </c>
    </row>
    <row r="909" spans="1:27" x14ac:dyDescent="0.25">
      <c r="A909">
        <v>42252</v>
      </c>
      <c r="B909" t="str">
        <f>_xlfn.CONCAT(bron[[#This Row],[personeelsnr]]," ",bron[[#This Row],[achternaam]]," ",bron[[#This Row],[voornaam]])</f>
        <v>42252 Sular Abdullah</v>
      </c>
      <c r="C909" t="str">
        <f>VLOOKUP(bron[[#This Row],[personeelsnr]],'data hastus'!$A:$C,2,0)</f>
        <v>Sular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Christoff Rotty</v>
      </c>
      <c r="G909" s="39"/>
      <c r="H909" s="39"/>
      <c r="I909" s="39"/>
      <c r="S909" s="36">
        <f>SUM(bron[[#This Row],[Januari]:[December]])</f>
        <v>0</v>
      </c>
      <c r="T909" s="41">
        <v>45945</v>
      </c>
      <c r="U909" s="5" t="s">
        <v>3716</v>
      </c>
      <c r="V909" s="37"/>
      <c r="W909" s="37"/>
      <c r="X909" t="s">
        <v>3512</v>
      </c>
      <c r="Y909" t="s">
        <v>608</v>
      </c>
      <c r="Z909" s="2">
        <v>5910</v>
      </c>
      <c r="AA909" s="43" t="s">
        <v>3559</v>
      </c>
    </row>
    <row r="910" spans="1:27" x14ac:dyDescent="0.25">
      <c r="A910">
        <v>20653</v>
      </c>
      <c r="B910" t="str">
        <f>_xlfn.CONCAT(bron[[#This Row],[personeelsnr]]," ",bron[[#This Row],[achternaam]]," ",bron[[#This Row],[voornaam]])</f>
        <v>20653 Mestdag Marius</v>
      </c>
      <c r="C910" t="str">
        <f>VLOOKUP(bron[[#This Row],[personeelsnr]],'data hastus'!$A:$C,2,0)</f>
        <v>Mestdag</v>
      </c>
      <c r="D910" t="str">
        <f>VLOOKUP(bron[[#This Row],[personeelsnr]],'data hastus'!$A:$C,3,0)</f>
        <v>Marius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45950</v>
      </c>
      <c r="U910" s="5" t="s">
        <v>3721</v>
      </c>
      <c r="V910" s="37"/>
      <c r="W910" s="37"/>
      <c r="X910" t="s">
        <v>3548</v>
      </c>
      <c r="Y910" t="s">
        <v>3722</v>
      </c>
      <c r="Z910" s="2">
        <v>6366</v>
      </c>
      <c r="AA910" s="43" t="s">
        <v>3558</v>
      </c>
    </row>
    <row r="911" spans="1:27" x14ac:dyDescent="0.25">
      <c r="B911" s="45"/>
      <c r="C911" t="e">
        <f>VLOOKUP(bron[[#This Row],[personeelsnr]],'data hastus'!$A:$C,2,0)</f>
        <v>#N/A</v>
      </c>
      <c r="D911" t="e">
        <f>VLOOKUP(bron[[#This Row],[personeelsnr]],'data hastus'!$A:$C,3,0)</f>
        <v>#N/A</v>
      </c>
      <c r="E911" s="2" t="e">
        <f>VLOOKUP(bron[[#This Row],[personeelsnr]],'data hastus'!A:K,11,FALSE)</f>
        <v>#N/A</v>
      </c>
      <c r="F911" s="10"/>
      <c r="G911" s="39"/>
      <c r="H911" s="39"/>
      <c r="I911" s="39"/>
      <c r="S911" s="46">
        <f>SUM(bron[[#This Row],[Januari]:[December]])</f>
        <v>0</v>
      </c>
      <c r="V911" s="37"/>
      <c r="W911" s="37"/>
    </row>
    <row r="912" spans="1:27" x14ac:dyDescent="0.25">
      <c r="B912" s="45"/>
      <c r="C912" t="e">
        <f>VLOOKUP(bron[[#This Row],[personeelsnr]],'data hastus'!$A:$C,2,0)</f>
        <v>#N/A</v>
      </c>
      <c r="D912" t="e">
        <f>VLOOKUP(bron[[#This Row],[personeelsnr]],'data hastus'!$A:$C,3,0)</f>
        <v>#N/A</v>
      </c>
      <c r="E912" s="2" t="e">
        <f>VLOOKUP(bron[[#This Row],[personeelsnr]],'data hastus'!A:K,11,FALSE)</f>
        <v>#N/A</v>
      </c>
      <c r="F912" s="10"/>
      <c r="G912" s="39"/>
      <c r="H912" s="39"/>
      <c r="I912" s="39"/>
      <c r="S912" s="46">
        <f>SUM(bron[[#This Row],[Januari]:[December]])</f>
        <v>0</v>
      </c>
      <c r="V912" s="37"/>
      <c r="W912" s="37"/>
    </row>
    <row r="913" spans="2:23" x14ac:dyDescent="0.25">
      <c r="B913" s="45"/>
      <c r="C913" t="e">
        <f>VLOOKUP(bron[[#This Row],[personeelsnr]],'data hastus'!$A:$C,2,0)</f>
        <v>#N/A</v>
      </c>
      <c r="D913" t="e">
        <f>VLOOKUP(bron[[#This Row],[personeelsnr]],'data hastus'!$A:$C,3,0)</f>
        <v>#N/A</v>
      </c>
      <c r="E913" s="2" t="e">
        <f>VLOOKUP(bron[[#This Row],[personeelsnr]],'data hastus'!A:K,11,FALSE)</f>
        <v>#N/A</v>
      </c>
      <c r="F913" s="10"/>
      <c r="G913" s="39"/>
      <c r="H913" s="39"/>
      <c r="I913" s="39"/>
      <c r="S913" s="46">
        <f>SUM(bron[[#This Row],[Januari]:[December]])</f>
        <v>0</v>
      </c>
      <c r="V913" s="37"/>
      <c r="W913" s="37"/>
    </row>
    <row r="914" spans="2:23" x14ac:dyDescent="0.25">
      <c r="B914" s="45"/>
      <c r="C914" t="e">
        <f>VLOOKUP(bron[[#This Row],[personeelsnr]],'data hastus'!$A:$C,2,0)</f>
        <v>#N/A</v>
      </c>
      <c r="D914" t="e">
        <f>VLOOKUP(bron[[#This Row],[personeelsnr]],'data hastus'!$A:$C,3,0)</f>
        <v>#N/A</v>
      </c>
      <c r="E914" s="2" t="e">
        <f>VLOOKUP(bron[[#This Row],[personeelsnr]],'data hastus'!A:K,11,FALSE)</f>
        <v>#N/A</v>
      </c>
      <c r="F914" s="10"/>
      <c r="G914" s="39"/>
      <c r="H914" s="39"/>
      <c r="I914" s="39"/>
      <c r="S914" s="46">
        <f>SUM(bron[[#This Row],[Januari]:[December]])</f>
        <v>0</v>
      </c>
      <c r="V914" s="37"/>
      <c r="W914" s="37"/>
    </row>
    <row r="915" spans="2:23" x14ac:dyDescent="0.25">
      <c r="B915" s="45"/>
      <c r="C915" t="e">
        <f>VLOOKUP(bron[[#This Row],[personeelsnr]],'data hastus'!$A:$C,2,0)</f>
        <v>#N/A</v>
      </c>
      <c r="D915" t="e">
        <f>VLOOKUP(bron[[#This Row],[personeelsnr]],'data hastus'!$A:$C,3,0)</f>
        <v>#N/A</v>
      </c>
      <c r="E915" s="2" t="e">
        <f>VLOOKUP(bron[[#This Row],[personeelsnr]],'data hastus'!A:K,11,FALSE)</f>
        <v>#N/A</v>
      </c>
      <c r="F915" s="10"/>
      <c r="G915" s="39"/>
      <c r="H915" s="39"/>
      <c r="I915" s="39"/>
      <c r="S915" s="46">
        <f>SUM(bron[[#This Row],[Januari]:[December]])</f>
        <v>0</v>
      </c>
      <c r="V915" s="37"/>
      <c r="W915" s="37"/>
    </row>
    <row r="916" spans="2:23" x14ac:dyDescent="0.25">
      <c r="B916" s="45"/>
      <c r="C916" t="e">
        <f>VLOOKUP(bron[[#This Row],[personeelsnr]],'data hastus'!$A:$C,2,0)</f>
        <v>#N/A</v>
      </c>
      <c r="D916" t="e">
        <f>VLOOKUP(bron[[#This Row],[personeelsnr]],'data hastus'!$A:$C,3,0)</f>
        <v>#N/A</v>
      </c>
      <c r="E916" s="2" t="e">
        <f>VLOOKUP(bron[[#This Row],[personeelsnr]],'data hastus'!A:K,11,FALSE)</f>
        <v>#N/A</v>
      </c>
      <c r="F916" s="10"/>
      <c r="G916" s="39"/>
      <c r="H916" s="39"/>
      <c r="I916" s="39"/>
      <c r="S916" s="46">
        <f>SUM(bron[[#This Row],[Januari]:[December]])</f>
        <v>0</v>
      </c>
      <c r="V916" s="37"/>
      <c r="W916" s="37"/>
    </row>
    <row r="917" spans="2:23" x14ac:dyDescent="0.25">
      <c r="B917" s="45"/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6">
        <f>SUM(bron[[#This Row],[Januari]:[December]])</f>
        <v>0</v>
      </c>
      <c r="V917" s="37"/>
      <c r="W917" s="37"/>
    </row>
    <row r="918" spans="2:23" x14ac:dyDescent="0.25">
      <c r="B918" s="45"/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6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37" priority="5" operator="equal">
      <formula>0</formula>
    </cfRule>
    <cfRule type="cellIs" dxfId="36" priority="7" operator="between">
      <formula>1</formula>
      <formula>4</formula>
    </cfRule>
    <cfRule type="cellIs" dxfId="35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6" priority="1" operator="equal">
      <formula>0</formula>
    </cfRule>
    <cfRule type="cellIs" dxfId="25" priority="2" operator="between">
      <formula>1</formula>
      <formula>4</formula>
    </cfRule>
    <cfRule type="cellIs" dxfId="24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2025-10-20T16:13:57Z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