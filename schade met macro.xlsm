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0" documentId="13_ncr:1_{10FCACA5-8197-478D-90D3-5F83063FB753}" xr6:coauthVersionLast="47" xr6:coauthVersionMax="47" xr10:uidLastSave="{949EA66F-7009-4E24-962B-5094AC96368E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33" i="1" l="1"/>
  <c r="B936" i="1"/>
  <c r="B937" i="1"/>
  <c r="B938" i="1"/>
  <c r="B939" i="1"/>
  <c r="B940" i="1"/>
  <c r="B941" i="1"/>
  <c r="B942" i="1"/>
  <c r="B943" i="1"/>
  <c r="B944" i="1"/>
  <c r="C944" i="1"/>
  <c r="D944" i="1"/>
  <c r="E944" i="1"/>
  <c r="S944" i="1"/>
  <c r="C943" i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B935" i="1" s="1"/>
  <c r="D935" i="1"/>
  <c r="E935" i="1"/>
  <c r="S935" i="1"/>
  <c r="C934" i="1"/>
  <c r="B934" i="1" s="1"/>
  <c r="D934" i="1"/>
  <c r="E934" i="1"/>
  <c r="S934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B928" i="1" s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2" i="1" l="1"/>
  <c r="B931" i="1"/>
  <c r="B930" i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<sst xmlns="http://schemas.openxmlformats.org/spreadsheetml/2006/main" count="8754" uniqueCount="3754">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</sst>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9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94">
      <pivotArea dataOnly="0" labelOnly="1" fieldPosition="0">
        <references count="1">
          <reference field="1" count="1">
            <x v="511"/>
          </reference>
        </references>
      </pivotArea>
    </format>
    <format dxfId="93">
      <pivotArea dataOnly="0" labelOnly="1" fieldPosition="0">
        <references count="1">
          <reference field="1" count="1">
            <x v="473"/>
          </reference>
        </references>
      </pivotArea>
    </format>
    <format dxfId="92">
      <pivotArea dataOnly="0" labelOnly="1" fieldPosition="0">
        <references count="1">
          <reference field="1" count="1">
            <x v="497"/>
          </reference>
        </references>
      </pivotArea>
    </format>
    <format dxfId="91">
      <pivotArea dataOnly="0" labelOnly="1" fieldPosition="0">
        <references count="1">
          <reference field="1" count="1">
            <x v="512"/>
          </reference>
        </references>
      </pivotArea>
    </format>
    <format dxfId="90">
      <pivotArea dataOnly="0" labelOnly="1" fieldPosition="0">
        <references count="1">
          <reference field="1" count="1">
            <x v="504"/>
          </reference>
        </references>
      </pivotArea>
    </format>
    <format dxfId="89">
      <pivotArea dataOnly="0" labelOnly="1" fieldPosition="0">
        <references count="1">
          <reference field="1" count="1">
            <x v="90"/>
          </reference>
        </references>
      </pivotArea>
    </format>
    <format dxfId="88">
      <pivotArea dataOnly="0" labelOnly="1" fieldPosition="0">
        <references count="1">
          <reference field="1" count="1">
            <x v="280"/>
          </reference>
        </references>
      </pivotArea>
    </format>
    <format dxfId="87">
      <pivotArea dataOnly="0" labelOnly="1" fieldPosition="0">
        <references count="1">
          <reference field="1" count="1">
            <x v="514"/>
          </reference>
        </references>
      </pivotArea>
    </format>
    <format dxfId="86">
      <pivotArea dataOnly="0" labelOnly="1" fieldPosition="0">
        <references count="1">
          <reference field="1" count="1">
            <x v="478"/>
          </reference>
        </references>
      </pivotArea>
    </format>
    <format dxfId="85">
      <pivotArea dataOnly="0" labelOnly="1" fieldPosition="0">
        <references count="1">
          <reference field="1" count="1">
            <x v="510"/>
          </reference>
        </references>
      </pivotArea>
    </format>
    <format dxfId="84">
      <pivotArea dataOnly="0" labelOnly="1" fieldPosition="0">
        <references count="1">
          <reference field="1" count="1">
            <x v="481"/>
          </reference>
        </references>
      </pivotArea>
    </format>
    <format dxfId="83">
      <pivotArea dataOnly="0" labelOnly="1" fieldPosition="0">
        <references count="1">
          <reference field="1" count="1">
            <x v="435"/>
          </reference>
        </references>
      </pivotArea>
    </format>
    <format dxfId="82">
      <pivotArea dataOnly="0" labelOnly="1" fieldPosition="0">
        <references count="1">
          <reference field="1" count="1">
            <x v="112"/>
          </reference>
        </references>
      </pivotArea>
    </format>
    <format dxfId="81">
      <pivotArea dataOnly="0" labelOnly="1" fieldPosition="0">
        <references count="1">
          <reference field="1" count="1">
            <x v="157"/>
          </reference>
        </references>
      </pivotArea>
    </format>
    <format dxfId="80">
      <pivotArea dataOnly="0" labelOnly="1" fieldPosition="0">
        <references count="1">
          <reference field="1" count="1">
            <x v="490"/>
          </reference>
        </references>
      </pivotArea>
    </format>
    <format dxfId="79">
      <pivotArea dataOnly="0" labelOnly="1" fieldPosition="0">
        <references count="1">
          <reference field="1" count="1">
            <x v="506"/>
          </reference>
        </references>
      </pivotArea>
    </format>
    <format dxfId="78">
      <pivotArea dataOnly="0" labelOnly="1" fieldPosition="0">
        <references count="1">
          <reference field="1" count="1">
            <x v="520"/>
          </reference>
        </references>
      </pivotArea>
    </format>
    <format dxfId="77">
      <pivotArea dataOnly="0" labelOnly="1" fieldPosition="0">
        <references count="1">
          <reference field="1" count="1">
            <x v="250"/>
          </reference>
        </references>
      </pivotArea>
    </format>
    <format dxfId="76">
      <pivotArea dataOnly="0" labelOnly="1" fieldPosition="0">
        <references count="1">
          <reference field="1" count="1">
            <x v="432"/>
          </reference>
        </references>
      </pivotArea>
    </format>
    <format dxfId="75">
      <pivotArea dataOnly="0" labelOnly="1" fieldPosition="0">
        <references count="1">
          <reference field="1" count="1">
            <x v="440"/>
          </reference>
        </references>
      </pivotArea>
    </format>
    <format dxfId="7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3">
      <pivotArea dataOnly="0" labelOnly="1" fieldPosition="0">
        <references count="1">
          <reference field="1" count="1">
            <x v="348"/>
          </reference>
        </references>
      </pivotArea>
    </format>
    <format dxfId="72">
      <pivotArea dataOnly="0" labelOnly="1" fieldPosition="0">
        <references count="1">
          <reference field="1" count="1">
            <x v="355"/>
          </reference>
        </references>
      </pivotArea>
    </format>
    <format dxfId="71">
      <pivotArea dataOnly="0" labelOnly="1" fieldPosition="0">
        <references count="1">
          <reference field="1" count="1">
            <x v="498"/>
          </reference>
        </references>
      </pivotArea>
    </format>
    <format dxfId="70">
      <pivotArea dataOnly="0" labelOnly="1" fieldPosition="0">
        <references count="1">
          <reference field="1" count="1">
            <x v="508"/>
          </reference>
        </references>
      </pivotArea>
    </format>
    <format dxfId="69">
      <pivotArea dataOnly="0" labelOnly="1" fieldPosition="0">
        <references count="1">
          <reference field="1" count="1">
            <x v="397"/>
          </reference>
        </references>
      </pivotArea>
    </format>
    <format dxfId="68">
      <pivotArea dataOnly="0" labelOnly="1" fieldPosition="0">
        <references count="1">
          <reference field="1" count="1">
            <x v="513"/>
          </reference>
        </references>
      </pivotArea>
    </format>
    <format dxfId="67">
      <pivotArea dataOnly="0" labelOnly="1" fieldPosition="0">
        <references count="1">
          <reference field="1" count="1">
            <x v="412"/>
          </reference>
        </references>
      </pivotArea>
    </format>
    <format dxfId="66">
      <pivotArea dataOnly="0" labelOnly="1" fieldPosition="0">
        <references count="1">
          <reference field="1" count="1">
            <x v="507"/>
          </reference>
        </references>
      </pivotArea>
    </format>
    <format dxfId="65">
      <pivotArea dataOnly="0" labelOnly="1" fieldPosition="0">
        <references count="1">
          <reference field="1" count="1">
            <x v="507"/>
          </reference>
        </references>
      </pivotArea>
    </format>
    <format dxfId="64">
      <pivotArea dataOnly="0" labelOnly="1" fieldPosition="0">
        <references count="1">
          <reference field="1" count="1">
            <x v="342"/>
          </reference>
        </references>
      </pivotArea>
    </format>
    <format dxfId="63">
      <pivotArea dataOnly="0" labelOnly="1" fieldPosition="0">
        <references count="1">
          <reference field="1" count="1">
            <x v="501"/>
          </reference>
        </references>
      </pivotArea>
    </format>
    <format dxfId="62">
      <pivotArea dataOnly="0" labelOnly="1" fieldPosition="0">
        <references count="1">
          <reference field="1" count="1">
            <x v="351"/>
          </reference>
        </references>
      </pivotArea>
    </format>
    <format dxfId="61">
      <pivotArea dataOnly="0" labelOnly="1" fieldPosition="0">
        <references count="1">
          <reference field="1" count="1">
            <x v="156"/>
          </reference>
        </references>
      </pivotArea>
    </format>
    <format dxfId="60">
      <pivotArea dataOnly="0" labelOnly="1" fieldPosition="0">
        <references count="1">
          <reference field="1" count="1">
            <x v="358"/>
          </reference>
        </references>
      </pivotArea>
    </format>
    <format dxfId="5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8">
      <pivotArea dataOnly="0" labelOnly="1" fieldPosition="0">
        <references count="1">
          <reference field="1" count="1">
            <x v="438"/>
          </reference>
        </references>
      </pivotArea>
    </format>
    <format dxfId="5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6">
      <pivotArea dataOnly="0" labelOnly="1" fieldPosition="0">
        <references count="1">
          <reference field="1" count="1">
            <x v="309"/>
          </reference>
        </references>
      </pivotArea>
    </format>
    <format dxfId="5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54">
      <pivotArea dataOnly="0" labelOnly="1" fieldPosition="0">
        <references count="1">
          <reference field="1" count="1">
            <x v="374"/>
          </reference>
        </references>
      </pivotArea>
    </format>
    <format dxfId="5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2">
      <pivotArea dataOnly="0" labelOnly="1" fieldPosition="0">
        <references count="1">
          <reference field="1" count="1">
            <x v="407"/>
          </reference>
        </references>
      </pivotArea>
    </format>
    <format dxfId="5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9"/>
    <tableColumn id="5" xr3:uid="{DF37AD45-FC5C-478A-989D-9143E744CEEA}" name="voornaam" dataDxfId="48">
      <calculatedColumnFormula>VLOOKUP(Tabel2[[#This Row],[nr]],'data hastus'!A:C,3,FALSE)</calculatedColumnFormula>
    </tableColumn>
    <tableColumn id="6" xr3:uid="{4098FAFB-9B09-4A81-8B22-18CC90B5F979}" name="achternaam" dataDxfId="4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43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4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1"/>
    <tableColumn id="11" xr3:uid="{97ECF1D5-48DC-4487-B3C2-17232CC8E19E}" name="Januari" dataDxfId="40"/>
    <tableColumn id="12" xr3:uid="{7B2FF520-A575-45C0-BB5A-19B87DDB4EA0}" name="Februari" dataDxfId="39"/>
    <tableColumn id="13" xr3:uid="{4E6C30D1-FB72-4AB2-900F-14A3D53F34DE}" name="Maart" dataDxfId="3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7">
      <calculatedColumnFormula>SUM(bron[[#This Row],[Januari]:[December]])</calculatedColumnFormula>
    </tableColumn>
    <tableColumn id="10" xr3:uid="{8D9646BD-38B6-4F4D-9859-B3933369346B}" name="Datum" dataDxfId="3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5" activePane="bottomLeft" state="frozen"/>
      <selection activeCell="F1" sqref="F1"/>
      <selection pane="bottomLeft" activeCell="X935" sqref="X93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25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25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25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25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25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25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25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25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25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25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25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25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3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25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3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25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3747</v>
      </c>
      <c r="V931" s="37"/>
      <c r="W931" s="37"/>
      <c r="X931" t="s">
        <v>3513</v>
      </c>
      <c r="Y931" t="s">
        <v>3748</v>
      </c>
      <c r="Z931" s="2">
        <v>5052</v>
      </c>
      <c r="AA931" s="43" t="s">
        <v>3558</v>
      </c>
    </row>
    <row r="932" spans="1:27" x14ac:dyDescent="0.25">
      <c r="A932">
        <v>16895</v>
      </c>
      <c r="B932" t="str">
        <f>_xlfn.CONCAT(bron[[#This Row],[personeelsnr]]," ",bron[[#This Row],[achternaam]]," ",bron[[#This Row],[voornaam]])</f>
        <v>16895 Van Lauwe Freddy</v>
      </c>
      <c r="C932" t="str">
        <f>VLOOKUP(bron[[#This Row],[personeelsnr]],'data hastus'!$A:$C,2,0)</f>
        <v>Van Lauwe</v>
      </c>
      <c r="D932" t="str">
        <f>VLOOKUP(bron[[#This Row],[personeelsnr]],'data hastus'!$A:$C,3,0)</f>
        <v>Freddy</v>
      </c>
      <c r="E932" s="2" t="str">
        <f>VLOOKUP(bron[[#This Row],[personeelsnr]],'data hastus'!A:K,11,FALSE)</f>
        <v>Bart Van Der Beken</v>
      </c>
      <c r="F932" s="10"/>
      <c r="G932" s="39"/>
      <c r="H932" s="39"/>
      <c r="I932" s="39"/>
      <c r="S932" s="36">
        <f>SUM(bron[[#This Row],[Januari]:[December]])</f>
        <v>0</v>
      </c>
      <c r="T932" s="41">
        <v>45954</v>
      </c>
      <c r="U932" s="5" t="s">
        <v>3749</v>
      </c>
      <c r="V932" s="37"/>
      <c r="W932" s="37"/>
      <c r="X932" t="s">
        <v>3548</v>
      </c>
      <c r="Y932" t="s">
        <v>31</v>
      </c>
      <c r="Z932" s="2">
        <v>6368</v>
      </c>
      <c r="AA932" s="43" t="s">
        <v>3558</v>
      </c>
    </row>
    <row r="933" spans="1:27" x14ac:dyDescent="0.25">
      <c r="A933">
        <v>27673</v>
      </c>
      <c r="B933" t="str">
        <f>_xlfn.CONCAT(bron[[#This Row],[personeelsnr]]," ",bron[[#This Row],[achternaam]]," ",bron[[#This Row],[voornaam]])</f>
        <v>27673 Verbanck Koen</v>
      </c>
      <c r="C933" t="str">
        <f>VLOOKUP(bron[[#This Row],[personeelsnr]],'data hastus'!$A:$C,2,0)</f>
        <v>Verbanck</v>
      </c>
      <c r="D933" t="str">
        <f>VLOOKUP(bron[[#This Row],[personeelsnr]],'data hastus'!$A:$C,3,0)</f>
        <v>Koen</v>
      </c>
      <c r="E933" s="2" t="str">
        <f>VLOOKUP(bron[[#This Row],[personeelsnr]],'data hastus'!A:K,11,FALSE)</f>
        <v>Christoff Rotty</v>
      </c>
      <c r="F933" s="10"/>
      <c r="G933" s="39"/>
      <c r="H933" s="39"/>
      <c r="I933" s="39"/>
      <c r="S933" s="36">
        <f>SUM(bron[[#This Row],[Januari]:[December]])</f>
        <v>0</v>
      </c>
      <c r="T933" s="41">
        <v>45955</v>
      </c>
      <c r="U933" s="5" t="s">
        <v>3750</v>
      </c>
      <c r="V933" s="37"/>
      <c r="W933" s="37"/>
      <c r="X933" t="s">
        <v>3548</v>
      </c>
      <c r="Y933" t="s">
        <v>1312</v>
      </c>
      <c r="Z933" s="2">
        <v>6375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5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45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B936" t="e">
        <f>_xlfn.CONCAT(bron[[#This Row],[personeelsnr]]," ",bron[[#This Row],[achternaam]]," ",bron[[#This Row],[voornaam]])</f>
        <v>#N/A</v>
      </c>
      <c r="C936" t="e">
        <f>VLOOKUP(bron[[#This Row],[personeelsnr]],'data hastus'!$A:$C,2,0)</f>
        <v>#N/A</v>
      </c>
      <c r="D936" t="e">
        <f>VLOOKUP(bron[[#This Row],[personeelsnr]],'data hastus'!$A:$C,3,0)</f>
        <v>#N/A</v>
      </c>
      <c r="E936" s="2" t="e">
        <f>VLOOKUP(bron[[#This Row],[personeelsnr]],'data hastus'!A:K,11,FALSE)</f>
        <v>#N/A</v>
      </c>
      <c r="F936" s="10"/>
      <c r="G936" s="39"/>
      <c r="H936" s="39"/>
      <c r="I936" s="39"/>
      <c r="S936" s="45">
        <f>SUM(bron[[#This Row],[Januari]:[December]])</f>
        <v>0</v>
      </c>
      <c r="V936" s="37"/>
      <c r="W936" s="37"/>
    </row>
    <row r="937" spans="1:27" x14ac:dyDescent="0.25">
      <c r="B937" t="e">
        <f>_xlfn.CONCAT(bron[[#This Row],[personeelsnr]]," ",bron[[#This Row],[achternaam]]," ",bron[[#This Row],[voornaam]])</f>
        <v>#N/A</v>
      </c>
      <c r="C937" t="e">
        <f>VLOOKUP(bron[[#This Row],[personeelsnr]],'data hastus'!$A:$C,2,0)</f>
        <v>#N/A</v>
      </c>
      <c r="D937" t="e">
        <f>VLOOKUP(bron[[#This Row],[personeelsnr]],'data hastus'!$A:$C,3,0)</f>
        <v>#N/A</v>
      </c>
      <c r="E937" s="2" t="e">
        <f>VLOOKUP(bron[[#This Row],[personeelsnr]],'data hastus'!A:K,11,FALSE)</f>
        <v>#N/A</v>
      </c>
      <c r="F937" s="10"/>
      <c r="G937" s="39"/>
      <c r="H937" s="39"/>
      <c r="I937" s="39"/>
      <c r="S937" s="45">
        <f>SUM(bron[[#This Row],[Januari]:[December]])</f>
        <v>0</v>
      </c>
      <c r="V937" s="37"/>
      <c r="W937" s="37"/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5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5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5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5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5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5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5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46" priority="5" operator="equal">
      <formula>0</formula>
    </cfRule>
    <cfRule type="cellIs" dxfId="45" priority="7" operator="between">
      <formula>1</formula>
      <formula>4</formula>
    </cfRule>
    <cfRule type="cellIs" dxfId="4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5" priority="1" operator="equal">
      <formula>0</formula>
    </cfRule>
    <cfRule type="cellIs" dxfId="34" priority="2" operator="between">
      <formula>1</formula>
      <formula>4</formula>
    </cfRule>
    <cfRule type="cellIs" dxfId="3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2025-11-03T08:23:40Z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