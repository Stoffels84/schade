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37" documentId="13_ncr:1_{10FCACA5-8197-478D-90D3-5F83063FB753}" xr6:coauthVersionLast="47" xr6:coauthVersionMax="47" xr10:uidLastSave="{3264D08D-C21A-4874-B8B7-A521766EBA21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3" r:id="rId10"/>
    <pivotCache cacheId="8" r:id="rId11"/>
    <pivotCache cacheId="12" r:id="rId12"/>
    <pivotCache cacheId="17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<sst xmlns="http://schemas.openxmlformats.org/spreadsheetml/2006/main" count="13943" uniqueCount="4539">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</sst>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51"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1.0952380952380953</c:v>
                </c:pt>
                <c:pt idx="35">
                  <c:v>1.1764705882352942</c:v>
                </c:pt>
                <c:pt idx="36">
                  <c:v>1.5555555555555556</c:v>
                </c:pt>
                <c:pt idx="37">
                  <c:v>1.35</c:v>
                </c:pt>
                <c:pt idx="38">
                  <c:v>1</c:v>
                </c:pt>
                <c:pt idx="39">
                  <c:v>1.5909090909090908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2.709090909090909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0659721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871527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5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2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5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30">
      <pivotArea field="5" type="button" dataOnly="0" labelOnly="1" outline="0" axis="axisRow" fieldPosition="0"/>
    </format>
    <format dxfId="29">
      <pivotArea dataOnly="0" labelOnly="1" fieldPosition="0">
        <references count="1">
          <reference field="5" count="0"/>
        </references>
      </pivotArea>
    </format>
    <format dxfId="28">
      <pivotArea dataOnly="0" labelOnly="1" grandRow="1" outline="0" fieldPosition="0"/>
    </format>
    <format dxfId="27">
      <pivotArea outline="0" collapsedLevelsAreSubtotals="1" fieldPosition="0"/>
    </format>
    <format dxfId="26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22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8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9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9"/>
    <tableColumn id="5" xr3:uid="{DF37AD45-FC5C-478A-989D-9143E744CEEA}" name="voornaam" dataDxfId="48">
      <calculatedColumnFormula>VLOOKUP(Tabel2[[#This Row],[nr]],'data hastus'!A:C,3,FALSE)</calculatedColumnFormula>
    </tableColumn>
    <tableColumn id="6" xr3:uid="{4098FAFB-9B09-4A81-8B22-18CC90B5F979}" name="achternaam" dataDxfId="4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3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1"/>
    <tableColumn id="11" xr3:uid="{97ECF1D5-48DC-4487-B3C2-17232CC8E19E}" name="Januari" dataDxfId="40"/>
    <tableColumn id="12" xr3:uid="{7B2FF520-A575-45C0-BB5A-19B87DDB4EA0}" name="Februari" dataDxfId="39"/>
    <tableColumn id="13" xr3:uid="{4E6C30D1-FB72-4AB2-900F-14A3D53F34DE}" name="Maart" dataDxfId="3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7">
      <calculatedColumnFormula>SUM(bron[[#This Row],[Januari]:[December]])</calculatedColumnFormula>
    </tableColumn>
    <tableColumn id="10" xr3:uid="{8D9646BD-38B6-4F4D-9859-B3933369346B}" name="Datum" dataDxfId="3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5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5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4">
      <calculatedColumnFormula>YEAR(TODAY()) - YEAR(E2) - (IF(DATE(YEAR(TODAY()), MONTH(E2), DAY(E2)) &gt; TODAY(), 1, 0))</calculatedColumnFormula>
    </tableColumn>
    <tableColumn id="5" xr3:uid="{4C697650-E57C-44EB-9139-9D19E4E44782}" name="aantal schades" dataDxfId="23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21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20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8"/>
    <tableColumn id="2" xr3:uid="{B74D5419-AF77-4013-9D4D-A27CB821A194}" name="Voornaam" dataDxfId="17"/>
    <tableColumn id="3" xr3:uid="{8AFF5D53-02DB-4104-8133-50DD6E1299B8}" name="Achternaam" dataDxfId="16"/>
    <tableColumn id="4" xr3:uid="{B76D7E71-E174-470B-9D6C-5440B7A4886F}" name="Personeelsnummer" dataDxfId="15"/>
    <tableColumn id="6" xr3:uid="{944F1A33-FEB0-4FC2-8D2C-B7C202DA92D5}" name="Team Coach" dataDxfId="14"/>
    <tableColumn id="7" xr3:uid="{5B917C88-1EEB-48B9-9CA7-608DFC8F40C2}" name="Datum in dienst" dataDxfId="13"/>
    <tableColumn id="10" xr3:uid="{3501E25E-962A-4C61-8F65-B8F428AE63EB}" name="Kolom1" dataDxfId="12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50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66" activePane="bottomLeft" state="frozen"/>
      <selection activeCell="F1" sqref="F1"/>
      <selection pane="bottomLeft" activeCell="AB990" sqref="AB990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20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20</v>
      </c>
    </row>
  </sheetData>
  <sheetProtection sort="0" autoFilter="0"/>
  <phoneticPr fontId="1" type="noConversion"/>
  <conditionalFormatting sqref="F2:F992">
    <cfRule type="cellIs" dxfId="46" priority="5" operator="equal">
      <formula>0</formula>
    </cfRule>
    <cfRule type="cellIs" dxfId="45" priority="7" operator="between">
      <formula>1</formula>
      <formula>4</formula>
    </cfRule>
    <cfRule type="cellIs" dxfId="4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3" priority="1" operator="equal">
      <formula>0</formula>
    </cfRule>
    <cfRule type="cellIs" dxfId="32" priority="2" operator="between">
      <formula>1</formula>
      <formula>4</formula>
    </cfRule>
    <cfRule type="cellIs" dxfId="3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abSelected="1"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opLeftCell="D1" workbookViewId="0">
      <selection activeCell="I37" sqref="I37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1.0952380952380953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1.1764705882352942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1.5555555555555556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1.5909090909090908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1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1.4763513513513513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G2" zoomScale="90" zoomScaleNormal="90" workbookViewId="0">
      <selection activeCell="I24" sqref="I2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3887</v>
      </c>
    </row>
    <row r="2" spans="1:1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2.709090909090909</v>
      </c>
    </row>
    <row r="7" spans="1:1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1.4429967426710097</v>
      </c>
    </row>
    <row r="43" spans="1:1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2025-12-04T08:08:54Z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