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07" documentId="8_{E6BCF386-B104-424C-B4A8-F32964540273}" xr6:coauthVersionLast="47" xr6:coauthVersionMax="47" xr10:uidLastSave="{64078EAF-6AAF-46E5-98D4-316732B91304}"/>
  <bookViews>
    <workbookView xWindow="28680" yWindow="-180" windowWidth="29040" windowHeight="15720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99" i="1" l="1"/>
  <c r="B699" i="1" s="1"/>
  <c r="D699" i="1"/>
  <c r="E699" i="1"/>
  <c r="S699" i="1"/>
  <c r="B801" i="1" l="1"/>
  <c r="C791" i="1"/>
  <c r="D791" i="1"/>
  <c r="E791" i="1"/>
  <c r="S791" i="1"/>
  <c r="C809" i="1"/>
  <c r="D809" i="1"/>
  <c r="E809" i="1"/>
  <c r="S809" i="1"/>
  <c r="C800" i="1"/>
  <c r="D800" i="1"/>
  <c r="E800" i="1"/>
  <c r="S800" i="1"/>
  <c r="S801" i="1"/>
  <c r="C806" i="1"/>
  <c r="D806" i="1"/>
  <c r="E806" i="1"/>
  <c r="S806" i="1"/>
  <c r="C807" i="1"/>
  <c r="D807" i="1"/>
  <c r="E807" i="1"/>
  <c r="S807" i="1"/>
  <c r="C808" i="1"/>
  <c r="D808" i="1"/>
  <c r="E808" i="1"/>
  <c r="S808" i="1"/>
  <c r="C818" i="1"/>
  <c r="D818" i="1"/>
  <c r="E818" i="1"/>
  <c r="S818" i="1"/>
  <c r="C805" i="1"/>
  <c r="D805" i="1"/>
  <c r="E805" i="1"/>
  <c r="S805" i="1"/>
  <c r="C804" i="1"/>
  <c r="D804" i="1"/>
  <c r="E804" i="1"/>
  <c r="S804" i="1"/>
  <c r="C705" i="1"/>
  <c r="D705" i="1"/>
  <c r="E705" i="1"/>
  <c r="S705" i="1"/>
  <c r="C794" i="1"/>
  <c r="D794" i="1"/>
  <c r="E794" i="1"/>
  <c r="S794" i="1"/>
  <c r="C802" i="1"/>
  <c r="D802" i="1"/>
  <c r="E802" i="1"/>
  <c r="S802" i="1"/>
  <c r="C803" i="1"/>
  <c r="D803" i="1"/>
  <c r="E803" i="1"/>
  <c r="S803" i="1"/>
  <c r="B31" i="11"/>
  <c r="I42" i="11"/>
  <c r="I48" i="11"/>
  <c r="C792" i="1"/>
  <c r="D792" i="1"/>
  <c r="E792" i="1"/>
  <c r="S792" i="1"/>
  <c r="C816" i="1"/>
  <c r="D816" i="1"/>
  <c r="E816" i="1"/>
  <c r="S816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5" i="1"/>
  <c r="D815" i="1"/>
  <c r="E815" i="1"/>
  <c r="C814" i="1"/>
  <c r="D814" i="1"/>
  <c r="E814" i="1"/>
  <c r="S814" i="1"/>
  <c r="C799" i="1"/>
  <c r="D799" i="1"/>
  <c r="E799" i="1"/>
  <c r="S799" i="1"/>
  <c r="B800" i="1" l="1"/>
  <c r="B791" i="1"/>
  <c r="B807" i="1"/>
  <c r="B806" i="1"/>
  <c r="B808" i="1"/>
  <c r="B809" i="1"/>
  <c r="B818" i="1"/>
  <c r="B805" i="1"/>
  <c r="B804" i="1"/>
  <c r="B705" i="1"/>
  <c r="B794" i="1"/>
  <c r="B802" i="1"/>
  <c r="B803" i="1"/>
  <c r="B814" i="1"/>
  <c r="B815" i="1"/>
  <c r="B816" i="1"/>
  <c r="B792" i="1"/>
  <c r="I50" i="11"/>
  <c r="M50" i="11"/>
  <c r="B799" i="1"/>
  <c r="C790" i="1"/>
  <c r="D790" i="1"/>
  <c r="E790" i="1"/>
  <c r="S790" i="1"/>
  <c r="B790" i="1" l="1"/>
  <c r="C813" i="1"/>
  <c r="D813" i="1"/>
  <c r="E813" i="1"/>
  <c r="S813" i="1"/>
  <c r="C795" i="1"/>
  <c r="D795" i="1"/>
  <c r="E795" i="1"/>
  <c r="S795" i="1"/>
  <c r="B795" i="1" l="1"/>
  <c r="B813" i="1"/>
  <c r="C812" i="1" l="1"/>
  <c r="D812" i="1"/>
  <c r="E812" i="1"/>
  <c r="S812" i="1"/>
  <c r="C784" i="1"/>
  <c r="D784" i="1"/>
  <c r="E784" i="1"/>
  <c r="S784" i="1"/>
  <c r="C798" i="1"/>
  <c r="D798" i="1"/>
  <c r="E798" i="1"/>
  <c r="S798" i="1"/>
  <c r="C793" i="1"/>
  <c r="D793" i="1"/>
  <c r="E793" i="1"/>
  <c r="S793" i="1"/>
  <c r="C796" i="1"/>
  <c r="D796" i="1"/>
  <c r="E796" i="1"/>
  <c r="S796" i="1"/>
  <c r="C789" i="1"/>
  <c r="D789" i="1"/>
  <c r="E789" i="1"/>
  <c r="S789" i="1"/>
  <c r="C761" i="1"/>
  <c r="D761" i="1"/>
  <c r="E761" i="1"/>
  <c r="S761" i="1"/>
  <c r="C788" i="1"/>
  <c r="D788" i="1"/>
  <c r="E788" i="1"/>
  <c r="S788" i="1"/>
  <c r="C817" i="1"/>
  <c r="D817" i="1"/>
  <c r="E817" i="1"/>
  <c r="S817" i="1"/>
  <c r="C786" i="1"/>
  <c r="D786" i="1"/>
  <c r="E786" i="1"/>
  <c r="S786" i="1"/>
  <c r="C785" i="1"/>
  <c r="D785" i="1"/>
  <c r="E785" i="1"/>
  <c r="S785" i="1"/>
  <c r="C782" i="1"/>
  <c r="D782" i="1"/>
  <c r="E782" i="1"/>
  <c r="S782" i="1"/>
  <c r="C783" i="1"/>
  <c r="D783" i="1"/>
  <c r="E783" i="1"/>
  <c r="S783" i="1"/>
  <c r="C780" i="1"/>
  <c r="D780" i="1"/>
  <c r="E780" i="1"/>
  <c r="S780" i="1"/>
  <c r="C777" i="1"/>
  <c r="D777" i="1"/>
  <c r="E777" i="1"/>
  <c r="S777" i="1"/>
  <c r="C776" i="1"/>
  <c r="D776" i="1"/>
  <c r="E776" i="1"/>
  <c r="S776" i="1"/>
  <c r="C779" i="1"/>
  <c r="D779" i="1"/>
  <c r="E779" i="1"/>
  <c r="S779" i="1"/>
  <c r="C753" i="1"/>
  <c r="D753" i="1"/>
  <c r="E753" i="1"/>
  <c r="S753" i="1"/>
  <c r="C781" i="1"/>
  <c r="D781" i="1"/>
  <c r="E781" i="1"/>
  <c r="S781" i="1"/>
  <c r="C778" i="1"/>
  <c r="D778" i="1"/>
  <c r="E778" i="1"/>
  <c r="S778" i="1"/>
  <c r="C773" i="1"/>
  <c r="D773" i="1"/>
  <c r="E773" i="1"/>
  <c r="S773" i="1"/>
  <c r="B774" i="1"/>
  <c r="S774" i="1"/>
  <c r="C772" i="1"/>
  <c r="D772" i="1"/>
  <c r="E772" i="1"/>
  <c r="S772" i="1"/>
  <c r="C775" i="1"/>
  <c r="D775" i="1"/>
  <c r="E775" i="1"/>
  <c r="S775" i="1"/>
  <c r="C762" i="1"/>
  <c r="D762" i="1"/>
  <c r="E762" i="1"/>
  <c r="S762" i="1"/>
  <c r="C759" i="1"/>
  <c r="D759" i="1"/>
  <c r="E759" i="1"/>
  <c r="S759" i="1"/>
  <c r="C769" i="1"/>
  <c r="D769" i="1"/>
  <c r="E769" i="1"/>
  <c r="S769" i="1"/>
  <c r="C754" i="1"/>
  <c r="D754" i="1"/>
  <c r="E754" i="1"/>
  <c r="S754" i="1"/>
  <c r="C767" i="1"/>
  <c r="D767" i="1"/>
  <c r="E767" i="1"/>
  <c r="S767" i="1"/>
  <c r="C760" i="1"/>
  <c r="D760" i="1"/>
  <c r="E760" i="1"/>
  <c r="S760" i="1"/>
  <c r="C749" i="1"/>
  <c r="D749" i="1"/>
  <c r="E749" i="1"/>
  <c r="S749" i="1"/>
  <c r="C768" i="1"/>
  <c r="D768" i="1"/>
  <c r="E768" i="1"/>
  <c r="S768" i="1"/>
  <c r="C810" i="1"/>
  <c r="D810" i="1"/>
  <c r="E810" i="1"/>
  <c r="S810" i="1"/>
  <c r="C771" i="1"/>
  <c r="D771" i="1"/>
  <c r="E771" i="1"/>
  <c r="S771" i="1"/>
  <c r="C811" i="1"/>
  <c r="D811" i="1"/>
  <c r="E811" i="1"/>
  <c r="S811" i="1"/>
  <c r="C765" i="1"/>
  <c r="D765" i="1"/>
  <c r="E765" i="1"/>
  <c r="S765" i="1"/>
  <c r="C763" i="1"/>
  <c r="D763" i="1"/>
  <c r="E763" i="1"/>
  <c r="S763" i="1"/>
  <c r="C764" i="1"/>
  <c r="D764" i="1"/>
  <c r="E764" i="1"/>
  <c r="S764" i="1"/>
  <c r="C766" i="1"/>
  <c r="D766" i="1"/>
  <c r="E766" i="1"/>
  <c r="S766" i="1"/>
  <c r="C758" i="1"/>
  <c r="D758" i="1"/>
  <c r="E758" i="1"/>
  <c r="S758" i="1"/>
  <c r="C622" i="1"/>
  <c r="D622" i="1"/>
  <c r="E622" i="1"/>
  <c r="S622" i="1"/>
  <c r="C756" i="1"/>
  <c r="D756" i="1"/>
  <c r="E756" i="1"/>
  <c r="S756" i="1"/>
  <c r="C740" i="1"/>
  <c r="D740" i="1"/>
  <c r="E740" i="1"/>
  <c r="S740" i="1"/>
  <c r="C751" i="1"/>
  <c r="D751" i="1"/>
  <c r="E751" i="1"/>
  <c r="S751" i="1"/>
  <c r="C757" i="1"/>
  <c r="D757" i="1"/>
  <c r="E757" i="1"/>
  <c r="S757" i="1"/>
  <c r="C747" i="1"/>
  <c r="D747" i="1"/>
  <c r="E747" i="1"/>
  <c r="S747" i="1"/>
  <c r="C755" i="1"/>
  <c r="D755" i="1"/>
  <c r="E755" i="1"/>
  <c r="S755" i="1"/>
  <c r="C750" i="1"/>
  <c r="D750" i="1"/>
  <c r="E750" i="1"/>
  <c r="S750" i="1"/>
  <c r="C746" i="1"/>
  <c r="D746" i="1"/>
  <c r="E746" i="1"/>
  <c r="S746" i="1"/>
  <c r="C748" i="1"/>
  <c r="D748" i="1"/>
  <c r="E748" i="1"/>
  <c r="S748" i="1"/>
  <c r="C752" i="1"/>
  <c r="D752" i="1"/>
  <c r="E752" i="1"/>
  <c r="S752" i="1"/>
  <c r="C700" i="1"/>
  <c r="D700" i="1"/>
  <c r="E700" i="1"/>
  <c r="S700" i="1"/>
  <c r="C737" i="1"/>
  <c r="D737" i="1"/>
  <c r="E737" i="1"/>
  <c r="S737" i="1"/>
  <c r="C684" i="1"/>
  <c r="D684" i="1"/>
  <c r="E684" i="1"/>
  <c r="S684" i="1"/>
  <c r="C743" i="1"/>
  <c r="D743" i="1"/>
  <c r="E743" i="1"/>
  <c r="S743" i="1"/>
  <c r="C703" i="1"/>
  <c r="D703" i="1"/>
  <c r="E703" i="1"/>
  <c r="S703" i="1"/>
  <c r="C680" i="1"/>
  <c r="D680" i="1"/>
  <c r="E680" i="1"/>
  <c r="S680" i="1"/>
  <c r="C744" i="1"/>
  <c r="D744" i="1"/>
  <c r="E744" i="1"/>
  <c r="S744" i="1"/>
  <c r="C745" i="1"/>
  <c r="D745" i="1"/>
  <c r="E745" i="1"/>
  <c r="S745" i="1"/>
  <c r="C734" i="1"/>
  <c r="D734" i="1"/>
  <c r="E734" i="1"/>
  <c r="S734" i="1"/>
  <c r="C742" i="1"/>
  <c r="D742" i="1"/>
  <c r="E742" i="1"/>
  <c r="S742" i="1"/>
  <c r="C741" i="1"/>
  <c r="D741" i="1"/>
  <c r="E741" i="1"/>
  <c r="S741" i="1"/>
  <c r="C523" i="1"/>
  <c r="D523" i="1"/>
  <c r="E523" i="1"/>
  <c r="S523" i="1"/>
  <c r="C770" i="1"/>
  <c r="D770" i="1"/>
  <c r="E770" i="1"/>
  <c r="S770" i="1"/>
  <c r="B798" i="1" l="1"/>
  <c r="B812" i="1"/>
  <c r="B784" i="1"/>
  <c r="B793" i="1"/>
  <c r="B796" i="1"/>
  <c r="B789" i="1"/>
  <c r="B761" i="1"/>
  <c r="B788" i="1"/>
  <c r="B817" i="1"/>
  <c r="B786" i="1"/>
  <c r="B782" i="1"/>
  <c r="B785" i="1"/>
  <c r="B753" i="1"/>
  <c r="B776" i="1"/>
  <c r="B780" i="1"/>
  <c r="B773" i="1"/>
  <c r="B781" i="1"/>
  <c r="B779" i="1"/>
  <c r="B777" i="1"/>
  <c r="B783" i="1"/>
  <c r="B775" i="1"/>
  <c r="B778" i="1"/>
  <c r="B772" i="1"/>
  <c r="B762" i="1"/>
  <c r="B768" i="1"/>
  <c r="B754" i="1"/>
  <c r="B759" i="1"/>
  <c r="B760" i="1"/>
  <c r="B767" i="1"/>
  <c r="B769" i="1"/>
  <c r="B771" i="1"/>
  <c r="B749" i="1"/>
  <c r="B810" i="1"/>
  <c r="B811" i="1"/>
  <c r="B765" i="1"/>
  <c r="B747" i="1"/>
  <c r="B756" i="1"/>
  <c r="B758" i="1"/>
  <c r="B766" i="1"/>
  <c r="B764" i="1"/>
  <c r="B763" i="1"/>
  <c r="B622" i="1"/>
  <c r="B757" i="1"/>
  <c r="B751" i="1"/>
  <c r="B740" i="1"/>
  <c r="B750" i="1"/>
  <c r="B755" i="1"/>
  <c r="B746" i="1"/>
  <c r="B748" i="1"/>
  <c r="B752" i="1"/>
  <c r="B700" i="1"/>
  <c r="B737" i="1"/>
  <c r="B684" i="1"/>
  <c r="B743" i="1"/>
  <c r="B703" i="1"/>
  <c r="B523" i="1"/>
  <c r="B745" i="1"/>
  <c r="B744" i="1"/>
  <c r="B680" i="1"/>
  <c r="B734" i="1"/>
  <c r="B742" i="1"/>
  <c r="B741" i="1"/>
  <c r="B770" i="1"/>
  <c r="C738" i="1" l="1"/>
  <c r="D738" i="1"/>
  <c r="E738" i="1"/>
  <c r="S738" i="1"/>
  <c r="C739" i="1"/>
  <c r="D739" i="1"/>
  <c r="E739" i="1"/>
  <c r="S739" i="1"/>
  <c r="C725" i="1"/>
  <c r="D725" i="1"/>
  <c r="E725" i="1"/>
  <c r="S72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4" i="1"/>
  <c r="D714" i="1"/>
  <c r="E714" i="1"/>
  <c r="S71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8" i="1"/>
  <c r="D728" i="1"/>
  <c r="E728" i="1"/>
  <c r="S728" i="1"/>
  <c r="C735" i="1"/>
  <c r="D735" i="1"/>
  <c r="E735" i="1"/>
  <c r="S735" i="1"/>
  <c r="C736" i="1"/>
  <c r="D736" i="1"/>
  <c r="E736" i="1"/>
  <c r="S736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0" i="1"/>
  <c r="D730" i="1"/>
  <c r="E730" i="1"/>
  <c r="S73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3" i="1"/>
  <c r="D733" i="1"/>
  <c r="E733" i="1"/>
  <c r="S73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2" i="1"/>
  <c r="D732" i="1"/>
  <c r="E732" i="1"/>
  <c r="S732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1" i="1"/>
  <c r="D731" i="1"/>
  <c r="E731" i="1"/>
  <c r="S731" i="1"/>
  <c r="B739" i="1" l="1"/>
  <c r="B738" i="1"/>
  <c r="B174" i="1"/>
  <c r="B72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6" i="1"/>
  <c r="B112" i="1"/>
  <c r="B182" i="1"/>
  <c r="B12" i="1"/>
  <c r="B128" i="1"/>
  <c r="B288" i="1"/>
  <c r="B354" i="1"/>
  <c r="B4" i="1"/>
  <c r="B56" i="1"/>
  <c r="B5" i="1"/>
  <c r="B69" i="1"/>
  <c r="B18" i="1"/>
  <c r="B97" i="1"/>
  <c r="B132" i="1"/>
  <c r="B137" i="1"/>
  <c r="B95" i="1"/>
  <c r="B422" i="1"/>
  <c r="B420" i="1"/>
  <c r="B263" i="1"/>
  <c r="B216" i="1"/>
  <c r="B168" i="1"/>
  <c r="B259" i="1"/>
  <c r="B125" i="1"/>
  <c r="B67" i="1"/>
  <c r="B167" i="1"/>
  <c r="B492" i="1"/>
  <c r="B159" i="1"/>
  <c r="B108" i="1"/>
  <c r="B246" i="1"/>
  <c r="B281" i="1"/>
  <c r="B198" i="1"/>
  <c r="B150" i="1"/>
  <c r="B391" i="1"/>
  <c r="B438" i="1"/>
  <c r="B481" i="1"/>
  <c r="B52" i="1"/>
  <c r="B318" i="1"/>
  <c r="B140" i="1"/>
  <c r="B390" i="1"/>
  <c r="B479" i="1"/>
  <c r="B229" i="1"/>
  <c r="B389" i="1"/>
  <c r="B477" i="1"/>
  <c r="B388" i="1"/>
  <c r="B511" i="1"/>
  <c r="B211" i="1"/>
  <c r="B396" i="1"/>
  <c r="B248" i="1"/>
  <c r="B179" i="1"/>
  <c r="B405" i="1"/>
  <c r="B85" i="1"/>
  <c r="B240" i="1"/>
  <c r="B86" i="1"/>
  <c r="B23" i="1"/>
  <c r="B457" i="1"/>
  <c r="B279" i="1"/>
  <c r="B494" i="1"/>
  <c r="B124" i="1"/>
  <c r="B243" i="1"/>
  <c r="B131" i="1"/>
  <c r="B714" i="1"/>
  <c r="B123" i="1"/>
  <c r="B232" i="1"/>
  <c r="B166" i="1"/>
  <c r="B122" i="1"/>
  <c r="B114" i="1"/>
  <c r="B189" i="1"/>
  <c r="B311" i="1"/>
  <c r="B165" i="1"/>
  <c r="B210" i="1"/>
  <c r="B395" i="1"/>
  <c r="B181" i="1"/>
  <c r="B191" i="1"/>
  <c r="B473" i="1"/>
  <c r="B509" i="1"/>
  <c r="B129" i="1"/>
  <c r="B371" i="1"/>
  <c r="B82" i="1"/>
  <c r="B309" i="1"/>
  <c r="B107" i="1"/>
  <c r="B284" i="1"/>
  <c r="B375" i="1"/>
  <c r="B327" i="1"/>
  <c r="B11" i="1"/>
  <c r="B117" i="1"/>
  <c r="B308" i="1"/>
  <c r="B256" i="1"/>
  <c r="B116" i="1"/>
  <c r="B175" i="1"/>
  <c r="B728" i="1"/>
  <c r="B736" i="1"/>
  <c r="B735" i="1"/>
  <c r="B501" i="1"/>
  <c r="B228" i="1"/>
  <c r="B339" i="1"/>
  <c r="B414" i="1"/>
  <c r="B500" i="1"/>
  <c r="B485" i="1"/>
  <c r="B505" i="1"/>
  <c r="B416" i="1"/>
  <c r="B180" i="1"/>
  <c r="B307" i="1"/>
  <c r="B379" i="1"/>
  <c r="B472" i="1"/>
  <c r="B73" i="1"/>
  <c r="B490" i="1"/>
  <c r="B50" i="1"/>
  <c r="B440" i="1"/>
  <c r="B459" i="1"/>
  <c r="B424" i="1"/>
  <c r="B96" i="1"/>
  <c r="B254" i="1"/>
  <c r="B217" i="1"/>
  <c r="B443" i="1"/>
  <c r="B220" i="1"/>
  <c r="B164" i="1"/>
  <c r="B384" i="1"/>
  <c r="B296" i="1"/>
  <c r="B277" i="1"/>
  <c r="B480" i="1"/>
  <c r="B255" i="1"/>
  <c r="B295" i="1"/>
  <c r="B27" i="1"/>
  <c r="B178" i="1"/>
  <c r="B397" i="1"/>
  <c r="B475" i="1"/>
  <c r="B331" i="1"/>
  <c r="B471" i="1"/>
  <c r="B412" i="1"/>
  <c r="B437" i="1"/>
  <c r="B222" i="1"/>
  <c r="B361" i="1"/>
  <c r="B324" i="1"/>
  <c r="B134" i="1"/>
  <c r="B200" i="1"/>
  <c r="B304" i="1"/>
  <c r="B283" i="1"/>
  <c r="B294" i="1"/>
  <c r="B227" i="1"/>
  <c r="B287" i="1"/>
  <c r="B353" i="1"/>
  <c r="B66" i="1"/>
  <c r="B15" i="1"/>
  <c r="B148" i="1"/>
  <c r="B426" i="1"/>
  <c r="B513" i="1"/>
  <c r="B450" i="1"/>
  <c r="B54" i="1"/>
  <c r="B320" i="1"/>
  <c r="B504" i="1"/>
  <c r="B3" i="1"/>
  <c r="B219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7" i="1"/>
  <c r="B7" i="1"/>
  <c r="B360" i="1"/>
  <c r="B319" i="1"/>
  <c r="B185" i="1"/>
  <c r="B290" i="1"/>
  <c r="B127" i="1"/>
  <c r="B297" i="1"/>
  <c r="B293" i="1"/>
  <c r="B447" i="1"/>
  <c r="B204" i="1"/>
  <c r="B14" i="1"/>
  <c r="B30" i="1"/>
  <c r="B381" i="1"/>
  <c r="B57" i="1"/>
  <c r="B258" i="1"/>
  <c r="B193" i="1"/>
  <c r="B366" i="1"/>
  <c r="B260" i="1"/>
  <c r="B408" i="1"/>
  <c r="B386" i="1"/>
  <c r="B234" i="1"/>
  <c r="B334" i="1"/>
  <c r="B158" i="1"/>
  <c r="B446" i="1"/>
  <c r="B310" i="1"/>
  <c r="B316" i="1"/>
  <c r="B49" i="1"/>
  <c r="B323" i="1"/>
  <c r="B154" i="1"/>
  <c r="B153" i="1"/>
  <c r="B172" i="1"/>
  <c r="B70" i="1"/>
  <c r="B152" i="1"/>
  <c r="B286" i="1"/>
  <c r="B31" i="1"/>
  <c r="B460" i="1"/>
  <c r="B24" i="1"/>
  <c r="B224" i="1"/>
  <c r="B337" i="1"/>
  <c r="B346" i="1"/>
  <c r="B314" i="1"/>
  <c r="B280" i="1"/>
  <c r="B730" i="1"/>
  <c r="B183" i="1"/>
  <c r="B190" i="1"/>
  <c r="B22" i="1"/>
  <c r="B161" i="1"/>
  <c r="B394" i="1"/>
  <c r="B352" i="1"/>
  <c r="B402" i="1"/>
  <c r="B192" i="1"/>
  <c r="B59" i="1"/>
  <c r="B48" i="1"/>
  <c r="B355" i="1"/>
  <c r="B328" i="1"/>
  <c r="B105" i="1"/>
  <c r="B393" i="1"/>
  <c r="B28" i="1"/>
  <c r="B387" i="1"/>
  <c r="B209" i="1"/>
  <c r="B252" i="1"/>
  <c r="B202" i="1"/>
  <c r="B423" i="1"/>
  <c r="B468" i="1"/>
  <c r="B335" i="1"/>
  <c r="B425" i="1"/>
  <c r="B454" i="1"/>
  <c r="B245" i="1"/>
  <c r="B508" i="1"/>
  <c r="B498" i="1"/>
  <c r="B199" i="1"/>
  <c r="B89" i="1"/>
  <c r="B362" i="1"/>
  <c r="B406" i="1"/>
  <c r="B380" i="1"/>
  <c r="B303" i="1"/>
  <c r="B250" i="1"/>
  <c r="B350" i="1"/>
  <c r="B278" i="1"/>
  <c r="B276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7" i="1"/>
  <c r="B270" i="1"/>
  <c r="B266" i="1"/>
  <c r="B329" i="1"/>
  <c r="B46" i="1"/>
  <c r="B135" i="1"/>
  <c r="B72" i="1"/>
  <c r="B2" i="1"/>
  <c r="B163" i="1"/>
  <c r="B268" i="1"/>
  <c r="B109" i="1"/>
  <c r="B358" i="1"/>
  <c r="B138" i="1"/>
  <c r="B176" i="1"/>
  <c r="B44" i="1"/>
  <c r="B188" i="1"/>
  <c r="B363" i="1"/>
  <c r="B301" i="1"/>
  <c r="B233" i="1"/>
  <c r="B413" i="1"/>
  <c r="B34" i="1"/>
  <c r="B272" i="1"/>
  <c r="B212" i="1"/>
  <c r="B61" i="1"/>
  <c r="B427" i="1"/>
  <c r="B21" i="1"/>
  <c r="B196" i="1"/>
  <c r="B433" i="1"/>
  <c r="B298" i="1"/>
  <c r="B244" i="1"/>
  <c r="B265" i="1"/>
  <c r="B41" i="1"/>
  <c r="B733" i="1"/>
  <c r="B344" i="1"/>
  <c r="B26" i="1"/>
  <c r="B442" i="1"/>
  <c r="B347" i="1"/>
  <c r="B235" i="1"/>
  <c r="B103" i="1"/>
  <c r="B197" i="1"/>
  <c r="B223" i="1"/>
  <c r="B231" i="1"/>
  <c r="B45" i="1"/>
  <c r="B62" i="1"/>
  <c r="B449" i="1"/>
  <c r="B40" i="1"/>
  <c r="B365" i="1"/>
  <c r="B502" i="1"/>
  <c r="B488" i="1"/>
  <c r="B359" i="1"/>
  <c r="B239" i="1"/>
  <c r="B269" i="1"/>
  <c r="B357" i="1"/>
  <c r="B486" i="1"/>
  <c r="B29" i="1"/>
  <c r="B201" i="1"/>
  <c r="B383" i="1"/>
  <c r="B292" i="1"/>
  <c r="B81" i="1"/>
  <c r="B113" i="1"/>
  <c r="B271" i="1"/>
  <c r="B370" i="1"/>
  <c r="B9" i="1"/>
  <c r="B215" i="1"/>
  <c r="B93" i="1"/>
  <c r="B444" i="1"/>
  <c r="B238" i="1"/>
  <c r="B291" i="1"/>
  <c r="B25" i="1"/>
  <c r="B349" i="1"/>
  <c r="B36" i="1"/>
  <c r="B65" i="1"/>
  <c r="B92" i="1"/>
  <c r="B312" i="1"/>
  <c r="B43" i="1"/>
  <c r="B348" i="1"/>
  <c r="B170" i="1"/>
  <c r="B452" i="1"/>
  <c r="B430" i="1"/>
  <c r="B483" i="1"/>
  <c r="B369" i="1"/>
  <c r="B208" i="1"/>
  <c r="B35" i="1"/>
  <c r="B313" i="1"/>
  <c r="B478" i="1"/>
  <c r="B410" i="1"/>
  <c r="B64" i="1"/>
  <c r="B173" i="1"/>
  <c r="B300" i="1"/>
  <c r="B367" i="1"/>
  <c r="B299" i="1"/>
  <c r="B160" i="1"/>
  <c r="B409" i="1"/>
  <c r="B111" i="1"/>
  <c r="B463" i="1"/>
  <c r="B343" i="1"/>
  <c r="B487" i="1"/>
  <c r="B364" i="1"/>
  <c r="B151" i="1"/>
  <c r="B317" i="1"/>
  <c r="B385" i="1"/>
  <c r="B441" i="1"/>
  <c r="B226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5" i="1"/>
  <c r="B415" i="1"/>
  <c r="B162" i="1"/>
  <c r="B143" i="1"/>
  <c r="B237" i="1"/>
  <c r="B194" i="1"/>
  <c r="B451" i="1"/>
  <c r="B342" i="1"/>
  <c r="B257" i="1"/>
  <c r="B507" i="1"/>
  <c r="B432" i="1"/>
  <c r="B305" i="1"/>
  <c r="B142" i="1"/>
  <c r="B458" i="1"/>
  <c r="B378" i="1"/>
  <c r="B321" i="1"/>
  <c r="B341" i="1"/>
  <c r="B218" i="1"/>
  <c r="B242" i="1"/>
  <c r="B101" i="1"/>
  <c r="B10" i="1"/>
  <c r="B470" i="1"/>
  <c r="B289" i="1"/>
  <c r="B33" i="1"/>
  <c r="B141" i="1"/>
  <c r="B462" i="1"/>
  <c r="B8" i="1"/>
  <c r="B356" i="1"/>
  <c r="B203" i="1"/>
  <c r="B273" i="1"/>
  <c r="B76" i="1"/>
  <c r="B32" i="1"/>
  <c r="B42" i="1"/>
  <c r="B13" i="1"/>
  <c r="B495" i="1"/>
  <c r="B336" i="1"/>
  <c r="B282" i="1"/>
  <c r="B51" i="1"/>
  <c r="B476" i="1"/>
  <c r="B100" i="1"/>
  <c r="B330" i="1"/>
  <c r="B421" i="1"/>
  <c r="B230" i="1"/>
  <c r="B368" i="1"/>
  <c r="B251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6" i="1"/>
  <c r="B398" i="1"/>
  <c r="B221" i="1"/>
  <c r="B435" i="1"/>
  <c r="B332" i="1"/>
  <c r="B306" i="1"/>
  <c r="B207" i="1"/>
  <c r="B434" i="1"/>
  <c r="B732" i="1"/>
  <c r="B39" i="1"/>
  <c r="B418" i="1"/>
  <c r="B373" i="1"/>
  <c r="B465" i="1"/>
  <c r="B206" i="1"/>
  <c r="B214" i="1"/>
  <c r="B71" i="1"/>
  <c r="B20" i="1"/>
  <c r="B302" i="1"/>
  <c r="B261" i="1"/>
  <c r="B130" i="1"/>
  <c r="B322" i="1"/>
  <c r="B429" i="1"/>
  <c r="B98" i="1"/>
  <c r="B401" i="1"/>
  <c r="B382" i="1"/>
  <c r="B6" i="1"/>
  <c r="B431" i="1"/>
  <c r="B187" i="1"/>
  <c r="B115" i="1"/>
  <c r="B236" i="1"/>
  <c r="B119" i="1"/>
  <c r="B275" i="1"/>
  <c r="B399" i="1"/>
  <c r="B315" i="1"/>
  <c r="B139" i="1"/>
  <c r="B88" i="1"/>
  <c r="B121" i="1"/>
  <c r="B68" i="1"/>
  <c r="B225" i="1"/>
  <c r="B417" i="1"/>
  <c r="B264" i="1"/>
  <c r="B47" i="1"/>
  <c r="B83" i="1"/>
  <c r="B74" i="1"/>
  <c r="B376" i="1"/>
  <c r="B120" i="1"/>
  <c r="B448" i="1"/>
  <c r="B262" i="1"/>
  <c r="B38" i="1"/>
  <c r="B79" i="1"/>
  <c r="B102" i="1"/>
  <c r="B512" i="1"/>
  <c r="B90" i="1"/>
  <c r="B63" i="1"/>
  <c r="B474" i="1"/>
  <c r="B325" i="1"/>
  <c r="B392" i="1"/>
  <c r="B482" i="1"/>
  <c r="B338" i="1"/>
  <c r="B731" i="1"/>
  <c r="C729" i="1"/>
  <c r="D729" i="1"/>
  <c r="E729" i="1"/>
  <c r="S729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27" i="1"/>
  <c r="D727" i="1"/>
  <c r="E727" i="1"/>
  <c r="S727" i="1"/>
  <c r="C722" i="1"/>
  <c r="D722" i="1"/>
  <c r="E722" i="1"/>
  <c r="S722" i="1"/>
  <c r="S661" i="1"/>
  <c r="S536" i="1"/>
  <c r="S708" i="1"/>
  <c r="S524" i="1"/>
  <c r="S600" i="1"/>
  <c r="S677" i="1"/>
  <c r="S658" i="1"/>
  <c r="S556" i="1"/>
  <c r="S678" i="1"/>
  <c r="S575" i="1"/>
  <c r="S518" i="1"/>
  <c r="S554" i="1"/>
  <c r="S571" i="1"/>
  <c r="S593" i="1"/>
  <c r="S539" i="1"/>
  <c r="S641" i="1"/>
  <c r="S584" i="1"/>
  <c r="S603" i="1"/>
  <c r="S592" i="1"/>
  <c r="S562" i="1"/>
  <c r="S537" i="1"/>
  <c r="S530" i="1"/>
  <c r="S616" i="1"/>
  <c r="S534" i="1"/>
  <c r="S515" i="1"/>
  <c r="S653" i="1"/>
  <c r="S638" i="1"/>
  <c r="S612" i="1"/>
  <c r="S692" i="1"/>
  <c r="S626" i="1"/>
  <c r="S528" i="1"/>
  <c r="S635" i="1"/>
  <c r="S648" i="1"/>
  <c r="S578" i="1"/>
  <c r="S645" i="1"/>
  <c r="S541" i="1"/>
  <c r="S598" i="1"/>
  <c r="S533" i="1"/>
  <c r="S613" i="1"/>
  <c r="S676" i="1"/>
  <c r="S688" i="1"/>
  <c r="S576" i="1"/>
  <c r="S558" i="1"/>
  <c r="S621" i="1"/>
  <c r="S654" i="1"/>
  <c r="S624" i="1"/>
  <c r="S546" i="1"/>
  <c r="S716" i="1"/>
  <c r="S726" i="1"/>
  <c r="S655" i="1"/>
  <c r="S527" i="1"/>
  <c r="S544" i="1"/>
  <c r="S797" i="1"/>
  <c r="S629" i="1"/>
  <c r="S652" i="1"/>
  <c r="S519" i="1"/>
  <c r="S526" i="1"/>
  <c r="S586" i="1"/>
  <c r="S590" i="1"/>
  <c r="S607" i="1"/>
  <c r="S522" i="1"/>
  <c r="S516" i="1"/>
  <c r="S573" i="1"/>
  <c r="S666" i="1"/>
  <c r="S611" i="1"/>
  <c r="S668" i="1"/>
  <c r="S670" i="1"/>
  <c r="S535" i="1"/>
  <c r="S659" i="1"/>
  <c r="S646" i="1"/>
  <c r="S604" i="1"/>
  <c r="S568" i="1"/>
  <c r="S574" i="1"/>
  <c r="S538" i="1"/>
  <c r="S594" i="1"/>
  <c r="S561" i="1"/>
  <c r="S547" i="1"/>
  <c r="S560" i="1"/>
  <c r="S567" i="1"/>
  <c r="S552" i="1"/>
  <c r="S608" i="1"/>
  <c r="S553" i="1"/>
  <c r="S559" i="1"/>
  <c r="S619" i="1"/>
  <c r="S540" i="1"/>
  <c r="S615" i="1"/>
  <c r="S628" i="1"/>
  <c r="S605" i="1"/>
  <c r="S580" i="1"/>
  <c r="S620" i="1"/>
  <c r="S570" i="1"/>
  <c r="S627" i="1"/>
  <c r="S617" i="1"/>
  <c r="S675" i="1"/>
  <c r="S686" i="1"/>
  <c r="S687" i="1"/>
  <c r="S595" i="1"/>
  <c r="S649" i="1"/>
  <c r="S623" i="1"/>
  <c r="S644" i="1"/>
  <c r="S551" i="1"/>
  <c r="S610" i="1"/>
  <c r="S642" i="1"/>
  <c r="S673" i="1"/>
  <c r="S640" i="1"/>
  <c r="S632" i="1"/>
  <c r="S545" i="1"/>
  <c r="S596" i="1"/>
  <c r="S602" i="1"/>
  <c r="S549" i="1"/>
  <c r="S517" i="1"/>
  <c r="S651" i="1"/>
  <c r="S531" i="1"/>
  <c r="S521" i="1"/>
  <c r="S548" i="1"/>
  <c r="S555" i="1"/>
  <c r="S557" i="1"/>
  <c r="S606" i="1"/>
  <c r="S618" i="1"/>
  <c r="S633" i="1"/>
  <c r="S647" i="1"/>
  <c r="S656" i="1"/>
  <c r="S631" i="1"/>
  <c r="S650" i="1"/>
  <c r="S542" i="1"/>
  <c r="S660" i="1"/>
  <c r="S589" i="1"/>
  <c r="S704" i="1"/>
  <c r="S710" i="1"/>
  <c r="S662" i="1"/>
  <c r="S591" i="1"/>
  <c r="S665" i="1"/>
  <c r="S664" i="1"/>
  <c r="S681" i="1"/>
  <c r="S587" i="1"/>
  <c r="S663" i="1"/>
  <c r="S569" i="1"/>
  <c r="S520" i="1"/>
  <c r="S711" i="1"/>
  <c r="S550" i="1"/>
  <c r="S630" i="1"/>
  <c r="S667" i="1"/>
  <c r="S572" i="1"/>
  <c r="S669" i="1"/>
  <c r="S525" i="1"/>
  <c r="S694" i="1"/>
  <c r="S672" i="1"/>
  <c r="S529" i="1"/>
  <c r="S691" i="1"/>
  <c r="S609" i="1"/>
  <c r="S707" i="1"/>
  <c r="S698" i="1"/>
  <c r="S671" i="1"/>
  <c r="S588" i="1"/>
  <c r="S597" i="1"/>
  <c r="S689" i="1"/>
  <c r="S712" i="1"/>
  <c r="S566" i="1"/>
  <c r="S563" i="1"/>
  <c r="S657" i="1"/>
  <c r="S625" i="1"/>
  <c r="S674" i="1"/>
  <c r="S679" i="1"/>
  <c r="S682" i="1"/>
  <c r="S637" i="1"/>
  <c r="S581" i="1"/>
  <c r="S582" i="1"/>
  <c r="S636" i="1"/>
  <c r="S683" i="1"/>
  <c r="S532" i="1"/>
  <c r="S709" i="1"/>
  <c r="S693" i="1"/>
  <c r="S579" i="1"/>
  <c r="S565" i="1"/>
  <c r="S701" i="1"/>
  <c r="S639" i="1"/>
  <c r="S696" i="1"/>
  <c r="S601" i="1"/>
  <c r="S614" i="1"/>
  <c r="S695" i="1"/>
  <c r="S543" i="1"/>
  <c r="S721" i="1"/>
  <c r="S564" i="1"/>
  <c r="S583" i="1"/>
  <c r="S685" i="1"/>
  <c r="S585" i="1"/>
  <c r="S577" i="1"/>
  <c r="S643" i="1"/>
  <c r="S514" i="1"/>
  <c r="S697" i="1"/>
  <c r="S702" i="1"/>
  <c r="S715" i="1"/>
  <c r="S706" i="1"/>
  <c r="S717" i="1"/>
  <c r="S718" i="1"/>
  <c r="S787" i="1"/>
  <c r="S599" i="1"/>
  <c r="S634" i="1"/>
  <c r="S719" i="1"/>
  <c r="S723" i="1"/>
  <c r="S720" i="1"/>
  <c r="S724" i="1"/>
  <c r="S713" i="1"/>
  <c r="S690" i="1"/>
  <c r="C690" i="1"/>
  <c r="D690" i="1"/>
  <c r="E690" i="1"/>
  <c r="E713" i="1"/>
  <c r="D713" i="1"/>
  <c r="C713" i="1"/>
  <c r="E724" i="1"/>
  <c r="D724" i="1"/>
  <c r="C724" i="1"/>
  <c r="E720" i="1"/>
  <c r="D720" i="1"/>
  <c r="C720" i="1"/>
  <c r="C723" i="1"/>
  <c r="D723" i="1"/>
  <c r="E723" i="1"/>
  <c r="C719" i="1"/>
  <c r="D719" i="1"/>
  <c r="E719" i="1"/>
  <c r="C718" i="1"/>
  <c r="D718" i="1"/>
  <c r="E718" i="1"/>
  <c r="C717" i="1"/>
  <c r="D717" i="1"/>
  <c r="E717" i="1"/>
  <c r="C706" i="1"/>
  <c r="D706" i="1"/>
  <c r="E706" i="1"/>
  <c r="C715" i="1"/>
  <c r="D715" i="1"/>
  <c r="E715" i="1"/>
  <c r="C702" i="1"/>
  <c r="D702" i="1"/>
  <c r="E702" i="1"/>
  <c r="C697" i="1"/>
  <c r="D697" i="1"/>
  <c r="E697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29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727" i="1"/>
  <c r="B722" i="1"/>
  <c r="B690" i="1"/>
  <c r="B720" i="1"/>
  <c r="B713" i="1"/>
  <c r="B724" i="1"/>
  <c r="B723" i="1"/>
  <c r="B719" i="1"/>
  <c r="B717" i="1"/>
  <c r="B718" i="1"/>
  <c r="B706" i="1"/>
  <c r="B715" i="1"/>
  <c r="B702" i="1"/>
  <c r="B697" i="1"/>
  <c r="C711" i="1"/>
  <c r="D711" i="1"/>
  <c r="E711" i="1"/>
  <c r="B711" i="1" l="1"/>
  <c r="C698" i="1"/>
  <c r="D698" i="1"/>
  <c r="E698" i="1"/>
  <c r="C707" i="1"/>
  <c r="D707" i="1"/>
  <c r="E707" i="1"/>
  <c r="C618" i="1"/>
  <c r="D618" i="1"/>
  <c r="E618" i="1"/>
  <c r="E701" i="1"/>
  <c r="D701" i="1"/>
  <c r="C701" i="1"/>
  <c r="E696" i="1"/>
  <c r="D696" i="1"/>
  <c r="C696" i="1"/>
  <c r="E695" i="1"/>
  <c r="D695" i="1"/>
  <c r="C695" i="1"/>
  <c r="C693" i="1"/>
  <c r="D693" i="1"/>
  <c r="E693" i="1"/>
  <c r="B698" i="1" l="1"/>
  <c r="B695" i="1"/>
  <c r="B707" i="1"/>
  <c r="B701" i="1"/>
  <c r="B696" i="1"/>
  <c r="B693" i="1"/>
  <c r="B618" i="1"/>
  <c r="C691" i="1"/>
  <c r="D691" i="1"/>
  <c r="E691" i="1"/>
  <c r="C675" i="1"/>
  <c r="D675" i="1"/>
  <c r="E675" i="1"/>
  <c r="C687" i="1"/>
  <c r="D687" i="1"/>
  <c r="E687" i="1"/>
  <c r="B691" i="1" l="1"/>
  <c r="B675" i="1"/>
  <c r="B686" i="1"/>
  <c r="B687" i="1"/>
  <c r="C681" i="1"/>
  <c r="D681" i="1"/>
  <c r="E681" i="1"/>
  <c r="E667" i="1"/>
  <c r="D667" i="1"/>
  <c r="C667" i="1"/>
  <c r="C662" i="1"/>
  <c r="D662" i="1"/>
  <c r="E662" i="1"/>
  <c r="C599" i="1"/>
  <c r="D599" i="1"/>
  <c r="E599" i="1"/>
  <c r="B681" i="1" l="1"/>
  <c r="B662" i="1"/>
  <c r="B667" i="1"/>
  <c r="B599" i="1"/>
  <c r="E665" i="1" l="1"/>
  <c r="D665" i="1"/>
  <c r="C665" i="1"/>
  <c r="C657" i="1"/>
  <c r="D657" i="1"/>
  <c r="E657" i="1"/>
  <c r="B665" i="1" l="1"/>
  <c r="B657" i="1"/>
  <c r="C659" i="1"/>
  <c r="D659" i="1"/>
  <c r="E659" i="1"/>
  <c r="E656" i="1"/>
  <c r="D656" i="1"/>
  <c r="C656" i="1"/>
  <c r="B659" i="1" l="1"/>
  <c r="B656" i="1"/>
  <c r="C637" i="1"/>
  <c r="D637" i="1"/>
  <c r="E637" i="1"/>
  <c r="C787" i="1"/>
  <c r="D787" i="1"/>
  <c r="E787" i="1"/>
  <c r="C639" i="1"/>
  <c r="D639" i="1"/>
  <c r="E639" i="1"/>
  <c r="C628" i="1"/>
  <c r="D628" i="1"/>
  <c r="E628" i="1"/>
  <c r="B639" i="1" l="1"/>
  <c r="B637" i="1"/>
  <c r="B787" i="1"/>
  <c r="B628" i="1"/>
  <c r="C552" i="1"/>
  <c r="D552" i="1"/>
  <c r="E552" i="1"/>
  <c r="C620" i="1"/>
  <c r="D620" i="1"/>
  <c r="E620" i="1"/>
  <c r="B620" i="1" l="1"/>
  <c r="B552" i="1"/>
  <c r="C634" i="1"/>
  <c r="D634" i="1"/>
  <c r="E634" i="1"/>
  <c r="C631" i="1"/>
  <c r="D631" i="1"/>
  <c r="E631" i="1"/>
  <c r="C605" i="1"/>
  <c r="D605" i="1"/>
  <c r="E605" i="1"/>
  <c r="C614" i="1"/>
  <c r="D614" i="1"/>
  <c r="E614" i="1"/>
  <c r="C630" i="1"/>
  <c r="D630" i="1"/>
  <c r="E630" i="1"/>
  <c r="C606" i="1"/>
  <c r="D606" i="1"/>
  <c r="E606" i="1"/>
  <c r="C588" i="1"/>
  <c r="D588" i="1"/>
  <c r="E588" i="1"/>
  <c r="C572" i="1"/>
  <c r="D572" i="1"/>
  <c r="E572" i="1"/>
  <c r="C564" i="1"/>
  <c r="D564" i="1"/>
  <c r="E564" i="1"/>
  <c r="B634" i="1" l="1"/>
  <c r="B631" i="1"/>
  <c r="B605" i="1"/>
  <c r="B614" i="1"/>
  <c r="B630" i="1"/>
  <c r="B606" i="1"/>
  <c r="B588" i="1"/>
  <c r="B572" i="1"/>
  <c r="B564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600" i="1"/>
  <c r="E585" i="1"/>
  <c r="E579" i="1"/>
  <c r="E524" i="1"/>
  <c r="E520" i="1"/>
  <c r="E708" i="1"/>
  <c r="E535" i="1"/>
  <c r="E625" i="1"/>
  <c r="E556" i="1"/>
  <c r="E581" i="1"/>
  <c r="E582" i="1"/>
  <c r="E678" i="1"/>
  <c r="E658" i="1"/>
  <c r="E566" i="1"/>
  <c r="E677" i="1"/>
  <c r="E518" i="1"/>
  <c r="E575" i="1"/>
  <c r="E554" i="1"/>
  <c r="E593" i="1"/>
  <c r="E539" i="1"/>
  <c r="E571" i="1"/>
  <c r="E613" i="1"/>
  <c r="E603" i="1"/>
  <c r="E562" i="1"/>
  <c r="E584" i="1"/>
  <c r="E592" i="1"/>
  <c r="E641" i="1"/>
  <c r="E676" i="1"/>
  <c r="E530" i="1"/>
  <c r="E645" i="1"/>
  <c r="E527" i="1"/>
  <c r="E635" i="1"/>
  <c r="E638" i="1"/>
  <c r="E533" i="1"/>
  <c r="E726" i="1"/>
  <c r="E648" i="1"/>
  <c r="E626" i="1"/>
  <c r="E563" i="1"/>
  <c r="E528" i="1"/>
  <c r="E612" i="1"/>
  <c r="E598" i="1"/>
  <c r="E616" i="1"/>
  <c r="E515" i="1"/>
  <c r="E682" i="1"/>
  <c r="E541" i="1"/>
  <c r="E534" i="1"/>
  <c r="E653" i="1"/>
  <c r="E578" i="1"/>
  <c r="E692" i="1"/>
  <c r="E537" i="1"/>
  <c r="E688" i="1"/>
  <c r="E525" i="1"/>
  <c r="E629" i="1"/>
  <c r="E668" i="1"/>
  <c r="E797" i="1"/>
  <c r="E576" i="1"/>
  <c r="E654" i="1"/>
  <c r="E517" i="1"/>
  <c r="E619" i="1"/>
  <c r="E522" i="1"/>
  <c r="E621" i="1"/>
  <c r="E526" i="1"/>
  <c r="E607" i="1"/>
  <c r="E604" i="1"/>
  <c r="E573" i="1"/>
  <c r="E558" i="1"/>
  <c r="E519" i="1"/>
  <c r="E590" i="1"/>
  <c r="E597" i="1"/>
  <c r="E516" i="1"/>
  <c r="E624" i="1"/>
  <c r="E670" i="1"/>
  <c r="E655" i="1"/>
  <c r="E544" i="1"/>
  <c r="E586" i="1"/>
  <c r="E646" i="1"/>
  <c r="E546" i="1"/>
  <c r="E716" i="1"/>
  <c r="E652" i="1"/>
  <c r="E611" i="1"/>
  <c r="E636" i="1"/>
  <c r="E683" i="1"/>
  <c r="E589" i="1"/>
  <c r="E623" i="1"/>
  <c r="E704" i="1"/>
  <c r="E710" i="1"/>
  <c r="E647" i="1"/>
  <c r="E666" i="1"/>
  <c r="E674" i="1"/>
  <c r="E609" i="1"/>
  <c r="E529" i="1"/>
  <c r="E663" i="1"/>
  <c r="E595" i="1"/>
  <c r="E664" i="1"/>
  <c r="E643" i="1"/>
  <c r="E574" i="1"/>
  <c r="E559" i="1"/>
  <c r="E601" i="1"/>
  <c r="E721" i="1"/>
  <c r="E551" i="1"/>
  <c r="E545" i="1"/>
  <c r="E602" i="1"/>
  <c r="E594" i="1"/>
  <c r="E673" i="1"/>
  <c r="E644" i="1"/>
  <c r="E567" i="1"/>
  <c r="E568" i="1"/>
  <c r="E694" i="1"/>
  <c r="E569" i="1"/>
  <c r="E547" i="1"/>
  <c r="E633" i="1"/>
  <c r="E608" i="1"/>
  <c r="E671" i="1"/>
  <c r="E660" i="1"/>
  <c r="E583" i="1"/>
  <c r="E689" i="1"/>
  <c r="E712" i="1"/>
  <c r="E610" i="1"/>
  <c r="E651" i="1"/>
  <c r="E627" i="1"/>
  <c r="E672" i="1"/>
  <c r="E561" i="1"/>
  <c r="E540" i="1"/>
  <c r="E577" i="1"/>
  <c r="E650" i="1"/>
  <c r="E570" i="1"/>
  <c r="E709" i="1"/>
  <c r="E642" i="1"/>
  <c r="E596" i="1"/>
  <c r="E538" i="1"/>
  <c r="E580" i="1"/>
  <c r="E679" i="1"/>
  <c r="E640" i="1"/>
  <c r="E632" i="1"/>
  <c r="E549" i="1"/>
  <c r="E617" i="1"/>
  <c r="E521" i="1"/>
  <c r="E685" i="1"/>
  <c r="E615" i="1"/>
  <c r="E669" i="1"/>
  <c r="E649" i="1"/>
  <c r="E661" i="1"/>
  <c r="C525" i="1"/>
  <c r="D525" i="1"/>
  <c r="C517" i="1"/>
  <c r="D517" i="1"/>
  <c r="C520" i="1"/>
  <c r="D520" i="1"/>
  <c r="C625" i="1"/>
  <c r="D625" i="1"/>
  <c r="B587" i="1"/>
  <c r="B514" i="1"/>
  <c r="C535" i="1"/>
  <c r="D535" i="1"/>
  <c r="C601" i="1"/>
  <c r="D601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61" i="1"/>
  <c r="D636" i="1"/>
  <c r="D708" i="1"/>
  <c r="D556" i="1"/>
  <c r="D678" i="1"/>
  <c r="D658" i="1"/>
  <c r="D677" i="1"/>
  <c r="D518" i="1"/>
  <c r="D575" i="1"/>
  <c r="D554" i="1"/>
  <c r="D593" i="1"/>
  <c r="D539" i="1"/>
  <c r="D571" i="1"/>
  <c r="D613" i="1"/>
  <c r="D603" i="1"/>
  <c r="D562" i="1"/>
  <c r="D584" i="1"/>
  <c r="D592" i="1"/>
  <c r="D641" i="1"/>
  <c r="D676" i="1"/>
  <c r="D530" i="1"/>
  <c r="D645" i="1"/>
  <c r="D527" i="1"/>
  <c r="D635" i="1"/>
  <c r="D638" i="1"/>
  <c r="D533" i="1"/>
  <c r="D726" i="1"/>
  <c r="D648" i="1"/>
  <c r="D626" i="1"/>
  <c r="D528" i="1"/>
  <c r="D612" i="1"/>
  <c r="D598" i="1"/>
  <c r="D616" i="1"/>
  <c r="D515" i="1"/>
  <c r="D682" i="1"/>
  <c r="D541" i="1"/>
  <c r="D534" i="1"/>
  <c r="D653" i="1"/>
  <c r="D578" i="1"/>
  <c r="D692" i="1"/>
  <c r="D537" i="1"/>
  <c r="D688" i="1"/>
  <c r="D629" i="1"/>
  <c r="D668" i="1"/>
  <c r="D797" i="1"/>
  <c r="D576" i="1"/>
  <c r="D654" i="1"/>
  <c r="D619" i="1"/>
  <c r="D522" i="1"/>
  <c r="D621" i="1"/>
  <c r="D526" i="1"/>
  <c r="D607" i="1"/>
  <c r="D604" i="1"/>
  <c r="D573" i="1"/>
  <c r="D558" i="1"/>
  <c r="D519" i="1"/>
  <c r="D590" i="1"/>
  <c r="D516" i="1"/>
  <c r="D624" i="1"/>
  <c r="D670" i="1"/>
  <c r="D655" i="1"/>
  <c r="D544" i="1"/>
  <c r="D586" i="1"/>
  <c r="D646" i="1"/>
  <c r="D546" i="1"/>
  <c r="D716" i="1"/>
  <c r="D652" i="1"/>
  <c r="D611" i="1"/>
  <c r="D683" i="1"/>
  <c r="D589" i="1"/>
  <c r="D623" i="1"/>
  <c r="D704" i="1"/>
  <c r="D710" i="1"/>
  <c r="D647" i="1"/>
  <c r="D666" i="1"/>
  <c r="D674" i="1"/>
  <c r="D609" i="1"/>
  <c r="D529" i="1"/>
  <c r="D663" i="1"/>
  <c r="D595" i="1"/>
  <c r="D664" i="1"/>
  <c r="D643" i="1"/>
  <c r="D574" i="1"/>
  <c r="D559" i="1"/>
  <c r="D721" i="1"/>
  <c r="D551" i="1"/>
  <c r="D545" i="1"/>
  <c r="D602" i="1"/>
  <c r="D594" i="1"/>
  <c r="D673" i="1"/>
  <c r="D644" i="1"/>
  <c r="D567" i="1"/>
  <c r="D568" i="1"/>
  <c r="D694" i="1"/>
  <c r="D569" i="1"/>
  <c r="D547" i="1"/>
  <c r="D633" i="1"/>
  <c r="D608" i="1"/>
  <c r="D671" i="1"/>
  <c r="D660" i="1"/>
  <c r="D689" i="1"/>
  <c r="D712" i="1"/>
  <c r="D610" i="1"/>
  <c r="D651" i="1"/>
  <c r="D627" i="1"/>
  <c r="D672" i="1"/>
  <c r="D561" i="1"/>
  <c r="D540" i="1"/>
  <c r="D650" i="1"/>
  <c r="D570" i="1"/>
  <c r="D709" i="1"/>
  <c r="D642" i="1"/>
  <c r="D596" i="1"/>
  <c r="D538" i="1"/>
  <c r="D580" i="1"/>
  <c r="D679" i="1"/>
  <c r="D640" i="1"/>
  <c r="D632" i="1"/>
  <c r="D549" i="1"/>
  <c r="D617" i="1"/>
  <c r="D521" i="1"/>
  <c r="D685" i="1"/>
  <c r="D615" i="1"/>
  <c r="D669" i="1"/>
  <c r="D649" i="1"/>
  <c r="C536" i="1"/>
  <c r="C524" i="1"/>
  <c r="C661" i="1"/>
  <c r="C636" i="1"/>
  <c r="C708" i="1"/>
  <c r="C556" i="1"/>
  <c r="C678" i="1"/>
  <c r="C658" i="1"/>
  <c r="C677" i="1"/>
  <c r="C518" i="1"/>
  <c r="C575" i="1"/>
  <c r="C554" i="1"/>
  <c r="C593" i="1"/>
  <c r="C539" i="1"/>
  <c r="C571" i="1"/>
  <c r="C613" i="1"/>
  <c r="C603" i="1"/>
  <c r="C562" i="1"/>
  <c r="C584" i="1"/>
  <c r="C592" i="1"/>
  <c r="C641" i="1"/>
  <c r="C676" i="1"/>
  <c r="C530" i="1"/>
  <c r="C645" i="1"/>
  <c r="C527" i="1"/>
  <c r="C635" i="1"/>
  <c r="C638" i="1"/>
  <c r="C533" i="1"/>
  <c r="C726" i="1"/>
  <c r="C648" i="1"/>
  <c r="C626" i="1"/>
  <c r="C528" i="1"/>
  <c r="C612" i="1"/>
  <c r="C598" i="1"/>
  <c r="C616" i="1"/>
  <c r="C515" i="1"/>
  <c r="C682" i="1"/>
  <c r="C541" i="1"/>
  <c r="C534" i="1"/>
  <c r="C653" i="1"/>
  <c r="C578" i="1"/>
  <c r="C692" i="1"/>
  <c r="C537" i="1"/>
  <c r="C688" i="1"/>
  <c r="C629" i="1"/>
  <c r="C668" i="1"/>
  <c r="C797" i="1"/>
  <c r="C576" i="1"/>
  <c r="C654" i="1"/>
  <c r="C619" i="1"/>
  <c r="C522" i="1"/>
  <c r="C621" i="1"/>
  <c r="C526" i="1"/>
  <c r="C607" i="1"/>
  <c r="C604" i="1"/>
  <c r="C573" i="1"/>
  <c r="C558" i="1"/>
  <c r="C519" i="1"/>
  <c r="C590" i="1"/>
  <c r="C516" i="1"/>
  <c r="C624" i="1"/>
  <c r="C670" i="1"/>
  <c r="C655" i="1"/>
  <c r="C544" i="1"/>
  <c r="C586" i="1"/>
  <c r="C646" i="1"/>
  <c r="C546" i="1"/>
  <c r="C716" i="1"/>
  <c r="C652" i="1"/>
  <c r="C611" i="1"/>
  <c r="C683" i="1"/>
  <c r="C589" i="1"/>
  <c r="C623" i="1"/>
  <c r="C704" i="1"/>
  <c r="C710" i="1"/>
  <c r="C647" i="1"/>
  <c r="C666" i="1"/>
  <c r="C674" i="1"/>
  <c r="C609" i="1"/>
  <c r="C529" i="1"/>
  <c r="C663" i="1"/>
  <c r="C595" i="1"/>
  <c r="C664" i="1"/>
  <c r="C643" i="1"/>
  <c r="C574" i="1"/>
  <c r="C559" i="1"/>
  <c r="C721" i="1"/>
  <c r="C551" i="1"/>
  <c r="C545" i="1"/>
  <c r="C602" i="1"/>
  <c r="C594" i="1"/>
  <c r="C673" i="1"/>
  <c r="C644" i="1"/>
  <c r="C567" i="1"/>
  <c r="C568" i="1"/>
  <c r="C694" i="1"/>
  <c r="C569" i="1"/>
  <c r="C547" i="1"/>
  <c r="C633" i="1"/>
  <c r="C608" i="1"/>
  <c r="C671" i="1"/>
  <c r="C660" i="1"/>
  <c r="C689" i="1"/>
  <c r="C712" i="1"/>
  <c r="C610" i="1"/>
  <c r="C651" i="1"/>
  <c r="C627" i="1"/>
  <c r="C672" i="1"/>
  <c r="C561" i="1"/>
  <c r="C540" i="1"/>
  <c r="C650" i="1"/>
  <c r="C570" i="1"/>
  <c r="C709" i="1"/>
  <c r="C642" i="1"/>
  <c r="C596" i="1"/>
  <c r="C538" i="1"/>
  <c r="C580" i="1"/>
  <c r="C679" i="1"/>
  <c r="C640" i="1"/>
  <c r="C632" i="1"/>
  <c r="C549" i="1"/>
  <c r="C617" i="1"/>
  <c r="C521" i="1"/>
  <c r="C685" i="1"/>
  <c r="C615" i="1"/>
  <c r="C669" i="1"/>
  <c r="C649" i="1"/>
  <c r="D600" i="1"/>
  <c r="C600" i="1"/>
  <c r="B565" i="1" l="1"/>
  <c r="B557" i="1"/>
  <c r="B555" i="1"/>
  <c r="B553" i="1"/>
  <c r="B550" i="1"/>
  <c r="B542" i="1"/>
  <c r="B548" i="1"/>
  <c r="B543" i="1"/>
  <c r="B531" i="1"/>
  <c r="B562" i="1"/>
  <c r="B525" i="1"/>
  <c r="B528" i="1"/>
  <c r="B527" i="1"/>
  <c r="B530" i="1"/>
  <c r="B554" i="1"/>
  <c r="B556" i="1"/>
  <c r="B517" i="1"/>
  <c r="B520" i="1"/>
  <c r="B592" i="1"/>
  <c r="B683" i="1"/>
  <c r="B670" i="1"/>
  <c r="B621" i="1"/>
  <c r="B541" i="1"/>
  <c r="B797" i="1"/>
  <c r="B515" i="1"/>
  <c r="B625" i="1"/>
  <c r="B591" i="1"/>
  <c r="B708" i="1"/>
  <c r="B571" i="1"/>
  <c r="B616" i="1"/>
  <c r="B570" i="1"/>
  <c r="B636" i="1"/>
  <c r="B672" i="1"/>
  <c r="B612" i="1"/>
  <c r="B648" i="1"/>
  <c r="B635" i="1"/>
  <c r="B613" i="1"/>
  <c r="B593" i="1"/>
  <c r="B658" i="1"/>
  <c r="B524" i="1"/>
  <c r="B545" i="1"/>
  <c r="B540" i="1"/>
  <c r="B704" i="1"/>
  <c r="B590" i="1"/>
  <c r="B604" i="1"/>
  <c r="B607" i="1"/>
  <c r="B654" i="1"/>
  <c r="B668" i="1"/>
  <c r="B624" i="1"/>
  <c r="B603" i="1"/>
  <c r="B677" i="1"/>
  <c r="B726" i="1"/>
  <c r="B645" i="1"/>
  <c r="B539" i="1"/>
  <c r="B661" i="1"/>
  <c r="B688" i="1"/>
  <c r="B653" i="1"/>
  <c r="B598" i="1"/>
  <c r="B676" i="1"/>
  <c r="B641" i="1"/>
  <c r="B709" i="1"/>
  <c r="B651" i="1"/>
  <c r="B608" i="1"/>
  <c r="B559" i="1"/>
  <c r="B546" i="1"/>
  <c r="B569" i="1"/>
  <c r="B578" i="1"/>
  <c r="B549" i="1"/>
  <c r="B652" i="1"/>
  <c r="B586" i="1"/>
  <c r="B522" i="1"/>
  <c r="B685" i="1"/>
  <c r="B617" i="1"/>
  <c r="B679" i="1"/>
  <c r="B596" i="1"/>
  <c r="B610" i="1"/>
  <c r="B712" i="1"/>
  <c r="B633" i="1"/>
  <c r="B602" i="1"/>
  <c r="B574" i="1"/>
  <c r="B710" i="1"/>
  <c r="B544" i="1"/>
  <c r="B573" i="1"/>
  <c r="B619" i="1"/>
  <c r="B626" i="1"/>
  <c r="B678" i="1"/>
  <c r="B536" i="1"/>
  <c r="B584" i="1"/>
  <c r="B575" i="1"/>
  <c r="B615" i="1"/>
  <c r="B640" i="1"/>
  <c r="B650" i="1"/>
  <c r="B561" i="1"/>
  <c r="B689" i="1"/>
  <c r="B671" i="1"/>
  <c r="B694" i="1"/>
  <c r="B568" i="1"/>
  <c r="B594" i="1"/>
  <c r="B666" i="1"/>
  <c r="B716" i="1"/>
  <c r="B646" i="1"/>
  <c r="B558" i="1"/>
  <c r="B521" i="1"/>
  <c r="B642" i="1"/>
  <c r="B660" i="1"/>
  <c r="B547" i="1"/>
  <c r="B673" i="1"/>
  <c r="B609" i="1"/>
  <c r="B623" i="1"/>
  <c r="B519" i="1"/>
  <c r="B560" i="1"/>
  <c r="B669" i="1"/>
  <c r="B627" i="1"/>
  <c r="B567" i="1"/>
  <c r="B644" i="1"/>
  <c r="B551" i="1"/>
  <c r="B643" i="1"/>
  <c r="B663" i="1"/>
  <c r="B674" i="1"/>
  <c r="B589" i="1"/>
  <c r="B655" i="1"/>
  <c r="B526" i="1"/>
  <c r="B576" i="1"/>
  <c r="B692" i="1"/>
  <c r="B533" i="1"/>
  <c r="B638" i="1"/>
  <c r="B518" i="1"/>
  <c r="B632" i="1"/>
  <c r="B580" i="1"/>
  <c r="B538" i="1"/>
  <c r="B721" i="1"/>
  <c r="B595" i="1"/>
  <c r="B529" i="1"/>
  <c r="B647" i="1"/>
  <c r="B611" i="1"/>
  <c r="B516" i="1"/>
  <c r="B682" i="1"/>
  <c r="B535" i="1"/>
  <c r="B532" i="1"/>
  <c r="B534" i="1"/>
  <c r="B601" i="1"/>
  <c r="B597" i="1"/>
  <c r="B537" i="1"/>
  <c r="B582" i="1"/>
  <c r="B664" i="1"/>
  <c r="B579" i="1"/>
  <c r="B585" i="1"/>
  <c r="B581" i="1"/>
  <c r="B629" i="1"/>
  <c r="B577" i="1"/>
  <c r="B583" i="1"/>
  <c r="B563" i="1"/>
  <c r="B649" i="1"/>
  <c r="B566" i="1"/>
  <c r="B600" i="1"/>
</calcChain>
</file>

<file path=xl/sharedStrings.xml><?xml version="1.0" encoding="utf-8"?>
<sst xmlns="http://schemas.openxmlformats.org/spreadsheetml/2006/main" count="6931" uniqueCount="3294">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</sst>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Dashboard'!$I$28:$I$29</c:f>
              <c:strCache>
                <c:ptCount val="1"/>
                <c:pt idx="0">
                  <c:v>Lucie Vande Velde</c:v>
                </c:pt>
              </c:strCache>
            </c:strRef>
          </c:cat>
          <c:val>
            <c:numRef>
              <c:f>'Nieuw Dashboard'!$J$28:$J$29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411691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880534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40138"/>
    <x v="239"/>
    <s v="Moerman"/>
    <s v="Tjimmy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6663"/>
    <x v="263"/>
    <s v="Cesmeli"/>
    <s v="Achraf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n v="40969"/>
    <x v="264"/>
    <s v="Kerman"/>
    <s v="Melisa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25487"/>
    <x v="137"/>
    <s v="Devos"/>
    <s v="Stefaan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n v="40652"/>
    <x v="219"/>
    <s v="Van Damme"/>
    <s v="Gilyann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3640"/>
    <x v="265"/>
    <s v="Verschraegen"/>
    <s v="Patrick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n v="8394"/>
    <x v="76"/>
    <s v="Smet"/>
    <s v="Antoon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6663"/>
    <x v="263"/>
    <s v="Cesmeli"/>
    <s v="Achraf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5491"/>
    <x v="266"/>
    <s v="Toubadie"/>
    <s v="Zakaria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444"/>
    <x v="267"/>
    <s v="Van Damme"/>
    <s v="Glenn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9660"/>
    <x v="78"/>
    <s v="Lloyd"/>
    <s v="Glenn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33986"/>
    <x v="160"/>
    <s v="Göktas"/>
    <s v="Muharrem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663"/>
    <x v="263"/>
    <s v="Cesmeli"/>
    <s v="Achraf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428"/>
    <x v="184"/>
    <s v="Abdi Shaiye"/>
    <s v="Rashid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19917"/>
    <x v="12"/>
    <s v="Vandevyvere"/>
    <s v="Frank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n v="40005"/>
    <x v="255"/>
    <s v="Bernaerts"/>
    <s v="Philip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9673"/>
    <x v="18"/>
    <s v="Steurbaut"/>
    <s v="Henri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6626"/>
    <x v="13"/>
    <s v="Kartal"/>
    <s v="Kadir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41162"/>
    <x v="268"/>
    <s v="Hoeckman"/>
    <s v="Jeroen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9999"/>
    <x v="0"/>
    <s v="-"/>
    <s v="-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37950"/>
    <x v="133"/>
    <s v="De Naegel"/>
    <s v="Bruno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6426"/>
    <x v="26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n v="35395"/>
    <x v="164"/>
    <s v="Limbourg"/>
    <s v="Heidi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4351"/>
    <x v="117"/>
    <s v="Callant"/>
    <s v="Dieter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1360"/>
    <x v="193"/>
    <s v="Simsek"/>
    <s v="Fatih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33965"/>
    <x v="73"/>
    <s v="Van de Gehuchte"/>
    <s v="Gilles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13398"/>
    <x v="270"/>
    <s v="Kirdas"/>
    <s v="Ramazan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0967"/>
    <x v="238"/>
    <s v="Taser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n v="19249"/>
    <x v="152"/>
    <s v="Odaci"/>
    <s v="Kadir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22240"/>
    <x v="79"/>
    <s v="Delahaye"/>
    <s v="Karina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n v="36626"/>
    <x v="13"/>
    <s v="Kartal"/>
    <s v="Kadir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n v="21424"/>
    <x v="271"/>
    <s v="Verstichel"/>
    <s v="Jethro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419"/>
    <x v="260"/>
    <s v="Maelbrancke"/>
    <s v="Eddy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39660"/>
    <x v="78"/>
    <s v="Lloyd"/>
    <s v="Glenn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0266"/>
    <x v="197"/>
    <s v="Taibi"/>
    <s v="Yassine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30121"/>
    <x v="28"/>
    <s v="Simons"/>
    <s v="Andreas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856"/>
    <x v="272"/>
    <s v="Neissi"/>
    <s v="Sadegh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n v="40744"/>
    <x v="191"/>
    <s v="Gözüküçük"/>
    <s v="Ugur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41092"/>
    <x v="241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25679"/>
    <x v="273"/>
    <s v="Vanrenterghem"/>
    <s v="Serge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7509"/>
    <x v="203"/>
    <s v="Abdulkader"/>
    <s v="Sabah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39829"/>
    <x v="114"/>
    <s v="Demirkaya"/>
    <s v="Serkan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532"/>
    <x v="168"/>
    <s v="Sahin"/>
    <s v="Orhan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23"/>
    <x v="90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n v="37662"/>
    <x v="186"/>
    <s v="Van den Meerssche"/>
    <s v="Steven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n v="39972"/>
    <x v="274"/>
    <s v="Repaj"/>
    <s v="Ramazav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6229"/>
    <x v="275"/>
    <s v="De Meyer"/>
    <s v="Antoon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n v="11236"/>
    <x v="63"/>
    <s v="Baert"/>
    <s v="Freddy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0055"/>
    <x v="276"/>
    <s v="Afara"/>
    <s v="Ammar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40859"/>
    <x v="222"/>
    <s v="Yagoub"/>
    <s v="Abdelali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n v="16545"/>
    <x v="230"/>
    <s v="Toch"/>
    <s v="Erwin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41162"/>
    <x v="268"/>
    <s v="Hoeckman"/>
    <s v="Jeroen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n v="41383"/>
    <x v="277"/>
    <s v="De Pauw"/>
    <s v="Tony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n v="21424"/>
    <x v="271"/>
    <s v="Verstichel"/>
    <s v="Jethro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35397"/>
    <x v="278"/>
    <s v="Minbari"/>
    <s v="Ako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n v="41246"/>
    <x v="279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n v="9999"/>
    <x v="0"/>
    <s v="-"/>
    <s v="-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n v="41012"/>
    <x v="280"/>
    <s v="Natad"/>
    <s v="Younes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39779"/>
    <x v="47"/>
    <s v="Avci"/>
    <s v="Muhammet Abdullah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32"/>
    <x v="281"/>
    <s v="Rocabado Hinojosa"/>
    <s v="Lukas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n v="41091"/>
    <x v="282"/>
    <s v="Yavas"/>
    <s v="Talha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9999"/>
    <x v="0"/>
    <s v="-"/>
    <s v="-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744"/>
    <x v="191"/>
    <s v="Gözüküçük"/>
    <s v="Ugur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41092"/>
    <x v="241"/>
    <s v="De Keyser"/>
    <s v="Dorien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n v="12514"/>
    <x v="283"/>
    <s v="De Smet"/>
    <s v="Kenneth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17951"/>
    <x v="284"/>
    <s v="Lega"/>
    <s v="Claude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9267"/>
    <x v="285"/>
    <s v="Van Holsbeeck"/>
    <s v="Jens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7496"/>
    <x v="198"/>
    <s v="Oosterlinck"/>
    <s v="Willy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n v="37496"/>
    <x v="198"/>
    <s v="Oosterlinck"/>
    <s v="W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2387"/>
    <x v="178"/>
    <s v="Meersman"/>
    <s v="Herman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6"/>
    <s v="De Meulenaere"/>
    <s v="Eric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99"/>
    <x v="287"/>
    <s v="Wauters"/>
    <s v="Franky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n v="28737"/>
    <x v="288"/>
    <s v="El-Mohamed"/>
    <s v="Mohamed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n v="39712"/>
    <x v="74"/>
    <s v="Repaj"/>
    <s v="Ramazan"/>
    <x v="4"/>
    <x v="0"/>
    <m/>
    <n v="1"/>
    <m/>
    <m/>
    <m/>
    <m/>
    <m/>
    <m/>
    <m/>
    <m/>
    <m/>
    <m/>
    <n v="1"/>
    <x v="298"/>
    <m/>
    <n v="1"/>
    <m/>
    <x v="0"/>
    <x v="151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0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3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2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79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1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1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79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88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1"/>
    <s v="Rocabado Hinojosa"/>
    <s v="Lukas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n v="36426"/>
    <x v="269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88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2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8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7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n v="41162"/>
    <x v="268"/>
    <s v="Hoeckman"/>
    <s v="Jeroen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6021"/>
    <x v="362"/>
    <s v="Boelaert"/>
    <s v="Frederik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1092"/>
    <x v="241"/>
    <s v="De Keyser"/>
    <s v="Dorien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n v="41874"/>
    <x v="363"/>
    <s v="Dobbeleire"/>
    <s v="Bruno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37254"/>
    <x v="244"/>
    <s v="Coulon"/>
    <s v="Rayan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007"/>
    <x v="364"/>
    <s v="Sogut"/>
    <s v="Cagri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296"/>
    <x v="253"/>
    <s v="Abulehia"/>
    <s v="Oday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n v="38740"/>
    <x v="334"/>
    <s v="Meskens"/>
    <s v="Anthony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1137"/>
    <x v="365"/>
    <s v="De smet"/>
    <s v="Dirk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2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1"/>
        <item h="1" m="1" x="15"/>
        <item h="1" m="1" x="14"/>
        <item x="6"/>
        <item h="1" m="1" x="11"/>
        <item h="1" x="8"/>
        <item h="1" x="0"/>
        <item h="1" m="1" x="10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2">
    <i>
      <x v="11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31" firstHeaderRow="1" firstDataRow="1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">
    <i>
      <x v="62"/>
    </i>
    <i>
      <x v="25"/>
    </i>
    <i>
      <x v="37"/>
    </i>
    <i>
      <x v="123"/>
    </i>
    <i>
      <x v="12"/>
    </i>
    <i>
      <x v="176"/>
    </i>
    <i>
      <x v="35"/>
    </i>
    <i>
      <x v="5"/>
    </i>
    <i>
      <x v="151"/>
    </i>
    <i>
      <x v="31"/>
    </i>
    <i>
      <x v="170"/>
    </i>
    <i>
      <x v="175"/>
    </i>
    <i>
      <x v="42"/>
    </i>
    <i>
      <x v="183"/>
    </i>
    <i>
      <x v="186"/>
    </i>
    <i>
      <x v="189"/>
    </i>
    <i>
      <x v="212"/>
    </i>
    <i>
      <x v="98"/>
    </i>
    <i>
      <x v="119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30" firstHeaderRow="1" firstDataRow="1" firstDataCol="1"/>
  <pivotFields count="28">
    <pivotField showAll="0"/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">
    <i>
      <x v="342"/>
    </i>
    <i>
      <x v="407"/>
    </i>
    <i>
      <x v="531"/>
    </i>
    <i>
      <x v="202"/>
    </i>
    <i>
      <x v="309"/>
    </i>
    <i>
      <x v="415"/>
    </i>
    <i>
      <x v="268"/>
    </i>
    <i>
      <x v="238"/>
    </i>
    <i>
      <x v="303"/>
    </i>
    <i>
      <x v="81"/>
    </i>
    <i>
      <x v="559"/>
    </i>
    <i>
      <x v="449"/>
    </i>
    <i>
      <x v="17"/>
    </i>
    <i>
      <x v="533"/>
    </i>
    <i>
      <x v="119"/>
    </i>
    <i>
      <x v="372"/>
    </i>
    <i>
      <x v="33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/>
        <i x="5"/>
        <i x="7"/>
        <i x="2"/>
        <i x="3"/>
        <i x="9"/>
        <i x="1"/>
        <i x="6" s="1"/>
        <i x="8"/>
        <i x="0"/>
        <i x="16" nd="1"/>
        <i x="12" nd="1"/>
        <i x="13" nd="1"/>
        <i x="15" nd="1"/>
        <i x="14" nd="1"/>
        <i x="11" nd="1"/>
        <i x="1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18" totalsRowShown="0" headerRowDxfId="13">
  <autoFilter ref="A1:Y818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12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SUM(Tabel1[[#This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printerSettings" Target="../printerSettings/printerSettings2.bin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table" Target="../tables/table1.xm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J19" sqref="J19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0.5703125" style="30" bestFit="1" customWidth="1"/>
    <col min="4" max="4" width="16.7109375" style="30" bestFit="1" customWidth="1"/>
    <col min="5" max="5" width="8.85546875" style="30"/>
    <col min="6" max="6" width="18" style="30" bestFit="1" customWidth="1"/>
    <col min="7" max="7" width="16.7109375" style="30" bestFit="1" customWidth="1"/>
    <col min="8" max="8" width="5.28515625" style="30" bestFit="1" customWidth="1"/>
    <col min="9" max="9" width="17.4257812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9</v>
      </c>
      <c r="D13" s="35">
        <v>3</v>
      </c>
      <c r="F13" s="2" t="s">
        <v>18</v>
      </c>
      <c r="G13" s="35">
        <v>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10</v>
      </c>
      <c r="D14" s="35">
        <v>2</v>
      </c>
      <c r="F14" s="2" t="s">
        <v>19</v>
      </c>
      <c r="G14" s="35">
        <v>2</v>
      </c>
      <c r="I14" s="2" t="s">
        <v>2914</v>
      </c>
      <c r="J14" s="35">
        <v>3</v>
      </c>
      <c r="K14" s="35">
        <v>1</v>
      </c>
    </row>
    <row r="15" spans="3:19" x14ac:dyDescent="0.25">
      <c r="C15" s="2" t="s">
        <v>13</v>
      </c>
      <c r="D15" s="35">
        <v>2</v>
      </c>
      <c r="F15" s="2" t="s">
        <v>20</v>
      </c>
      <c r="G15" s="35">
        <v>2</v>
      </c>
      <c r="I15" s="2" t="s">
        <v>2915</v>
      </c>
      <c r="J15" s="35">
        <v>3</v>
      </c>
      <c r="K15" s="35">
        <v>2</v>
      </c>
    </row>
    <row r="16" spans="3:19" x14ac:dyDescent="0.25">
      <c r="C16" s="2" t="s">
        <v>3</v>
      </c>
      <c r="D16" s="35">
        <v>2</v>
      </c>
      <c r="F16" s="2" t="s">
        <v>148</v>
      </c>
      <c r="G16" s="35">
        <v>1</v>
      </c>
      <c r="I16" s="2" t="s">
        <v>2916</v>
      </c>
      <c r="J16" s="35">
        <v>1</v>
      </c>
      <c r="K16" s="35"/>
    </row>
    <row r="17" spans="2:11" x14ac:dyDescent="0.25">
      <c r="C17" s="2" t="s">
        <v>7</v>
      </c>
      <c r="D17" s="35">
        <v>2</v>
      </c>
      <c r="F17" s="2" t="s">
        <v>137</v>
      </c>
      <c r="G17" s="35">
        <v>1</v>
      </c>
      <c r="I17" s="2" t="s">
        <v>63</v>
      </c>
      <c r="J17" s="35">
        <v>1</v>
      </c>
      <c r="K17" s="35">
        <v>1</v>
      </c>
    </row>
    <row r="18" spans="2:11" x14ac:dyDescent="0.25">
      <c r="C18" s="2" t="s">
        <v>11</v>
      </c>
      <c r="D18" s="35">
        <v>1</v>
      </c>
      <c r="F18" s="2" t="s">
        <v>229</v>
      </c>
      <c r="G18" s="35">
        <v>1</v>
      </c>
      <c r="I18" s="2" t="s">
        <v>65</v>
      </c>
      <c r="J18" s="35">
        <v>2</v>
      </c>
      <c r="K18" s="35">
        <v>2</v>
      </c>
    </row>
    <row r="19" spans="2:11" x14ac:dyDescent="0.25">
      <c r="C19" s="2" t="s">
        <v>5</v>
      </c>
      <c r="D19" s="35">
        <v>1</v>
      </c>
      <c r="F19" s="2" t="s">
        <v>97</v>
      </c>
      <c r="G19" s="35">
        <v>1</v>
      </c>
      <c r="I19" s="2" t="s">
        <v>67</v>
      </c>
      <c r="J19" s="35"/>
      <c r="K19" s="35">
        <v>1</v>
      </c>
    </row>
    <row r="20" spans="2:11" x14ac:dyDescent="0.25">
      <c r="C20" s="2" t="s">
        <v>4</v>
      </c>
      <c r="D20" s="35">
        <v>1</v>
      </c>
      <c r="F20" s="2" t="s">
        <v>2900</v>
      </c>
      <c r="G20" s="35">
        <v>1</v>
      </c>
      <c r="I20" s="2" t="s">
        <v>69</v>
      </c>
      <c r="J20" s="35">
        <v>3</v>
      </c>
      <c r="K20" s="35">
        <v>2</v>
      </c>
    </row>
    <row r="21" spans="2:11" x14ac:dyDescent="0.25">
      <c r="C21" s="2" t="s">
        <v>6</v>
      </c>
      <c r="D21" s="35">
        <v>1</v>
      </c>
      <c r="F21" s="2" t="s">
        <v>139</v>
      </c>
      <c r="G21" s="35">
        <v>1</v>
      </c>
      <c r="I21" s="2" t="s">
        <v>71</v>
      </c>
      <c r="J21" s="35">
        <v>1</v>
      </c>
      <c r="K21" s="35"/>
    </row>
    <row r="22" spans="2:11" x14ac:dyDescent="0.25">
      <c r="C22" s="2" t="s">
        <v>1</v>
      </c>
      <c r="D22" s="35">
        <v>1</v>
      </c>
      <c r="F22" s="2" t="s">
        <v>212</v>
      </c>
      <c r="G22" s="35">
        <v>1</v>
      </c>
      <c r="I22" s="2" t="s">
        <v>73</v>
      </c>
      <c r="J22" s="35"/>
      <c r="K22" s="35"/>
    </row>
    <row r="23" spans="2:11" x14ac:dyDescent="0.25">
      <c r="C23" s="2" t="s">
        <v>15</v>
      </c>
      <c r="D23" s="35">
        <v>1</v>
      </c>
      <c r="F23" s="2" t="s">
        <v>158</v>
      </c>
      <c r="G23" s="35">
        <v>1</v>
      </c>
      <c r="I23" s="2" t="s">
        <v>75</v>
      </c>
      <c r="J23" s="35"/>
      <c r="K23" s="35"/>
    </row>
    <row r="24" spans="2:11" x14ac:dyDescent="0.25">
      <c r="C24" s="2" t="s">
        <v>12</v>
      </c>
      <c r="D24" s="35">
        <v>1</v>
      </c>
      <c r="F24" s="2" t="s">
        <v>181</v>
      </c>
      <c r="G24" s="35">
        <v>1</v>
      </c>
      <c r="I24" s="2" t="s">
        <v>77</v>
      </c>
      <c r="J24" s="35"/>
      <c r="K24" s="35"/>
    </row>
    <row r="25" spans="2:11" x14ac:dyDescent="0.25">
      <c r="C25" s="2" t="s">
        <v>0</v>
      </c>
      <c r="D25" s="35">
        <v>1</v>
      </c>
      <c r="F25" s="2" t="s">
        <v>45</v>
      </c>
      <c r="G25" s="35">
        <v>1</v>
      </c>
      <c r="I25" s="2" t="s">
        <v>79</v>
      </c>
      <c r="J25" s="35"/>
      <c r="K25" s="35"/>
    </row>
    <row r="26" spans="2:11" x14ac:dyDescent="0.25">
      <c r="C26" s="2" t="s">
        <v>14</v>
      </c>
      <c r="D26" s="35">
        <v>1</v>
      </c>
      <c r="F26" s="2" t="s">
        <v>108</v>
      </c>
      <c r="G26" s="35">
        <v>1</v>
      </c>
    </row>
    <row r="27" spans="2:11" x14ac:dyDescent="0.25">
      <c r="C27" s="2" t="s">
        <v>2</v>
      </c>
      <c r="D27" s="35">
        <v>1</v>
      </c>
      <c r="F27" s="2" t="s">
        <v>138</v>
      </c>
      <c r="G27" s="35">
        <v>1</v>
      </c>
      <c r="I27" s="1" t="s">
        <v>2923</v>
      </c>
      <c r="J27" t="s">
        <v>17</v>
      </c>
    </row>
    <row r="28" spans="2:11" x14ac:dyDescent="0.25">
      <c r="C28" s="2" t="s">
        <v>2950</v>
      </c>
      <c r="D28" s="35">
        <v>1</v>
      </c>
      <c r="F28" s="2" t="s">
        <v>21</v>
      </c>
      <c r="G28" s="35">
        <v>1</v>
      </c>
      <c r="I28" s="2" t="s">
        <v>48</v>
      </c>
      <c r="J28" s="35">
        <v>23</v>
      </c>
    </row>
    <row r="29" spans="2:11" x14ac:dyDescent="0.25">
      <c r="C29" s="2" t="s">
        <v>8</v>
      </c>
      <c r="D29" s="35">
        <v>1</v>
      </c>
      <c r="F29" s="2" t="s">
        <v>2906</v>
      </c>
      <c r="G29" s="35">
        <v>1</v>
      </c>
      <c r="I29" s="2" t="s">
        <v>16</v>
      </c>
      <c r="J29" s="35">
        <v>23</v>
      </c>
    </row>
    <row r="30" spans="2:11" x14ac:dyDescent="0.25">
      <c r="C30" s="2" t="s">
        <v>16</v>
      </c>
      <c r="D30" s="35">
        <v>23</v>
      </c>
      <c r="F30" s="2" t="s">
        <v>60</v>
      </c>
      <c r="G30" s="35">
        <v>1</v>
      </c>
      <c r="I30"/>
      <c r="J30"/>
    </row>
    <row r="31" spans="2:11" x14ac:dyDescent="0.25">
      <c r="B31" s="34">
        <f>AVERAGE(D13:D275)</f>
        <v>2.5555555555555554</v>
      </c>
      <c r="C31"/>
      <c r="D31"/>
      <c r="F31" s="2" t="s">
        <v>34</v>
      </c>
      <c r="G31" s="35">
        <v>1</v>
      </c>
      <c r="I31"/>
      <c r="J31"/>
    </row>
    <row r="32" spans="2:11" x14ac:dyDescent="0.25">
      <c r="C32"/>
      <c r="D32"/>
      <c r="F32"/>
      <c r="G32"/>
      <c r="I32"/>
      <c r="J32"/>
    </row>
    <row r="33" spans="3:15" x14ac:dyDescent="0.25">
      <c r="C33"/>
      <c r="D33"/>
      <c r="F33"/>
      <c r="G33"/>
      <c r="I33"/>
      <c r="J33"/>
    </row>
    <row r="34" spans="3:15" x14ac:dyDescent="0.25">
      <c r="C34"/>
      <c r="D34"/>
      <c r="F34"/>
      <c r="G34"/>
      <c r="I34"/>
      <c r="J34"/>
    </row>
    <row r="35" spans="3:15" x14ac:dyDescent="0.25">
      <c r="C35"/>
      <c r="D35"/>
      <c r="F35"/>
      <c r="G35"/>
      <c r="I35"/>
      <c r="J35"/>
    </row>
    <row r="36" spans="3:15" x14ac:dyDescent="0.25">
      <c r="C36"/>
      <c r="D36"/>
      <c r="F36"/>
      <c r="G36"/>
      <c r="I36"/>
      <c r="J36"/>
    </row>
    <row r="37" spans="3:15" x14ac:dyDescent="0.25">
      <c r="C37"/>
      <c r="D37"/>
      <c r="F37"/>
      <c r="G37"/>
      <c r="I37"/>
      <c r="J37"/>
    </row>
    <row r="38" spans="3:15" x14ac:dyDescent="0.25">
      <c r="C38"/>
      <c r="D38"/>
      <c r="F38"/>
      <c r="G38"/>
      <c r="I38"/>
      <c r="J38"/>
    </row>
    <row r="39" spans="3:15" x14ac:dyDescent="0.25">
      <c r="C39"/>
      <c r="D39"/>
      <c r="F39"/>
      <c r="G39"/>
      <c r="I39"/>
      <c r="J39"/>
    </row>
    <row r="40" spans="3:15" x14ac:dyDescent="0.25">
      <c r="C40"/>
      <c r="D40"/>
      <c r="F40"/>
      <c r="G40"/>
    </row>
    <row r="41" spans="3:15" x14ac:dyDescent="0.25">
      <c r="C41"/>
      <c r="D41"/>
      <c r="F41"/>
      <c r="G41"/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25">
      <c r="C42"/>
      <c r="D42"/>
      <c r="F42"/>
      <c r="G42"/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/>
      <c r="D43"/>
      <c r="F43"/>
      <c r="G43"/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/>
      <c r="D44"/>
      <c r="F44"/>
      <c r="G44"/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/>
      <c r="D45"/>
      <c r="F45"/>
      <c r="G45"/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/>
      <c r="D46"/>
      <c r="F46"/>
      <c r="G46"/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/>
      <c r="D47"/>
      <c r="F47"/>
      <c r="G47"/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/>
      <c r="D48"/>
      <c r="F48"/>
      <c r="G48"/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/>
      <c r="D49"/>
      <c r="F49"/>
      <c r="G49"/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/>
      <c r="D50"/>
      <c r="F50"/>
      <c r="G50"/>
      <c r="I50" s="14">
        <f>SUM(I42:I49)</f>
        <v>60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/>
      <c r="D51"/>
      <c r="F51"/>
      <c r="G51"/>
    </row>
    <row r="52" spans="3:15" x14ac:dyDescent="0.25">
      <c r="C52"/>
      <c r="D52"/>
      <c r="F52"/>
      <c r="G52"/>
    </row>
    <row r="53" spans="3:15" x14ac:dyDescent="0.25">
      <c r="C53"/>
      <c r="D53"/>
      <c r="F53"/>
      <c r="G53"/>
    </row>
    <row r="54" spans="3:15" x14ac:dyDescent="0.25">
      <c r="C54"/>
      <c r="D54"/>
      <c r="F54"/>
      <c r="G54"/>
    </row>
    <row r="55" spans="3:15" x14ac:dyDescent="0.25">
      <c r="C55"/>
      <c r="D55"/>
      <c r="F55"/>
      <c r="G55"/>
    </row>
    <row r="56" spans="3:15" x14ac:dyDescent="0.25">
      <c r="C56"/>
      <c r="D56"/>
      <c r="F56"/>
      <c r="G56"/>
    </row>
    <row r="57" spans="3:15" x14ac:dyDescent="0.25">
      <c r="C57"/>
      <c r="D57"/>
      <c r="F57"/>
      <c r="G57"/>
    </row>
    <row r="58" spans="3:15" x14ac:dyDescent="0.25">
      <c r="C58"/>
      <c r="D58"/>
      <c r="F58"/>
      <c r="G58"/>
    </row>
    <row r="59" spans="3:15" x14ac:dyDescent="0.25">
      <c r="C59"/>
      <c r="D59"/>
      <c r="F59"/>
      <c r="G59"/>
    </row>
    <row r="60" spans="3:15" x14ac:dyDescent="0.25">
      <c r="C60"/>
      <c r="D60"/>
      <c r="F60"/>
      <c r="G60"/>
    </row>
    <row r="61" spans="3:15" x14ac:dyDescent="0.25">
      <c r="C61"/>
      <c r="D61"/>
      <c r="F61"/>
      <c r="G61"/>
    </row>
    <row r="62" spans="3:15" x14ac:dyDescent="0.25">
      <c r="C62"/>
      <c r="D62"/>
      <c r="F62"/>
      <c r="G62"/>
    </row>
    <row r="63" spans="3:15" x14ac:dyDescent="0.25">
      <c r="C63"/>
      <c r="D63"/>
      <c r="F63"/>
      <c r="G63"/>
    </row>
    <row r="64" spans="3:15" x14ac:dyDescent="0.25">
      <c r="C64"/>
      <c r="D64"/>
      <c r="F64"/>
      <c r="G64"/>
    </row>
    <row r="65" spans="3:7" x14ac:dyDescent="0.25">
      <c r="C65"/>
      <c r="D65"/>
      <c r="F65"/>
      <c r="G65"/>
    </row>
    <row r="66" spans="3:7" x14ac:dyDescent="0.25">
      <c r="C66"/>
      <c r="D66"/>
      <c r="F66"/>
      <c r="G66"/>
    </row>
    <row r="67" spans="3:7" x14ac:dyDescent="0.25">
      <c r="C67"/>
      <c r="D67"/>
      <c r="F67"/>
      <c r="G67"/>
    </row>
    <row r="68" spans="3:7" x14ac:dyDescent="0.25">
      <c r="C68"/>
      <c r="D68"/>
      <c r="F68"/>
      <c r="G68"/>
    </row>
    <row r="69" spans="3:7" x14ac:dyDescent="0.25">
      <c r="C69"/>
      <c r="D69"/>
      <c r="F69"/>
      <c r="G69"/>
    </row>
    <row r="70" spans="3:7" x14ac:dyDescent="0.25">
      <c r="C70"/>
      <c r="D70"/>
      <c r="F70"/>
      <c r="G70"/>
    </row>
    <row r="71" spans="3:7" x14ac:dyDescent="0.25">
      <c r="C71"/>
      <c r="D71"/>
      <c r="F71"/>
      <c r="G71"/>
    </row>
    <row r="72" spans="3:7" x14ac:dyDescent="0.25">
      <c r="C72"/>
      <c r="D72"/>
      <c r="F72"/>
      <c r="G72"/>
    </row>
    <row r="73" spans="3:7" x14ac:dyDescent="0.25">
      <c r="C73"/>
      <c r="D73"/>
      <c r="F73"/>
      <c r="G73"/>
    </row>
    <row r="74" spans="3:7" x14ac:dyDescent="0.25">
      <c r="C74"/>
      <c r="D74"/>
      <c r="F74"/>
      <c r="G74"/>
    </row>
    <row r="75" spans="3:7" x14ac:dyDescent="0.25">
      <c r="C75"/>
      <c r="D75"/>
      <c r="F75"/>
      <c r="G75"/>
    </row>
    <row r="76" spans="3:7" x14ac:dyDescent="0.25">
      <c r="C76"/>
      <c r="D76"/>
      <c r="F76"/>
      <c r="G76"/>
    </row>
    <row r="77" spans="3:7" x14ac:dyDescent="0.25">
      <c r="C77"/>
      <c r="D77"/>
      <c r="F77"/>
      <c r="G77"/>
    </row>
    <row r="78" spans="3:7" x14ac:dyDescent="0.25">
      <c r="C78"/>
      <c r="D78"/>
      <c r="F78"/>
      <c r="G78"/>
    </row>
    <row r="79" spans="3:7" x14ac:dyDescent="0.25">
      <c r="C79"/>
      <c r="D79"/>
      <c r="F79"/>
      <c r="G79"/>
    </row>
    <row r="80" spans="3:7" x14ac:dyDescent="0.25">
      <c r="C80"/>
      <c r="D80"/>
      <c r="F80"/>
      <c r="G80"/>
    </row>
    <row r="81" spans="3:7" x14ac:dyDescent="0.25">
      <c r="C81"/>
      <c r="D81"/>
      <c r="F81"/>
      <c r="G81"/>
    </row>
    <row r="82" spans="3:7" x14ac:dyDescent="0.25">
      <c r="C82"/>
      <c r="D82"/>
      <c r="F82"/>
      <c r="G82"/>
    </row>
    <row r="83" spans="3:7" x14ac:dyDescent="0.25">
      <c r="C83"/>
      <c r="D83"/>
      <c r="F83"/>
      <c r="G83"/>
    </row>
    <row r="84" spans="3:7" x14ac:dyDescent="0.25">
      <c r="C84"/>
      <c r="D84"/>
      <c r="F84"/>
      <c r="G84"/>
    </row>
    <row r="85" spans="3:7" x14ac:dyDescent="0.25">
      <c r="C85"/>
      <c r="D85"/>
      <c r="F85"/>
      <c r="G85"/>
    </row>
    <row r="86" spans="3:7" x14ac:dyDescent="0.25">
      <c r="C86"/>
      <c r="D86"/>
      <c r="F86"/>
      <c r="G86"/>
    </row>
    <row r="87" spans="3:7" x14ac:dyDescent="0.25">
      <c r="C87"/>
      <c r="D87"/>
      <c r="F87"/>
      <c r="G87"/>
    </row>
    <row r="88" spans="3:7" x14ac:dyDescent="0.25">
      <c r="C88"/>
      <c r="D88"/>
      <c r="F88"/>
      <c r="G88"/>
    </row>
    <row r="89" spans="3:7" x14ac:dyDescent="0.25">
      <c r="C89"/>
      <c r="D89"/>
      <c r="F89"/>
      <c r="G89"/>
    </row>
    <row r="90" spans="3:7" x14ac:dyDescent="0.25">
      <c r="C90"/>
      <c r="D90"/>
      <c r="F90"/>
      <c r="G90"/>
    </row>
    <row r="91" spans="3:7" x14ac:dyDescent="0.25">
      <c r="C91"/>
      <c r="D91"/>
      <c r="F91"/>
      <c r="G91"/>
    </row>
    <row r="92" spans="3:7" x14ac:dyDescent="0.25">
      <c r="C92"/>
      <c r="D92"/>
      <c r="F92"/>
      <c r="G92"/>
    </row>
    <row r="93" spans="3:7" x14ac:dyDescent="0.25">
      <c r="C93"/>
      <c r="D93"/>
      <c r="F93"/>
      <c r="G93"/>
    </row>
    <row r="94" spans="3:7" x14ac:dyDescent="0.25">
      <c r="C94"/>
      <c r="D94"/>
      <c r="F94"/>
      <c r="G94"/>
    </row>
    <row r="95" spans="3:7" x14ac:dyDescent="0.25">
      <c r="C95"/>
      <c r="D95"/>
      <c r="F95"/>
      <c r="G95"/>
    </row>
    <row r="96" spans="3:7" x14ac:dyDescent="0.25">
      <c r="C96"/>
      <c r="D96"/>
      <c r="F96"/>
      <c r="G96"/>
    </row>
    <row r="97" spans="3:7" x14ac:dyDescent="0.25">
      <c r="C97"/>
      <c r="D97"/>
      <c r="F97"/>
      <c r="G97"/>
    </row>
    <row r="98" spans="3:7" x14ac:dyDescent="0.25">
      <c r="C98"/>
      <c r="D98"/>
      <c r="F98"/>
      <c r="G98"/>
    </row>
    <row r="99" spans="3:7" x14ac:dyDescent="0.25">
      <c r="C99"/>
      <c r="D99"/>
      <c r="F99"/>
      <c r="G99"/>
    </row>
    <row r="100" spans="3:7" x14ac:dyDescent="0.25">
      <c r="C100"/>
      <c r="D100"/>
      <c r="F100"/>
      <c r="G100"/>
    </row>
    <row r="101" spans="3:7" x14ac:dyDescent="0.25">
      <c r="C101"/>
      <c r="D101"/>
      <c r="F101"/>
      <c r="G101"/>
    </row>
    <row r="102" spans="3:7" x14ac:dyDescent="0.25">
      <c r="C102"/>
      <c r="D102"/>
      <c r="F102"/>
      <c r="G102"/>
    </row>
    <row r="103" spans="3:7" x14ac:dyDescent="0.25">
      <c r="C103"/>
      <c r="D103"/>
      <c r="F103"/>
      <c r="G103"/>
    </row>
    <row r="104" spans="3:7" x14ac:dyDescent="0.25">
      <c r="C104"/>
      <c r="D104"/>
      <c r="F104"/>
      <c r="G104"/>
    </row>
    <row r="105" spans="3:7" x14ac:dyDescent="0.25">
      <c r="C105"/>
      <c r="D105"/>
      <c r="F105"/>
      <c r="G105"/>
    </row>
    <row r="106" spans="3:7" x14ac:dyDescent="0.25">
      <c r="C106"/>
      <c r="D106"/>
      <c r="F106"/>
      <c r="G106"/>
    </row>
    <row r="107" spans="3:7" x14ac:dyDescent="0.25">
      <c r="C107"/>
      <c r="D107"/>
      <c r="F107"/>
      <c r="G107"/>
    </row>
    <row r="108" spans="3:7" x14ac:dyDescent="0.25">
      <c r="C108"/>
      <c r="D108"/>
      <c r="F108"/>
      <c r="G108"/>
    </row>
    <row r="109" spans="3:7" x14ac:dyDescent="0.25">
      <c r="C109"/>
      <c r="D109"/>
      <c r="F109"/>
      <c r="G109"/>
    </row>
    <row r="110" spans="3:7" x14ac:dyDescent="0.25">
      <c r="C110"/>
      <c r="D110"/>
      <c r="F110"/>
      <c r="G110"/>
    </row>
    <row r="111" spans="3:7" x14ac:dyDescent="0.25">
      <c r="C111"/>
      <c r="D111"/>
      <c r="F111"/>
      <c r="G111"/>
    </row>
    <row r="112" spans="3:7" x14ac:dyDescent="0.25">
      <c r="C112"/>
      <c r="D112"/>
      <c r="F112"/>
      <c r="G112"/>
    </row>
    <row r="113" spans="3:7" x14ac:dyDescent="0.25">
      <c r="C113"/>
      <c r="D113"/>
      <c r="F113"/>
      <c r="G113"/>
    </row>
    <row r="114" spans="3:7" x14ac:dyDescent="0.25">
      <c r="C114"/>
      <c r="D114"/>
      <c r="F114"/>
      <c r="G114"/>
    </row>
    <row r="115" spans="3:7" x14ac:dyDescent="0.25">
      <c r="C115"/>
      <c r="D115"/>
      <c r="F115"/>
      <c r="G115"/>
    </row>
    <row r="116" spans="3:7" x14ac:dyDescent="0.25">
      <c r="C116"/>
      <c r="D116"/>
      <c r="F116"/>
      <c r="G116"/>
    </row>
    <row r="117" spans="3:7" x14ac:dyDescent="0.25">
      <c r="C117"/>
      <c r="D117"/>
      <c r="F117"/>
      <c r="G117"/>
    </row>
    <row r="118" spans="3:7" x14ac:dyDescent="0.25">
      <c r="C118"/>
      <c r="D118"/>
      <c r="F118"/>
      <c r="G118"/>
    </row>
    <row r="119" spans="3:7" x14ac:dyDescent="0.25">
      <c r="C119"/>
      <c r="D119"/>
      <c r="F119"/>
      <c r="G119"/>
    </row>
    <row r="120" spans="3:7" x14ac:dyDescent="0.25">
      <c r="C120"/>
      <c r="D120"/>
      <c r="F120"/>
      <c r="G120"/>
    </row>
    <row r="121" spans="3:7" x14ac:dyDescent="0.25">
      <c r="C121"/>
      <c r="D121"/>
      <c r="F121"/>
      <c r="G121"/>
    </row>
    <row r="122" spans="3:7" x14ac:dyDescent="0.25">
      <c r="C122"/>
      <c r="D122"/>
      <c r="F122"/>
      <c r="G122"/>
    </row>
    <row r="123" spans="3:7" x14ac:dyDescent="0.25">
      <c r="C123"/>
      <c r="D123"/>
      <c r="F123"/>
      <c r="G123"/>
    </row>
    <row r="124" spans="3:7" x14ac:dyDescent="0.25">
      <c r="C124"/>
      <c r="D124"/>
      <c r="F124"/>
      <c r="G124"/>
    </row>
    <row r="125" spans="3:7" x14ac:dyDescent="0.25">
      <c r="C125"/>
      <c r="D125"/>
      <c r="F125"/>
      <c r="G125"/>
    </row>
    <row r="126" spans="3:7" x14ac:dyDescent="0.25">
      <c r="C126"/>
      <c r="D126"/>
      <c r="F126"/>
      <c r="G126"/>
    </row>
    <row r="127" spans="3:7" x14ac:dyDescent="0.25">
      <c r="C127"/>
      <c r="D127"/>
      <c r="F127"/>
      <c r="G127"/>
    </row>
    <row r="128" spans="3:7" x14ac:dyDescent="0.25">
      <c r="C128"/>
      <c r="D128"/>
      <c r="F128"/>
      <c r="G128"/>
    </row>
    <row r="129" spans="3:7" x14ac:dyDescent="0.25">
      <c r="C129"/>
      <c r="D129"/>
      <c r="F129"/>
      <c r="G129"/>
    </row>
    <row r="130" spans="3:7" x14ac:dyDescent="0.25">
      <c r="C130"/>
      <c r="D130"/>
      <c r="F130"/>
      <c r="G130"/>
    </row>
    <row r="131" spans="3:7" x14ac:dyDescent="0.25">
      <c r="C131"/>
      <c r="D131"/>
      <c r="F131"/>
      <c r="G131"/>
    </row>
    <row r="132" spans="3:7" x14ac:dyDescent="0.25">
      <c r="C132"/>
      <c r="D132"/>
      <c r="F132"/>
      <c r="G132"/>
    </row>
    <row r="133" spans="3:7" x14ac:dyDescent="0.25">
      <c r="C133"/>
      <c r="D133"/>
      <c r="F133"/>
      <c r="G133"/>
    </row>
    <row r="134" spans="3:7" x14ac:dyDescent="0.25">
      <c r="C134"/>
      <c r="D134"/>
      <c r="F134"/>
      <c r="G134"/>
    </row>
    <row r="135" spans="3:7" x14ac:dyDescent="0.25">
      <c r="C135"/>
      <c r="D135"/>
      <c r="F135"/>
      <c r="G135"/>
    </row>
    <row r="136" spans="3:7" x14ac:dyDescent="0.25">
      <c r="C136"/>
      <c r="D136"/>
      <c r="F136"/>
      <c r="G136"/>
    </row>
    <row r="137" spans="3:7" x14ac:dyDescent="0.25">
      <c r="C137"/>
      <c r="D137"/>
      <c r="F137"/>
      <c r="G137"/>
    </row>
    <row r="138" spans="3:7" x14ac:dyDescent="0.25">
      <c r="C138"/>
      <c r="D138"/>
      <c r="F138"/>
      <c r="G138"/>
    </row>
    <row r="139" spans="3:7" x14ac:dyDescent="0.25">
      <c r="C139"/>
      <c r="D139"/>
      <c r="F139"/>
      <c r="G139"/>
    </row>
    <row r="140" spans="3:7" x14ac:dyDescent="0.25">
      <c r="C140"/>
      <c r="D140"/>
      <c r="F140"/>
      <c r="G140"/>
    </row>
    <row r="141" spans="3:7" x14ac:dyDescent="0.25">
      <c r="C141"/>
      <c r="D141"/>
      <c r="F141"/>
      <c r="G141"/>
    </row>
    <row r="142" spans="3:7" x14ac:dyDescent="0.25">
      <c r="C142"/>
      <c r="D142"/>
      <c r="F142"/>
      <c r="G142"/>
    </row>
    <row r="143" spans="3:7" x14ac:dyDescent="0.25">
      <c r="C143"/>
      <c r="D143"/>
      <c r="F143"/>
      <c r="G143"/>
    </row>
    <row r="144" spans="3:7" x14ac:dyDescent="0.25">
      <c r="C144"/>
      <c r="D144"/>
      <c r="F144"/>
      <c r="G144"/>
    </row>
    <row r="145" spans="3:7" x14ac:dyDescent="0.25">
      <c r="C145"/>
      <c r="D145"/>
      <c r="F145"/>
      <c r="G145"/>
    </row>
    <row r="146" spans="3:7" x14ac:dyDescent="0.25">
      <c r="C146"/>
      <c r="D146"/>
      <c r="F146"/>
      <c r="G146"/>
    </row>
    <row r="147" spans="3:7" x14ac:dyDescent="0.25">
      <c r="C147"/>
      <c r="D147"/>
      <c r="F147"/>
      <c r="G147"/>
    </row>
    <row r="148" spans="3:7" x14ac:dyDescent="0.25">
      <c r="C148"/>
      <c r="D148"/>
      <c r="F148"/>
      <c r="G148"/>
    </row>
    <row r="149" spans="3:7" x14ac:dyDescent="0.25">
      <c r="C149"/>
      <c r="D149"/>
      <c r="F149"/>
      <c r="G149"/>
    </row>
    <row r="150" spans="3:7" x14ac:dyDescent="0.25">
      <c r="C150"/>
      <c r="D150"/>
      <c r="F150"/>
      <c r="G150"/>
    </row>
    <row r="151" spans="3:7" x14ac:dyDescent="0.25">
      <c r="C151"/>
      <c r="D151"/>
      <c r="F151"/>
      <c r="G151"/>
    </row>
    <row r="152" spans="3:7" x14ac:dyDescent="0.25">
      <c r="C152"/>
      <c r="D152"/>
      <c r="F152"/>
      <c r="G152"/>
    </row>
    <row r="153" spans="3:7" x14ac:dyDescent="0.25">
      <c r="C153"/>
      <c r="D153"/>
      <c r="F153"/>
      <c r="G153"/>
    </row>
    <row r="154" spans="3:7" x14ac:dyDescent="0.25">
      <c r="C154"/>
      <c r="D154"/>
      <c r="F154"/>
      <c r="G154"/>
    </row>
    <row r="155" spans="3:7" x14ac:dyDescent="0.25">
      <c r="C155"/>
      <c r="D155"/>
      <c r="F155"/>
      <c r="G155"/>
    </row>
    <row r="156" spans="3:7" x14ac:dyDescent="0.25">
      <c r="C156"/>
      <c r="D156"/>
      <c r="F156"/>
      <c r="G156"/>
    </row>
    <row r="157" spans="3:7" x14ac:dyDescent="0.25">
      <c r="C157"/>
      <c r="D157"/>
      <c r="F157"/>
      <c r="G157"/>
    </row>
    <row r="158" spans="3:7" x14ac:dyDescent="0.25">
      <c r="C158"/>
      <c r="D158"/>
      <c r="F158"/>
      <c r="G158"/>
    </row>
    <row r="159" spans="3:7" x14ac:dyDescent="0.25">
      <c r="C159"/>
      <c r="D159"/>
      <c r="F159"/>
      <c r="G159"/>
    </row>
    <row r="160" spans="3:7" x14ac:dyDescent="0.25">
      <c r="C160"/>
      <c r="D160"/>
      <c r="F160"/>
      <c r="G160"/>
    </row>
    <row r="161" spans="3:7" x14ac:dyDescent="0.25">
      <c r="C161"/>
      <c r="D161"/>
      <c r="F161"/>
      <c r="G161"/>
    </row>
    <row r="162" spans="3:7" x14ac:dyDescent="0.25">
      <c r="C162"/>
      <c r="D162"/>
      <c r="F162"/>
      <c r="G162"/>
    </row>
    <row r="163" spans="3:7" x14ac:dyDescent="0.25">
      <c r="C163"/>
      <c r="D163"/>
      <c r="F163"/>
      <c r="G163"/>
    </row>
    <row r="164" spans="3:7" x14ac:dyDescent="0.25">
      <c r="C164"/>
      <c r="D164"/>
      <c r="F164"/>
      <c r="G164"/>
    </row>
    <row r="165" spans="3:7" x14ac:dyDescent="0.25">
      <c r="C165"/>
      <c r="D165"/>
      <c r="F165"/>
      <c r="G165"/>
    </row>
    <row r="166" spans="3:7" x14ac:dyDescent="0.25">
      <c r="C166"/>
      <c r="D166"/>
      <c r="F166"/>
      <c r="G166"/>
    </row>
    <row r="167" spans="3:7" x14ac:dyDescent="0.25">
      <c r="C167"/>
      <c r="D167"/>
      <c r="F167"/>
      <c r="G167"/>
    </row>
    <row r="168" spans="3:7" x14ac:dyDescent="0.25">
      <c r="C168"/>
      <c r="D168"/>
      <c r="F168"/>
      <c r="G168"/>
    </row>
    <row r="169" spans="3:7" x14ac:dyDescent="0.25">
      <c r="C169"/>
      <c r="D169"/>
      <c r="F169"/>
      <c r="G169"/>
    </row>
    <row r="170" spans="3:7" x14ac:dyDescent="0.25">
      <c r="C170"/>
      <c r="D170"/>
      <c r="F170"/>
      <c r="G170"/>
    </row>
    <row r="171" spans="3:7" x14ac:dyDescent="0.25">
      <c r="C171"/>
      <c r="D171"/>
      <c r="F171"/>
      <c r="G171"/>
    </row>
    <row r="172" spans="3:7" x14ac:dyDescent="0.25">
      <c r="C172"/>
      <c r="D172"/>
      <c r="F172"/>
      <c r="G172"/>
    </row>
    <row r="173" spans="3:7" x14ac:dyDescent="0.25">
      <c r="C173"/>
      <c r="D173"/>
      <c r="F173"/>
      <c r="G173"/>
    </row>
    <row r="174" spans="3:7" x14ac:dyDescent="0.25">
      <c r="C174"/>
      <c r="D174"/>
      <c r="F174"/>
      <c r="G174"/>
    </row>
    <row r="175" spans="3:7" x14ac:dyDescent="0.25">
      <c r="C175"/>
      <c r="D175"/>
      <c r="F175"/>
      <c r="G175"/>
    </row>
    <row r="176" spans="3:7" x14ac:dyDescent="0.25">
      <c r="C176"/>
      <c r="D176"/>
      <c r="F176"/>
      <c r="G176"/>
    </row>
    <row r="177" spans="3:7" x14ac:dyDescent="0.25">
      <c r="C177"/>
      <c r="D177"/>
      <c r="F177"/>
      <c r="G177"/>
    </row>
    <row r="178" spans="3:7" x14ac:dyDescent="0.25">
      <c r="C178"/>
      <c r="D178"/>
      <c r="F178"/>
      <c r="G178"/>
    </row>
    <row r="179" spans="3:7" x14ac:dyDescent="0.25">
      <c r="C179"/>
      <c r="D179"/>
      <c r="F179"/>
      <c r="G179"/>
    </row>
    <row r="180" spans="3:7" x14ac:dyDescent="0.25">
      <c r="C180"/>
      <c r="D180"/>
      <c r="F180"/>
      <c r="G180"/>
    </row>
    <row r="181" spans="3:7" x14ac:dyDescent="0.25">
      <c r="C181"/>
      <c r="D181"/>
      <c r="F181"/>
      <c r="G181"/>
    </row>
    <row r="182" spans="3:7" x14ac:dyDescent="0.25">
      <c r="C182"/>
      <c r="D182"/>
      <c r="F182"/>
      <c r="G182"/>
    </row>
    <row r="183" spans="3:7" x14ac:dyDescent="0.25">
      <c r="C183"/>
      <c r="D183"/>
      <c r="F183"/>
      <c r="G183"/>
    </row>
    <row r="184" spans="3:7" x14ac:dyDescent="0.25">
      <c r="C184"/>
      <c r="D184"/>
      <c r="F184"/>
      <c r="G184"/>
    </row>
    <row r="185" spans="3:7" x14ac:dyDescent="0.25">
      <c r="C185"/>
      <c r="D185"/>
      <c r="F185"/>
      <c r="G185"/>
    </row>
    <row r="186" spans="3:7" x14ac:dyDescent="0.25">
      <c r="C186"/>
      <c r="D186"/>
      <c r="F186"/>
      <c r="G186"/>
    </row>
    <row r="187" spans="3:7" x14ac:dyDescent="0.25">
      <c r="C187"/>
      <c r="D187"/>
      <c r="F187"/>
      <c r="G187"/>
    </row>
    <row r="188" spans="3:7" x14ac:dyDescent="0.25">
      <c r="C188"/>
      <c r="D188"/>
      <c r="F188"/>
      <c r="G188"/>
    </row>
    <row r="189" spans="3:7" x14ac:dyDescent="0.25">
      <c r="C189"/>
      <c r="D189"/>
      <c r="F189"/>
      <c r="G189"/>
    </row>
    <row r="190" spans="3:7" x14ac:dyDescent="0.25">
      <c r="C190"/>
      <c r="D190"/>
      <c r="F190"/>
      <c r="G190"/>
    </row>
    <row r="191" spans="3:7" x14ac:dyDescent="0.25">
      <c r="C191"/>
      <c r="D191"/>
      <c r="F191"/>
      <c r="G191"/>
    </row>
    <row r="192" spans="3:7" x14ac:dyDescent="0.25">
      <c r="C192"/>
      <c r="D192"/>
      <c r="F192"/>
      <c r="G192"/>
    </row>
    <row r="193" spans="3:7" x14ac:dyDescent="0.25">
      <c r="C193"/>
      <c r="D193"/>
      <c r="F193"/>
      <c r="G193"/>
    </row>
    <row r="194" spans="3:7" x14ac:dyDescent="0.25">
      <c r="C194"/>
      <c r="D194"/>
      <c r="F194"/>
      <c r="G194"/>
    </row>
    <row r="195" spans="3:7" x14ac:dyDescent="0.25">
      <c r="C195"/>
      <c r="D195"/>
      <c r="F195"/>
      <c r="G195"/>
    </row>
    <row r="196" spans="3:7" x14ac:dyDescent="0.25">
      <c r="C196"/>
      <c r="D196"/>
      <c r="F196"/>
      <c r="G196"/>
    </row>
    <row r="197" spans="3:7" x14ac:dyDescent="0.25">
      <c r="C197"/>
      <c r="D197"/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8"/>
  <sheetViews>
    <sheetView tabSelected="1" topLeftCell="C1" zoomScale="93" zoomScaleNormal="93" workbookViewId="0">
      <pane ySplit="1" topLeftCell="A796" activePane="bottomLeft" state="frozen"/>
      <selection pane="bottomLeft" activeCell="C1" sqref="A1:XFD1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tr">
        <f>_xlfn.CONCAT(Tabel1[[#This Row],[personeelsnr]]," ",C2," ",D2)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tr">
        <f>_xlfn.CONCAT(Tabel1[[#This Row],[personeelsnr]]," ",C14," ",D14)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tr">
        <f>_xlfn.CONCAT(Tabel1[[#This Row],[personeelsnr]]," ",C15," ",D15)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_xlfn.CONCAT(Tabel1[[#This Row],[personeelsnr]]," ",C25," ",D25)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_xlfn.CONCAT(Tabel1[[#This Row],[personeelsnr]]," ",C26," ",D26)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_xlfn.CONCAT(Tabel1[[#This Row],[personeelsnr]]," ",C28," ",D28)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_xlfn.CONCAT(Tabel1[[#This Row],[personeelsnr]]," ",C59," ",D59)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_xlfn.CONCAT(Tabel1[[#This Row],[personeelsnr]]," ",C76," ",D76)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_xlfn.CONCAT(Tabel1[[#This Row],[personeelsnr]]," ",C97," ",D97)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_xlfn.CONCAT(Tabel1[[#This Row],[personeelsnr]]," ",C103," ",D103)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_xlfn.CONCAT(Tabel1[[#This Row],[personeelsnr]]," ",C125," ",D125)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_xlfn.CONCAT(Tabel1[[#This Row],[personeelsnr]]," ",C134," ",D134)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_xlfn.CONCAT(Tabel1[[#This Row],[personeelsnr]]," ",C141," ",D141)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_xlfn.CONCAT(Tabel1[[#This Row],[personeelsnr]]," ",C144," ",D144)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_xlfn.CONCAT(Tabel1[[#This Row],[personeelsnr]]," ",C146," ",D146)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_xlfn.CONCAT(Tabel1[[#This Row],[personeelsnr]]," ",C148," ",D148)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_xlfn.CONCAT(Tabel1[[#This Row],[personeelsnr]]," ",C150," ",D150)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tr">
        <f>_xlfn.CONCAT(Tabel1[[#This Row],[personeelsnr]]," ",C167," ",D167)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tr">
        <f>_xlfn.CONCAT(Tabel1[[#This Row],[personeelsnr]]," ",C174," ",D174)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tr">
        <f>_xlfn.CONCAT(Tabel1[[#This Row],[personeelsnr]]," ",C175," ",D175)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_xlfn.CONCAT(Tabel1[[#This Row],[personeelsnr]]," ",C179," ",D179)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_xlfn.CONCAT(Tabel1[[#This Row],[personeelsnr]]," ",C194," ",D194)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_xlfn.CONCAT(Tabel1[[#This Row],[personeelsnr]]," ",C199," ",D199)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_xlfn.CONCAT(Tabel1[[#This Row],[personeelsnr]]," ",C216," ",D216)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_xlfn.CONCAT(Tabel1[[#This Row],[personeelsnr]]," ",C218," ",D218)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_xlfn.CONCAT(Tabel1[[#This Row],[personeelsnr]]," ",C219," ",D219)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_xlfn.CONCAT(Tabel1[[#This Row],[personeelsnr]]," ",C222," ",D222)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_xlfn.CONCAT(Tabel1[[#This Row],[personeelsnr]]," ",C226," ",D226)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_xlfn.CONCAT(Tabel1[[#This Row],[personeelsnr]]," ",C234," ",D234)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_xlfn.CONCAT(Tabel1[[#This Row],[personeelsnr]]," ",C236," ",D236)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_xlfn.CONCAT(Tabel1[[#This Row],[personeelsnr]]," ",C241," ",D241)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_xlfn.CONCAT(Tabel1[[#This Row],[personeelsnr]]," ",C243," ",D243)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_xlfn.CONCAT(Tabel1[[#This Row],[personeelsnr]]," ",C259," ",D259)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_xlfn.CONCAT(Tabel1[[#This Row],[personeelsnr]]," ",C261," ",D261)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_xlfn.CONCAT(Tabel1[[#This Row],[personeelsnr]]," ",C269," ",D269)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_xlfn.CONCAT(Tabel1[[#This Row],[personeelsnr]]," ",C271," ",D271)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_xlfn.CONCAT(Tabel1[[#This Row],[personeelsnr]]," ",C279," ",D279)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_xlfn.CONCAT(Tabel1[[#This Row],[personeelsnr]]," ",C280," ",D280)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_xlfn.CONCAT(Tabel1[[#This Row],[personeelsnr]]," ",C281," ",D281)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_xlfn.CONCAT(Tabel1[[#This Row],[personeelsnr]]," ",C297," ",D297)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_xlfn.CONCAT(Tabel1[[#This Row],[personeelsnr]]," ",C313," ",D313)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_xlfn.CONCAT(Tabel1[[#This Row],[personeelsnr]]," ",C314," ",D314)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_xlfn.CONCAT(Tabel1[[#This Row],[personeelsnr]]," ",C323," ",D323)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_xlfn.CONCAT(Tabel1[[#This Row],[personeelsnr]]," ",C326," ",D326)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_xlfn.CONCAT(Tabel1[[#This Row],[personeelsnr]]," ",C327," ",D327)</f>
        <v>33965 Van de Gehuchte Gilles</v>
      </c>
      <c r="C327" t="str">
        <f>VLOOKUP(Tabel1[[#This Row],[personeelsnr]],'data hastus'!$A:$C,2,0)</f>
        <v>Van de Gehuchte</v>
      </c>
      <c r="D327" t="str">
        <f>VLOOKUP(Tabel1[[#This Row],[personeelsnr]],'data hastus'!$A:$C,3,0)</f>
        <v>Gilles</v>
      </c>
      <c r="E327" t="str">
        <f>VLOOKUP(Tabel1[[#This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_xlfn.CONCAT(Tabel1[[#This Row],[personeelsnr]]," ",C332," ",D332)</f>
        <v>40521 Mekdad Ali</v>
      </c>
      <c r="C332" t="str">
        <f>VLOOKUP(Tabel1[[#This Row],[personeelsnr]],'data hastus'!$A:$C,2,0)</f>
        <v>Mekdad</v>
      </c>
      <c r="D332" t="str">
        <f>VLOOKUP(Tabel1[[#This Row],[personeelsnr]],'data hastus'!$A:$C,3,0)</f>
        <v>Ali</v>
      </c>
      <c r="E332" t="str">
        <f>VLOOKUP(Tabel1[[#This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_xlfn.CONCAT(Tabel1[[#This Row],[personeelsnr]]," ",C333," ",D333)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_xlfn.CONCAT(Tabel1[[#This Row],[personeelsnr]]," ",C335," ",D335)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_xlfn.CONCAT(Tabel1[[#This Row],[personeelsnr]]," ",C336," ",D336)</f>
        <v>39858 Jacobs Elos</v>
      </c>
      <c r="C336" t="str">
        <f>VLOOKUP(Tabel1[[#This Row],[personeelsnr]],'data hastus'!$A:$C,2,0)</f>
        <v>Jacobs</v>
      </c>
      <c r="D336" t="str">
        <f>VLOOKUP(Tabel1[[#This Row],[personeelsnr]],'data hastus'!$A:$C,3,0)</f>
        <v>Elos</v>
      </c>
      <c r="E336" t="str">
        <f>VLOOKUP(Tabel1[[#This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SUM(Tabel1[[#This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S338" s="5">
        <f>SUM(Tabel1[[#This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_xlfn.CONCAT(Tabel1[[#This Row],[personeelsnr]]," ",C346," ",D346)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_xlfn.CONCAT(Tabel1[[#This Row],[personeelsnr]]," ",C355," ",D355)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_xlfn.CONCAT(Tabel1[[#This Row],[personeelsnr]]," ",C370," ",D370)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_xlfn.CONCAT(Tabel1[[#This Row],[personeelsnr]]," ",C371," ",D371)</f>
        <v>27635 Petrovic Damir</v>
      </c>
      <c r="C371" t="str">
        <f>VLOOKUP(Tabel1[[#This Row],[personeelsnr]],'data hastus'!$A:$C,2,0)</f>
        <v>Petrovic</v>
      </c>
      <c r="D371" t="str">
        <f>VLOOKUP(Tabel1[[#This Row],[personeelsnr]],'data hastus'!$A:$C,3,0)</f>
        <v>Damir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_xlfn.CONCAT(Tabel1[[#This Row],[personeelsnr]]," ",C373," ",D373)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SUM(Tabel1[[#This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  <c r="F376" s="10"/>
      <c r="G376" s="7"/>
      <c r="H376" s="7"/>
      <c r="I376" s="7"/>
      <c r="S376" s="5">
        <f>SUM(Tabel1[[#This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_xlfn.CONCAT(Tabel1[[#This Row],[personeelsnr]]," ",C382," ",D382)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SUM(Tabel1[[#This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_xlfn.CONCAT(Tabel1[[#This Row],[personeelsnr]]," ",C391," ",D391)</f>
        <v>37683 De Boever Charlotte</v>
      </c>
      <c r="C391" t="str">
        <f>VLOOKUP(Tabel1[[#This Row],[personeelsnr]],'data hastus'!$A:$C,2,0)</f>
        <v>De Boever</v>
      </c>
      <c r="D391" t="str">
        <f>VLOOKUP(Tabel1[[#This Row],[personeelsnr]],'data hastus'!$A:$C,3,0)</f>
        <v>Charlotte</v>
      </c>
      <c r="E391" t="str">
        <f>VLOOKUP(Tabel1[[#This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_xlfn.CONCAT(Tabel1[[#This Row],[personeelsnr]]," ",C398," ",D398)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_xlfn.CONCAT(Tabel1[[#This Row],[personeelsnr]]," ",C407," ",D407)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_xlfn.CONCAT(Tabel1[[#This Row],[personeelsnr]]," ",C409," ",D409)</f>
        <v>37662 Van den Meerssche Steven</v>
      </c>
      <c r="C409" t="str">
        <f>VLOOKUP(Tabel1[[#This Row],[personeelsnr]],'data hastus'!$A:$C,2,0)</f>
        <v>Van den Meerssche</v>
      </c>
      <c r="D409" t="str">
        <f>VLOOKUP(Tabel1[[#This Row],[personeelsnr]],'data hastus'!$A:$C,3,0)</f>
        <v>Steven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_xlfn.CONCAT(Tabel1[[#This Row],[personeelsnr]]," ",C410," ",D410)</f>
        <v>39779 Avci Muhammet Abdullah</v>
      </c>
      <c r="C410" t="str">
        <f>VLOOKUP(Tabel1[[#This Row],[personeelsnr]],'data hastus'!$A:$C,2,0)</f>
        <v>Avci</v>
      </c>
      <c r="D410" t="str">
        <f>VLOOKUP(Tabel1[[#This Row],[personeelsnr]],'data hastus'!$A:$C,3,0)</f>
        <v>Muhammet Abdullah</v>
      </c>
      <c r="E410" t="str">
        <f>VLOOKUP(Tabel1[[#This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_xlfn.CONCAT(Tabel1[[#This Row],[personeelsnr]]," ",C411," ",D411)</f>
        <v>33986 Göktas Muharrem</v>
      </c>
      <c r="C411" t="str">
        <f>VLOOKUP(Tabel1[[#This Row],[personeelsnr]],'data hastus'!$A:$C,2,0)</f>
        <v>Göktas</v>
      </c>
      <c r="D411" t="str">
        <f>VLOOKUP(Tabel1[[#This Row],[personeelsnr]],'data hastus'!$A:$C,3,0)</f>
        <v>Muharrem</v>
      </c>
      <c r="E411" t="str">
        <f>VLOOKUP(Tabel1[[#This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_xlfn.CONCAT(Tabel1[[#This Row],[personeelsnr]]," ",C412," ",D412)</f>
        <v>6310 De Craene Peter</v>
      </c>
      <c r="C412" t="str">
        <f>VLOOKUP(Tabel1[[#This Row],[personeelsnr]],'data hastus'!$A:$C,2,0)</f>
        <v>De Craene</v>
      </c>
      <c r="D412" t="str">
        <f>VLOOKUP(Tabel1[[#This Row],[personeelsnr]],'data hastus'!$A:$C,3,0)</f>
        <v>Peter</v>
      </c>
      <c r="E412" t="str">
        <f>VLOOKUP(Tabel1[[#This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_xlfn.CONCAT(Tabel1[[#This Row],[personeelsnr]]," ",C413," ",D413)</f>
        <v>39929 Staneva Mariyana</v>
      </c>
      <c r="C413" t="str">
        <f>VLOOKUP(Tabel1[[#This Row],[personeelsnr]],'data hastus'!$A:$C,2,0)</f>
        <v>Staneva</v>
      </c>
      <c r="D413" t="str">
        <f>VLOOKUP(Tabel1[[#This Row],[personeelsnr]],'data hastus'!$A:$C,3,0)</f>
        <v>Mariyana</v>
      </c>
      <c r="E413" t="str">
        <f>VLOOKUP(Tabel1[[#This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_xlfn.CONCAT(Tabel1[[#This Row],[personeelsnr]]," ",C414," ",D414)</f>
        <v>32387 Meersman Herman</v>
      </c>
      <c r="C414" t="str">
        <f>VLOOKUP(Tabel1[[#This Row],[personeelsnr]],'data hastus'!$A:$C,2,0)</f>
        <v>Meersman</v>
      </c>
      <c r="D414" t="str">
        <f>VLOOKUP(Tabel1[[#This Row],[personeelsnr]],'data hastus'!$A:$C,3,0)</f>
        <v>Herman</v>
      </c>
      <c r="E414" t="str">
        <f>VLOOKUP(Tabel1[[#This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_xlfn.CONCAT(Tabel1[[#This Row],[personeelsnr]]," ",C415," ",D415)</f>
        <v>5718 Dejonckheere Inge</v>
      </c>
      <c r="C415" t="str">
        <f>VLOOKUP(Tabel1[[#This Row],[personeelsnr]],'data hastus'!$A:$C,2,0)</f>
        <v>Dejonckheere</v>
      </c>
      <c r="D415" t="str">
        <f>VLOOKUP(Tabel1[[#This Row],[personeelsnr]],'data hastus'!$A:$C,3,0)</f>
        <v>Inge</v>
      </c>
      <c r="E415" t="str">
        <f>VLOOKUP(Tabel1[[#This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_xlfn.CONCAT(Tabel1[[#This Row],[personeelsnr]]," ",C416," ",D416)</f>
        <v>35598 Braeckman Wouter</v>
      </c>
      <c r="C416" t="str">
        <f>VLOOKUP(Tabel1[[#This Row],[personeelsnr]],'data hastus'!$A:$C,2,0)</f>
        <v>Braeckman</v>
      </c>
      <c r="D416" t="str">
        <f>VLOOKUP(Tabel1[[#This Row],[personeelsnr]],'data hastus'!$A:$C,3,0)</f>
        <v>Wouter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_xlfn.CONCAT(Tabel1[[#This Row],[personeelsnr]]," ",C417," ",D417)</f>
        <v>40222 Van Iterson Sharon</v>
      </c>
      <c r="C417" t="str">
        <f>VLOOKUP(Tabel1[[#This Row],[personeelsnr]],'data hastus'!$A:$C,2,0)</f>
        <v>Van Iterson</v>
      </c>
      <c r="D417" t="str">
        <f>VLOOKUP(Tabel1[[#This Row],[personeelsnr]],'data hastus'!$A:$C,3,0)</f>
        <v>Sharon</v>
      </c>
      <c r="E417" t="str">
        <f>VLOOKUP(Tabel1[[#This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_xlfn.CONCAT(Tabel1[[#This Row],[personeelsnr]]," ",C418," ",D418)</f>
        <v>35450 Roos Hugo</v>
      </c>
      <c r="C418" t="str">
        <f>VLOOKUP(Tabel1[[#This Row],[personeelsnr]],'data hastus'!$A:$C,2,0)</f>
        <v>Roos</v>
      </c>
      <c r="D418" t="str">
        <f>VLOOKUP(Tabel1[[#This Row],[personeelsnr]],'data hastus'!$A:$C,3,0)</f>
        <v>Hugo</v>
      </c>
      <c r="E418" t="str">
        <f>VLOOKUP(Tabel1[[#This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_xlfn.CONCAT(Tabel1[[#This Row],[personeelsnr]]," ",C419," ",D419)</f>
        <v>40652 Van Damme Gilyann</v>
      </c>
      <c r="C419" t="str">
        <f>VLOOKUP(Tabel1[[#This Row],[personeelsnr]],'data hastus'!$A:$C,2,0)</f>
        <v>Van Damme</v>
      </c>
      <c r="D419" t="str">
        <f>VLOOKUP(Tabel1[[#This Row],[personeelsnr]],'data hastus'!$A:$C,3,0)</f>
        <v>Gilyann</v>
      </c>
      <c r="E419" t="str">
        <f>VLOOKUP(Tabel1[[#This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_xlfn.CONCAT(Tabel1[[#This Row],[personeelsnr]]," ",C420," ",D420)</f>
        <v>37809 Sturtewagen Kenny</v>
      </c>
      <c r="C420" t="str">
        <f>VLOOKUP(Tabel1[[#This Row],[personeelsnr]],'data hastus'!$A:$C,2,0)</f>
        <v>Sturtewagen</v>
      </c>
      <c r="D420" t="str">
        <f>VLOOKUP(Tabel1[[#This Row],[personeelsnr]],'data hastus'!$A:$C,3,0)</f>
        <v>Kenny</v>
      </c>
      <c r="E420" t="str">
        <f>VLOOKUP(Tabel1[[#This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_xlfn.CONCAT(Tabel1[[#This Row],[personeelsnr]]," ",C421," ",D421)</f>
        <v>30623 Gassa Mustafa</v>
      </c>
      <c r="C421" t="str">
        <f>VLOOKUP(Tabel1[[#This Row],[personeelsnr]],'data hastus'!$A:$C,2,0)</f>
        <v>Gassa</v>
      </c>
      <c r="D421" t="str">
        <f>VLOOKUP(Tabel1[[#This Row],[personeelsnr]],'data hastus'!$A:$C,3,0)</f>
        <v>Mustafa</v>
      </c>
      <c r="E421" t="str">
        <f>VLOOKUP(Tabel1[[#This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_xlfn.CONCAT(Tabel1[[#This Row],[personeelsnr]]," ",C422," ",D422)</f>
        <v>37809 Sturtewagen Kenny</v>
      </c>
      <c r="C422" t="str">
        <f>VLOOKUP(Tabel1[[#This Row],[personeelsnr]],'data hastus'!$A:$C,2,0)</f>
        <v>Sturtewagen</v>
      </c>
      <c r="D422" t="str">
        <f>VLOOKUP(Tabel1[[#This Row],[personeelsnr]],'data hastus'!$A:$C,3,0)</f>
        <v>Kenny</v>
      </c>
      <c r="E422" t="str">
        <f>VLOOKUP(Tabel1[[#This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_xlfn.CONCAT(Tabel1[[#This Row],[personeelsnr]]," ",C423," ",D423)</f>
        <v>40859 Yagoub Abdelali</v>
      </c>
      <c r="C423" t="str">
        <f>VLOOKUP(Tabel1[[#This Row],[personeelsnr]],'data hastus'!$A:$C,2,0)</f>
        <v>Yagoub</v>
      </c>
      <c r="D423" t="str">
        <f>VLOOKUP(Tabel1[[#This Row],[personeelsnr]],'data hastus'!$A:$C,3,0)</f>
        <v>Abdelali</v>
      </c>
      <c r="E423" t="str">
        <f>VLOOKUP(Tabel1[[#This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_xlfn.CONCAT(Tabel1[[#This Row],[personeelsnr]]," ",C424," ",D424)</f>
        <v>21892 Dierick Steve</v>
      </c>
      <c r="C424" t="str">
        <f>VLOOKUP(Tabel1[[#This Row],[personeelsnr]],'data hastus'!$A:$C,2,0)</f>
        <v>Dierick</v>
      </c>
      <c r="D424" t="str">
        <f>VLOOKUP(Tabel1[[#This Row],[personeelsnr]],'data hastus'!$A:$C,3,0)</f>
        <v>Steve</v>
      </c>
      <c r="E424" t="str">
        <f>VLOOKUP(Tabel1[[#This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_xlfn.CONCAT(Tabel1[[#This Row],[personeelsnr]]," ",C425," ",D425)</f>
        <v>12173 De Feyter David</v>
      </c>
      <c r="C425" t="str">
        <f>VLOOKUP(Tabel1[[#This Row],[personeelsnr]],'data hastus'!$A:$C,2,0)</f>
        <v>De Feyter</v>
      </c>
      <c r="D425" t="str">
        <f>VLOOKUP(Tabel1[[#This Row],[personeelsnr]],'data hastus'!$A:$C,3,0)</f>
        <v>David</v>
      </c>
      <c r="E425" t="str">
        <f>VLOOKUP(Tabel1[[#This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_xlfn.CONCAT(Tabel1[[#This Row],[personeelsnr]]," ",C426," ",D426)</f>
        <v>37542 De Tandt Hans</v>
      </c>
      <c r="C426" t="str">
        <f>VLOOKUP(Tabel1[[#This Row],[personeelsnr]],'data hastus'!$A:$C,2,0)</f>
        <v>De Tandt</v>
      </c>
      <c r="D426" t="str">
        <f>VLOOKUP(Tabel1[[#This Row],[personeelsnr]],'data hastus'!$A:$C,3,0)</f>
        <v>Hans</v>
      </c>
      <c r="E426" t="str">
        <f>VLOOKUP(Tabel1[[#This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_xlfn.CONCAT(Tabel1[[#This Row],[personeelsnr]]," ",C427," ",D427)</f>
        <v>40278 Ates Firat</v>
      </c>
      <c r="C427" t="str">
        <f>VLOOKUP(Tabel1[[#This Row],[personeelsnr]],'data hastus'!$A:$C,2,0)</f>
        <v>Ates</v>
      </c>
      <c r="D427" t="str">
        <f>VLOOKUP(Tabel1[[#This Row],[personeelsnr]],'data hastus'!$A:$C,3,0)</f>
        <v>Firat</v>
      </c>
      <c r="E427" t="str">
        <f>VLOOKUP(Tabel1[[#This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_xlfn.CONCAT(Tabel1[[#This Row],[personeelsnr]]," ",C428," ",D428)</f>
        <v>29540 De Keyzer Jan</v>
      </c>
      <c r="C428" t="str">
        <f>VLOOKUP(Tabel1[[#This Row],[personeelsnr]],'data hastus'!$A:$C,2,0)</f>
        <v>De Keyzer</v>
      </c>
      <c r="D428" t="str">
        <f>VLOOKUP(Tabel1[[#This Row],[personeelsnr]],'data hastus'!$A:$C,3,0)</f>
        <v>Jan</v>
      </c>
      <c r="E428" t="str">
        <f>VLOOKUP(Tabel1[[#This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SUM(Tabel1[[#This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_xlfn.CONCAT(Tabel1[[#This Row],[personeelsnr]]," ",C429," ",D429)</f>
        <v>30901 vanden Bulcke Johan</v>
      </c>
      <c r="C429" t="str">
        <f>VLOOKUP(Tabel1[[#This Row],[personeelsnr]],'data hastus'!$A:$C,2,0)</f>
        <v>vanden Bulcke</v>
      </c>
      <c r="D429" t="str">
        <f>VLOOKUP(Tabel1[[#This Row],[personeelsnr]],'data hastus'!$A:$C,3,0)</f>
        <v>Johan</v>
      </c>
      <c r="E429" t="str">
        <f>VLOOKUP(Tabel1[[#This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_xlfn.CONCAT(Tabel1[[#This Row],[personeelsnr]]," ",C430," ",D430)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_xlfn.CONCAT(Tabel1[[#This Row],[personeelsnr]]," ",C431," ",D431)</f>
        <v>39581 Vandenhaute Linus</v>
      </c>
      <c r="C431" t="str">
        <f>VLOOKUP(Tabel1[[#This Row],[personeelsnr]],'data hastus'!$A:$C,2,0)</f>
        <v>Vandenhaute</v>
      </c>
      <c r="D431" t="str">
        <f>VLOOKUP(Tabel1[[#This Row],[personeelsnr]],'data hastus'!$A:$C,3,0)</f>
        <v>Linus</v>
      </c>
      <c r="E431" t="str">
        <f>VLOOKUP(Tabel1[[#This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_xlfn.CONCAT(Tabel1[[#This Row],[personeelsnr]]," ",C432," ",D432)</f>
        <v>33488 Holub Patrik</v>
      </c>
      <c r="C432" t="str">
        <f>VLOOKUP(Tabel1[[#This Row],[personeelsnr]],'data hastus'!$A:$C,2,0)</f>
        <v>Holub</v>
      </c>
      <c r="D432" t="str">
        <f>VLOOKUP(Tabel1[[#This Row],[personeelsnr]],'data hastus'!$A:$C,3,0)</f>
        <v>Patrik</v>
      </c>
      <c r="E432" t="str">
        <f>VLOOKUP(Tabel1[[#This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_xlfn.CONCAT(Tabel1[[#This Row],[personeelsnr]]," ",C433," ",D433)</f>
        <v>26102 Bral Jessica</v>
      </c>
      <c r="C433" t="str">
        <f>VLOOKUP(Tabel1[[#This Row],[personeelsnr]],'data hastus'!$A:$C,2,0)</f>
        <v>Bral</v>
      </c>
      <c r="D433" t="str">
        <f>VLOOKUP(Tabel1[[#This Row],[personeelsnr]],'data hastus'!$A:$C,3,0)</f>
        <v>Jessica</v>
      </c>
      <c r="E433" t="str">
        <f>VLOOKUP(Tabel1[[#This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_xlfn.CONCAT(Tabel1[[#This Row],[personeelsnr]]," ",C434," ",D434)</f>
        <v>39528 Mihaylov Plamen</v>
      </c>
      <c r="C434" t="str">
        <f>VLOOKUP(Tabel1[[#This Row],[personeelsnr]],'data hastus'!$A:$C,2,0)</f>
        <v>Mihaylov</v>
      </c>
      <c r="D434" t="str">
        <f>VLOOKUP(Tabel1[[#This Row],[personeelsnr]],'data hastus'!$A:$C,3,0)</f>
        <v>Plamen</v>
      </c>
      <c r="E434" t="str">
        <f>VLOOKUP(Tabel1[[#This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_xlfn.CONCAT(Tabel1[[#This Row],[personeelsnr]]," ",C435," ",D435)</f>
        <v>32951 De Bruyne Sonia</v>
      </c>
      <c r="C435" t="str">
        <f>VLOOKUP(Tabel1[[#This Row],[personeelsnr]],'data hastus'!$A:$C,2,0)</f>
        <v>De Bruyne</v>
      </c>
      <c r="D435" t="str">
        <f>VLOOKUP(Tabel1[[#This Row],[personeelsnr]],'data hastus'!$A:$C,3,0)</f>
        <v>Sonia</v>
      </c>
      <c r="E435" t="str">
        <f>VLOOKUP(Tabel1[[#This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_xlfn.CONCAT(Tabel1[[#This Row],[personeelsnr]]," ",C436," ",D436)</f>
        <v>30121 Simons Andreas</v>
      </c>
      <c r="C436" t="str">
        <f>VLOOKUP(Tabel1[[#This Row],[personeelsnr]],'data hastus'!$A:$C,2,0)</f>
        <v>Simons</v>
      </c>
      <c r="D436" t="str">
        <f>VLOOKUP(Tabel1[[#This Row],[personeelsnr]],'data hastus'!$A:$C,3,0)</f>
        <v>Andreas</v>
      </c>
      <c r="E436" t="str">
        <f>VLOOKUP(Tabel1[[#This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_xlfn.CONCAT(Tabel1[[#This Row],[personeelsnr]]," ",C437," ",D437)</f>
        <v>33965 Van de Gehuchte Gilles</v>
      </c>
      <c r="C437" t="str">
        <f>VLOOKUP(Tabel1[[#This Row],[personeelsnr]],'data hastus'!$A:$C,2,0)</f>
        <v>Van de Gehuchte</v>
      </c>
      <c r="D437" t="str">
        <f>VLOOKUP(Tabel1[[#This Row],[personeelsnr]],'data hastus'!$A:$C,3,0)</f>
        <v>Gilles</v>
      </c>
      <c r="E437" t="str">
        <f>VLOOKUP(Tabel1[[#This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_xlfn.CONCAT(Tabel1[[#This Row],[personeelsnr]]," ",C438," ",D438)</f>
        <v>40223 Teetaert Billy</v>
      </c>
      <c r="C438" t="str">
        <f>VLOOKUP(Tabel1[[#This Row],[personeelsnr]],'data hastus'!$A:$C,2,0)</f>
        <v>Teetaert</v>
      </c>
      <c r="D438" t="str">
        <f>VLOOKUP(Tabel1[[#This Row],[personeelsnr]],'data hastus'!$A:$C,3,0)</f>
        <v>Billy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_xlfn.CONCAT(Tabel1[[#This Row],[personeelsnr]]," ",C439," ",D439)</f>
        <v>20400 Allan Kenneth</v>
      </c>
      <c r="C439" t="str">
        <f>VLOOKUP(Tabel1[[#This Row],[personeelsnr]],'data hastus'!$A:$C,2,0)</f>
        <v>Allan</v>
      </c>
      <c r="D439" t="str">
        <f>VLOOKUP(Tabel1[[#This Row],[personeelsnr]],'data hastus'!$A:$C,3,0)</f>
        <v>Kenneth</v>
      </c>
      <c r="E439" t="str">
        <f>VLOOKUP(Tabel1[[#This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_xlfn.CONCAT(Tabel1[[#This Row],[personeelsnr]]," ",C440," ",D440)</f>
        <v>21121 Laforce Mike</v>
      </c>
      <c r="C440" t="str">
        <f>VLOOKUP(Tabel1[[#This Row],[personeelsnr]],'data hastus'!$A:$C,2,0)</f>
        <v>Laforce</v>
      </c>
      <c r="D440" t="str">
        <f>VLOOKUP(Tabel1[[#This Row],[personeelsnr]],'data hastus'!$A:$C,3,0)</f>
        <v>Mike</v>
      </c>
      <c r="E440" t="str">
        <f>VLOOKUP(Tabel1[[#This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_xlfn.CONCAT(Tabel1[[#This Row],[personeelsnr]]," ",C441," ",D441)</f>
        <v>37496 Oosterlinck Willy</v>
      </c>
      <c r="C441" t="str">
        <f>VLOOKUP(Tabel1[[#This Row],[personeelsnr]],'data hastus'!$A:$C,2,0)</f>
        <v>Oosterlinck</v>
      </c>
      <c r="D441" t="str">
        <f>VLOOKUP(Tabel1[[#This Row],[personeelsnr]],'data hastus'!$A:$C,3,0)</f>
        <v>Willy</v>
      </c>
      <c r="E441" t="str">
        <f>VLOOKUP(Tabel1[[#This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_xlfn.CONCAT(Tabel1[[#This Row],[personeelsnr]]," ",C442," ",D442)</f>
        <v>16545 Toch Erwin</v>
      </c>
      <c r="C442" t="str">
        <f>VLOOKUP(Tabel1[[#This Row],[personeelsnr]],'data hastus'!$A:$C,2,0)</f>
        <v>Toch</v>
      </c>
      <c r="D442" t="str">
        <f>VLOOKUP(Tabel1[[#This Row],[personeelsnr]],'data hastus'!$A:$C,3,0)</f>
        <v>Erwin</v>
      </c>
      <c r="E442" t="str">
        <f>VLOOKUP(Tabel1[[#This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_xlfn.CONCAT(Tabel1[[#This Row],[personeelsnr]]," ",C443," ",D443)</f>
        <v>30119 Haerens Tom</v>
      </c>
      <c r="C443" t="str">
        <f>VLOOKUP(Tabel1[[#This Row],[personeelsnr]],'data hastus'!$A:$C,2,0)</f>
        <v>Haerens</v>
      </c>
      <c r="D443" t="str">
        <f>VLOOKUP(Tabel1[[#This Row],[personeelsnr]],'data hastus'!$A:$C,3,0)</f>
        <v>Tom</v>
      </c>
      <c r="E443" t="str">
        <f>VLOOKUP(Tabel1[[#This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_xlfn.CONCAT(Tabel1[[#This Row],[personeelsnr]]," ",C444," ",D444)</f>
        <v>36626 Kartal Kadir</v>
      </c>
      <c r="C444" t="str">
        <f>VLOOKUP(Tabel1[[#This Row],[personeelsnr]],'data hastus'!$A:$C,2,0)</f>
        <v>Kartal</v>
      </c>
      <c r="D444" t="str">
        <f>VLOOKUP(Tabel1[[#This Row],[personeelsnr]],'data hastus'!$A:$C,3,0)</f>
        <v>Kadir</v>
      </c>
      <c r="E444" t="str">
        <f>VLOOKUP(Tabel1[[#This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_xlfn.CONCAT(Tabel1[[#This Row],[personeelsnr]]," ",C445," ",D445)</f>
        <v>35645 Jalili Yaseeb</v>
      </c>
      <c r="C445" t="str">
        <f>VLOOKUP(Tabel1[[#This Row],[personeelsnr]],'data hastus'!$A:$C,2,0)</f>
        <v>Jalili</v>
      </c>
      <c r="D445" t="str">
        <f>VLOOKUP(Tabel1[[#This Row],[personeelsnr]],'data hastus'!$A:$C,3,0)</f>
        <v>Yaseeb</v>
      </c>
      <c r="E445" t="str">
        <f>VLOOKUP(Tabel1[[#This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_xlfn.CONCAT(Tabel1[[#This Row],[personeelsnr]]," ",C446," ",D446)</f>
        <v>19249 Odaci Kadir</v>
      </c>
      <c r="C446" t="str">
        <f>VLOOKUP(Tabel1[[#This Row],[personeelsnr]],'data hastus'!$A:$C,2,0)</f>
        <v>Odaci</v>
      </c>
      <c r="D446" t="str">
        <f>VLOOKUP(Tabel1[[#This Row],[personeelsnr]],'data hastus'!$A:$C,3,0)</f>
        <v>Kadir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_xlfn.CONCAT(Tabel1[[#This Row],[personeelsnr]]," ",C447," ",D447)</f>
        <v>15676 Mestdagh Tony</v>
      </c>
      <c r="C447" t="str">
        <f>VLOOKUP(Tabel1[[#This Row],[personeelsnr]],'data hastus'!$A:$C,2,0)</f>
        <v>Mestdagh</v>
      </c>
      <c r="D447" t="str">
        <f>VLOOKUP(Tabel1[[#This Row],[personeelsnr]],'data hastus'!$A:$C,3,0)</f>
        <v>Tony</v>
      </c>
      <c r="E447" t="str">
        <f>VLOOKUP(Tabel1[[#This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_xlfn.CONCAT(Tabel1[[#This Row],[personeelsnr]]," ",C448," ",D448)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_xlfn.CONCAT(Tabel1[[#This Row],[personeelsnr]]," ",C449," ",D449)</f>
        <v>39184 Shinwari Yasin</v>
      </c>
      <c r="C449" t="str">
        <f>VLOOKUP(Tabel1[[#This Row],[personeelsnr]],'data hastus'!$A:$C,2,0)</f>
        <v>Shinwari</v>
      </c>
      <c r="D449" t="str">
        <f>VLOOKUP(Tabel1[[#This Row],[personeelsnr]],'data hastus'!$A:$C,3,0)</f>
        <v>Yasin</v>
      </c>
      <c r="E449" t="str">
        <f>VLOOKUP(Tabel1[[#This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_xlfn.CONCAT(Tabel1[[#This Row],[personeelsnr]]," ",C450," ",D450)</f>
        <v>16895 Van Lauwe Freddy</v>
      </c>
      <c r="C450" t="str">
        <f>VLOOKUP(Tabel1[[#This Row],[personeelsnr]],'data hastus'!$A:$C,2,0)</f>
        <v>Van Lauwe</v>
      </c>
      <c r="D450" t="str">
        <f>VLOOKUP(Tabel1[[#This Row],[personeelsnr]],'data hastus'!$A:$C,3,0)</f>
        <v>Freddy</v>
      </c>
      <c r="E450" t="str">
        <f>VLOOKUP(Tabel1[[#This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_xlfn.CONCAT(Tabel1[[#This Row],[personeelsnr]]," ",C451," ",D451)</f>
        <v>35430 Vlaminck Dirk</v>
      </c>
      <c r="C451" t="str">
        <f>VLOOKUP(Tabel1[[#This Row],[personeelsnr]],'data hastus'!$A:$C,2,0)</f>
        <v>Vlaminck</v>
      </c>
      <c r="D451" t="str">
        <f>VLOOKUP(Tabel1[[#This Row],[personeelsnr]],'data hastus'!$A:$C,3,0)</f>
        <v>Dirk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_xlfn.CONCAT(Tabel1[[#This Row],[personeelsnr]]," ",C452," ",D452)</f>
        <v>31111 Bonne Niko</v>
      </c>
      <c r="C452" t="str">
        <f>VLOOKUP(Tabel1[[#This Row],[personeelsnr]],'data hastus'!$A:$C,2,0)</f>
        <v>Bonne</v>
      </c>
      <c r="D452" t="str">
        <f>VLOOKUP(Tabel1[[#This Row],[personeelsnr]],'data hastus'!$A:$C,3,0)</f>
        <v>Niko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_xlfn.CONCAT(Tabel1[[#This Row],[personeelsnr]]," ",C453," ",D453)</f>
        <v>36228 Kilinc Atilay</v>
      </c>
      <c r="C453" t="str">
        <f>VLOOKUP(Tabel1[[#This Row],[personeelsnr]],'data hastus'!$A:$C,2,0)</f>
        <v>Kilinc</v>
      </c>
      <c r="D453" t="str">
        <f>VLOOKUP(Tabel1[[#This Row],[personeelsnr]],'data hastus'!$A:$C,3,0)</f>
        <v>Atilay</v>
      </c>
      <c r="E453" t="str">
        <f>VLOOKUP(Tabel1[[#This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_xlfn.CONCAT(Tabel1[[#This Row],[personeelsnr]]," ",C454," ",D454)</f>
        <v>40200 Shahriyari Khalil</v>
      </c>
      <c r="C454" t="str">
        <f>VLOOKUP(Tabel1[[#This Row],[personeelsnr]],'data hastus'!$A:$C,2,0)</f>
        <v>Shahriyari</v>
      </c>
      <c r="D454" t="str">
        <f>VLOOKUP(Tabel1[[#This Row],[personeelsnr]],'data hastus'!$A:$C,3,0)</f>
        <v>Khalil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_xlfn.CONCAT(Tabel1[[#This Row],[personeelsnr]]," ",C455," ",D455)</f>
        <v>35463 Vandaele Tom</v>
      </c>
      <c r="C455" t="str">
        <f>VLOOKUP(Tabel1[[#This Row],[personeelsnr]],'data hastus'!$A:$C,2,0)</f>
        <v>Vandaele</v>
      </c>
      <c r="D455" t="str">
        <f>VLOOKUP(Tabel1[[#This Row],[personeelsnr]],'data hastus'!$A:$C,3,0)</f>
        <v>Tom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_xlfn.CONCAT(Tabel1[[#This Row],[personeelsnr]]," ",C456," ",D456)</f>
        <v>29821 Mehman Doust Farhad</v>
      </c>
      <c r="C456" t="str">
        <f>VLOOKUP(Tabel1[[#This Row],[personeelsnr]],'data hastus'!$A:$C,2,0)</f>
        <v>Mehman Doust</v>
      </c>
      <c r="D456" t="str">
        <f>VLOOKUP(Tabel1[[#This Row],[personeelsnr]],'data hastus'!$A:$C,3,0)</f>
        <v>Farhad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_xlfn.CONCAT(Tabel1[[#This Row],[personeelsnr]]," ",C457," ",D457)</f>
        <v>30967 Taser Fatih</v>
      </c>
      <c r="C457" t="str">
        <f>VLOOKUP(Tabel1[[#This Row],[personeelsnr]],'data hastus'!$A:$C,2,0)</f>
        <v>Taser</v>
      </c>
      <c r="D457" t="str">
        <f>VLOOKUP(Tabel1[[#This Row],[personeelsnr]],'data hastus'!$A:$C,3,0)</f>
        <v>Fatih</v>
      </c>
      <c r="E457" t="str">
        <f>VLOOKUP(Tabel1[[#This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_xlfn.CONCAT(Tabel1[[#This Row],[personeelsnr]]," ",C458," ",D458)</f>
        <v>31635 Vaeyens Midas</v>
      </c>
      <c r="C458" t="str">
        <f>VLOOKUP(Tabel1[[#This Row],[personeelsnr]],'data hastus'!$A:$C,2,0)</f>
        <v>Vaeyens</v>
      </c>
      <c r="D458" t="str">
        <f>VLOOKUP(Tabel1[[#This Row],[personeelsnr]],'data hastus'!$A:$C,3,0)</f>
        <v>Midas</v>
      </c>
      <c r="E458" t="str">
        <f>VLOOKUP(Tabel1[[#This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_xlfn.CONCAT(Tabel1[[#This Row],[personeelsnr]]," ",C459," ",D459)</f>
        <v>34445 Wulleput Illya</v>
      </c>
      <c r="C459" t="str">
        <f>VLOOKUP(Tabel1[[#This Row],[personeelsnr]],'data hastus'!$A:$C,2,0)</f>
        <v>Wulleput</v>
      </c>
      <c r="D459" t="str">
        <f>VLOOKUP(Tabel1[[#This Row],[personeelsnr]],'data hastus'!$A:$C,3,0)</f>
        <v>Illya</v>
      </c>
      <c r="E459" t="str">
        <f>VLOOKUP(Tabel1[[#This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_xlfn.CONCAT(Tabel1[[#This Row],[personeelsnr]]," ",C460," ",D460)</f>
        <v>32951 De Bruyne Sonia</v>
      </c>
      <c r="C460" t="str">
        <f>VLOOKUP(Tabel1[[#This Row],[personeelsnr]],'data hastus'!$A:$C,2,0)</f>
        <v>De Bruyne</v>
      </c>
      <c r="D460" t="str">
        <f>VLOOKUP(Tabel1[[#This Row],[personeelsnr]],'data hastus'!$A:$C,3,0)</f>
        <v>Sonia</v>
      </c>
      <c r="E460" t="str">
        <f>VLOOKUP(Tabel1[[#This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_xlfn.CONCAT(Tabel1[[#This Row],[personeelsnr]]," ",C461," ",D461)</f>
        <v>34445 Wulleput Illya</v>
      </c>
      <c r="C461" t="str">
        <f>VLOOKUP(Tabel1[[#This Row],[personeelsnr]],'data hastus'!$A:$C,2,0)</f>
        <v>Wulleput</v>
      </c>
      <c r="D461" t="str">
        <f>VLOOKUP(Tabel1[[#This Row],[personeelsnr]],'data hastus'!$A:$C,3,0)</f>
        <v>Illya</v>
      </c>
      <c r="E461" t="str">
        <f>VLOOKUP(Tabel1[[#This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_xlfn.CONCAT(Tabel1[[#This Row],[personeelsnr]]," ",C462," ",D462)</f>
        <v>40138 Moerman Tjimmy</v>
      </c>
      <c r="C462" t="str">
        <f>VLOOKUP(Tabel1[[#This Row],[personeelsnr]],'data hastus'!$A:$C,2,0)</f>
        <v>Moerman</v>
      </c>
      <c r="D462" t="str">
        <f>VLOOKUP(Tabel1[[#This Row],[personeelsnr]],'data hastus'!$A:$C,3,0)</f>
        <v>Tjimmy</v>
      </c>
      <c r="E462" t="str">
        <f>VLOOKUP(Tabel1[[#This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_xlfn.CONCAT(Tabel1[[#This Row],[personeelsnr]]," ",C463," ",D463)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_xlfn.CONCAT(Tabel1[[#This Row],[personeelsnr]]," ",C464," ",D464)</f>
        <v>39930 Mirazai Rahmatullah</v>
      </c>
      <c r="C464" t="str">
        <f>VLOOKUP(Tabel1[[#This Row],[personeelsnr]],'data hastus'!$A:$C,2,0)</f>
        <v>Mirazai</v>
      </c>
      <c r="D464" t="str">
        <f>VLOOKUP(Tabel1[[#This Row],[personeelsnr]],'data hastus'!$A:$C,3,0)</f>
        <v>Rahmatullah</v>
      </c>
      <c r="E464" t="str">
        <f>VLOOKUP(Tabel1[[#This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_xlfn.CONCAT(Tabel1[[#This Row],[personeelsnr]]," ",C465," ",D465)</f>
        <v>40134 Cardon Sharon</v>
      </c>
      <c r="C465" t="str">
        <f>VLOOKUP(Tabel1[[#This Row],[personeelsnr]],'data hastus'!$A:$C,2,0)</f>
        <v>Cardon</v>
      </c>
      <c r="D465" t="str">
        <f>VLOOKUP(Tabel1[[#This Row],[personeelsnr]],'data hastus'!$A:$C,3,0)</f>
        <v>Sharon</v>
      </c>
      <c r="E465" t="str">
        <f>VLOOKUP(Tabel1[[#This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_xlfn.CONCAT(Tabel1[[#This Row],[personeelsnr]]," ",C466," ",D466)</f>
        <v>40859 Yagoub Abdelali</v>
      </c>
      <c r="C466" t="str">
        <f>VLOOKUP(Tabel1[[#This Row],[personeelsnr]],'data hastus'!$A:$C,2,0)</f>
        <v>Yagoub</v>
      </c>
      <c r="D466" t="str">
        <f>VLOOKUP(Tabel1[[#This Row],[personeelsnr]],'data hastus'!$A:$C,3,0)</f>
        <v>Abdelali</v>
      </c>
      <c r="E466" t="str">
        <f>VLOOKUP(Tabel1[[#This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_xlfn.CONCAT(Tabel1[[#This Row],[personeelsnr]]," ",C467," ",D467)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_xlfn.CONCAT(Tabel1[[#This Row],[personeelsnr]]," ",C468," ",D468)</f>
        <v>41092 De Keyser Dorien</v>
      </c>
      <c r="C468" t="str">
        <f>VLOOKUP(Tabel1[[#This Row],[personeelsnr]],'data hastus'!$A:$C,2,0)</f>
        <v>De Keyser</v>
      </c>
      <c r="D468" t="str">
        <f>VLOOKUP(Tabel1[[#This Row],[personeelsnr]],'data hastus'!$A:$C,3,0)</f>
        <v>Dorien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_xlfn.CONCAT(Tabel1[[#This Row],[personeelsnr]]," ",C469," ",D469)</f>
        <v>40134 Cardon Sharon</v>
      </c>
      <c r="C469" t="str">
        <f>VLOOKUP(Tabel1[[#This Row],[personeelsnr]],'data hastus'!$A:$C,2,0)</f>
        <v>Cardon</v>
      </c>
      <c r="D469" t="str">
        <f>VLOOKUP(Tabel1[[#This Row],[personeelsnr]],'data hastus'!$A:$C,3,0)</f>
        <v>Sharon</v>
      </c>
      <c r="E469" t="str">
        <f>VLOOKUP(Tabel1[[#This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_xlfn.CONCAT(Tabel1[[#This Row],[personeelsnr]]," ",C470," ",D470)</f>
        <v>12684 Van Den Bossche Martine</v>
      </c>
      <c r="C470" t="str">
        <f>VLOOKUP(Tabel1[[#This Row],[personeelsnr]],'data hastus'!$A:$C,2,0)</f>
        <v>Van Den Bossche</v>
      </c>
      <c r="D470" t="str">
        <f>VLOOKUP(Tabel1[[#This Row],[personeelsnr]],'data hastus'!$A:$C,3,0)</f>
        <v>Martine</v>
      </c>
      <c r="E470" t="str">
        <f>VLOOKUP(Tabel1[[#This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_xlfn.CONCAT(Tabel1[[#This Row],[personeelsnr]]," ",C471," ",D471)</f>
        <v>33965 Van de Gehuchte Gilles</v>
      </c>
      <c r="C471" t="str">
        <f>VLOOKUP(Tabel1[[#This Row],[personeelsnr]],'data hastus'!$A:$C,2,0)</f>
        <v>Van de Gehuchte</v>
      </c>
      <c r="D471" t="str">
        <f>VLOOKUP(Tabel1[[#This Row],[personeelsnr]],'data hastus'!$A:$C,3,0)</f>
        <v>Gilles</v>
      </c>
      <c r="E471" t="str">
        <f>VLOOKUP(Tabel1[[#This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_xlfn.CONCAT(Tabel1[[#This Row],[personeelsnr]]," ",C472," ",D472)</f>
        <v>13020 Boutiebi Ahmed</v>
      </c>
      <c r="C472" t="str">
        <f>VLOOKUP(Tabel1[[#This Row],[personeelsnr]],'data hastus'!$A:$C,2,0)</f>
        <v>Boutiebi</v>
      </c>
      <c r="D472" t="str">
        <f>VLOOKUP(Tabel1[[#This Row],[personeelsnr]],'data hastus'!$A:$C,3,0)</f>
        <v>Ahmed</v>
      </c>
      <c r="E472" t="str">
        <f>VLOOKUP(Tabel1[[#This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SUM(Tabel1[[#This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_xlfn.CONCAT(Tabel1[[#This Row],[personeelsnr]]," ",C473," ",D473)</f>
        <v>36438 Agil Birol</v>
      </c>
      <c r="C473" t="str">
        <f>VLOOKUP(Tabel1[[#This Row],[personeelsnr]],'data hastus'!$A:$C,2,0)</f>
        <v>Agil</v>
      </c>
      <c r="D473" t="str">
        <f>VLOOKUP(Tabel1[[#This Row],[personeelsnr]],'data hastus'!$A:$C,3,0)</f>
        <v>Birol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_xlfn.CONCAT(Tabel1[[#This Row],[personeelsnr]]," ",C474," ",D474)</f>
        <v>19917 Vandevyvere Frank</v>
      </c>
      <c r="C474" t="str">
        <f>VLOOKUP(Tabel1[[#This Row],[personeelsnr]],'data hastus'!$A:$C,2,0)</f>
        <v>Vandevyvere</v>
      </c>
      <c r="D474" t="str">
        <f>VLOOKUP(Tabel1[[#This Row],[personeelsnr]],'data hastus'!$A:$C,3,0)</f>
        <v>Frank</v>
      </c>
      <c r="E474" t="str">
        <f>VLOOKUP(Tabel1[[#This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_xlfn.CONCAT(Tabel1[[#This Row],[personeelsnr]]," ",C475," ",D475)</f>
        <v>37254 Coulon Rayan</v>
      </c>
      <c r="C475" t="str">
        <f>VLOOKUP(Tabel1[[#This Row],[personeelsnr]],'data hastus'!$A:$C,2,0)</f>
        <v>Coulon</v>
      </c>
      <c r="D475" t="str">
        <f>VLOOKUP(Tabel1[[#This Row],[personeelsnr]],'data hastus'!$A:$C,3,0)</f>
        <v>Rayan</v>
      </c>
      <c r="E475" t="str">
        <f>VLOOKUP(Tabel1[[#This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_xlfn.CONCAT(Tabel1[[#This Row],[personeelsnr]]," ",C476," ",D476)</f>
        <v>8394 Smet Antoon</v>
      </c>
      <c r="C476" t="str">
        <f>VLOOKUP(Tabel1[[#This Row],[personeelsnr]],'data hastus'!$A:$C,2,0)</f>
        <v>Smet</v>
      </c>
      <c r="D476" t="str">
        <f>VLOOKUP(Tabel1[[#This Row],[personeelsnr]],'data hastus'!$A:$C,3,0)</f>
        <v>Antoon</v>
      </c>
      <c r="E476" t="str">
        <f>VLOOKUP(Tabel1[[#This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_xlfn.CONCAT(Tabel1[[#This Row],[personeelsnr]]," ",C477," ",D477)</f>
        <v>18987 De Geyter Dolly</v>
      </c>
      <c r="C477" t="str">
        <f>VLOOKUP(Tabel1[[#This Row],[personeelsnr]],'data hastus'!$A:$C,2,0)</f>
        <v>De Geyter</v>
      </c>
      <c r="D477" t="str">
        <f>VLOOKUP(Tabel1[[#This Row],[personeelsnr]],'data hastus'!$A:$C,3,0)</f>
        <v>Dolly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_xlfn.CONCAT(Tabel1[[#This Row],[personeelsnr]]," ",C478," ",D478)</f>
        <v>32387 Meersman Herman</v>
      </c>
      <c r="C478" t="str">
        <f>VLOOKUP(Tabel1[[#This Row],[personeelsnr]],'data hastus'!$A:$C,2,0)</f>
        <v>Meersman</v>
      </c>
      <c r="D478" t="str">
        <f>VLOOKUP(Tabel1[[#This Row],[personeelsnr]],'data hastus'!$A:$C,3,0)</f>
        <v>Herman</v>
      </c>
      <c r="E478" t="str">
        <f>VLOOKUP(Tabel1[[#This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_xlfn.CONCAT(Tabel1[[#This Row],[personeelsnr]]," ",C479," ",D479)</f>
        <v>40744 Gözüküçük Ugur</v>
      </c>
      <c r="C479" t="str">
        <f>VLOOKUP(Tabel1[[#This Row],[personeelsnr]],'data hastus'!$A:$C,2,0)</f>
        <v>Gözüküçük</v>
      </c>
      <c r="D479" t="str">
        <f>VLOOKUP(Tabel1[[#This Row],[personeelsnr]],'data hastus'!$A:$C,3,0)</f>
        <v>Ugur</v>
      </c>
      <c r="E479" t="str">
        <f>VLOOKUP(Tabel1[[#This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_xlfn.CONCAT(Tabel1[[#This Row],[personeelsnr]]," ",C480," ",D480)</f>
        <v>35379 Engels Sam</v>
      </c>
      <c r="C480" t="str">
        <f>VLOOKUP(Tabel1[[#This Row],[personeelsnr]],'data hastus'!$A:$C,2,0)</f>
        <v>Engels</v>
      </c>
      <c r="D480" t="str">
        <f>VLOOKUP(Tabel1[[#This Row],[personeelsnr]],'data hastus'!$A:$C,3,0)</f>
        <v>Sam</v>
      </c>
      <c r="E480" t="str">
        <f>VLOOKUP(Tabel1[[#This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_xlfn.CONCAT(Tabel1[[#This Row],[personeelsnr]]," ",C481," ",D481)</f>
        <v>37794 Demirkaya Kâzim</v>
      </c>
      <c r="C481" t="str">
        <f>VLOOKUP(Tabel1[[#This Row],[personeelsnr]],'data hastus'!$A:$C,2,0)</f>
        <v>Demirkaya</v>
      </c>
      <c r="D481" t="str">
        <f>VLOOKUP(Tabel1[[#This Row],[personeelsnr]],'data hastus'!$A:$C,3,0)</f>
        <v>Kâzim</v>
      </c>
      <c r="E481" t="str">
        <f>VLOOKUP(Tabel1[[#This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_xlfn.CONCAT(Tabel1[[#This Row],[personeelsnr]]," ",C482," ",D482)</f>
        <v>40294 Khder Aram</v>
      </c>
      <c r="C482" t="str">
        <f>VLOOKUP(Tabel1[[#This Row],[personeelsnr]],'data hastus'!$A:$C,2,0)</f>
        <v>Khder</v>
      </c>
      <c r="D482" t="str">
        <f>VLOOKUP(Tabel1[[#This Row],[personeelsnr]],'data hastus'!$A:$C,3,0)</f>
        <v>Aram</v>
      </c>
      <c r="E482" t="str">
        <f>VLOOKUP(Tabel1[[#This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_xlfn.CONCAT(Tabel1[[#This Row],[personeelsnr]]," ",C483," ",D483)</f>
        <v>37662 Van den Meerssche Steven</v>
      </c>
      <c r="C483" t="str">
        <f>VLOOKUP(Tabel1[[#This Row],[personeelsnr]],'data hastus'!$A:$C,2,0)</f>
        <v>Van den Meerssche</v>
      </c>
      <c r="D483" t="str">
        <f>VLOOKUP(Tabel1[[#This Row],[personeelsnr]],'data hastus'!$A:$C,3,0)</f>
        <v>Steven</v>
      </c>
      <c r="E483" t="str">
        <f>VLOOKUP(Tabel1[[#This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_xlfn.CONCAT(Tabel1[[#This Row],[personeelsnr]]," ",C484," ",D484)</f>
        <v>32542 Vanderstock Kenny</v>
      </c>
      <c r="C484" t="str">
        <f>VLOOKUP(Tabel1[[#This Row],[personeelsnr]],'data hastus'!$A:$C,2,0)</f>
        <v>Vanderstock</v>
      </c>
      <c r="D484" t="str">
        <f>VLOOKUP(Tabel1[[#This Row],[personeelsnr]],'data hastus'!$A:$C,3,0)</f>
        <v>Kenny</v>
      </c>
      <c r="E484" t="str">
        <f>VLOOKUP(Tabel1[[#This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_xlfn.CONCAT(Tabel1[[#This Row],[personeelsnr]]," ",C485," ",D485)</f>
        <v>33450 Verroeye Chris</v>
      </c>
      <c r="C485" t="str">
        <f>VLOOKUP(Tabel1[[#This Row],[personeelsnr]],'data hastus'!$A:$C,2,0)</f>
        <v>Verroeye</v>
      </c>
      <c r="D485" t="str">
        <f>VLOOKUP(Tabel1[[#This Row],[personeelsnr]],'data hastus'!$A:$C,3,0)</f>
        <v>Chris</v>
      </c>
      <c r="E485" t="str">
        <f>VLOOKUP(Tabel1[[#This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_xlfn.CONCAT(Tabel1[[#This Row],[personeelsnr]]," ",C486," ",D486)</f>
        <v>17555 DeBisschop Wendy</v>
      </c>
      <c r="C486" t="str">
        <f>VLOOKUP(Tabel1[[#This Row],[personeelsnr]],'data hastus'!$A:$C,2,0)</f>
        <v>DeBisschop</v>
      </c>
      <c r="D486" t="str">
        <f>VLOOKUP(Tabel1[[#This Row],[personeelsnr]],'data hastus'!$A:$C,3,0)</f>
        <v>Wendy</v>
      </c>
      <c r="E486" t="str">
        <f>VLOOKUP(Tabel1[[#This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_xlfn.CONCAT(Tabel1[[#This Row],[personeelsnr]]," ",C487," ",D487)</f>
        <v>39529 Desmet Patricia</v>
      </c>
      <c r="C487" t="str">
        <f>VLOOKUP(Tabel1[[#This Row],[personeelsnr]],'data hastus'!$A:$C,2,0)</f>
        <v>Desmet</v>
      </c>
      <c r="D487" t="str">
        <f>VLOOKUP(Tabel1[[#This Row],[personeelsnr]],'data hastus'!$A:$C,3,0)</f>
        <v>Patricia</v>
      </c>
      <c r="E487" t="str">
        <f>VLOOKUP(Tabel1[[#This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_xlfn.CONCAT(Tabel1[[#This Row],[personeelsnr]]," ",C488," ",D488)</f>
        <v>15628 Wulfranck Dominique</v>
      </c>
      <c r="C488" t="str">
        <f>VLOOKUP(Tabel1[[#This Row],[personeelsnr]],'data hastus'!$A:$C,2,0)</f>
        <v>Wulfranck</v>
      </c>
      <c r="D488" t="str">
        <f>VLOOKUP(Tabel1[[#This Row],[personeelsnr]],'data hastus'!$A:$C,3,0)</f>
        <v>Dominique</v>
      </c>
      <c r="E488" t="str">
        <f>VLOOKUP(Tabel1[[#This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_xlfn.CONCAT(Tabel1[[#This Row],[personeelsnr]]," ",C489," ",D489)</f>
        <v>40652 Van Damme Gilyann</v>
      </c>
      <c r="C489" t="str">
        <f>VLOOKUP(Tabel1[[#This Row],[personeelsnr]],'data hastus'!$A:$C,2,0)</f>
        <v>Van Damme</v>
      </c>
      <c r="D489" t="str">
        <f>VLOOKUP(Tabel1[[#This Row],[personeelsnr]],'data hastus'!$A:$C,3,0)</f>
        <v>Gilyann</v>
      </c>
      <c r="E489" t="str">
        <f>VLOOKUP(Tabel1[[#This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_xlfn.CONCAT(Tabel1[[#This Row],[personeelsnr]]," ",C490," ",D490)</f>
        <v>22767 Osseel Johan</v>
      </c>
      <c r="C490" t="str">
        <f>VLOOKUP(Tabel1[[#This Row],[personeelsnr]],'data hastus'!$A:$C,2,0)</f>
        <v>Osseel</v>
      </c>
      <c r="D490" t="str">
        <f>VLOOKUP(Tabel1[[#This Row],[personeelsnr]],'data hastus'!$A:$C,3,0)</f>
        <v>Johan</v>
      </c>
      <c r="E490" t="str">
        <f>VLOOKUP(Tabel1[[#This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_xlfn.CONCAT(Tabel1[[#This Row],[personeelsnr]]," ",C491," ",D491)</f>
        <v>29477 De Vuyst Boyke</v>
      </c>
      <c r="C491" t="str">
        <f>VLOOKUP(Tabel1[[#This Row],[personeelsnr]],'data hastus'!$A:$C,2,0)</f>
        <v>De Vuyst</v>
      </c>
      <c r="D491" t="str">
        <f>VLOOKUP(Tabel1[[#This Row],[personeelsnr]],'data hastus'!$A:$C,3,0)</f>
        <v>Boyke</v>
      </c>
      <c r="E491" t="str">
        <f>VLOOKUP(Tabel1[[#This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_xlfn.CONCAT(Tabel1[[#This Row],[personeelsnr]]," ",C492," ",D492)</f>
        <v>16897 VandenDaele Andy</v>
      </c>
      <c r="C492" t="str">
        <f>VLOOKUP(Tabel1[[#This Row],[personeelsnr]],'data hastus'!$A:$C,2,0)</f>
        <v>VandenDaele</v>
      </c>
      <c r="D492" t="str">
        <f>VLOOKUP(Tabel1[[#This Row],[personeelsnr]],'data hastus'!$A:$C,3,0)</f>
        <v>Andy</v>
      </c>
      <c r="E492" t="str">
        <f>VLOOKUP(Tabel1[[#This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_xlfn.CONCAT(Tabel1[[#This Row],[personeelsnr]]," ",C493," ",D493)</f>
        <v>18173 De Vos Günter</v>
      </c>
      <c r="C493" t="str">
        <f>VLOOKUP(Tabel1[[#This Row],[personeelsnr]],'data hastus'!$A:$C,2,0)</f>
        <v>De Vos</v>
      </c>
      <c r="D493" t="str">
        <f>VLOOKUP(Tabel1[[#This Row],[personeelsnr]],'data hastus'!$A:$C,3,0)</f>
        <v>Günter</v>
      </c>
      <c r="E493" t="str">
        <f>VLOOKUP(Tabel1[[#This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_xlfn.CONCAT(Tabel1[[#This Row],[personeelsnr]]," ",C494," ",D494)</f>
        <v>41296 Abulehia Oday</v>
      </c>
      <c r="C494" t="str">
        <f>VLOOKUP(Tabel1[[#This Row],[personeelsnr]],'data hastus'!$A:$C,2,0)</f>
        <v>Abulehia</v>
      </c>
      <c r="D494" t="str">
        <f>VLOOKUP(Tabel1[[#This Row],[personeelsnr]],'data hastus'!$A:$C,3,0)</f>
        <v>Oday</v>
      </c>
      <c r="E494" t="str">
        <f>VLOOKUP(Tabel1[[#This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_xlfn.CONCAT(Tabel1[[#This Row],[personeelsnr]]," ",C495," ",D495)</f>
        <v>36513 Sogut Rauf</v>
      </c>
      <c r="C495" t="str">
        <f>VLOOKUP(Tabel1[[#This Row],[personeelsnr]],'data hastus'!$A:$C,2,0)</f>
        <v>Sogut</v>
      </c>
      <c r="D495" t="str">
        <f>VLOOKUP(Tabel1[[#This Row],[personeelsnr]],'data hastus'!$A:$C,3,0)</f>
        <v>Rauf</v>
      </c>
      <c r="E495" t="str">
        <f>VLOOKUP(Tabel1[[#This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_xlfn.CONCAT(Tabel1[[#This Row],[personeelsnr]]," ",C496," ",D496)</f>
        <v>33400 Petit Cynthia</v>
      </c>
      <c r="C496" t="str">
        <f>VLOOKUP(Tabel1[[#This Row],[personeelsnr]],'data hastus'!$A:$C,2,0)</f>
        <v>Petit</v>
      </c>
      <c r="D496" t="str">
        <f>VLOOKUP(Tabel1[[#This Row],[personeelsnr]],'data hastus'!$A:$C,3,0)</f>
        <v>Cynthia</v>
      </c>
      <c r="E496" t="str">
        <f>VLOOKUP(Tabel1[[#This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_xlfn.CONCAT(Tabel1[[#This Row],[personeelsnr]]," ",C497," ",D497)</f>
        <v>24367 Tayefeh Arbab Ali</v>
      </c>
      <c r="C497" t="str">
        <f>VLOOKUP(Tabel1[[#This Row],[personeelsnr]],'data hastus'!$A:$C,2,0)</f>
        <v>Tayefeh Arbab</v>
      </c>
      <c r="D497" t="str">
        <f>VLOOKUP(Tabel1[[#This Row],[personeelsnr]],'data hastus'!$A:$C,3,0)</f>
        <v>Ali</v>
      </c>
      <c r="E497" t="str">
        <f>VLOOKUP(Tabel1[[#This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_xlfn.CONCAT(Tabel1[[#This Row],[personeelsnr]]," ",C498," ",D498)</f>
        <v>40005 Bernaerts Philip</v>
      </c>
      <c r="C498" t="str">
        <f>VLOOKUP(Tabel1[[#This Row],[personeelsnr]],'data hastus'!$A:$C,2,0)</f>
        <v>Bernaerts</v>
      </c>
      <c r="D498" t="str">
        <f>VLOOKUP(Tabel1[[#This Row],[personeelsnr]],'data hastus'!$A:$C,3,0)</f>
        <v>Philip</v>
      </c>
      <c r="E498" t="str">
        <f>VLOOKUP(Tabel1[[#This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_xlfn.CONCAT(Tabel1[[#This Row],[personeelsnr]]," ",C499," ",D499)</f>
        <v>40652 Van Damme Gilyann</v>
      </c>
      <c r="C499" t="str">
        <f>VLOOKUP(Tabel1[[#This Row],[personeelsnr]],'data hastus'!$A:$C,2,0)</f>
        <v>Van Damme</v>
      </c>
      <c r="D499" t="str">
        <f>VLOOKUP(Tabel1[[#This Row],[personeelsnr]],'data hastus'!$A:$C,3,0)</f>
        <v>Gilyann</v>
      </c>
      <c r="E499" t="str">
        <f>VLOOKUP(Tabel1[[#This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_xlfn.CONCAT(Tabel1[[#This Row],[personeelsnr]]," ",C500," ",D500)</f>
        <v>26847 De Meester David</v>
      </c>
      <c r="C500" t="str">
        <f>VLOOKUP(Tabel1[[#This Row],[personeelsnr]],'data hastus'!$A:$C,2,0)</f>
        <v>De Meester</v>
      </c>
      <c r="D500" t="str">
        <f>VLOOKUP(Tabel1[[#This Row],[personeelsnr]],'data hastus'!$A:$C,3,0)</f>
        <v>David</v>
      </c>
      <c r="E500" t="str">
        <f>VLOOKUP(Tabel1[[#This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_xlfn.CONCAT(Tabel1[[#This Row],[personeelsnr]]," ",C501," ",D501)</f>
        <v>38938 Sedighi Hamid</v>
      </c>
      <c r="C501" t="str">
        <f>VLOOKUP(Tabel1[[#This Row],[personeelsnr]],'data hastus'!$A:$C,2,0)</f>
        <v>Sedighi</v>
      </c>
      <c r="D501" t="str">
        <f>VLOOKUP(Tabel1[[#This Row],[personeelsnr]],'data hastus'!$A:$C,3,0)</f>
        <v>Hamid</v>
      </c>
      <c r="E501" t="str">
        <f>VLOOKUP(Tabel1[[#This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_xlfn.CONCAT(Tabel1[[#This Row],[personeelsnr]]," ",C502," ",D502)</f>
        <v>40414 Ennakaba Khaoula</v>
      </c>
      <c r="C502" t="str">
        <f>VLOOKUP(Tabel1[[#This Row],[personeelsnr]],'data hastus'!$A:$C,2,0)</f>
        <v>Ennakaba</v>
      </c>
      <c r="D502" t="str">
        <f>VLOOKUP(Tabel1[[#This Row],[personeelsnr]],'data hastus'!$A:$C,3,0)</f>
        <v>Khaoula</v>
      </c>
      <c r="E502" t="str">
        <f>VLOOKUP(Tabel1[[#This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_xlfn.CONCAT(Tabel1[[#This Row],[personeelsnr]]," ",C503," ",D503)</f>
        <v>21812 Ettaibi Moulay Abdenâzih</v>
      </c>
      <c r="C503" t="str">
        <f>VLOOKUP(Tabel1[[#This Row],[personeelsnr]],'data hastus'!$A:$C,2,0)</f>
        <v>Ettaibi</v>
      </c>
      <c r="D503" t="str">
        <f>VLOOKUP(Tabel1[[#This Row],[personeelsnr]],'data hastus'!$A:$C,3,0)</f>
        <v>Moulay Abdenâzih</v>
      </c>
      <c r="E503" t="str">
        <f>VLOOKUP(Tabel1[[#This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_xlfn.CONCAT(Tabel1[[#This Row],[personeelsnr]]," ",C505," ",D505)</f>
        <v>38938 Sedighi Hamid</v>
      </c>
      <c r="C505" t="str">
        <f>VLOOKUP(Tabel1[[#This Row],[personeelsnr]],'data hastus'!$A:$C,2,0)</f>
        <v>Sedighi</v>
      </c>
      <c r="D505" t="str">
        <f>VLOOKUP(Tabel1[[#This Row],[personeelsnr]],'data hastus'!$A:$C,3,0)</f>
        <v>Hamid</v>
      </c>
      <c r="E505" t="str">
        <f>VLOOKUP(Tabel1[[#This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_xlfn.CONCAT(Tabel1[[#This Row],[personeelsnr]]," ",C506," ",D506)</f>
        <v>36358 De Nys Elise</v>
      </c>
      <c r="C506" t="str">
        <f>VLOOKUP(Tabel1[[#This Row],[personeelsnr]],'data hastus'!$A:$C,2,0)</f>
        <v>De Nys</v>
      </c>
      <c r="D506" t="str">
        <f>VLOOKUP(Tabel1[[#This Row],[personeelsnr]],'data hastus'!$A:$C,3,0)</f>
        <v>Elise</v>
      </c>
      <c r="E506" t="str">
        <f>VLOOKUP(Tabel1[[#This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_xlfn.CONCAT(Tabel1[[#This Row],[personeelsnr]]," ",C507," ",D507)</f>
        <v>4419 Maelbrancke Eddy</v>
      </c>
      <c r="C507" t="str">
        <f>VLOOKUP(Tabel1[[#This Row],[personeelsnr]],'data hastus'!$A:$C,2,0)</f>
        <v>Maelbrancke</v>
      </c>
      <c r="D507" t="str">
        <f>VLOOKUP(Tabel1[[#This Row],[personeelsnr]],'data hastus'!$A:$C,3,0)</f>
        <v>Eddy</v>
      </c>
      <c r="E507" t="str">
        <f>VLOOKUP(Tabel1[[#This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_xlfn.CONCAT(Tabel1[[#This Row],[personeelsnr]]," ",C508," ",D508)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_xlfn.CONCAT(Tabel1[[#This Row],[personeelsnr]]," ",C509," ",D509)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_xlfn.CONCAT(Tabel1[[#This Row],[personeelsnr]]," ",C511," ",D511)</f>
        <v>16546 Baert Rosita</v>
      </c>
      <c r="C511" t="str">
        <f>VLOOKUP(Tabel1[[#This Row],[personeelsnr]],'data hastus'!$A:$C,2,0)</f>
        <v>Baert</v>
      </c>
      <c r="D511" t="str">
        <f>VLOOKUP(Tabel1[[#This Row],[personeelsnr]],'data hastus'!$A:$C,3,0)</f>
        <v>Rosita</v>
      </c>
      <c r="E511" t="str">
        <f>VLOOKUP(Tabel1[[#This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_xlfn.CONCAT(Tabel1[[#This Row],[personeelsnr]]," ",C512," ",D512)</f>
        <v>39859 Costers Kelly</v>
      </c>
      <c r="C512" t="str">
        <f>VLOOKUP(Tabel1[[#This Row],[personeelsnr]],'data hastus'!$A:$C,2,0)</f>
        <v>Costers</v>
      </c>
      <c r="D512" t="str">
        <f>VLOOKUP(Tabel1[[#This Row],[personeelsnr]],'data hastus'!$A:$C,3,0)</f>
        <v>Kelly</v>
      </c>
      <c r="E512" t="str">
        <f>VLOOKUP(Tabel1[[#This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_xlfn.CONCAT(Tabel1[[#This Row],[personeelsnr]]," ",C513," ",D513)</f>
        <v>29179 Verwee Dries</v>
      </c>
      <c r="C513" t="str">
        <f>VLOOKUP(Tabel1[[#This Row],[personeelsnr]],'data hastus'!$A:$C,2,0)</f>
        <v>Verwee</v>
      </c>
      <c r="D513" t="str">
        <f>VLOOKUP(Tabel1[[#This Row],[personeelsnr]],'data hastus'!$A:$C,3,0)</f>
        <v>Dries</v>
      </c>
      <c r="E513" t="str">
        <f>VLOOKUP(Tabel1[[#This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SUM(Tabel1[[#This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_xlfn.CONCAT(Tabel1[[#This Row],[personeelsnr]]," ",C514," ",D514)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3058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_xlfn.CONCAT(Tabel1[[#This Row],[personeelsnr]]," ",C515," ",D515)</f>
        <v>31231 Colaes Dylan</v>
      </c>
      <c r="C515" t="str">
        <f>VLOOKUP(Tabel1[[#This Row],[personeelsnr]],'data hastus'!$A:$C,2,0)</f>
        <v>Colaes</v>
      </c>
      <c r="D515" t="str">
        <f>VLOOKUP(Tabel1[[#This Row],[personeelsnr]],'data hastus'!$A:$C,3,0)</f>
        <v>Dylan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3057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_xlfn.CONCAT(Tabel1[[#This Row],[personeelsnr]]," ",C516," ",D516)</f>
        <v>39014 Genbrugge Kyllian</v>
      </c>
      <c r="C516" t="str">
        <f>VLOOKUP(Tabel1[[#This Row],[personeelsnr]],'data hastus'!$A:$C,2,0)</f>
        <v>Genbrugge</v>
      </c>
      <c r="D516" t="str">
        <f>VLOOKUP(Tabel1[[#This Row],[personeelsnr]],'data hastus'!$A:$C,3,0)</f>
        <v>Kyllian</v>
      </c>
      <c r="E516" t="str">
        <f>VLOOKUP(Tabel1[[#This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_xlfn.CONCAT(Tabel1[[#This Row],[personeelsnr]]," ",C517," ",D517)</f>
        <v>36289 Van Rentergem Steve</v>
      </c>
      <c r="C517" t="str">
        <f>VLOOKUP(Tabel1[[#This Row],[personeelsnr]],'data hastus'!$A:$C,2,0)</f>
        <v>Van Rentergem</v>
      </c>
      <c r="D517" t="str">
        <f>VLOOKUP(Tabel1[[#This Row],[personeelsnr]],'data hastus'!$A:$C,3,0)</f>
        <v>Steve</v>
      </c>
      <c r="E517" t="str">
        <f>VLOOKUP(Tabel1[[#This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_xlfn.CONCAT(Tabel1[[#This Row],[personeelsnr]]," ",C518," ",D518)</f>
        <v>39358 Weeks Aracena Jimmy Alexander</v>
      </c>
      <c r="C518" t="str">
        <f>VLOOKUP(Tabel1[[#This Row],[personeelsnr]],'data hastus'!$A:$C,2,0)</f>
        <v>Weeks Aracena</v>
      </c>
      <c r="D518" t="str">
        <f>VLOOKUP(Tabel1[[#This Row],[personeelsnr]],'data hastus'!$A:$C,3,0)</f>
        <v>Jimmy Alexander</v>
      </c>
      <c r="E518" t="str">
        <f>VLOOKUP(Tabel1[[#This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_xlfn.CONCAT(Tabel1[[#This Row],[personeelsnr]]," ",C519," ",D519)</f>
        <v>36426 Mohamed Yassin Abdulhamid</v>
      </c>
      <c r="C519" t="str">
        <f>VLOOKUP(Tabel1[[#This Row],[personeelsnr]],'data hastus'!$A:$C,2,0)</f>
        <v>Mohamed Yassin</v>
      </c>
      <c r="D519" t="str">
        <f>VLOOKUP(Tabel1[[#This Row],[personeelsnr]],'data hastus'!$A:$C,3,0)</f>
        <v>Abdulhamid</v>
      </c>
      <c r="E519" t="str">
        <f>VLOOKUP(Tabel1[[#This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45660</v>
      </c>
      <c r="U519" s="8" t="s">
        <v>3032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_xlfn.CONCAT(Tabel1[[#This Row],[personeelsnr]]," ",C520," ",D520)</f>
        <v>40138 Moerman Tjimmy</v>
      </c>
      <c r="C520" t="str">
        <f>VLOOKUP(Tabel1[[#This Row],[personeelsnr]],'data hastus'!$A:$C,2,0)</f>
        <v>Moerman</v>
      </c>
      <c r="D520" t="str">
        <f>VLOOKUP(Tabel1[[#This Row],[personeelsnr]],'data hastus'!$A:$C,3,0)</f>
        <v>Tjimmy</v>
      </c>
      <c r="E520" t="str">
        <f>VLOOKUP(Tabel1[[#This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s="8" t="s">
        <v>3056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_xlfn.CONCAT(Tabel1[[#This Row],[personeelsnr]]," ",C521," ",D521)</f>
        <v>36663 Cesmeli Achraf</v>
      </c>
      <c r="C521" t="str">
        <f>VLOOKUP(Tabel1[[#This Row],[personeelsnr]],'data hastus'!$A:$C,2,0)</f>
        <v>Cesmeli</v>
      </c>
      <c r="D521" t="str">
        <f>VLOOKUP(Tabel1[[#This Row],[personeelsnr]],'data hastus'!$A:$C,3,0)</f>
        <v>Achraf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_xlfn.CONCAT(Tabel1[[#This Row],[personeelsnr]]," ",C522," ",D522)</f>
        <v>37950 De Naegel Bruno</v>
      </c>
      <c r="C522" t="str">
        <f>VLOOKUP(Tabel1[[#This Row],[personeelsnr]],'data hastus'!$A:$C,2,0)</f>
        <v>De Naegel</v>
      </c>
      <c r="D522" t="str">
        <f>VLOOKUP(Tabel1[[#This Row],[personeelsnr]],'data hastus'!$A:$C,3,0)</f>
        <v>Bruno</v>
      </c>
      <c r="E522" t="str">
        <f>VLOOKUP(Tabel1[[#This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45665</v>
      </c>
      <c r="U522" s="8" t="s">
        <v>3052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_xlfn.CONCAT(Tabel1[[#This Row],[personeelsnr]]," ",C523," ",D523)</f>
        <v>41032 Rocabado Hinojosa Lukas</v>
      </c>
      <c r="C523" t="str">
        <f>VLOOKUP(Tabel1[[#This Row],[personeelsnr]],'data hastus'!$A:$C,2,0)</f>
        <v>Rocabado Hinojosa</v>
      </c>
      <c r="D523" t="str">
        <f>VLOOKUP(Tabel1[[#This Row],[personeelsnr]],'data hastus'!$A:$C,3,0)</f>
        <v>Lukas</v>
      </c>
      <c r="E523" t="str">
        <f>VLOOKUP(Tabel1[[#This Row],[personeelsnr]],'data hastus'!A:K,11,FALSE)</f>
        <v>Els Vanhoe</v>
      </c>
      <c r="F523" s="10"/>
      <c r="G523" s="7">
        <v>1</v>
      </c>
      <c r="H523" s="7"/>
      <c r="I523" s="7"/>
      <c r="S523" s="5">
        <f>SUM(Tabel1[[#This Row],[Januari]:[December]])</f>
        <v>1</v>
      </c>
      <c r="T523" s="9">
        <v>45666</v>
      </c>
      <c r="U523" s="8" t="s">
        <v>3031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_xlfn.CONCAT(Tabel1[[#This Row],[personeelsnr]]," ",C524," ",D524)</f>
        <v>19917 Vandevyvere Frank</v>
      </c>
      <c r="C524" t="str">
        <f>VLOOKUP(Tabel1[[#This Row],[personeelsnr]],'data hastus'!$A:$C,2,0)</f>
        <v>Vandevyvere</v>
      </c>
      <c r="D524" t="str">
        <f>VLOOKUP(Tabel1[[#This Row],[personeelsnr]],'data hastus'!$A:$C,3,0)</f>
        <v>Frank</v>
      </c>
      <c r="E524" t="str">
        <f>VLOOKUP(Tabel1[[#This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3051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_xlfn.CONCAT(Tabel1[[#This Row],[personeelsnr]]," ",C525," ",D525)</f>
        <v>40266 Taibi Yassine</v>
      </c>
      <c r="C525" t="str">
        <f>VLOOKUP(Tabel1[[#This Row],[personeelsnr]],'data hastus'!$A:$C,2,0)</f>
        <v>Taibi</v>
      </c>
      <c r="D525" t="str">
        <f>VLOOKUP(Tabel1[[#This Row],[personeelsnr]],'data hastus'!$A:$C,3,0)</f>
        <v>Yassine</v>
      </c>
      <c r="E525" t="str">
        <f>VLOOKUP(Tabel1[[#This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45667</v>
      </c>
      <c r="U525" s="8" t="s">
        <v>3055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_xlfn.CONCAT(Tabel1[[#This Row],[personeelsnr]]," ",C526," ",D526)</f>
        <v>36559 De Staercke Sandra</v>
      </c>
      <c r="C526" t="str">
        <f>VLOOKUP(Tabel1[[#This Row],[personeelsnr]],'data hastus'!$A:$C,2,0)</f>
        <v>De Staercke</v>
      </c>
      <c r="D526" t="str">
        <f>VLOOKUP(Tabel1[[#This Row],[personeelsnr]],'data hastus'!$A:$C,3,0)</f>
        <v>Sandra</v>
      </c>
      <c r="E526" t="str">
        <f>VLOOKUP(Tabel1[[#This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45667</v>
      </c>
      <c r="U526" s="8" t="s">
        <v>3053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_xlfn.CONCAT(Tabel1[[#This Row],[personeelsnr]]," ",C527," ",D527)</f>
        <v>33986 Göktas Muharrem</v>
      </c>
      <c r="C527" t="str">
        <f>VLOOKUP(Tabel1[[#This Row],[personeelsnr]],'data hastus'!$A:$C,2,0)</f>
        <v>Göktas</v>
      </c>
      <c r="D527" t="str">
        <f>VLOOKUP(Tabel1[[#This Row],[personeelsnr]],'data hastus'!$A:$C,3,0)</f>
        <v>Muharrem</v>
      </c>
      <c r="E527" t="str">
        <f>VLOOKUP(Tabel1[[#This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_xlfn.CONCAT(Tabel1[[#This Row],[personeelsnr]]," ",C528," ",D528)</f>
        <v>36428 Abdi Shaiye Rashid</v>
      </c>
      <c r="C528" t="str">
        <f>VLOOKUP(Tabel1[[#This Row],[personeelsnr]],'data hastus'!$A:$C,2,0)</f>
        <v>Abdi Shaiye</v>
      </c>
      <c r="D528" t="str">
        <f>VLOOKUP(Tabel1[[#This Row],[personeelsnr]],'data hastus'!$A:$C,3,0)</f>
        <v>Rashid</v>
      </c>
      <c r="E528" t="str">
        <f>VLOOKUP(Tabel1[[#This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45669</v>
      </c>
      <c r="U528" s="8" t="s">
        <v>3054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_xlfn.CONCAT(Tabel1[[#This Row],[personeelsnr]]," ",C529," ",D529)</f>
        <v>40444 Van Damme Glenn</v>
      </c>
      <c r="C529" t="str">
        <f>VLOOKUP(Tabel1[[#This Row],[personeelsnr]],'data hastus'!$A:$C,2,0)</f>
        <v>Van Damme</v>
      </c>
      <c r="D529" t="str">
        <f>VLOOKUP(Tabel1[[#This Row],[personeelsnr]],'data hastus'!$A:$C,3,0)</f>
        <v>Glenn</v>
      </c>
      <c r="E529" t="str">
        <f>VLOOKUP(Tabel1[[#This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_xlfn.CONCAT(Tabel1[[#This Row],[personeelsnr]]," ",C530," ",D530)</f>
        <v>25487 Devos Stefaan</v>
      </c>
      <c r="C530" t="str">
        <f>VLOOKUP(Tabel1[[#This Row],[personeelsnr]],'data hastus'!$A:$C,2,0)</f>
        <v>Devos</v>
      </c>
      <c r="D530" t="str">
        <f>VLOOKUP(Tabel1[[#This Row],[personeelsnr]],'data hastus'!$A:$C,3,0)</f>
        <v>Stefaan</v>
      </c>
      <c r="E530" t="str">
        <f>VLOOKUP(Tabel1[[#This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3048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_xlfn.CONCAT(Tabel1[[#This Row],[personeelsnr]]," ",C531," ",D531)</f>
        <v>36626 Kartal Kadir</v>
      </c>
      <c r="C531" t="str">
        <f>VLOOKUP(Tabel1[[#This Row],[personeelsnr]],'data hastus'!$A:$C,2,0)</f>
        <v>Kartal</v>
      </c>
      <c r="D531" t="str">
        <f>VLOOKUP(Tabel1[[#This Row],[personeelsnr]],'data hastus'!$A:$C,3,0)</f>
        <v>Kadir</v>
      </c>
      <c r="E531" t="str">
        <f>VLOOKUP(Tabel1[[#This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45671</v>
      </c>
      <c r="U531" s="8" t="s">
        <v>3050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_xlfn.CONCAT(Tabel1[[#This Row],[personeelsnr]]," ",C532," ",D532)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45671</v>
      </c>
      <c r="U532" s="8" t="s">
        <v>3046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_xlfn.CONCAT(Tabel1[[#This Row],[personeelsnr]]," ",C533," ",D533)</f>
        <v>40005 Bernaerts Philip</v>
      </c>
      <c r="C533" t="str">
        <f>VLOOKUP(Tabel1[[#This Row],[personeelsnr]],'data hastus'!$A:$C,2,0)</f>
        <v>Bernaerts</v>
      </c>
      <c r="D533" t="str">
        <f>VLOOKUP(Tabel1[[#This Row],[personeelsnr]],'data hastus'!$A:$C,3,0)</f>
        <v>Philip</v>
      </c>
      <c r="E533" t="str">
        <f>VLOOKUP(Tabel1[[#This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45672</v>
      </c>
      <c r="U533" s="8" t="s">
        <v>3049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_xlfn.CONCAT(Tabel1[[#This Row],[personeelsnr]]," ",C534," ",D534)</f>
        <v>30967 Taser Fatih</v>
      </c>
      <c r="C534" t="str">
        <f>VLOOKUP(Tabel1[[#This Row],[personeelsnr]],'data hastus'!$A:$C,2,0)</f>
        <v>Taser</v>
      </c>
      <c r="D534" t="str">
        <f>VLOOKUP(Tabel1[[#This Row],[personeelsnr]],'data hastus'!$A:$C,3,0)</f>
        <v>Fatih</v>
      </c>
      <c r="E534" t="str">
        <f>VLOOKUP(Tabel1[[#This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45672</v>
      </c>
      <c r="U534" s="8" t="s">
        <v>3045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_xlfn.CONCAT(Tabel1[[#This Row],[personeelsnr]]," ",C535," ",D535)</f>
        <v>40969 Kerman Melisa</v>
      </c>
      <c r="C535" t="str">
        <f>VLOOKUP(Tabel1[[#This Row],[personeelsnr]],'data hastus'!$A:$C,2,0)</f>
        <v>Kerman</v>
      </c>
      <c r="D535" t="str">
        <f>VLOOKUP(Tabel1[[#This Row],[personeelsnr]],'data hastus'!$A:$C,3,0)</f>
        <v>Melisa</v>
      </c>
      <c r="E535" t="str">
        <f>VLOOKUP(Tabel1[[#This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45673</v>
      </c>
      <c r="U535" s="8" t="s">
        <v>3047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_xlfn.CONCAT(Tabel1[[#This Row],[personeelsnr]]," ",C536," ",D536)</f>
        <v>36626 Kartal Kadir</v>
      </c>
      <c r="C536" t="str">
        <f>VLOOKUP(Tabel1[[#This Row],[personeelsnr]],'data hastus'!$A:$C,2,0)</f>
        <v>Kartal</v>
      </c>
      <c r="D536" t="str">
        <f>VLOOKUP(Tabel1[[#This Row],[personeelsnr]],'data hastus'!$A:$C,3,0)</f>
        <v>Kadir</v>
      </c>
      <c r="E536" t="str">
        <f>VLOOKUP(Tabel1[[#This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45673</v>
      </c>
      <c r="U536" s="8" t="s">
        <v>3042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_xlfn.CONCAT(Tabel1[[#This Row],[personeelsnr]]," ",C537," ",D537)</f>
        <v>22240 Delahaye Karina</v>
      </c>
      <c r="C537" t="str">
        <f>VLOOKUP(Tabel1[[#This Row],[personeelsnr]],'data hastus'!$A:$C,2,0)</f>
        <v>Delahaye</v>
      </c>
      <c r="D537" t="str">
        <f>VLOOKUP(Tabel1[[#This Row],[personeelsnr]],'data hastus'!$A:$C,3,0)</f>
        <v>Karina</v>
      </c>
      <c r="E537" t="str">
        <f>VLOOKUP(Tabel1[[#This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45674</v>
      </c>
      <c r="U537" s="8" t="s">
        <v>3040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_xlfn.CONCAT(Tabel1[[#This Row],[personeelsnr]]," ",C538," ",D538)</f>
        <v>8394 Smet Antoon</v>
      </c>
      <c r="C538" t="str">
        <f>VLOOKUP(Tabel1[[#This Row],[personeelsnr]],'data hastus'!$A:$C,2,0)</f>
        <v>Smet</v>
      </c>
      <c r="D538" t="str">
        <f>VLOOKUP(Tabel1[[#This Row],[personeelsnr]],'data hastus'!$A:$C,3,0)</f>
        <v>Antoon</v>
      </c>
      <c r="E538" t="str">
        <f>VLOOKUP(Tabel1[[#This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_xlfn.CONCAT(Tabel1[[#This Row],[personeelsnr]]," ",C539," ",D539)</f>
        <v>33965 Van de Gehuchte Gilles</v>
      </c>
      <c r="C539" t="str">
        <f>VLOOKUP(Tabel1[[#This Row],[personeelsnr]],'data hastus'!$A:$C,2,0)</f>
        <v>Van de Gehuchte</v>
      </c>
      <c r="D539" t="str">
        <f>VLOOKUP(Tabel1[[#This Row],[personeelsnr]],'data hastus'!$A:$C,3,0)</f>
        <v>Gilles</v>
      </c>
      <c r="E539" t="str">
        <f>VLOOKUP(Tabel1[[#This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45677</v>
      </c>
      <c r="U539" s="8" t="s">
        <v>3043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_xlfn.CONCAT(Tabel1[[#This Row],[personeelsnr]]," ",C540," ",D540)</f>
        <v>21581 Vanderstraeten Franky</v>
      </c>
      <c r="C540" t="str">
        <f>VLOOKUP(Tabel1[[#This Row],[personeelsnr]],'data hastus'!$A:$C,2,0)</f>
        <v>Vanderstraeten</v>
      </c>
      <c r="D540" t="str">
        <f>VLOOKUP(Tabel1[[#This Row],[personeelsnr]],'data hastus'!$A:$C,3,0)</f>
        <v>Franky</v>
      </c>
      <c r="E540" t="str">
        <f>VLOOKUP(Tabel1[[#This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_xlfn.CONCAT(Tabel1[[#This Row],[personeelsnr]]," ",C541," ",D541)</f>
        <v>39673 Steurbaut Henri</v>
      </c>
      <c r="C541" t="str">
        <f>VLOOKUP(Tabel1[[#This Row],[personeelsnr]],'data hastus'!$A:$C,2,0)</f>
        <v>Steurbaut</v>
      </c>
      <c r="D541" t="str">
        <f>VLOOKUP(Tabel1[[#This Row],[personeelsnr]],'data hastus'!$A:$C,3,0)</f>
        <v>Henri</v>
      </c>
      <c r="E541" t="str">
        <f>VLOOKUP(Tabel1[[#This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45678</v>
      </c>
      <c r="U541" s="8" t="s">
        <v>3035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_xlfn.CONCAT(Tabel1[[#This Row],[personeelsnr]]," ",C542," ",D542)</f>
        <v>39660 Lloyd Glenn</v>
      </c>
      <c r="C542" t="str">
        <f>VLOOKUP(Tabel1[[#This Row],[personeelsnr]],'data hastus'!$A:$C,2,0)</f>
        <v>Lloyd</v>
      </c>
      <c r="D542" t="str">
        <f>VLOOKUP(Tabel1[[#This Row],[personeelsnr]],'data hastus'!$A:$C,3,0)</f>
        <v>Glenn</v>
      </c>
      <c r="E542" t="str">
        <f>VLOOKUP(Tabel1[[#This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_xlfn.CONCAT(Tabel1[[#This Row],[personeelsnr]]," ",C543," ",D543)</f>
        <v>41162 Hoeckman Jeroen</v>
      </c>
      <c r="C543" t="str">
        <f>VLOOKUP(Tabel1[[#This Row],[personeelsnr]],'data hastus'!$A:$C,2,0)</f>
        <v>Hoeckman</v>
      </c>
      <c r="D543" t="str">
        <f>VLOOKUP(Tabel1[[#This Row],[personeelsnr]],'data hastus'!$A:$C,3,0)</f>
        <v>Jeroen</v>
      </c>
      <c r="E543" t="str">
        <f>VLOOKUP(Tabel1[[#This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45679</v>
      </c>
      <c r="U543" s="8" t="s">
        <v>3044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_xlfn.CONCAT(Tabel1[[#This Row],[personeelsnr]]," ",C544," ",D544)</f>
        <v>34351 Callant Dieter</v>
      </c>
      <c r="C544" t="str">
        <f>VLOOKUP(Tabel1[[#This Row],[personeelsnr]],'data hastus'!$A:$C,2,0)</f>
        <v>Callant</v>
      </c>
      <c r="D544" t="str">
        <f>VLOOKUP(Tabel1[[#This Row],[personeelsnr]],'data hastus'!$A:$C,3,0)</f>
        <v>Dieter</v>
      </c>
      <c r="E544" t="str">
        <f>VLOOKUP(Tabel1[[#This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45679</v>
      </c>
      <c r="U544" s="8" t="s">
        <v>3041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_xlfn.CONCAT(Tabel1[[#This Row],[personeelsnr]]," ",C545," ",D545)</f>
        <v>35395 Limbourg Heidi</v>
      </c>
      <c r="C545" t="str">
        <f>VLOOKUP(Tabel1[[#This Row],[personeelsnr]],'data hastus'!$A:$C,2,0)</f>
        <v>Limbourg</v>
      </c>
      <c r="D545" t="str">
        <f>VLOOKUP(Tabel1[[#This Row],[personeelsnr]],'data hastus'!$A:$C,3,0)</f>
        <v>Heidi</v>
      </c>
      <c r="E545" t="str">
        <f>VLOOKUP(Tabel1[[#This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3039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_xlfn.CONCAT(Tabel1[[#This Row],[personeelsnr]]," ",C546," ",D546)</f>
        <v>31360 Simsek Fatih</v>
      </c>
      <c r="C546" t="str">
        <f>VLOOKUP(Tabel1[[#This Row],[personeelsnr]],'data hastus'!$A:$C,2,0)</f>
        <v>Simsek</v>
      </c>
      <c r="D546" t="str">
        <f>VLOOKUP(Tabel1[[#This Row],[personeelsnr]],'data hastus'!$A:$C,3,0)</f>
        <v>Fatih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45680</v>
      </c>
      <c r="U546" s="8" t="s">
        <v>3037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_xlfn.CONCAT(Tabel1[[#This Row],[personeelsnr]]," ",C547," ",D547)</f>
        <v>13398 Kirdas Ramazan</v>
      </c>
      <c r="C547" t="str">
        <f>VLOOKUP(Tabel1[[#This Row],[personeelsnr]],'data hastus'!$A:$C,2,0)</f>
        <v>Kirdas</v>
      </c>
      <c r="D547" t="str">
        <f>VLOOKUP(Tabel1[[#This Row],[personeelsnr]],'data hastus'!$A:$C,3,0)</f>
        <v>Ramazan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45681</v>
      </c>
      <c r="U547" s="8" t="s">
        <v>3038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_xlfn.CONCAT(Tabel1[[#This Row],[personeelsnr]]," ",C548," ",D548)</f>
        <v>36663 Cesmeli Achraf</v>
      </c>
      <c r="C548" t="str">
        <f>VLOOKUP(Tabel1[[#This Row],[personeelsnr]],'data hastus'!$A:$C,2,0)</f>
        <v>Cesmeli</v>
      </c>
      <c r="D548" t="str">
        <f>VLOOKUP(Tabel1[[#This Row],[personeelsnr]],'data hastus'!$A:$C,3,0)</f>
        <v>Achraf</v>
      </c>
      <c r="E548" t="str">
        <f>VLOOKUP(Tabel1[[#This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_xlfn.CONCAT(Tabel1[[#This Row],[personeelsnr]]," ",C549," ",D549)</f>
        <v>35491 Toubadie Zakaria</v>
      </c>
      <c r="C549" t="str">
        <f>VLOOKUP(Tabel1[[#This Row],[personeelsnr]],'data hastus'!$A:$C,2,0)</f>
        <v>Toubadie</v>
      </c>
      <c r="D549" t="str">
        <f>VLOOKUP(Tabel1[[#This Row],[personeelsnr]],'data hastus'!$A:$C,3,0)</f>
        <v>Zakaria</v>
      </c>
      <c r="E549" t="str">
        <f>VLOOKUP(Tabel1[[#This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_xlfn.CONCAT(Tabel1[[#This Row],[personeelsnr]]," ",C550," ",D550)</f>
        <v>40138 Moerman Tjimmy</v>
      </c>
      <c r="C550" t="str">
        <f>VLOOKUP(Tabel1[[#This Row],[personeelsnr]],'data hastus'!$A:$C,2,0)</f>
        <v>Moerman</v>
      </c>
      <c r="D550" t="str">
        <f>VLOOKUP(Tabel1[[#This Row],[personeelsnr]],'data hastus'!$A:$C,3,0)</f>
        <v>Tjimmy</v>
      </c>
      <c r="E550" t="str">
        <f>VLOOKUP(Tabel1[[#This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45685</v>
      </c>
      <c r="U550" s="8" t="s">
        <v>3034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_xlfn.CONCAT(Tabel1[[#This Row],[personeelsnr]]," ",C551," ",D551)</f>
        <v>33640 Verschraegen Patrick</v>
      </c>
      <c r="C551" t="str">
        <f>VLOOKUP(Tabel1[[#This Row],[personeelsnr]],'data hastus'!$A:$C,2,0)</f>
        <v>Verschraegen</v>
      </c>
      <c r="D551" t="str">
        <f>VLOOKUP(Tabel1[[#This Row],[personeelsnr]],'data hastus'!$A:$C,3,0)</f>
        <v>Patrick</v>
      </c>
      <c r="E551" t="str">
        <f>VLOOKUP(Tabel1[[#This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3036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_xlfn.CONCAT(Tabel1[[#This Row],[personeelsnr]]," ",C552," ",D552)</f>
        <v>19249 Odaci Kadir</v>
      </c>
      <c r="C552" t="str">
        <f>VLOOKUP(Tabel1[[#This Row],[personeelsnr]],'data hastus'!$A:$C,2,0)</f>
        <v>Odaci</v>
      </c>
      <c r="D552" t="str">
        <f>VLOOKUP(Tabel1[[#This Row],[personeelsnr]],'data hastus'!$A:$C,3,0)</f>
        <v>Kadir</v>
      </c>
      <c r="E552" t="str">
        <f>VLOOKUP(Tabel1[[#This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45686</v>
      </c>
      <c r="U552" s="8" t="s">
        <v>3030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_xlfn.CONCAT(Tabel1[[#This Row],[personeelsnr]]," ",C553," ",D553)</f>
        <v>21424 Verstichel Jethro</v>
      </c>
      <c r="C553" t="str">
        <f>VLOOKUP(Tabel1[[#This Row],[personeelsnr]],'data hastus'!$A:$C,2,0)</f>
        <v>Verstichel</v>
      </c>
      <c r="D553" t="str">
        <f>VLOOKUP(Tabel1[[#This Row],[personeelsnr]],'data hastus'!$A:$C,3,0)</f>
        <v>Jethro</v>
      </c>
      <c r="E553" t="str">
        <f>VLOOKUP(Tabel1[[#This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45686</v>
      </c>
      <c r="U553" s="8" t="s">
        <v>3033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_xlfn.CONCAT(Tabel1[[#This Row],[personeelsnr]]," ",C554," ",D554)</f>
        <v>40652 Van Damme Gilyann</v>
      </c>
      <c r="C554" t="str">
        <f>VLOOKUP(Tabel1[[#This Row],[personeelsnr]],'data hastus'!$A:$C,2,0)</f>
        <v>Van Damme</v>
      </c>
      <c r="D554" t="str">
        <f>VLOOKUP(Tabel1[[#This Row],[personeelsnr]],'data hastus'!$A:$C,3,0)</f>
        <v>Gilyann</v>
      </c>
      <c r="E554" t="str">
        <f>VLOOKUP(Tabel1[[#This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_xlfn.CONCAT(Tabel1[[#This Row],[personeelsnr]]," ",C555," ",D555)</f>
        <v>36663 Cesmeli Achraf</v>
      </c>
      <c r="C555" t="str">
        <f>VLOOKUP(Tabel1[[#This Row],[personeelsnr]],'data hastus'!$A:$C,2,0)</f>
        <v>Cesmeli</v>
      </c>
      <c r="D555" t="str">
        <f>VLOOKUP(Tabel1[[#This Row],[personeelsnr]],'data hastus'!$A:$C,3,0)</f>
        <v>Achraf</v>
      </c>
      <c r="E555" t="str">
        <f>VLOOKUP(Tabel1[[#This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_xlfn.CONCAT(Tabel1[[#This Row],[personeelsnr]]," ",C556," ",D556)</f>
        <v>39532 Sahin Orhan</v>
      </c>
      <c r="C556" t="str">
        <f>VLOOKUP(Tabel1[[#This Row],[personeelsnr]],'data hastus'!$A:$C,2,0)</f>
        <v>Sahin</v>
      </c>
      <c r="D556" t="str">
        <f>VLOOKUP(Tabel1[[#This Row],[personeelsnr]],'data hastus'!$A:$C,3,0)</f>
        <v>Orhan</v>
      </c>
      <c r="E556" t="str">
        <f>VLOOKUP(Tabel1[[#This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45689</v>
      </c>
      <c r="U556" s="8" t="s">
        <v>3091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_xlfn.CONCAT(Tabel1[[#This Row],[personeelsnr]]," ",C557," ",D557)</f>
        <v>37496 Oosterlinck Willy</v>
      </c>
      <c r="C557" t="str">
        <f>VLOOKUP(Tabel1[[#This Row],[personeelsnr]],'data hastus'!$A:$C,2,0)</f>
        <v>Oosterlinck</v>
      </c>
      <c r="D557" t="str">
        <f>VLOOKUP(Tabel1[[#This Row],[personeelsnr]],'data hastus'!$A:$C,3,0)</f>
        <v>Willy</v>
      </c>
      <c r="E557" t="str">
        <f>VLOOKUP(Tabel1[[#This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45690</v>
      </c>
      <c r="U557" s="8" t="s">
        <v>3064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_xlfn.CONCAT(Tabel1[[#This Row],[personeelsnr]]," ",C558," ",D558)</f>
        <v>16545 Toch Erwin</v>
      </c>
      <c r="C558" t="str">
        <f>VLOOKUP(Tabel1[[#This Row],[personeelsnr]],'data hastus'!$A:$C,2,0)</f>
        <v>Toch</v>
      </c>
      <c r="D558" t="str">
        <f>VLOOKUP(Tabel1[[#This Row],[personeelsnr]],'data hastus'!$A:$C,3,0)</f>
        <v>Erwin</v>
      </c>
      <c r="E558" t="str">
        <f>VLOOKUP(Tabel1[[#This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3082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_xlfn.CONCAT(Tabel1[[#This Row],[personeelsnr]]," ",C559," ",D559)</f>
        <v>21424 Verstichel Jethro</v>
      </c>
      <c r="C559" t="str">
        <f>VLOOKUP(Tabel1[[#This Row],[personeelsnr]],'data hastus'!$A:$C,2,0)</f>
        <v>Verstichel</v>
      </c>
      <c r="D559" t="str">
        <f>VLOOKUP(Tabel1[[#This Row],[personeelsnr]],'data hastus'!$A:$C,3,0)</f>
        <v>Jethro</v>
      </c>
      <c r="E559" t="str">
        <f>VLOOKUP(Tabel1[[#This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3079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_xlfn.CONCAT(Tabel1[[#This Row],[personeelsnr]]," ",C560," ",D560)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_xlfn.CONCAT(Tabel1[[#This Row],[personeelsnr]]," ",C561," ",D561)</f>
        <v>12514 De Smet Kenneth</v>
      </c>
      <c r="C561" t="str">
        <f>VLOOKUP(Tabel1[[#This Row],[personeelsnr]],'data hastus'!$A:$C,2,0)</f>
        <v>De Smet</v>
      </c>
      <c r="D561" t="str">
        <f>VLOOKUP(Tabel1[[#This Row],[personeelsnr]],'data hastus'!$A:$C,3,0)</f>
        <v>Kenneth</v>
      </c>
      <c r="E561" t="str">
        <f>VLOOKUP(Tabel1[[#This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45691</v>
      </c>
      <c r="U561" s="8" t="s">
        <v>3068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_xlfn.CONCAT(Tabel1[[#This Row],[personeelsnr]]," ",C562," ",D562)</f>
        <v>40266 Taibi Yassine</v>
      </c>
      <c r="C562" t="str">
        <f>VLOOKUP(Tabel1[[#This Row],[personeelsnr]],'data hastus'!$A:$C,2,0)</f>
        <v>Taibi</v>
      </c>
      <c r="D562" t="str">
        <f>VLOOKUP(Tabel1[[#This Row],[personeelsnr]],'data hastus'!$A:$C,3,0)</f>
        <v>Yassine</v>
      </c>
      <c r="E562" t="str">
        <f>VLOOKUP(Tabel1[[#This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3099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_xlfn.CONCAT(Tabel1[[#This Row],[personeelsnr]]," ",C563," ",D563)</f>
        <v>40859 Yagoub Abdelali</v>
      </c>
      <c r="C563" t="str">
        <f>VLOOKUP(Tabel1[[#This Row],[personeelsnr]],'data hastus'!$A:$C,2,0)</f>
        <v>Yagoub</v>
      </c>
      <c r="D563" t="str">
        <f>VLOOKUP(Tabel1[[#This Row],[personeelsnr]],'data hastus'!$A:$C,3,0)</f>
        <v>Abdelali</v>
      </c>
      <c r="E563" t="str">
        <f>VLOOKUP(Tabel1[[#This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3083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_xlfn.CONCAT(Tabel1[[#This Row],[personeelsnr]]," ",C564," ",D564)</f>
        <v>41162 Hoeckman Jeroen</v>
      </c>
      <c r="C564" t="str">
        <f>VLOOKUP(Tabel1[[#This Row],[personeelsnr]],'data hastus'!$A:$C,2,0)</f>
        <v>Hoeckman</v>
      </c>
      <c r="D564" t="str">
        <f>VLOOKUP(Tabel1[[#This Row],[personeelsnr]],'data hastus'!$A:$C,3,0)</f>
        <v>Jeroen</v>
      </c>
      <c r="E564" t="str">
        <f>VLOOKUP(Tabel1[[#This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45693</v>
      </c>
      <c r="U564" s="8" t="s">
        <v>3081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_xlfn.CONCAT(Tabel1[[#This Row],[personeelsnr]]," ",C565," ",D565)</f>
        <v>41092 De Keyser Dorien</v>
      </c>
      <c r="C565" t="str">
        <f>VLOOKUP(Tabel1[[#This Row],[personeelsnr]],'data hastus'!$A:$C,2,0)</f>
        <v>De Keyser</v>
      </c>
      <c r="D565" t="str">
        <f>VLOOKUP(Tabel1[[#This Row],[personeelsnr]],'data hastus'!$A:$C,3,0)</f>
        <v>Dorien</v>
      </c>
      <c r="E565" t="str">
        <f>VLOOKUP(Tabel1[[#This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45693</v>
      </c>
      <c r="U565" s="8" t="s">
        <v>3069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_xlfn.CONCAT(Tabel1[[#This Row],[personeelsnr]]," ",C566," ",D566)</f>
        <v>40856 Neissi Sadegh</v>
      </c>
      <c r="C566" t="str">
        <f>VLOOKUP(Tabel1[[#This Row],[personeelsnr]],'data hastus'!$A:$C,2,0)</f>
        <v>Neissi</v>
      </c>
      <c r="D566" t="str">
        <f>VLOOKUP(Tabel1[[#This Row],[personeelsnr]],'data hastus'!$A:$C,3,0)</f>
        <v>Sadegh</v>
      </c>
      <c r="E566" t="str">
        <f>VLOOKUP(Tabel1[[#This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45694</v>
      </c>
      <c r="U566" s="8" t="s">
        <v>3097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_xlfn.CONCAT(Tabel1[[#This Row],[personeelsnr]]," ",C567," ",D567)</f>
        <v>17951 Lega Claude</v>
      </c>
      <c r="C567" t="str">
        <f>VLOOKUP(Tabel1[[#This Row],[personeelsnr]],'data hastus'!$A:$C,2,0)</f>
        <v>Lega</v>
      </c>
      <c r="D567" t="str">
        <f>VLOOKUP(Tabel1[[#This Row],[personeelsnr]],'data hastus'!$A:$C,3,0)</f>
        <v>Claude</v>
      </c>
      <c r="E567" t="str">
        <f>VLOOKUP(Tabel1[[#This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45694</v>
      </c>
      <c r="U567" s="8" t="s">
        <v>3067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_xlfn.CONCAT(Tabel1[[#This Row],[personeelsnr]]," ",C568," ",D568)</f>
        <v>4419 Maelbrancke Eddy</v>
      </c>
      <c r="C568" t="str">
        <f>VLOOKUP(Tabel1[[#This Row],[personeelsnr]],'data hastus'!$A:$C,2,0)</f>
        <v>Maelbrancke</v>
      </c>
      <c r="D568" t="str">
        <f>VLOOKUP(Tabel1[[#This Row],[personeelsnr]],'data hastus'!$A:$C,3,0)</f>
        <v>Eddy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45695</v>
      </c>
      <c r="U568" s="8" t="s">
        <v>3101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_xlfn.CONCAT(Tabel1[[#This Row],[personeelsnr]]," ",C569," ",D569)</f>
        <v>40055 Afara Ammar</v>
      </c>
      <c r="C569" t="str">
        <f>VLOOKUP(Tabel1[[#This Row],[personeelsnr]],'data hastus'!$A:$C,2,0)</f>
        <v>Afara</v>
      </c>
      <c r="D569" t="str">
        <f>VLOOKUP(Tabel1[[#This Row],[personeelsnr]],'data hastus'!$A:$C,3,0)</f>
        <v>Ammar</v>
      </c>
      <c r="E569" t="str">
        <f>VLOOKUP(Tabel1[[#This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45695</v>
      </c>
      <c r="U569" s="8" t="s">
        <v>3084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_xlfn.CONCAT(Tabel1[[#This Row],[personeelsnr]]," ",C570," ",D570)</f>
        <v>28737 El-Mohamed Mohamed</v>
      </c>
      <c r="C570" t="str">
        <f>VLOOKUP(Tabel1[[#This Row],[personeelsnr]],'data hastus'!$A:$C,2,0)</f>
        <v>El-Mohamed</v>
      </c>
      <c r="D570" t="str">
        <f>VLOOKUP(Tabel1[[#This Row],[personeelsnr]],'data hastus'!$A:$C,3,0)</f>
        <v>Mohamed</v>
      </c>
      <c r="E570" t="str">
        <f>VLOOKUP(Tabel1[[#This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45698</v>
      </c>
      <c r="U570" s="8" t="s">
        <v>3060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_xlfn.CONCAT(Tabel1[[#This Row],[personeelsnr]]," ",C571," ",D571)</f>
        <v>25679 Vanrenterghem Serge</v>
      </c>
      <c r="C571" t="str">
        <f>VLOOKUP(Tabel1[[#This Row],[personeelsnr]],'data hastus'!$A:$C,2,0)</f>
        <v>Vanrenterghem</v>
      </c>
      <c r="D571" t="str">
        <f>VLOOKUP(Tabel1[[#This Row],[personeelsnr]],'data hastus'!$A:$C,3,0)</f>
        <v>Serge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45699</v>
      </c>
      <c r="U571" s="8" t="s">
        <v>3094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_xlfn.CONCAT(Tabel1[[#This Row],[personeelsnr]]," ",C572," ",D572)</f>
        <v>40223 Teetaert Billy</v>
      </c>
      <c r="C572" t="str">
        <f>VLOOKUP(Tabel1[[#This Row],[personeelsnr]],'data hastus'!$A:$C,2,0)</f>
        <v>Teetaert</v>
      </c>
      <c r="D572" t="str">
        <f>VLOOKUP(Tabel1[[#This Row],[personeelsnr]],'data hastus'!$A:$C,3,0)</f>
        <v>Billy</v>
      </c>
      <c r="E572" t="str">
        <f>VLOOKUP(Tabel1[[#This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45699</v>
      </c>
      <c r="U572" s="8" t="s">
        <v>3089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_xlfn.CONCAT(Tabel1[[#This Row],[personeelsnr]]," ",C573," ",D573)</f>
        <v>39267 Van Holsbeeck Jens</v>
      </c>
      <c r="C573" t="str">
        <f>VLOOKUP(Tabel1[[#This Row],[personeelsnr]],'data hastus'!$A:$C,2,0)</f>
        <v>Van Holsbeeck</v>
      </c>
      <c r="D573" t="str">
        <f>VLOOKUP(Tabel1[[#This Row],[personeelsnr]],'data hastus'!$A:$C,3,0)</f>
        <v>Jens</v>
      </c>
      <c r="E573" t="str">
        <f>VLOOKUP(Tabel1[[#This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45700</v>
      </c>
      <c r="U573" s="8" t="s">
        <v>3066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_xlfn.CONCAT(Tabel1[[#This Row],[personeelsnr]]," ",C574," ",D574)</f>
        <v>6229 De Meyer Antoon</v>
      </c>
      <c r="C574" t="str">
        <f>VLOOKUP(Tabel1[[#This Row],[personeelsnr]],'data hastus'!$A:$C,2,0)</f>
        <v>De Meyer</v>
      </c>
      <c r="D574" t="str">
        <f>VLOOKUP(Tabel1[[#This Row],[personeelsnr]],'data hastus'!$A:$C,3,0)</f>
        <v>Antoon</v>
      </c>
      <c r="E574" t="str">
        <f>VLOOKUP(Tabel1[[#This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45701</v>
      </c>
      <c r="U574" s="8" t="s">
        <v>3086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_xlfn.CONCAT(Tabel1[[#This Row],[personeelsnr]]," ",C575," ",D575)</f>
        <v>37662 Van den Meerssche Steven</v>
      </c>
      <c r="C575" t="str">
        <f>VLOOKUP(Tabel1[[#This Row],[personeelsnr]],'data hastus'!$A:$C,2,0)</f>
        <v>Van den Meerssche</v>
      </c>
      <c r="D575" t="str">
        <f>VLOOKUP(Tabel1[[#This Row],[personeelsnr]],'data hastus'!$A:$C,3,0)</f>
        <v>Steven</v>
      </c>
      <c r="E575" t="str">
        <f>VLOOKUP(Tabel1[[#This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3088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_xlfn.CONCAT(Tabel1[[#This Row],[personeelsnr]]," ",C576," ",D576)</f>
        <v>11236 Baert Freddy</v>
      </c>
      <c r="C576" t="str">
        <f>VLOOKUP(Tabel1[[#This Row],[personeelsnr]],'data hastus'!$A:$C,2,0)</f>
        <v>Baert</v>
      </c>
      <c r="D576" t="str">
        <f>VLOOKUP(Tabel1[[#This Row],[personeelsnr]],'data hastus'!$A:$C,3,0)</f>
        <v>Freddy</v>
      </c>
      <c r="E576" t="str">
        <f>VLOOKUP(Tabel1[[#This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3085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_xlfn.CONCAT(Tabel1[[#This Row],[personeelsnr]]," ",C577," ",D577)</f>
        <v>41383 De Pauw Tony</v>
      </c>
      <c r="C577" t="str">
        <f>VLOOKUP(Tabel1[[#This Row],[personeelsnr]],'data hastus'!$A:$C,2,0)</f>
        <v>De Pauw</v>
      </c>
      <c r="D577" t="str">
        <f>VLOOKUP(Tabel1[[#This Row],[personeelsnr]],'data hastus'!$A:$C,3,0)</f>
        <v>Tony</v>
      </c>
      <c r="E577" t="str">
        <f>VLOOKUP(Tabel1[[#This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45702</v>
      </c>
      <c r="U577" s="8" t="s">
        <v>3080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_xlfn.CONCAT(Tabel1[[#This Row],[personeelsnr]]," ",C578," ",D578)</f>
        <v>37496 Oosterlinck Willy</v>
      </c>
      <c r="C578" t="str">
        <f>VLOOKUP(Tabel1[[#This Row],[personeelsnr]],'data hastus'!$A:$C,2,0)</f>
        <v>Oosterlinck</v>
      </c>
      <c r="D578" t="str">
        <f>VLOOKUP(Tabel1[[#This Row],[personeelsnr]],'data hastus'!$A:$C,3,0)</f>
        <v>Willy</v>
      </c>
      <c r="E578" t="str">
        <f>VLOOKUP(Tabel1[[#This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45702</v>
      </c>
      <c r="U578" s="8" t="s">
        <v>3065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_xlfn.CONCAT(Tabel1[[#This Row],[personeelsnr]]," ",C579," ",D579)</f>
        <v>41091 Yavas Talha</v>
      </c>
      <c r="C579" t="str">
        <f>VLOOKUP(Tabel1[[#This Row],[personeelsnr]],'data hastus'!$A:$C,2,0)</f>
        <v>Yavas</v>
      </c>
      <c r="D579" t="str">
        <f>VLOOKUP(Tabel1[[#This Row],[personeelsnr]],'data hastus'!$A:$C,3,0)</f>
        <v>Talha</v>
      </c>
      <c r="E579" t="str">
        <f>VLOOKUP(Tabel1[[#This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45703</v>
      </c>
      <c r="U579" s="8" t="s">
        <v>3072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_xlfn.CONCAT(Tabel1[[#This Row],[personeelsnr]]," ",C580," ",D580)</f>
        <v>26199 Wauters Franky</v>
      </c>
      <c r="C580" t="str">
        <f>VLOOKUP(Tabel1[[#This Row],[personeelsnr]],'data hastus'!$A:$C,2,0)</f>
        <v>Wauters</v>
      </c>
      <c r="D580" t="str">
        <f>VLOOKUP(Tabel1[[#This Row],[personeelsnr]],'data hastus'!$A:$C,3,0)</f>
        <v>Franky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45703</v>
      </c>
      <c r="U580" s="8" t="s">
        <v>3061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_xlfn.CONCAT(Tabel1[[#This Row],[personeelsnr]]," ",C581," ",D581)</f>
        <v>41012 Natad Younes</v>
      </c>
      <c r="C581" t="str">
        <f>VLOOKUP(Tabel1[[#This Row],[personeelsnr]],'data hastus'!$A:$C,2,0)</f>
        <v>Natad</v>
      </c>
      <c r="D581" t="str">
        <f>VLOOKUP(Tabel1[[#This Row],[personeelsnr]],'data hastus'!$A:$C,3,0)</f>
        <v>Younes</v>
      </c>
      <c r="E581" t="str">
        <f>VLOOKUP(Tabel1[[#This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3076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_xlfn.CONCAT(Tabel1[[#This Row],[personeelsnr]]," ",C582," ",D582)</f>
        <v>41032 Rocabado Hinojosa Lukas</v>
      </c>
      <c r="C582" t="str">
        <f>VLOOKUP(Tabel1[[#This Row],[personeelsnr]],'data hastus'!$A:$C,2,0)</f>
        <v>Rocabado Hinojosa</v>
      </c>
      <c r="D582" t="str">
        <f>VLOOKUP(Tabel1[[#This Row],[personeelsnr]],'data hastus'!$A:$C,3,0)</f>
        <v>Lukas</v>
      </c>
      <c r="E582" t="str">
        <f>VLOOKUP(Tabel1[[#This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3074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_xlfn.CONCAT(Tabel1[[#This Row],[personeelsnr]]," ",C583," ",D583)</f>
        <v>41162 Hoeckman Jeroen</v>
      </c>
      <c r="C583" t="str">
        <f>VLOOKUP(Tabel1[[#This Row],[personeelsnr]],'data hastus'!$A:$C,2,0)</f>
        <v>Hoeckman</v>
      </c>
      <c r="D583" t="str">
        <f>VLOOKUP(Tabel1[[#This Row],[personeelsnr]],'data hastus'!$A:$C,3,0)</f>
        <v>Jeroen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45706</v>
      </c>
      <c r="U583" s="8" t="s">
        <v>3073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_xlfn.CONCAT(Tabel1[[#This Row],[personeelsnr]]," ",C584," ",D584)</f>
        <v>39660 Lloyd Glenn</v>
      </c>
      <c r="C584" t="str">
        <f>VLOOKUP(Tabel1[[#This Row],[personeelsnr]],'data hastus'!$A:$C,2,0)</f>
        <v>Lloyd</v>
      </c>
      <c r="D584" t="str">
        <f>VLOOKUP(Tabel1[[#This Row],[personeelsnr]],'data hastus'!$A:$C,3,0)</f>
        <v>Glenn</v>
      </c>
      <c r="E584" t="str">
        <f>VLOOKUP(Tabel1[[#This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45707</v>
      </c>
      <c r="U584" s="8" t="s">
        <v>3100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_xlfn.CONCAT(Tabel1[[#This Row],[personeelsnr]]," ",C585," ",D585)</f>
        <v>41246 Van Holsbeeck Yana</v>
      </c>
      <c r="C585" t="str">
        <f>VLOOKUP(Tabel1[[#This Row],[personeelsnr]],'data hastus'!$A:$C,2,0)</f>
        <v>Van Holsbeeck</v>
      </c>
      <c r="D585" t="str">
        <f>VLOOKUP(Tabel1[[#This Row],[personeelsnr]],'data hastus'!$A:$C,3,0)</f>
        <v>Yana</v>
      </c>
      <c r="E585" t="str">
        <f>VLOOKUP(Tabel1[[#This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45708</v>
      </c>
      <c r="U585" s="8" t="s">
        <v>3077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_xlfn.CONCAT(Tabel1[[#This Row],[personeelsnr]]," ",C586," ",D586)</f>
        <v>36569 Stroobandt Jonas</v>
      </c>
      <c r="C586" t="str">
        <f>VLOOKUP(Tabel1[[#This Row],[personeelsnr]],'data hastus'!$A:$C,2,0)</f>
        <v>Stroobandt</v>
      </c>
      <c r="D586" t="str">
        <f>VLOOKUP(Tabel1[[#This Row],[personeelsnr]],'data hastus'!$A:$C,3,0)</f>
        <v>Jonas</v>
      </c>
      <c r="E586" t="str">
        <f>VLOOKUP(Tabel1[[#This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45708</v>
      </c>
      <c r="U586" s="8" t="s">
        <v>3063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_xlfn.CONCAT(Tabel1[[#This Row],[personeelsnr]]," ",C587," ",D587)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 s="8" t="s">
        <v>3087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_xlfn.CONCAT(Tabel1[[#This Row],[personeelsnr]]," ",C588," ",D588)</f>
        <v>40744 Gözüküçük Ugur</v>
      </c>
      <c r="C588" t="str">
        <f>VLOOKUP(Tabel1[[#This Row],[personeelsnr]],'data hastus'!$A:$C,2,0)</f>
        <v>Gözüküçük</v>
      </c>
      <c r="D588" t="str">
        <f>VLOOKUP(Tabel1[[#This Row],[personeelsnr]],'data hastus'!$A:$C,3,0)</f>
        <v>Ugur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45709</v>
      </c>
      <c r="U588" s="8" t="s">
        <v>3070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_xlfn.CONCAT(Tabel1[[#This Row],[personeelsnr]]," ",C589," ",D589)</f>
        <v>39712 Repaj Ramazan</v>
      </c>
      <c r="C589" t="str">
        <f>VLOOKUP(Tabel1[[#This Row],[personeelsnr]],'data hastus'!$A:$C,2,0)</f>
        <v>Repaj</v>
      </c>
      <c r="D589" t="str">
        <f>VLOOKUP(Tabel1[[#This Row],[personeelsnr]],'data hastus'!$A:$C,3,0)</f>
        <v>Ramazan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_xlfn.CONCAT(Tabel1[[#This Row],[personeelsnr]]," ",C590," ",D590)</f>
        <v>37509 Abdulkader Sabah</v>
      </c>
      <c r="C590" t="str">
        <f>VLOOKUP(Tabel1[[#This Row],[personeelsnr]],'data hastus'!$A:$C,2,0)</f>
        <v>Abdulkader</v>
      </c>
      <c r="D590" t="str">
        <f>VLOOKUP(Tabel1[[#This Row],[personeelsnr]],'data hastus'!$A:$C,3,0)</f>
        <v>Sabah</v>
      </c>
      <c r="E590" t="str">
        <f>VLOOKUP(Tabel1[[#This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45710</v>
      </c>
      <c r="U590" s="8" t="s">
        <v>3093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_xlfn.CONCAT(Tabel1[[#This Row],[personeelsnr]]," ",C591," ",D591)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SUM(Tabel1[[#This Row],[Januari]:[December]])</f>
        <v>1</v>
      </c>
      <c r="T591" s="9">
        <v>45710</v>
      </c>
      <c r="U591" s="8" t="s">
        <v>3071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_xlfn.CONCAT(Tabel1[[#This Row],[personeelsnr]]," ",C592," ",D592)</f>
        <v>40223 Teetaert Billy</v>
      </c>
      <c r="C592" t="str">
        <f>VLOOKUP(Tabel1[[#This Row],[personeelsnr]],'data hastus'!$A:$C,2,0)</f>
        <v>Teetaert</v>
      </c>
      <c r="D592" t="str">
        <f>VLOOKUP(Tabel1[[#This Row],[personeelsnr]],'data hastus'!$A:$C,3,0)</f>
        <v>Billy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3090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_xlfn.CONCAT(Tabel1[[#This Row],[personeelsnr]]," ",C593," ",D593)</f>
        <v>32387 Meersman Herman</v>
      </c>
      <c r="C593" t="str">
        <f>VLOOKUP(Tabel1[[#This Row],[personeelsnr]],'data hastus'!$A:$C,2,0)</f>
        <v>Meersman</v>
      </c>
      <c r="D593" t="str">
        <f>VLOOKUP(Tabel1[[#This Row],[personeelsnr]],'data hastus'!$A:$C,3,0)</f>
        <v>Herman</v>
      </c>
      <c r="E593" t="str">
        <f>VLOOKUP(Tabel1[[#This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45711</v>
      </c>
      <c r="U593" s="8" t="s">
        <v>3059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_xlfn.CONCAT(Tabel1[[#This Row],[personeelsnr]]," ",C594," ",D594)</f>
        <v>9824 De Meulenaere Eric</v>
      </c>
      <c r="C594" t="str">
        <f>VLOOKUP(Tabel1[[#This Row],[personeelsnr]],'data hastus'!$A:$C,2,0)</f>
        <v>De Meulenaere</v>
      </c>
      <c r="D594" t="str">
        <f>VLOOKUP(Tabel1[[#This Row],[personeelsnr]],'data hastus'!$A:$C,3,0)</f>
        <v>Eric</v>
      </c>
      <c r="E594" t="str">
        <f>VLOOKUP(Tabel1[[#This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45711</v>
      </c>
      <c r="U594" s="8" t="s">
        <v>3062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_xlfn.CONCAT(Tabel1[[#This Row],[personeelsnr]]," ",C595," ",D595)</f>
        <v>30121 Simons Andreas</v>
      </c>
      <c r="C595" t="str">
        <f>VLOOKUP(Tabel1[[#This Row],[personeelsnr]],'data hastus'!$A:$C,2,0)</f>
        <v>Simons</v>
      </c>
      <c r="D595" t="str">
        <f>VLOOKUP(Tabel1[[#This Row],[personeelsnr]],'data hastus'!$A:$C,3,0)</f>
        <v>Andreas</v>
      </c>
      <c r="E595" t="str">
        <f>VLOOKUP(Tabel1[[#This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45712</v>
      </c>
      <c r="U595" s="8" t="s">
        <v>3098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_xlfn.CONCAT(Tabel1[[#This Row],[personeelsnr]]," ",C596," ",D596)</f>
        <v>35397 Minbari Ako</v>
      </c>
      <c r="C596" t="str">
        <f>VLOOKUP(Tabel1[[#This Row],[personeelsnr]],'data hastus'!$A:$C,2,0)</f>
        <v>Minbari</v>
      </c>
      <c r="D596" t="str">
        <f>VLOOKUP(Tabel1[[#This Row],[personeelsnr]],'data hastus'!$A:$C,3,0)</f>
        <v>Ako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45713</v>
      </c>
      <c r="U596" s="8" t="s">
        <v>3078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_xlfn.CONCAT(Tabel1[[#This Row],[personeelsnr]]," ",C597," ",D597)</f>
        <v>40744 Gözüküçük Ugur</v>
      </c>
      <c r="C597" t="str">
        <f>VLOOKUP(Tabel1[[#This Row],[personeelsnr]],'data hastus'!$A:$C,2,0)</f>
        <v>Gözüküçük</v>
      </c>
      <c r="D597" t="str">
        <f>VLOOKUP(Tabel1[[#This Row],[personeelsnr]],'data hastus'!$A:$C,3,0)</f>
        <v>Ugur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3096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_xlfn.CONCAT(Tabel1[[#This Row],[personeelsnr]]," ",C598," ",D598)</f>
        <v>39829 Demirkaya Serkan</v>
      </c>
      <c r="C598" t="str">
        <f>VLOOKUP(Tabel1[[#This Row],[personeelsnr]],'data hastus'!$A:$C,2,0)</f>
        <v>Demirkaya</v>
      </c>
      <c r="D598" t="str">
        <f>VLOOKUP(Tabel1[[#This Row],[personeelsnr]],'data hastus'!$A:$C,3,0)</f>
        <v>Serkan</v>
      </c>
      <c r="E598" t="str">
        <f>VLOOKUP(Tabel1[[#This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45715</v>
      </c>
      <c r="U598" s="8" t="s">
        <v>3092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40744</v>
      </c>
      <c r="B599" t="str">
        <f>_xlfn.CONCAT(Tabel1[[#This Row],[personeelsnr]]," ",C599," ",D599)</f>
        <v>40744 Gözüküçük Ugur</v>
      </c>
      <c r="C599" t="str">
        <f>VLOOKUP(Tabel1[[#This Row],[personeelsnr]],'data hastus'!$A:$C,2,0)</f>
        <v>Gözüküçük</v>
      </c>
      <c r="D599" t="str">
        <f>VLOOKUP(Tabel1[[#This Row],[personeelsnr]],'data hastus'!$A:$C,3,0)</f>
        <v>Ugur</v>
      </c>
      <c r="E599" t="str">
        <f>VLOOKUP(Tabel1[[#This Row],[personeelsnr]],'data hastus'!A:K,11,FALSE)</f>
        <v>Bart Van Der Beken</v>
      </c>
      <c r="F599" s="10">
        <v>45630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SUM(Tabel1[[#This Row],[Januari]:[December]])</f>
        <v>0</v>
      </c>
      <c r="T599" s="3"/>
      <c r="U599" s="8" t="s">
        <v>751</v>
      </c>
      <c r="V599" s="8">
        <v>1</v>
      </c>
      <c r="W599" s="8"/>
      <c r="X599" t="s">
        <v>57</v>
      </c>
      <c r="Y599" t="s">
        <v>176</v>
      </c>
    </row>
    <row r="600" spans="1:25" x14ac:dyDescent="0.25">
      <c r="A600">
        <v>39779</v>
      </c>
      <c r="B600" t="str">
        <f>_xlfn.CONCAT(Tabel1[[#This Row],[personeelsnr]]," ",C600," ",D600)</f>
        <v>39779 Avci Muhammet Abdullah</v>
      </c>
      <c r="C600" t="str">
        <f>VLOOKUP(Tabel1[[#This Row],[personeelsnr]],'data hastus'!$A:$C,2,0)</f>
        <v>Avci</v>
      </c>
      <c r="D600" t="str">
        <f>VLOOKUP(Tabel1[[#This Row],[personeelsnr]],'data hastus'!$A:$C,3,0)</f>
        <v>Muhammet Abdullah</v>
      </c>
      <c r="E600" t="str">
        <f>VLOOKUP(Tabel1[[#This Row],[personeelsnr]],'data hastus'!A:K,11,FALSE)</f>
        <v>Bart Van Der Beken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SUM(Tabel1[[#This Row],[Januari]:[December]])</f>
        <v>1</v>
      </c>
      <c r="T600" s="3">
        <v>45715</v>
      </c>
      <c r="U600" s="8" t="s">
        <v>3075</v>
      </c>
      <c r="V600" s="8">
        <v>1</v>
      </c>
      <c r="W600" s="8"/>
      <c r="X600" t="s">
        <v>57</v>
      </c>
      <c r="Y600" t="s">
        <v>66</v>
      </c>
    </row>
    <row r="601" spans="1:25" x14ac:dyDescent="0.25">
      <c r="A601">
        <v>41092</v>
      </c>
      <c r="B601" t="str">
        <f>_xlfn.CONCAT(Tabel1[[#This Row],[personeelsnr]]," ",C601," ",D601)</f>
        <v>41092 De Keyser Dorien</v>
      </c>
      <c r="C601" t="str">
        <f>VLOOKUP(Tabel1[[#This Row],[personeelsnr]],'data hastus'!$A:$C,2,0)</f>
        <v>De Keyser</v>
      </c>
      <c r="D601" t="str">
        <f>VLOOKUP(Tabel1[[#This Row],[personeelsnr]],'data hastus'!$A:$C,3,0)</f>
        <v>Dorien</v>
      </c>
      <c r="E601" t="str">
        <f>VLOOKUP(Tabel1[[#This Row],[personeelsnr]],'data hastus'!A:K,11,FALSE)</f>
        <v>Dominique De Clercq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45716</v>
      </c>
      <c r="U601" s="8" t="s">
        <v>3095</v>
      </c>
      <c r="V601" s="8">
        <v>1</v>
      </c>
      <c r="W601" s="8"/>
      <c r="X601" t="s">
        <v>57</v>
      </c>
      <c r="Y601" t="s">
        <v>20</v>
      </c>
    </row>
    <row r="602" spans="1:25" x14ac:dyDescent="0.25">
      <c r="A602">
        <v>35490</v>
      </c>
      <c r="B602" t="str">
        <f>_xlfn.CONCAT(Tabel1[[#This Row],[personeelsnr]]," ",C602," ",D602)</f>
        <v>35490 Nguetto Brisco Romeo</v>
      </c>
      <c r="C602" t="str">
        <f>VLOOKUP(Tabel1[[#This Row],[personeelsnr]],'data hastus'!$A:$C,2,0)</f>
        <v>Nguetto</v>
      </c>
      <c r="D602" t="str">
        <f>VLOOKUP(Tabel1[[#This Row],[personeelsnr]],'data hastus'!$A:$C,3,0)</f>
        <v>Brisco Romeo</v>
      </c>
      <c r="E602" t="str">
        <f>VLOOKUP(Tabel1[[#This Row],[personeelsnr]],'data hastus'!A:K,11,FALSE)</f>
        <v>Steven Storm</v>
      </c>
      <c r="F602" s="10">
        <v>45706</v>
      </c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/>
      <c r="U602" s="8" t="s">
        <v>796</v>
      </c>
      <c r="V602" s="8">
        <v>1</v>
      </c>
      <c r="W602" s="8"/>
      <c r="X602" t="s">
        <v>57</v>
      </c>
      <c r="Y602" t="s">
        <v>81</v>
      </c>
    </row>
    <row r="603" spans="1:25" x14ac:dyDescent="0.25">
      <c r="A603" s="15">
        <v>40138</v>
      </c>
      <c r="B603" s="15" t="str">
        <f>_xlfn.CONCAT(Tabel1[[#This Row],[personeelsnr]]," ",C603," ",D603)</f>
        <v>40138 Moerman Tjimmy</v>
      </c>
      <c r="C603" s="15" t="str">
        <f>VLOOKUP(Tabel1[[#This Row],[personeelsnr]],'data hastus'!$A:$C,2,0)</f>
        <v>Moerman</v>
      </c>
      <c r="D603" s="15" t="str">
        <f>VLOOKUP(Tabel1[[#This Row],[personeelsnr]],'data hastus'!$A:$C,3,0)</f>
        <v>Tjimmy</v>
      </c>
      <c r="E603" s="15" t="str">
        <f>VLOOKUP(Tabel1[[#This Row],[personeelsnr]],'data hastus'!A:K,11,FALSE)</f>
        <v>Christoff Rotty</v>
      </c>
      <c r="F603" s="16"/>
      <c r="G603" s="21"/>
      <c r="H603" s="21"/>
      <c r="I603" s="21">
        <v>1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>
        <f>SUM(Tabel1[[#This Row],[Januari]:[December]])</f>
        <v>1</v>
      </c>
      <c r="T603" s="22">
        <v>45717</v>
      </c>
      <c r="U603" s="20" t="s">
        <v>3132</v>
      </c>
      <c r="V603" s="8">
        <v>1</v>
      </c>
      <c r="W603" s="20"/>
      <c r="X603" t="s">
        <v>57</v>
      </c>
      <c r="Y603" s="15" t="s">
        <v>94</v>
      </c>
    </row>
    <row r="604" spans="1:25" x14ac:dyDescent="0.25">
      <c r="A604">
        <v>38807</v>
      </c>
      <c r="B604" t="str">
        <f>_xlfn.CONCAT(Tabel1[[#This Row],[personeelsnr]]," ",C604," ",D604)</f>
        <v>38807 Dossche Caroline</v>
      </c>
      <c r="C604" t="str">
        <f>VLOOKUP(Tabel1[[#This Row],[personeelsnr]],'data hastus'!$A:$C,2,0)</f>
        <v>Dossche</v>
      </c>
      <c r="D604" t="str">
        <f>VLOOKUP(Tabel1[[#This Row],[personeelsnr]],'data hastus'!$A:$C,3,0)</f>
        <v>Caroline</v>
      </c>
      <c r="E604" t="str">
        <f>VLOOKUP(Tabel1[[#This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45718</v>
      </c>
      <c r="U604" s="8" t="s">
        <v>3133</v>
      </c>
      <c r="V604" s="8">
        <v>1</v>
      </c>
      <c r="W604" s="8"/>
      <c r="X604" t="s">
        <v>57</v>
      </c>
      <c r="Y604" t="s">
        <v>95</v>
      </c>
    </row>
    <row r="605" spans="1:25" x14ac:dyDescent="0.25">
      <c r="A605">
        <v>26137</v>
      </c>
      <c r="B605" t="str">
        <f>_xlfn.CONCAT(Tabel1[[#This Row],[personeelsnr]]," ",C605," ",D605)</f>
        <v>26137 Hublau Roland</v>
      </c>
      <c r="C605" t="str">
        <f>VLOOKUP(Tabel1[[#This Row],[personeelsnr]],'data hastus'!$A:$C,2,0)</f>
        <v>Hublau</v>
      </c>
      <c r="D605" t="str">
        <f>VLOOKUP(Tabel1[[#This Row],[personeelsnr]],'data hastus'!$A:$C,3,0)</f>
        <v>Roland</v>
      </c>
      <c r="E605" t="str">
        <f>VLOOKUP(Tabel1[[#This Row],[personeelsnr]],'data hastus'!A:K,11,FALSE)</f>
        <v>Steven Storm</v>
      </c>
      <c r="F605" s="10"/>
      <c r="G605" s="7"/>
      <c r="H605" s="7"/>
      <c r="I605" s="7">
        <v>1</v>
      </c>
      <c r="S605" s="5">
        <f>SUM(Tabel1[[#This Row],[Januari]:[December]])</f>
        <v>1</v>
      </c>
      <c r="T605" s="9">
        <v>45719</v>
      </c>
      <c r="U605" s="8" t="s">
        <v>3130</v>
      </c>
      <c r="V605" s="8">
        <v>1</v>
      </c>
      <c r="W605" s="8"/>
      <c r="X605" t="s">
        <v>57</v>
      </c>
      <c r="Y605" t="s">
        <v>18</v>
      </c>
    </row>
    <row r="606" spans="1:25" x14ac:dyDescent="0.25">
      <c r="A606">
        <v>37509</v>
      </c>
      <c r="B606" t="str">
        <f>_xlfn.CONCAT(Tabel1[[#This Row],[personeelsnr]]," ",C606," ",D606)</f>
        <v>37509 Abdulkader Sabah</v>
      </c>
      <c r="C606" t="str">
        <f>VLOOKUP(Tabel1[[#This Row],[personeelsnr]],'data hastus'!$A:$C,2,0)</f>
        <v>Abdulkader</v>
      </c>
      <c r="D606" t="str">
        <f>VLOOKUP(Tabel1[[#This Row],[personeelsnr]],'data hastus'!$A:$C,3,0)</f>
        <v>Sabah</v>
      </c>
      <c r="E606" t="str">
        <f>VLOOKUP(Tabel1[[#This Row],[personeelsnr]],'data hastus'!A:K,11,FALSE)</f>
        <v>Bart Van Der Beken</v>
      </c>
      <c r="F606" s="10">
        <v>45706</v>
      </c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/>
      <c r="U606" s="8" t="s">
        <v>798</v>
      </c>
      <c r="V606" s="8">
        <v>1</v>
      </c>
      <c r="W606" s="8"/>
      <c r="X606" t="s">
        <v>57</v>
      </c>
      <c r="Y606" t="s">
        <v>202</v>
      </c>
    </row>
    <row r="607" spans="1:25" x14ac:dyDescent="0.25">
      <c r="A607">
        <v>37543</v>
      </c>
      <c r="B607" t="str">
        <f>_xlfn.CONCAT(Tabel1[[#This Row],[personeelsnr]]," ",C607," ",D607)</f>
        <v>37543 Öztürk Bilgehan</v>
      </c>
      <c r="C607" t="str">
        <f>VLOOKUP(Tabel1[[#This Row],[personeelsnr]],'data hastus'!$A:$C,2,0)</f>
        <v>Öztürk</v>
      </c>
      <c r="D607" t="str">
        <f>VLOOKUP(Tabel1[[#This Row],[personeelsnr]],'data hastus'!$A:$C,3,0)</f>
        <v>Bilgehan</v>
      </c>
      <c r="E607" t="str">
        <f>VLOOKUP(Tabel1[[#This Row],[personeelsnr]],'data hastus'!A:K,11,FALSE)</f>
        <v>Kenneth De Rick</v>
      </c>
      <c r="F607" s="10">
        <v>45703</v>
      </c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/>
      <c r="U607" s="8" t="s">
        <v>799</v>
      </c>
      <c r="V607" s="8">
        <v>1</v>
      </c>
      <c r="W607" s="8"/>
      <c r="X607" t="s">
        <v>57</v>
      </c>
      <c r="Y607" t="s">
        <v>64</v>
      </c>
    </row>
    <row r="608" spans="1:25" x14ac:dyDescent="0.25">
      <c r="A608">
        <v>19520</v>
      </c>
      <c r="B608" t="str">
        <f>_xlfn.CONCAT(Tabel1[[#This Row],[personeelsnr]]," ",C608," ",D608)</f>
        <v>19520 Van Steenbergen Kris</v>
      </c>
      <c r="C608" t="str">
        <f>VLOOKUP(Tabel1[[#This Row],[personeelsnr]],'data hastus'!$A:$C,2,0)</f>
        <v>Van Steenbergen</v>
      </c>
      <c r="D608" t="str">
        <f>VLOOKUP(Tabel1[[#This Row],[personeelsnr]],'data hastus'!$A:$C,3,0)</f>
        <v>Kris</v>
      </c>
      <c r="E608" t="str">
        <f>VLOOKUP(Tabel1[[#This Row],[personeelsnr]],'data hastus'!A:K,11,FALSE)</f>
        <v>Els Dewulf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45720</v>
      </c>
      <c r="U608" s="8" t="s">
        <v>3103</v>
      </c>
      <c r="V608" s="8">
        <v>1</v>
      </c>
      <c r="W608" s="8"/>
      <c r="X608" t="s">
        <v>57</v>
      </c>
      <c r="Y608" t="s">
        <v>61</v>
      </c>
    </row>
    <row r="609" spans="1:25" x14ac:dyDescent="0.25">
      <c r="A609">
        <v>40591</v>
      </c>
      <c r="B609" t="str">
        <f>_xlfn.CONCAT(Tabel1[[#This Row],[personeelsnr]]," ",C609," ",D609)</f>
        <v>40591 Hiloui Mahmoud</v>
      </c>
      <c r="C609" t="str">
        <f>VLOOKUP(Tabel1[[#This Row],[personeelsnr]],'data hastus'!$A:$C,2,0)</f>
        <v>Hiloui</v>
      </c>
      <c r="D609" t="str">
        <f>VLOOKUP(Tabel1[[#This Row],[personeelsnr]],'data hastus'!$A:$C,3,0)</f>
        <v>Mahmoud</v>
      </c>
      <c r="E609" t="str">
        <f>VLOOKUP(Tabel1[[#This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45721</v>
      </c>
      <c r="U609" s="8" t="s">
        <v>3134</v>
      </c>
      <c r="V609" s="8">
        <v>1</v>
      </c>
      <c r="W609" s="8"/>
      <c r="X609" t="s">
        <v>57</v>
      </c>
      <c r="Y609" t="s">
        <v>26</v>
      </c>
    </row>
    <row r="610" spans="1:25" x14ac:dyDescent="0.25">
      <c r="A610">
        <v>34019</v>
      </c>
      <c r="B610" t="str">
        <f>_xlfn.CONCAT(Tabel1[[#This Row],[personeelsnr]]," ",C610," ",D610)</f>
        <v>34019 Hoste Tom</v>
      </c>
      <c r="C610" t="str">
        <f>VLOOKUP(Tabel1[[#This Row],[personeelsnr]],'data hastus'!$A:$C,2,0)</f>
        <v>Hoste</v>
      </c>
      <c r="D610" t="str">
        <f>VLOOKUP(Tabel1[[#This Row],[personeelsnr]],'data hastus'!$A:$C,3,0)</f>
        <v>Tom</v>
      </c>
      <c r="E610" t="str">
        <f>VLOOKUP(Tabel1[[#This Row],[personeelsnr]],'data hastus'!A:K,11,FALSE)</f>
        <v>Christoff Rotty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45721</v>
      </c>
      <c r="U610" s="8" t="s">
        <v>3135</v>
      </c>
      <c r="V610" s="8">
        <v>1</v>
      </c>
      <c r="W610" s="8"/>
      <c r="X610" t="s">
        <v>57</v>
      </c>
      <c r="Y610" t="s">
        <v>87</v>
      </c>
    </row>
    <row r="611" spans="1:25" x14ac:dyDescent="0.25">
      <c r="A611">
        <v>39831</v>
      </c>
      <c r="B611" t="str">
        <f>_xlfn.CONCAT(Tabel1[[#This Row],[personeelsnr]]," ",C611," ",D611)</f>
        <v>39831 Dolgiev Mukhamed</v>
      </c>
      <c r="C611" t="str">
        <f>VLOOKUP(Tabel1[[#This Row],[personeelsnr]],'data hastus'!$A:$C,2,0)</f>
        <v>Dolgiev</v>
      </c>
      <c r="D611" t="str">
        <f>VLOOKUP(Tabel1[[#This Row],[personeelsnr]],'data hastus'!$A:$C,3,0)</f>
        <v>Mukhamed</v>
      </c>
      <c r="E611" t="str">
        <f>VLOOKUP(Tabel1[[#This Row],[personeelsnr]],'data hastus'!A:K,11,FALSE)</f>
        <v>Els Dewulf</v>
      </c>
      <c r="F611" s="10">
        <v>45710</v>
      </c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/>
      <c r="U611" s="8" t="s">
        <v>800</v>
      </c>
      <c r="V611" s="8">
        <v>1</v>
      </c>
      <c r="W611" s="8"/>
      <c r="X611" t="s">
        <v>57</v>
      </c>
      <c r="Y611" t="s">
        <v>35</v>
      </c>
    </row>
    <row r="612" spans="1:25" x14ac:dyDescent="0.25">
      <c r="A612">
        <v>39633</v>
      </c>
      <c r="B612" t="str">
        <f>_xlfn.CONCAT(Tabel1[[#This Row],[personeelsnr]]," ",C612," ",D612)</f>
        <v>39633 Duyck Kimberly</v>
      </c>
      <c r="C612" t="str">
        <f>VLOOKUP(Tabel1[[#This Row],[personeelsnr]],'data hastus'!$A:$C,2,0)</f>
        <v>Duyck</v>
      </c>
      <c r="D612" t="str">
        <f>VLOOKUP(Tabel1[[#This Row],[personeelsnr]],'data hastus'!$A:$C,3,0)</f>
        <v>Kimberly</v>
      </c>
      <c r="E612" t="str">
        <f>VLOOKUP(Tabel1[[#This Row],[personeelsnr]],'data hastus'!A:K,11,FALSE)</f>
        <v>Lucie Vande Velde</v>
      </c>
      <c r="F612" s="10">
        <v>45782</v>
      </c>
      <c r="G612" s="6"/>
      <c r="H612" s="6"/>
      <c r="I612" s="6"/>
      <c r="J612"/>
      <c r="K612">
        <v>1</v>
      </c>
      <c r="L612"/>
      <c r="M612"/>
      <c r="N612"/>
      <c r="O612"/>
      <c r="P612"/>
      <c r="Q612"/>
      <c r="R612"/>
      <c r="S612">
        <f>SUM(Tabel1[[#This Row],[Januari]:[December]])</f>
        <v>1</v>
      </c>
      <c r="T612" s="3"/>
      <c r="U612" s="8" t="s">
        <v>3209</v>
      </c>
      <c r="V612" s="8">
        <v>1</v>
      </c>
      <c r="W612" s="8"/>
      <c r="X612" t="s">
        <v>57</v>
      </c>
      <c r="Y612" t="s">
        <v>33</v>
      </c>
    </row>
    <row r="613" spans="1:25" x14ac:dyDescent="0.25">
      <c r="A613">
        <v>40058</v>
      </c>
      <c r="B613" t="str">
        <f>_xlfn.CONCAT(Tabel1[[#This Row],[personeelsnr]]," ",C613," ",D613)</f>
        <v>40058 Sögüt Can</v>
      </c>
      <c r="C613" t="str">
        <f>VLOOKUP(Tabel1[[#This Row],[personeelsnr]],'data hastus'!$A:$C,2,0)</f>
        <v>Sögüt</v>
      </c>
      <c r="D613" t="str">
        <f>VLOOKUP(Tabel1[[#This Row],[personeelsnr]],'data hastus'!$A:$C,3,0)</f>
        <v>Can</v>
      </c>
      <c r="E613" t="str">
        <f>VLOOKUP(Tabel1[[#This Row],[personeelsnr]],'data hastus'!A:K,11,FALSE)</f>
        <v>Christoff Rotty</v>
      </c>
      <c r="F613" s="10">
        <v>45660</v>
      </c>
      <c r="G613" s="6"/>
      <c r="H613" s="6"/>
      <c r="I613" s="6"/>
      <c r="J613"/>
      <c r="K613"/>
      <c r="L613"/>
      <c r="M613"/>
      <c r="N613"/>
      <c r="O613"/>
      <c r="P613"/>
      <c r="Q613"/>
      <c r="R613"/>
      <c r="S613">
        <f>SUM(Tabel1[[#This Row],[Januari]:[December]])</f>
        <v>0</v>
      </c>
      <c r="T613" s="3"/>
      <c r="U613" s="8" t="s">
        <v>801</v>
      </c>
      <c r="V613" s="8">
        <v>1</v>
      </c>
      <c r="W613" s="8"/>
      <c r="X613" t="s">
        <v>57</v>
      </c>
      <c r="Y613" t="s">
        <v>39</v>
      </c>
    </row>
    <row r="614" spans="1:25" x14ac:dyDescent="0.25">
      <c r="A614">
        <v>41092</v>
      </c>
      <c r="B614" t="str">
        <f>_xlfn.CONCAT(Tabel1[[#This Row],[personeelsnr]]," ",C614," ",D614)</f>
        <v>41092 De Keyser Dorien</v>
      </c>
      <c r="C614" t="str">
        <f>VLOOKUP(Tabel1[[#This Row],[personeelsnr]],'data hastus'!$A:$C,2,0)</f>
        <v>De Keyser</v>
      </c>
      <c r="D614" t="str">
        <f>VLOOKUP(Tabel1[[#This Row],[personeelsnr]],'data hastus'!$A:$C,3,0)</f>
        <v>Dorien</v>
      </c>
      <c r="E614" t="str">
        <f>VLOOKUP(Tabel1[[#This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SUM(Tabel1[[#This Row],[Januari]:[December]])</f>
        <v>1</v>
      </c>
      <c r="T614" s="3">
        <v>45722</v>
      </c>
      <c r="U614" s="8" t="s">
        <v>3136</v>
      </c>
      <c r="V614" s="8">
        <v>1</v>
      </c>
      <c r="W614" s="8"/>
      <c r="X614" t="s">
        <v>57</v>
      </c>
      <c r="Y614" t="s">
        <v>154</v>
      </c>
    </row>
    <row r="615" spans="1:25" x14ac:dyDescent="0.25">
      <c r="A615">
        <v>22052</v>
      </c>
      <c r="B615" t="str">
        <f>_xlfn.CONCAT(Tabel1[[#This Row],[personeelsnr]]," ",C615," ",D615)</f>
        <v>22052 Meyvaert Peter</v>
      </c>
      <c r="C615" t="str">
        <f>VLOOKUP(Tabel1[[#This Row],[personeelsnr]],'data hastus'!$A:$C,2,0)</f>
        <v>Meyvaert</v>
      </c>
      <c r="D615" t="str">
        <f>VLOOKUP(Tabel1[[#This Row],[personeelsnr]],'data hastus'!$A:$C,3,0)</f>
        <v>Peter</v>
      </c>
      <c r="E615" t="str">
        <f>VLOOKUP(Tabel1[[#This Row],[personeelsnr]],'data hastus'!A:K,11,FALSE)</f>
        <v>Els Dewulf</v>
      </c>
      <c r="F615" s="10">
        <v>45670</v>
      </c>
      <c r="G615" s="6">
        <v>1</v>
      </c>
      <c r="H615" s="6"/>
      <c r="I615" s="6"/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/>
      <c r="U615" s="8" t="s">
        <v>802</v>
      </c>
      <c r="V615" s="8">
        <v>1</v>
      </c>
      <c r="W615" s="8"/>
      <c r="X615" t="s">
        <v>57</v>
      </c>
      <c r="Y615" t="s">
        <v>35</v>
      </c>
    </row>
    <row r="616" spans="1:25" x14ac:dyDescent="0.25">
      <c r="A616">
        <v>26960</v>
      </c>
      <c r="B616" t="str">
        <f>_xlfn.CONCAT(Tabel1[[#This Row],[personeelsnr]]," ",C616," ",D616)</f>
        <v>26960 Toubadie Mossa</v>
      </c>
      <c r="C616" t="str">
        <f>VLOOKUP(Tabel1[[#This Row],[personeelsnr]],'data hastus'!$A:$C,2,0)</f>
        <v>Toubadie</v>
      </c>
      <c r="D616" t="str">
        <f>VLOOKUP(Tabel1[[#This Row],[personeelsnr]],'data hastus'!$A:$C,3,0)</f>
        <v>Mossa</v>
      </c>
      <c r="E616" t="str">
        <f>VLOOKUP(Tabel1[[#This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45722</v>
      </c>
      <c r="U616" s="8" t="s">
        <v>3137</v>
      </c>
      <c r="V616" s="8">
        <v>1</v>
      </c>
      <c r="W616" s="8"/>
      <c r="X616" t="s">
        <v>57</v>
      </c>
      <c r="Y616" t="s">
        <v>103</v>
      </c>
    </row>
    <row r="617" spans="1:25" x14ac:dyDescent="0.25">
      <c r="A617">
        <v>29674</v>
      </c>
      <c r="B617" t="str">
        <f>_xlfn.CONCAT(Tabel1[[#This Row],[personeelsnr]]," ",C617," ",D617)</f>
        <v>29674 Martens Geoffrey</v>
      </c>
      <c r="C617" t="str">
        <f>VLOOKUP(Tabel1[[#This Row],[personeelsnr]],'data hastus'!$A:$C,2,0)</f>
        <v>Martens</v>
      </c>
      <c r="D617" t="str">
        <f>VLOOKUP(Tabel1[[#This Row],[personeelsnr]],'data hastus'!$A:$C,3,0)</f>
        <v>Geoffrey</v>
      </c>
      <c r="E617" t="str">
        <f>VLOOKUP(Tabel1[[#This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45722</v>
      </c>
      <c r="U617" s="8" t="s">
        <v>3138</v>
      </c>
      <c r="V617" s="8"/>
      <c r="W617" s="8">
        <v>1</v>
      </c>
      <c r="X617" t="s">
        <v>58</v>
      </c>
      <c r="Y617" t="s">
        <v>19</v>
      </c>
    </row>
    <row r="618" spans="1:25" x14ac:dyDescent="0.25">
      <c r="A618">
        <v>37662</v>
      </c>
      <c r="B618" t="str">
        <f>_xlfn.CONCAT(Tabel1[[#This Row],[personeelsnr]]," ",C618," ",D618)</f>
        <v>37662 Van den Meerssche Steven</v>
      </c>
      <c r="C618" t="str">
        <f>VLOOKUP(Tabel1[[#This Row],[personeelsnr]],'data hastus'!$A:$C,2,0)</f>
        <v>Van den Meerssche</v>
      </c>
      <c r="D618" t="str">
        <f>VLOOKUP(Tabel1[[#This Row],[personeelsnr]],'data hastus'!$A:$C,3,0)</f>
        <v>Steven</v>
      </c>
      <c r="E618" t="str">
        <f>VLOOKUP(Tabel1[[#This Row],[personeelsnr]],'data hastus'!A:K,11,FALSE)</f>
        <v>Bart Van Der Beken</v>
      </c>
      <c r="F618" s="10">
        <v>45783</v>
      </c>
      <c r="G618" s="6"/>
      <c r="H618" s="6"/>
      <c r="I618" s="6"/>
      <c r="J618"/>
      <c r="K618">
        <v>1</v>
      </c>
      <c r="L618"/>
      <c r="M618"/>
      <c r="N618"/>
      <c r="O618"/>
      <c r="P618"/>
      <c r="Q618"/>
      <c r="R618"/>
      <c r="S618">
        <f>SUM(Tabel1[[#This Row],[Januari]:[December]])</f>
        <v>1</v>
      </c>
      <c r="T618" s="3"/>
      <c r="U618" s="8" t="s">
        <v>3208</v>
      </c>
      <c r="V618" s="8">
        <v>1</v>
      </c>
      <c r="W618" s="8"/>
      <c r="X618" t="s">
        <v>57</v>
      </c>
      <c r="Y618" t="s">
        <v>20</v>
      </c>
    </row>
    <row r="619" spans="1:25" x14ac:dyDescent="0.25">
      <c r="A619">
        <v>21509</v>
      </c>
      <c r="B619" t="str">
        <f>_xlfn.CONCAT(Tabel1[[#This Row],[personeelsnr]]," ",C619," ",D619)</f>
        <v>21509 De Craemer Kris</v>
      </c>
      <c r="C619" t="str">
        <f>VLOOKUP(Tabel1[[#This Row],[personeelsnr]],'data hastus'!$A:$C,2,0)</f>
        <v>De Craemer</v>
      </c>
      <c r="D619" t="str">
        <f>VLOOKUP(Tabel1[[#This Row],[personeelsnr]],'data hastus'!$A:$C,3,0)</f>
        <v>Kris</v>
      </c>
      <c r="E619" t="str">
        <f>VLOOKUP(Tabel1[[#This Row],[personeelsnr]],'data hastus'!A:K,11,FALSE)</f>
        <v>Dominique De Clercq</v>
      </c>
      <c r="F619" s="10">
        <v>45684</v>
      </c>
      <c r="G619" s="6"/>
      <c r="H619" s="6"/>
      <c r="I619" s="6"/>
      <c r="J619"/>
      <c r="K619"/>
      <c r="L619"/>
      <c r="M619"/>
      <c r="N619"/>
      <c r="O619"/>
      <c r="P619"/>
      <c r="Q619"/>
      <c r="R619"/>
      <c r="S619">
        <f>SUM(Tabel1[[#This Row],[Januari]:[December]])</f>
        <v>0</v>
      </c>
      <c r="T619" s="3"/>
      <c r="U619" s="8" t="s">
        <v>803</v>
      </c>
      <c r="V619" s="8"/>
      <c r="W619" s="8">
        <v>1</v>
      </c>
      <c r="X619" t="s">
        <v>58</v>
      </c>
      <c r="Y619" t="s">
        <v>34</v>
      </c>
    </row>
    <row r="620" spans="1:25" x14ac:dyDescent="0.25">
      <c r="A620">
        <v>28737</v>
      </c>
      <c r="B620" t="str">
        <f>_xlfn.CONCAT(Tabel1[[#This Row],[personeelsnr]]," ",C620," ",D620)</f>
        <v>28737 El-Mohamed Mohamed</v>
      </c>
      <c r="C620" t="str">
        <f>VLOOKUP(Tabel1[[#This Row],[personeelsnr]],'data hastus'!$A:$C,2,0)</f>
        <v>El-Mohamed</v>
      </c>
      <c r="D620" t="str">
        <f>VLOOKUP(Tabel1[[#This Row],[personeelsnr]],'data hastus'!$A:$C,3,0)</f>
        <v>Mohamed</v>
      </c>
      <c r="E620" t="str">
        <f>VLOOKUP(Tabel1[[#This Row],[personeelsnr]],'data hastus'!A:K,11,FALSE)</f>
        <v>Lucie Vande Velde</v>
      </c>
      <c r="F620" s="10">
        <v>45715</v>
      </c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/>
      <c r="U620" s="8" t="s">
        <v>804</v>
      </c>
      <c r="V620" s="8"/>
      <c r="W620" s="8">
        <v>1</v>
      </c>
      <c r="X620" t="s">
        <v>58</v>
      </c>
      <c r="Y620" t="s">
        <v>127</v>
      </c>
    </row>
    <row r="621" spans="1:25" x14ac:dyDescent="0.25">
      <c r="A621">
        <v>16897</v>
      </c>
      <c r="B621" t="str">
        <f>_xlfn.CONCAT(Tabel1[[#This Row],[personeelsnr]]," ",C621," ",D621)</f>
        <v>16897 VandenDaele Andy</v>
      </c>
      <c r="C621" t="str">
        <f>VLOOKUP(Tabel1[[#This Row],[personeelsnr]],'data hastus'!$A:$C,2,0)</f>
        <v>VandenDaele</v>
      </c>
      <c r="D621" t="str">
        <f>VLOOKUP(Tabel1[[#This Row],[personeelsnr]],'data hastus'!$A:$C,3,0)</f>
        <v>Andy</v>
      </c>
      <c r="E621" t="str">
        <f>VLOOKUP(Tabel1[[#This Row],[personeelsnr]],'data hastus'!A:K,11,FALSE)</f>
        <v>Steven Storm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45722</v>
      </c>
      <c r="U621" s="8" t="s">
        <v>3139</v>
      </c>
      <c r="V621" s="8">
        <v>1</v>
      </c>
      <c r="W621" s="8"/>
      <c r="X621" t="s">
        <v>57</v>
      </c>
      <c r="Y621" t="s">
        <v>27</v>
      </c>
    </row>
    <row r="622" spans="1:25" x14ac:dyDescent="0.25">
      <c r="A622">
        <v>29646</v>
      </c>
      <c r="B622" t="str">
        <f>_xlfn.CONCAT(Tabel1[[#This Row],[personeelsnr]]," ",C622," ",D622)</f>
        <v>29646 Özer Mesut</v>
      </c>
      <c r="C622" t="str">
        <f>VLOOKUP(Tabel1[[#This Row],[personeelsnr]],'data hastus'!$A:$C,2,0)</f>
        <v>Özer</v>
      </c>
      <c r="D622" t="str">
        <f>VLOOKUP(Tabel1[[#This Row],[personeelsnr]],'data hastus'!$A:$C,3,0)</f>
        <v>Mesut</v>
      </c>
      <c r="E622" t="str">
        <f>VLOOKUP(Tabel1[[#This Row],[personeelsnr]],'data hastus'!A:K,11,FALSE)</f>
        <v>Dominique De Clercq</v>
      </c>
      <c r="F622" s="10">
        <v>45836</v>
      </c>
      <c r="G622" s="7"/>
      <c r="H622" s="7"/>
      <c r="I622" s="7"/>
      <c r="L622" s="5">
        <v>1</v>
      </c>
      <c r="S622" s="5">
        <f>SUM(Tabel1[[#This Row],[Januari]:[December]])</f>
        <v>1</v>
      </c>
      <c r="U622" s="8" t="s">
        <v>3247</v>
      </c>
      <c r="V622" s="24">
        <v>1</v>
      </c>
      <c r="W622" s="24"/>
      <c r="X622" t="s">
        <v>57</v>
      </c>
      <c r="Y622" t="s">
        <v>2898</v>
      </c>
    </row>
    <row r="623" spans="1:25" x14ac:dyDescent="0.25">
      <c r="A623">
        <v>32091</v>
      </c>
      <c r="B623" t="str">
        <f>_xlfn.CONCAT(Tabel1[[#This Row],[personeelsnr]]," ",C623," ",D623)</f>
        <v>32091 Köroglu Ercan</v>
      </c>
      <c r="C623" t="str">
        <f>VLOOKUP(Tabel1[[#This Row],[personeelsnr]],'data hastus'!$A:$C,2,0)</f>
        <v>Köroglu</v>
      </c>
      <c r="D623" t="str">
        <f>VLOOKUP(Tabel1[[#This Row],[personeelsnr]],'data hastus'!$A:$C,3,0)</f>
        <v>Ercan</v>
      </c>
      <c r="E623" t="str">
        <f>VLOOKUP(Tabel1[[#This Row],[personeelsnr]],'data hastus'!A:K,11,FALSE)</f>
        <v>Kenneth De Rick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45722</v>
      </c>
      <c r="U623" s="8" t="s">
        <v>3117</v>
      </c>
      <c r="V623" s="8">
        <v>1</v>
      </c>
      <c r="W623" s="8"/>
      <c r="X623" t="s">
        <v>57</v>
      </c>
      <c r="Y623" t="s">
        <v>18</v>
      </c>
    </row>
    <row r="624" spans="1:25" x14ac:dyDescent="0.25">
      <c r="A624">
        <v>19249</v>
      </c>
      <c r="B624" t="str">
        <f>_xlfn.CONCAT(Tabel1[[#This Row],[personeelsnr]]," ",C624," ",D624)</f>
        <v>19249 Odaci Kadir</v>
      </c>
      <c r="C624" t="str">
        <f>VLOOKUP(Tabel1[[#This Row],[personeelsnr]],'data hastus'!$A:$C,2,0)</f>
        <v>Odaci</v>
      </c>
      <c r="D624" t="str">
        <f>VLOOKUP(Tabel1[[#This Row],[personeelsnr]],'data hastus'!$A:$C,3,0)</f>
        <v>Kadir</v>
      </c>
      <c r="E624" t="str">
        <f>VLOOKUP(Tabel1[[#This Row],[personeelsnr]],'data hastus'!A:K,11,FALSE)</f>
        <v>Lucie Vande Velde</v>
      </c>
      <c r="F624" s="10">
        <v>45674</v>
      </c>
      <c r="G624" s="6">
        <v>1</v>
      </c>
      <c r="H624" s="6"/>
      <c r="I624" s="6"/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/>
      <c r="U624" s="8" t="s">
        <v>805</v>
      </c>
      <c r="V624" s="8"/>
      <c r="W624" s="8">
        <v>1</v>
      </c>
      <c r="X624" t="s">
        <v>58</v>
      </c>
      <c r="Y624" t="s">
        <v>126</v>
      </c>
    </row>
    <row r="625" spans="1:25" x14ac:dyDescent="0.25">
      <c r="A625">
        <v>40939</v>
      </c>
      <c r="B625" t="str">
        <f>_xlfn.CONCAT(Tabel1[[#This Row],[personeelsnr]]," ",C625," ",D625)</f>
        <v>40939 Cisse Sayon</v>
      </c>
      <c r="C625" t="str">
        <f>VLOOKUP(Tabel1[[#This Row],[personeelsnr]],'data hastus'!$A:$C,2,0)</f>
        <v>Cisse</v>
      </c>
      <c r="D625" t="str">
        <f>VLOOKUP(Tabel1[[#This Row],[personeelsnr]],'data hastus'!$A:$C,3,0)</f>
        <v>Sayon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45725</v>
      </c>
      <c r="U625" s="8" t="s">
        <v>3141</v>
      </c>
      <c r="V625" s="8">
        <v>1</v>
      </c>
      <c r="W625" s="8"/>
      <c r="X625" t="s">
        <v>57</v>
      </c>
      <c r="Y625" t="s">
        <v>21</v>
      </c>
    </row>
    <row r="626" spans="1:25" x14ac:dyDescent="0.25">
      <c r="A626">
        <v>35588</v>
      </c>
      <c r="B626" t="str">
        <f>_xlfn.CONCAT(Tabel1[[#This Row],[personeelsnr]]," ",C626," ",D626)</f>
        <v>35588 Smesman Glenn</v>
      </c>
      <c r="C626" t="str">
        <f>VLOOKUP(Tabel1[[#This Row],[personeelsnr]],'data hastus'!$A:$C,2,0)</f>
        <v>Smesman</v>
      </c>
      <c r="D626" t="str">
        <f>VLOOKUP(Tabel1[[#This Row],[personeelsnr]],'data hastus'!$A:$C,3,0)</f>
        <v>Glenn</v>
      </c>
      <c r="E626" t="str">
        <f>VLOOKUP(Tabel1[[#This Row],[personeelsnr]],'data hastus'!A:K,11,FALSE)</f>
        <v>Lucie Vande Velde</v>
      </c>
      <c r="F626" s="10">
        <v>45675</v>
      </c>
      <c r="G626" s="6">
        <v>1</v>
      </c>
      <c r="H626" s="6"/>
      <c r="I626" s="6"/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/>
      <c r="U626" s="8" t="s">
        <v>806</v>
      </c>
      <c r="V626" s="8"/>
      <c r="W626" s="8">
        <v>1</v>
      </c>
      <c r="X626" t="s">
        <v>58</v>
      </c>
      <c r="Y626" t="s">
        <v>27</v>
      </c>
    </row>
    <row r="627" spans="1:25" x14ac:dyDescent="0.25">
      <c r="A627">
        <v>28910</v>
      </c>
      <c r="B627" t="str">
        <f>_xlfn.CONCAT(Tabel1[[#This Row],[personeelsnr]]," ",C627," ",D627)</f>
        <v>28910 Gassa Osmane</v>
      </c>
      <c r="C627" t="str">
        <f>VLOOKUP(Tabel1[[#This Row],[personeelsnr]],'data hastus'!$A:$C,2,0)</f>
        <v>Gassa</v>
      </c>
      <c r="D627" t="str">
        <f>VLOOKUP(Tabel1[[#This Row],[personeelsnr]],'data hastus'!$A:$C,3,0)</f>
        <v>Osmane</v>
      </c>
      <c r="E627" t="str">
        <f>VLOOKUP(Tabel1[[#This Row],[personeelsnr]],'data hastus'!A:K,11,FALSE)</f>
        <v>Bart Van Der Beken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45725</v>
      </c>
      <c r="U627" s="8" t="s">
        <v>3140</v>
      </c>
      <c r="V627" s="8">
        <v>1</v>
      </c>
      <c r="W627" s="8"/>
      <c r="X627" t="s">
        <v>57</v>
      </c>
      <c r="Y627" t="s">
        <v>143</v>
      </c>
    </row>
    <row r="628" spans="1:25" x14ac:dyDescent="0.25">
      <c r="A628">
        <v>25487</v>
      </c>
      <c r="B628" t="str">
        <f>_xlfn.CONCAT(Tabel1[[#This Row],[personeelsnr]]," ",C628," ",D628)</f>
        <v>25487 Devos Stefaan</v>
      </c>
      <c r="C628" t="str">
        <f>VLOOKUP(Tabel1[[#This Row],[personeelsnr]],'data hastus'!$A:$C,2,0)</f>
        <v>Devos</v>
      </c>
      <c r="D628" t="str">
        <f>VLOOKUP(Tabel1[[#This Row],[personeelsnr]],'data hastus'!$A:$C,3,0)</f>
        <v>Stefaan</v>
      </c>
      <c r="E628" t="str">
        <f>VLOOKUP(Tabel1[[#This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45725</v>
      </c>
      <c r="U628" s="8" t="s">
        <v>3124</v>
      </c>
      <c r="V628" s="8"/>
      <c r="W628" s="8">
        <v>1</v>
      </c>
      <c r="X628" t="s">
        <v>58</v>
      </c>
      <c r="Y628" t="s">
        <v>228</v>
      </c>
    </row>
    <row r="629" spans="1:25" x14ac:dyDescent="0.25">
      <c r="A629">
        <v>35645</v>
      </c>
      <c r="B629" t="str">
        <f>_xlfn.CONCAT(Tabel1[[#This Row],[personeelsnr]]," ",C629," ",D629)</f>
        <v>35645 Jalili Yaseeb</v>
      </c>
      <c r="C629" t="str">
        <f>VLOOKUP(Tabel1[[#This Row],[personeelsnr]],'data hastus'!$A:$C,2,0)</f>
        <v>Jalili</v>
      </c>
      <c r="D629" t="str">
        <f>VLOOKUP(Tabel1[[#This Row],[personeelsnr]],'data hastus'!$A:$C,3,0)</f>
        <v>Yaseeb</v>
      </c>
      <c r="E629" t="str">
        <f>VLOOKUP(Tabel1[[#This Row],[personeelsnr]],'data hastus'!A:K,11,FALSE)</f>
        <v>Steven Storm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45726</v>
      </c>
      <c r="U629" s="8" t="s">
        <v>3142</v>
      </c>
      <c r="V629" s="8">
        <v>1</v>
      </c>
      <c r="W629" s="8"/>
      <c r="X629" t="s">
        <v>57</v>
      </c>
      <c r="Y629" t="s">
        <v>52</v>
      </c>
    </row>
    <row r="630" spans="1:25" x14ac:dyDescent="0.25">
      <c r="A630">
        <v>40138</v>
      </c>
      <c r="B630" t="str">
        <f>_xlfn.CONCAT(Tabel1[[#This Row],[personeelsnr]]," ",C630," ",D630)</f>
        <v>40138 Moerman Tjimmy</v>
      </c>
      <c r="C630" t="str">
        <f>VLOOKUP(Tabel1[[#This Row],[personeelsnr]],'data hastus'!$A:$C,2,0)</f>
        <v>Moerman</v>
      </c>
      <c r="D630" t="str">
        <f>VLOOKUP(Tabel1[[#This Row],[personeelsnr]],'data hastus'!$A:$C,3,0)</f>
        <v>Tjimmy</v>
      </c>
      <c r="E630" t="str">
        <f>VLOOKUP(Tabel1[[#This Row],[personeelsnr]],'data hastus'!A:K,11,FALSE)</f>
        <v>Christoff Rotty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45727</v>
      </c>
      <c r="U630" s="8" t="s">
        <v>3115</v>
      </c>
      <c r="V630" s="8">
        <v>1</v>
      </c>
      <c r="W630" s="8"/>
      <c r="X630" t="s">
        <v>57</v>
      </c>
      <c r="Y630" t="s">
        <v>61</v>
      </c>
    </row>
    <row r="631" spans="1:25" x14ac:dyDescent="0.25">
      <c r="A631">
        <v>39532</v>
      </c>
      <c r="B631" t="str">
        <f>_xlfn.CONCAT(Tabel1[[#This Row],[personeelsnr]]," ",C631," ",D631)</f>
        <v>39532 Sahin Orhan</v>
      </c>
      <c r="C631" t="str">
        <f>VLOOKUP(Tabel1[[#This Row],[personeelsnr]],'data hastus'!$A:$C,2,0)</f>
        <v>Sahin</v>
      </c>
      <c r="D631" t="str">
        <f>VLOOKUP(Tabel1[[#This Row],[personeelsnr]],'data hastus'!$A:$C,3,0)</f>
        <v>Orhan</v>
      </c>
      <c r="E631" t="str">
        <f>VLOOKUP(Tabel1[[#This Row],[personeelsnr]],'data hastus'!A:K,11,FALSE)</f>
        <v>Christoff Rotty</v>
      </c>
      <c r="F631" s="10"/>
      <c r="G631" s="7"/>
      <c r="H631" s="7"/>
      <c r="I631" s="7">
        <v>1</v>
      </c>
      <c r="S631" s="5">
        <f>SUM(Tabel1[[#This Row],[Januari]:[December]])</f>
        <v>1</v>
      </c>
      <c r="T631" s="9">
        <v>45728</v>
      </c>
      <c r="U631" s="8" t="s">
        <v>3111</v>
      </c>
      <c r="V631" s="8">
        <v>1</v>
      </c>
      <c r="W631" s="8"/>
      <c r="X631" t="s">
        <v>57</v>
      </c>
      <c r="Y631" t="s">
        <v>51</v>
      </c>
    </row>
    <row r="632" spans="1:25" x14ac:dyDescent="0.25">
      <c r="A632">
        <v>35379</v>
      </c>
      <c r="B632" t="str">
        <f>_xlfn.CONCAT(Tabel1[[#This Row],[personeelsnr]]," ",C632," ",D632)</f>
        <v>35379 Engels Sam</v>
      </c>
      <c r="C632" t="str">
        <f>VLOOKUP(Tabel1[[#This Row],[personeelsnr]],'data hastus'!$A:$C,2,0)</f>
        <v>Engels</v>
      </c>
      <c r="D632" t="str">
        <f>VLOOKUP(Tabel1[[#This Row],[personeelsnr]],'data hastus'!$A:$C,3,0)</f>
        <v>Sam</v>
      </c>
      <c r="E632" t="str">
        <f>VLOOKUP(Tabel1[[#This Row],[personeelsnr]],'data hastus'!A:K,11,FALSE)</f>
        <v>Els Vanhoe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45729</v>
      </c>
      <c r="U632" s="8" t="s">
        <v>3112</v>
      </c>
      <c r="V632" s="8">
        <v>1</v>
      </c>
      <c r="W632" s="8"/>
      <c r="X632" t="s">
        <v>57</v>
      </c>
      <c r="Y632" t="s">
        <v>116</v>
      </c>
    </row>
    <row r="633" spans="1:25" x14ac:dyDescent="0.25">
      <c r="A633">
        <v>37662</v>
      </c>
      <c r="B633" t="str">
        <f>_xlfn.CONCAT(Tabel1[[#This Row],[personeelsnr]]," ",C633," ",D633)</f>
        <v>37662 Van den Meerssche Steven</v>
      </c>
      <c r="C633" t="str">
        <f>VLOOKUP(Tabel1[[#This Row],[personeelsnr]],'data hastus'!$A:$C,2,0)</f>
        <v>Van den Meerssche</v>
      </c>
      <c r="D633" t="str">
        <f>VLOOKUP(Tabel1[[#This Row],[personeelsnr]],'data hastus'!$A:$C,3,0)</f>
        <v>Steven</v>
      </c>
      <c r="E633" t="str">
        <f>VLOOKUP(Tabel1[[#This Row],[personeelsnr]],'data hastus'!A:K,11,FALSE)</f>
        <v>Bart Van Der Beken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45729</v>
      </c>
      <c r="U633" s="8" t="s">
        <v>3118</v>
      </c>
      <c r="V633" s="8">
        <v>1</v>
      </c>
      <c r="W633" s="8"/>
      <c r="X633" t="s">
        <v>57</v>
      </c>
      <c r="Y633" t="s">
        <v>169</v>
      </c>
    </row>
    <row r="634" spans="1:25" x14ac:dyDescent="0.25">
      <c r="A634" s="15">
        <v>41246</v>
      </c>
      <c r="B634" s="15" t="str">
        <f>_xlfn.CONCAT(Tabel1[[#This Row],[personeelsnr]]," ",C634," ",D634)</f>
        <v>41246 Van Holsbeeck Yana</v>
      </c>
      <c r="C634" s="15" t="str">
        <f>VLOOKUP(Tabel1[[#This Row],[personeelsnr]],'data hastus'!$A:$C,2,0)</f>
        <v>Van Holsbeeck</v>
      </c>
      <c r="D634" s="15" t="str">
        <f>VLOOKUP(Tabel1[[#This Row],[personeelsnr]],'data hastus'!$A:$C,3,0)</f>
        <v>Yana</v>
      </c>
      <c r="E634" s="15" t="str">
        <f>VLOOKUP(Tabel1[[#This Row],[personeelsnr]],'data hastus'!A:K,11,FALSE)</f>
        <v>Dominique De Clercq</v>
      </c>
      <c r="F634" s="16"/>
      <c r="G634" s="17"/>
      <c r="H634" s="17"/>
      <c r="I634" s="17">
        <v>1</v>
      </c>
      <c r="J634" s="18"/>
      <c r="K634" s="18"/>
      <c r="L634" s="18"/>
      <c r="M634" s="18"/>
      <c r="N634" s="18"/>
      <c r="O634" s="18"/>
      <c r="P634" s="18"/>
      <c r="Q634" s="18"/>
      <c r="R634" s="18"/>
      <c r="S634" s="18">
        <f>SUM(Tabel1[[#This Row],[Januari]:[December]])</f>
        <v>1</v>
      </c>
      <c r="T634" s="19">
        <v>45732</v>
      </c>
      <c r="U634" s="20" t="s">
        <v>3102</v>
      </c>
      <c r="V634" s="8">
        <v>1</v>
      </c>
      <c r="W634" s="20"/>
      <c r="X634" t="s">
        <v>57</v>
      </c>
      <c r="Y634" s="15" t="s">
        <v>102</v>
      </c>
    </row>
    <row r="635" spans="1:25" x14ac:dyDescent="0.25">
      <c r="A635">
        <v>36635</v>
      </c>
      <c r="B635" t="str">
        <f>_xlfn.CONCAT(Tabel1[[#This Row],[personeelsnr]]," ",C635," ",D635)</f>
        <v>36635 Fadel Husam</v>
      </c>
      <c r="C635" t="str">
        <f>VLOOKUP(Tabel1[[#This Row],[personeelsnr]],'data hastus'!$A:$C,2,0)</f>
        <v>Fadel</v>
      </c>
      <c r="D635" t="str">
        <f>VLOOKUP(Tabel1[[#This Row],[personeelsnr]],'data hastus'!$A:$C,3,0)</f>
        <v>Husam</v>
      </c>
      <c r="E635" t="str">
        <f>VLOOKUP(Tabel1[[#This Row],[personeelsnr]],'data hastus'!A:K,11,FALSE)</f>
        <v>Kenneth De Rick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45733</v>
      </c>
      <c r="U635" s="8" t="s">
        <v>3128</v>
      </c>
      <c r="V635" s="8"/>
      <c r="W635" s="8">
        <v>1</v>
      </c>
      <c r="X635" t="s">
        <v>58</v>
      </c>
      <c r="Y635" t="s">
        <v>68</v>
      </c>
    </row>
    <row r="636" spans="1:25" x14ac:dyDescent="0.25">
      <c r="A636">
        <v>41064</v>
      </c>
      <c r="B636" t="str">
        <f>_xlfn.CONCAT(Tabel1[[#This Row],[personeelsnr]]," ",C636," ",D636)</f>
        <v>41064 Ardic Atilla</v>
      </c>
      <c r="C636" t="str">
        <f>VLOOKUP(Tabel1[[#This Row],[personeelsnr]],'data hastus'!$A:$C,2,0)</f>
        <v>Ardic</v>
      </c>
      <c r="D636" t="str">
        <f>VLOOKUP(Tabel1[[#This Row],[personeelsnr]],'data hastus'!$A:$C,3,0)</f>
        <v>Atilla</v>
      </c>
      <c r="E636" t="str">
        <f>VLOOKUP(Tabel1[[#This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45734</v>
      </c>
      <c r="U636" s="8" t="s">
        <v>3105</v>
      </c>
      <c r="V636" s="8">
        <v>1</v>
      </c>
      <c r="W636" s="8"/>
      <c r="X636" t="s">
        <v>57</v>
      </c>
      <c r="Y636" t="s">
        <v>18</v>
      </c>
    </row>
    <row r="637" spans="1:25" x14ac:dyDescent="0.25">
      <c r="A637">
        <v>41012</v>
      </c>
      <c r="B637" t="str">
        <f>_xlfn.CONCAT(Tabel1[[#This Row],[personeelsnr]]," ",C637," ",D637)</f>
        <v>41012 Natad Younes</v>
      </c>
      <c r="C637" t="str">
        <f>VLOOKUP(Tabel1[[#This Row],[personeelsnr]],'data hastus'!$A:$C,2,0)</f>
        <v>Natad</v>
      </c>
      <c r="D637" t="str">
        <f>VLOOKUP(Tabel1[[#This Row],[personeelsnr]],'data hastus'!$A:$C,3,0)</f>
        <v>Younes</v>
      </c>
      <c r="E637" t="str">
        <f>VLOOKUP(Tabel1[[#This Row],[personeelsnr]],'data hastus'!A:K,11,FALSE)</f>
        <v>Els Vanhoe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45734</v>
      </c>
      <c r="U637" s="8" t="s">
        <v>3108</v>
      </c>
      <c r="V637" s="8">
        <v>1</v>
      </c>
      <c r="W637" s="8"/>
      <c r="X637" t="s">
        <v>57</v>
      </c>
      <c r="Y637" t="s">
        <v>24</v>
      </c>
    </row>
    <row r="638" spans="1:25" x14ac:dyDescent="0.25">
      <c r="A638">
        <v>39677</v>
      </c>
      <c r="B638" t="str">
        <f>_xlfn.CONCAT(Tabel1[[#This Row],[personeelsnr]]," ",C638," ",D638)</f>
        <v>39677 Tacq Joey</v>
      </c>
      <c r="C638" t="str">
        <f>VLOOKUP(Tabel1[[#This Row],[personeelsnr]],'data hastus'!$A:$C,2,0)</f>
        <v>Tacq</v>
      </c>
      <c r="D638" t="str">
        <f>VLOOKUP(Tabel1[[#This Row],[personeelsnr]],'data hastus'!$A:$C,3,0)</f>
        <v>Joey</v>
      </c>
      <c r="E638" t="str">
        <f>VLOOKUP(Tabel1[[#This Row],[personeelsnr]],'data hastus'!A:K,11,FALSE)</f>
        <v>Kenneth De Rick</v>
      </c>
      <c r="F638" s="10">
        <v>45754</v>
      </c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/>
      <c r="U638" s="8" t="s">
        <v>3143</v>
      </c>
      <c r="V638" s="8">
        <v>1</v>
      </c>
      <c r="W638" s="8"/>
      <c r="X638" t="s">
        <v>57</v>
      </c>
      <c r="Y638" t="s">
        <v>152</v>
      </c>
    </row>
    <row r="639" spans="1:25" x14ac:dyDescent="0.25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45734</v>
      </c>
      <c r="U639" s="8" t="s">
        <v>3116</v>
      </c>
      <c r="V639" s="8">
        <v>1</v>
      </c>
      <c r="W639" s="8"/>
      <c r="X639" t="s">
        <v>57</v>
      </c>
      <c r="Y639" t="s">
        <v>142</v>
      </c>
    </row>
    <row r="640" spans="1:25" x14ac:dyDescent="0.25">
      <c r="A640">
        <v>35246</v>
      </c>
      <c r="B640" t="str">
        <f>_xlfn.CONCAT(Tabel1[[#This Row],[personeelsnr]]," ",C640," ",D640)</f>
        <v>35246 De Meyer Karel</v>
      </c>
      <c r="C640" t="str">
        <f>VLOOKUP(Tabel1[[#This Row],[personeelsnr]],'data hastus'!$A:$C,2,0)</f>
        <v>De Meyer</v>
      </c>
      <c r="D640" t="str">
        <f>VLOOKUP(Tabel1[[#This Row],[personeelsnr]],'data hastus'!$A:$C,3,0)</f>
        <v>Karel</v>
      </c>
      <c r="E640" t="str">
        <f>VLOOKUP(Tabel1[[#This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45734</v>
      </c>
      <c r="U640" s="8" t="s">
        <v>3122</v>
      </c>
      <c r="V640" s="8">
        <v>1</v>
      </c>
      <c r="W640" s="8"/>
      <c r="X640" t="s">
        <v>57</v>
      </c>
      <c r="Y640" t="s">
        <v>95</v>
      </c>
    </row>
    <row r="641" spans="1:25" x14ac:dyDescent="0.25">
      <c r="A641">
        <v>35450</v>
      </c>
      <c r="B641" t="str">
        <f>_xlfn.CONCAT(Tabel1[[#This Row],[personeelsnr]]," ",C641," ",D641)</f>
        <v>35450 Roos Hugo</v>
      </c>
      <c r="C641" t="str">
        <f>VLOOKUP(Tabel1[[#This Row],[personeelsnr]],'data hastus'!$A:$C,2,0)</f>
        <v>Roos</v>
      </c>
      <c r="D641" t="str">
        <f>VLOOKUP(Tabel1[[#This Row],[personeelsnr]],'data hastus'!$A:$C,3,0)</f>
        <v>Hugo</v>
      </c>
      <c r="E641" t="str">
        <f>VLOOKUP(Tabel1[[#This Row],[personeelsnr]],'data hastus'!A:K,11,FALSE)</f>
        <v>Els Dewulf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45735</v>
      </c>
      <c r="U641" s="8" t="s">
        <v>3106</v>
      </c>
      <c r="V641" s="8">
        <v>1</v>
      </c>
      <c r="W641" s="8"/>
      <c r="X641" t="s">
        <v>57</v>
      </c>
      <c r="Y641" t="s">
        <v>166</v>
      </c>
    </row>
    <row r="642" spans="1:25" x14ac:dyDescent="0.25">
      <c r="A642">
        <v>35216</v>
      </c>
      <c r="B642" t="str">
        <f>_xlfn.CONCAT(Tabel1[[#This Row],[personeelsnr]]," ",C642," ",D642)</f>
        <v>35216 Coban Mehmet</v>
      </c>
      <c r="C642" t="str">
        <f>VLOOKUP(Tabel1[[#This Row],[personeelsnr]],'data hastus'!$A:$C,2,0)</f>
        <v>Coban</v>
      </c>
      <c r="D642" t="str">
        <f>VLOOKUP(Tabel1[[#This Row],[personeelsnr]],'data hastus'!$A:$C,3,0)</f>
        <v>Mehmet</v>
      </c>
      <c r="E642" t="str">
        <f>VLOOKUP(Tabel1[[#This Row],[personeelsnr]],'data hastus'!A:K,11,FALSE)</f>
        <v>Lucie Vande Velde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45735</v>
      </c>
      <c r="U642" s="8" t="s">
        <v>3123</v>
      </c>
      <c r="V642" s="8">
        <v>1</v>
      </c>
      <c r="W642" s="8"/>
      <c r="X642" t="s">
        <v>57</v>
      </c>
      <c r="Y642" t="s">
        <v>181</v>
      </c>
    </row>
    <row r="643" spans="1:25" x14ac:dyDescent="0.25">
      <c r="A643">
        <v>41520</v>
      </c>
      <c r="B643" t="str">
        <f>_xlfn.CONCAT(Tabel1[[#This Row],[personeelsnr]]," ",C643," ",D643)</f>
        <v>41520 Smets Avery</v>
      </c>
      <c r="C643" t="str">
        <f>VLOOKUP(Tabel1[[#This Row],[personeelsnr]],'data hastus'!$A:$C,2,0)</f>
        <v>Smets</v>
      </c>
      <c r="D643" t="str">
        <f>VLOOKUP(Tabel1[[#This Row],[personeelsnr]],'data hastus'!$A:$C,3,0)</f>
        <v>Avery</v>
      </c>
      <c r="E643" t="str">
        <f>VLOOKUP(Tabel1[[#This Row],[personeelsnr]],'data hastus'!A:K,11,FALSE)</f>
        <v>Christoff Rotty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45736</v>
      </c>
      <c r="U643" s="8" t="s">
        <v>3131</v>
      </c>
      <c r="V643" s="8">
        <v>1</v>
      </c>
      <c r="W643" s="8"/>
      <c r="X643" t="s">
        <v>57</v>
      </c>
      <c r="Y643" t="s">
        <v>182</v>
      </c>
    </row>
    <row r="644" spans="1:25" x14ac:dyDescent="0.25">
      <c r="A644">
        <v>32611</v>
      </c>
      <c r="B644" t="str">
        <f>_xlfn.CONCAT(Tabel1[[#This Row],[personeelsnr]]," ",C644," ",D644)</f>
        <v>32611 Özer Özgur</v>
      </c>
      <c r="C644" t="str">
        <f>VLOOKUP(Tabel1[[#This Row],[personeelsnr]],'data hastus'!$A:$C,2,0)</f>
        <v>Özer</v>
      </c>
      <c r="D644" t="str">
        <f>VLOOKUP(Tabel1[[#This Row],[personeelsnr]],'data hastus'!$A:$C,3,0)</f>
        <v>Özgur</v>
      </c>
      <c r="E644" t="str">
        <f>VLOOKUP(Tabel1[[#This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45737</v>
      </c>
      <c r="U644" s="8" t="s">
        <v>3121</v>
      </c>
      <c r="V644" s="8">
        <v>1</v>
      </c>
      <c r="W644" s="8"/>
      <c r="X644" t="s">
        <v>57</v>
      </c>
      <c r="Y644" t="s">
        <v>88</v>
      </c>
    </row>
    <row r="645" spans="1:25" x14ac:dyDescent="0.25">
      <c r="A645">
        <v>37809</v>
      </c>
      <c r="B645" t="str">
        <f>_xlfn.CONCAT(Tabel1[[#This Row],[personeelsnr]]," ",C645," ",D645)</f>
        <v>37809 Sturtewagen Kenny</v>
      </c>
      <c r="C645" t="str">
        <f>VLOOKUP(Tabel1[[#This Row],[personeelsnr]],'data hastus'!$A:$C,2,0)</f>
        <v>Sturtewagen</v>
      </c>
      <c r="D645" t="str">
        <f>VLOOKUP(Tabel1[[#This Row],[personeelsnr]],'data hastus'!$A:$C,3,0)</f>
        <v>Kenny</v>
      </c>
      <c r="E645" t="str">
        <f>VLOOKUP(Tabel1[[#This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45740</v>
      </c>
      <c r="U645" s="8" t="s">
        <v>3110</v>
      </c>
      <c r="V645" s="8">
        <v>1</v>
      </c>
      <c r="W645" s="8"/>
      <c r="X645" t="s">
        <v>57</v>
      </c>
      <c r="Y645" t="s">
        <v>26</v>
      </c>
    </row>
    <row r="646" spans="1:25" x14ac:dyDescent="0.25">
      <c r="A646">
        <v>23700</v>
      </c>
      <c r="B646" t="str">
        <f>_xlfn.CONCAT(Tabel1[[#This Row],[personeelsnr]]," ",C646," ",D646)</f>
        <v>23700 Byosière Christof</v>
      </c>
      <c r="C646" t="str">
        <f>VLOOKUP(Tabel1[[#This Row],[personeelsnr]],'data hastus'!$A:$C,2,0)</f>
        <v>Byosière</v>
      </c>
      <c r="D646" t="str">
        <f>VLOOKUP(Tabel1[[#This Row],[personeelsnr]],'data hastus'!$A:$C,3,0)</f>
        <v>Christof</v>
      </c>
      <c r="E646" t="str">
        <f>VLOOKUP(Tabel1[[#This Row],[personeelsnr]],'data hastus'!A:K,11,FALSE)</f>
        <v>Dominique De Clercq</v>
      </c>
      <c r="F646" s="10">
        <v>45763</v>
      </c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/>
      <c r="U646" s="8" t="s">
        <v>3151</v>
      </c>
      <c r="V646" s="8">
        <v>1</v>
      </c>
      <c r="W646" s="8"/>
      <c r="X646" t="s">
        <v>57</v>
      </c>
      <c r="Y646" t="s">
        <v>19</v>
      </c>
    </row>
    <row r="647" spans="1:25" x14ac:dyDescent="0.25">
      <c r="A647">
        <v>38580</v>
      </c>
      <c r="B647" t="str">
        <f>_xlfn.CONCAT(Tabel1[[#This Row],[personeelsnr]]," ",C647," ",D647)</f>
        <v>38580 Smajla Samet</v>
      </c>
      <c r="C647" t="str">
        <f>VLOOKUP(Tabel1[[#This Row],[personeelsnr]],'data hastus'!$A:$C,2,0)</f>
        <v>Smajla</v>
      </c>
      <c r="D647" t="str">
        <f>VLOOKUP(Tabel1[[#This Row],[personeelsnr]],'data hastus'!$A:$C,3,0)</f>
        <v>Samet</v>
      </c>
      <c r="E647" t="str">
        <f>VLOOKUP(Tabel1[[#This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45742</v>
      </c>
      <c r="U647" s="8" t="s">
        <v>3107</v>
      </c>
      <c r="V647" s="8">
        <v>1</v>
      </c>
      <c r="W647" s="8"/>
      <c r="X647" t="s">
        <v>57</v>
      </c>
      <c r="Y647" t="s">
        <v>64</v>
      </c>
    </row>
    <row r="648" spans="1:25" x14ac:dyDescent="0.25">
      <c r="A648">
        <v>37179</v>
      </c>
      <c r="B648" t="str">
        <f>_xlfn.CONCAT(Tabel1[[#This Row],[personeelsnr]]," ",C648," ",D648)</f>
        <v>37179 Bashir Muhammad Salman</v>
      </c>
      <c r="C648" t="str">
        <f>VLOOKUP(Tabel1[[#This Row],[personeelsnr]],'data hastus'!$A:$C,2,0)</f>
        <v>Bashir</v>
      </c>
      <c r="D648" t="str">
        <f>VLOOKUP(Tabel1[[#This Row],[personeelsnr]],'data hastus'!$A:$C,3,0)</f>
        <v>Muhammad Salman</v>
      </c>
      <c r="E648" t="str">
        <f>VLOOKUP(Tabel1[[#This Row],[personeelsnr]],'data hastus'!A:K,11,FALSE)</f>
        <v>Bart Van Der Beken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45742</v>
      </c>
      <c r="U648" s="8" t="s">
        <v>3114</v>
      </c>
      <c r="V648" s="8">
        <v>1</v>
      </c>
      <c r="W648" s="8"/>
      <c r="X648" t="s">
        <v>57</v>
      </c>
      <c r="Y648" t="s">
        <v>53</v>
      </c>
    </row>
    <row r="649" spans="1:25" x14ac:dyDescent="0.25">
      <c r="A649">
        <v>31118</v>
      </c>
      <c r="B649" t="str">
        <f>_xlfn.CONCAT(Tabel1[[#This Row],[personeelsnr]]," ",C649," ",D649)</f>
        <v>31118 De Sutter Michiel</v>
      </c>
      <c r="C649" t="str">
        <f>VLOOKUP(Tabel1[[#This Row],[personeelsnr]],'data hastus'!$A:$C,2,0)</f>
        <v>De Sutter</v>
      </c>
      <c r="D649" t="str">
        <f>VLOOKUP(Tabel1[[#This Row],[personeelsnr]],'data hastus'!$A:$C,3,0)</f>
        <v>Michiel</v>
      </c>
      <c r="E649" t="str">
        <f>VLOOKUP(Tabel1[[#This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45743</v>
      </c>
      <c r="U649" s="8" t="s">
        <v>3120</v>
      </c>
      <c r="V649" s="8">
        <v>1</v>
      </c>
      <c r="W649" s="8"/>
      <c r="X649" t="s">
        <v>57</v>
      </c>
      <c r="Y649" t="s">
        <v>372</v>
      </c>
    </row>
    <row r="650" spans="1:25" x14ac:dyDescent="0.25">
      <c r="A650">
        <v>39581</v>
      </c>
      <c r="B650" t="str">
        <f>_xlfn.CONCAT(Tabel1[[#This Row],[personeelsnr]]," ",C650," ",D650)</f>
        <v>39581 Vandenhaute Linus</v>
      </c>
      <c r="C650" t="str">
        <f>VLOOKUP(Tabel1[[#This Row],[personeelsnr]],'data hastus'!$A:$C,2,0)</f>
        <v>Vandenhaute</v>
      </c>
      <c r="D650" t="str">
        <f>VLOOKUP(Tabel1[[#This Row],[personeelsnr]],'data hastus'!$A:$C,3,0)</f>
        <v>Linus</v>
      </c>
      <c r="E650" t="str">
        <f>VLOOKUP(Tabel1[[#This Row],[personeelsnr]],'data hastus'!A:K,11,FALSE)</f>
        <v>Els Dewulf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45744</v>
      </c>
      <c r="U650" s="8" t="s">
        <v>3113</v>
      </c>
      <c r="V650" s="8">
        <v>1</v>
      </c>
      <c r="W650" s="8"/>
      <c r="X650" t="s">
        <v>57</v>
      </c>
      <c r="Y650" t="s">
        <v>53</v>
      </c>
    </row>
    <row r="651" spans="1:25" x14ac:dyDescent="0.25">
      <c r="A651">
        <v>36569</v>
      </c>
      <c r="B651" t="str">
        <f>_xlfn.CONCAT(Tabel1[[#This Row],[personeelsnr]]," ",C651," ",D651)</f>
        <v>36569 Stroobandt Jonas</v>
      </c>
      <c r="C651" t="str">
        <f>VLOOKUP(Tabel1[[#This Row],[personeelsnr]],'data hastus'!$A:$C,2,0)</f>
        <v>Stroobandt</v>
      </c>
      <c r="D651" t="str">
        <f>VLOOKUP(Tabel1[[#This Row],[personeelsnr]],'data hastus'!$A:$C,3,0)</f>
        <v>Jonas</v>
      </c>
      <c r="E651" t="str">
        <f>VLOOKUP(Tabel1[[#This Row],[personeelsnr]],'data hastus'!A:K,11,FALSE)</f>
        <v>Els Vanhoe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45744</v>
      </c>
      <c r="U651" s="8" t="s">
        <v>3126</v>
      </c>
      <c r="V651" s="8">
        <v>1</v>
      </c>
      <c r="W651" s="8"/>
      <c r="X651" t="s">
        <v>57</v>
      </c>
      <c r="Y651" t="s">
        <v>151</v>
      </c>
    </row>
    <row r="652" spans="1:25" x14ac:dyDescent="0.25">
      <c r="A652">
        <v>36358</v>
      </c>
      <c r="B652" t="str">
        <f>_xlfn.CONCAT(Tabel1[[#This Row],[personeelsnr]]," ",C652," ",D652)</f>
        <v>36358 De Nys Elise</v>
      </c>
      <c r="C652" t="str">
        <f>VLOOKUP(Tabel1[[#This Row],[personeelsnr]],'data hastus'!$A:$C,2,0)</f>
        <v>De Nys</v>
      </c>
      <c r="D652" t="str">
        <f>VLOOKUP(Tabel1[[#This Row],[personeelsnr]],'data hastus'!$A:$C,3,0)</f>
        <v>Elise</v>
      </c>
      <c r="E652" t="str">
        <f>VLOOKUP(Tabel1[[#This Row],[personeelsnr]],'data hastus'!A:K,11,FALSE)</f>
        <v>Els Dewulf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45744</v>
      </c>
      <c r="U652" s="8" t="s">
        <v>3129</v>
      </c>
      <c r="V652" s="8"/>
      <c r="W652" s="8">
        <v>1</v>
      </c>
      <c r="X652" t="s">
        <v>58</v>
      </c>
      <c r="Y652" t="s">
        <v>103</v>
      </c>
    </row>
    <row r="653" spans="1:25" x14ac:dyDescent="0.25">
      <c r="A653">
        <v>31668</v>
      </c>
      <c r="B653" t="str">
        <f>_xlfn.CONCAT(Tabel1[[#This Row],[personeelsnr]]," ",C653," ",D653)</f>
        <v>31668 Weemhof Maurice</v>
      </c>
      <c r="C653" t="str">
        <f>VLOOKUP(Tabel1[[#This Row],[personeelsnr]],'data hastus'!$A:$C,2,0)</f>
        <v>Weemhof</v>
      </c>
      <c r="D653" t="str">
        <f>VLOOKUP(Tabel1[[#This Row],[personeelsnr]],'data hastus'!$A:$C,3,0)</f>
        <v>Maurice</v>
      </c>
      <c r="E653" t="str">
        <f>VLOOKUP(Tabel1[[#This Row],[personeelsnr]],'data hastus'!A:K,11,FALSE)</f>
        <v>Dominique De Clercq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45745</v>
      </c>
      <c r="U653" s="8" t="s">
        <v>3119</v>
      </c>
      <c r="V653" s="8">
        <v>1</v>
      </c>
      <c r="W653" s="8"/>
      <c r="X653" t="s">
        <v>57</v>
      </c>
      <c r="Y653" t="s">
        <v>18</v>
      </c>
    </row>
    <row r="654" spans="1:25" x14ac:dyDescent="0.25">
      <c r="A654">
        <v>17566</v>
      </c>
      <c r="B654" t="str">
        <f>_xlfn.CONCAT(Tabel1[[#This Row],[personeelsnr]]," ",C654," ",D654)</f>
        <v>17566 Praet Reginald</v>
      </c>
      <c r="C654" t="str">
        <f>VLOOKUP(Tabel1[[#This Row],[personeelsnr]],'data hastus'!$A:$C,2,0)</f>
        <v>Praet</v>
      </c>
      <c r="D654" t="str">
        <f>VLOOKUP(Tabel1[[#This Row],[personeelsnr]],'data hastus'!$A:$C,3,0)</f>
        <v>Reginald</v>
      </c>
      <c r="E654" t="str">
        <f>VLOOKUP(Tabel1[[#This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45749</v>
      </c>
      <c r="U654" s="8" t="s">
        <v>3170</v>
      </c>
      <c r="V654" s="8"/>
      <c r="W654" s="8">
        <v>1</v>
      </c>
      <c r="X654" t="s">
        <v>58</v>
      </c>
      <c r="Y654" t="s">
        <v>25</v>
      </c>
    </row>
    <row r="655" spans="1:25" x14ac:dyDescent="0.25">
      <c r="A655">
        <v>32620</v>
      </c>
      <c r="B655" t="str">
        <f>_xlfn.CONCAT(Tabel1[[#This Row],[personeelsnr]]," ",C655," ",D655)</f>
        <v>32620 Saey Elias</v>
      </c>
      <c r="C655" t="str">
        <f>VLOOKUP(Tabel1[[#This Row],[personeelsnr]],'data hastus'!$A:$C,2,0)</f>
        <v>Saey</v>
      </c>
      <c r="D655" t="str">
        <f>VLOOKUP(Tabel1[[#This Row],[personeelsnr]],'data hastus'!$A:$C,3,0)</f>
        <v>Elias</v>
      </c>
      <c r="E655" t="str">
        <f>VLOOKUP(Tabel1[[#This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45749</v>
      </c>
      <c r="U655" s="8" t="s">
        <v>3171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38807</v>
      </c>
      <c r="B656" t="str">
        <f>_xlfn.CONCAT(Tabel1[[#This Row],[personeelsnr]]," ",C656," ",D656)</f>
        <v>38807 Dossche Caroline</v>
      </c>
      <c r="C656" t="str">
        <f>VLOOKUP(Tabel1[[#This Row],[personeelsnr]],'data hastus'!$A:$C,2,0)</f>
        <v>Dossche</v>
      </c>
      <c r="D656" t="str">
        <f>VLOOKUP(Tabel1[[#This Row],[personeelsnr]],'data hastus'!$A:$C,3,0)</f>
        <v>Caroline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45750</v>
      </c>
      <c r="U656" s="8" t="s">
        <v>3150</v>
      </c>
      <c r="V656" s="8">
        <v>1</v>
      </c>
      <c r="W656" s="8"/>
      <c r="X656" t="s">
        <v>57</v>
      </c>
      <c r="Y656" t="s">
        <v>61</v>
      </c>
    </row>
    <row r="657" spans="1:25" x14ac:dyDescent="0.25">
      <c r="A657">
        <v>40939</v>
      </c>
      <c r="B657" t="str">
        <f>_xlfn.CONCAT(Tabel1[[#This Row],[personeelsnr]]," ",C657," ",D657)</f>
        <v>40939 Cisse Sayon</v>
      </c>
      <c r="C657" t="str">
        <f>VLOOKUP(Tabel1[[#This Row],[personeelsnr]],'data hastus'!$A:$C,2,0)</f>
        <v>Cisse</v>
      </c>
      <c r="D657" t="str">
        <f>VLOOKUP(Tabel1[[#This Row],[personeelsnr]],'data hastus'!$A:$C,3,0)</f>
        <v>Sayon</v>
      </c>
      <c r="E657" t="str">
        <f>VLOOKUP(Tabel1[[#This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45751</v>
      </c>
      <c r="U657" s="8" t="s">
        <v>3147</v>
      </c>
      <c r="V657" s="8">
        <v>1</v>
      </c>
      <c r="W657" s="8"/>
      <c r="X657" t="s">
        <v>57</v>
      </c>
      <c r="Y657" t="s">
        <v>45</v>
      </c>
    </row>
    <row r="658" spans="1:25" x14ac:dyDescent="0.25">
      <c r="A658">
        <v>32951</v>
      </c>
      <c r="B658" t="str">
        <f>_xlfn.CONCAT(Tabel1[[#This Row],[personeelsnr]]," ",C658," ",D658)</f>
        <v>32951 De Bruyne Sonia</v>
      </c>
      <c r="C658" t="str">
        <f>VLOOKUP(Tabel1[[#This Row],[personeelsnr]],'data hastus'!$A:$C,2,0)</f>
        <v>De Bruyne</v>
      </c>
      <c r="D658" t="str">
        <f>VLOOKUP(Tabel1[[#This Row],[personeelsnr]],'data hastus'!$A:$C,3,0)</f>
        <v>Sonia</v>
      </c>
      <c r="E658" t="str">
        <f>VLOOKUP(Tabel1[[#This Row],[personeelsnr]],'data hastus'!A:K,11,FALSE)</f>
        <v>Lucie Vande Velde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45751</v>
      </c>
      <c r="U658" s="8" t="s">
        <v>3148</v>
      </c>
      <c r="V658" s="8">
        <v>1</v>
      </c>
      <c r="W658" s="8"/>
      <c r="X658" t="s">
        <v>57</v>
      </c>
      <c r="Y658" t="s">
        <v>45</v>
      </c>
    </row>
    <row r="659" spans="1:25" x14ac:dyDescent="0.25">
      <c r="A659">
        <v>41092</v>
      </c>
      <c r="B659" t="str">
        <f>_xlfn.CONCAT(Tabel1[[#This Row],[personeelsnr]]," ",C659," ",D659)</f>
        <v>41092 De Keyser Dorien</v>
      </c>
      <c r="C659" t="str">
        <f>VLOOKUP(Tabel1[[#This Row],[personeelsnr]],'data hastus'!$A:$C,2,0)</f>
        <v>De Keyser</v>
      </c>
      <c r="D659" t="str">
        <f>VLOOKUP(Tabel1[[#This Row],[personeelsnr]],'data hastus'!$A:$C,3,0)</f>
        <v>Dorien</v>
      </c>
      <c r="E659" t="str">
        <f>VLOOKUP(Tabel1[[#This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45754</v>
      </c>
      <c r="U659" s="8" t="s">
        <v>3155</v>
      </c>
      <c r="V659" s="8">
        <v>1</v>
      </c>
      <c r="W659" s="8"/>
      <c r="X659" t="s">
        <v>57</v>
      </c>
      <c r="Y659" t="s">
        <v>39</v>
      </c>
    </row>
    <row r="660" spans="1:25" x14ac:dyDescent="0.25">
      <c r="A660">
        <v>35619</v>
      </c>
      <c r="B660" t="str">
        <f>_xlfn.CONCAT(Tabel1[[#This Row],[personeelsnr]]," ",C660," ",D660)</f>
        <v>35619 El Mezroui Zouheir</v>
      </c>
      <c r="C660" t="str">
        <f>VLOOKUP(Tabel1[[#This Row],[personeelsnr]],'data hastus'!$A:$C,2,0)</f>
        <v>El Mezroui</v>
      </c>
      <c r="D660" t="str">
        <f>VLOOKUP(Tabel1[[#This Row],[personeelsnr]],'data hastus'!$A:$C,3,0)</f>
        <v>Zouheir</v>
      </c>
      <c r="E660" t="str">
        <f>VLOOKUP(Tabel1[[#This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45755</v>
      </c>
      <c r="U660" s="8" t="s">
        <v>3180</v>
      </c>
      <c r="V660" s="8"/>
      <c r="W660" s="8">
        <v>1</v>
      </c>
      <c r="X660" t="s">
        <v>58</v>
      </c>
      <c r="Y660" t="s">
        <v>70</v>
      </c>
    </row>
    <row r="661" spans="1:25" x14ac:dyDescent="0.25">
      <c r="A661">
        <v>39929</v>
      </c>
      <c r="B661" t="str">
        <f>_xlfn.CONCAT(Tabel1[[#This Row],[personeelsnr]]," ",C661," ",D661)</f>
        <v>39929 Staneva Mariyana</v>
      </c>
      <c r="C661" t="str">
        <f>VLOOKUP(Tabel1[[#This Row],[personeelsnr]],'data hastus'!$A:$C,2,0)</f>
        <v>Staneva</v>
      </c>
      <c r="D661" t="str">
        <f>VLOOKUP(Tabel1[[#This Row],[personeelsnr]],'data hastus'!$A:$C,3,0)</f>
        <v>Mariyana</v>
      </c>
      <c r="E661" t="str">
        <f>VLOOKUP(Tabel1[[#This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45756</v>
      </c>
      <c r="U661" s="8" t="s">
        <v>3144</v>
      </c>
      <c r="V661" s="8">
        <v>1</v>
      </c>
      <c r="W661" s="8"/>
      <c r="X661" t="s">
        <v>57</v>
      </c>
      <c r="Y661" t="s">
        <v>128</v>
      </c>
    </row>
    <row r="662" spans="1:25" x14ac:dyDescent="0.25">
      <c r="A662">
        <v>39358</v>
      </c>
      <c r="B662" t="str">
        <f>_xlfn.CONCAT(Tabel1[[#This Row],[personeelsnr]]," ",C662," ",D662)</f>
        <v>39358 Weeks Aracena Jimmy Alexander</v>
      </c>
      <c r="C662" t="str">
        <f>VLOOKUP(Tabel1[[#This Row],[personeelsnr]],'data hastus'!$A:$C,2,0)</f>
        <v>Weeks Aracena</v>
      </c>
      <c r="D662" t="str">
        <f>VLOOKUP(Tabel1[[#This Row],[personeelsnr]],'data hastus'!$A:$C,3,0)</f>
        <v>Jimmy Alexander</v>
      </c>
      <c r="E662" t="str">
        <f>VLOOKUP(Tabel1[[#This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45756</v>
      </c>
      <c r="U662" s="8" t="s">
        <v>3152</v>
      </c>
      <c r="V662" s="8">
        <v>1</v>
      </c>
      <c r="W662" s="8"/>
      <c r="X662" t="s">
        <v>57</v>
      </c>
      <c r="Y662" t="s">
        <v>24</v>
      </c>
    </row>
    <row r="663" spans="1:25" x14ac:dyDescent="0.25">
      <c r="A663">
        <v>38035</v>
      </c>
      <c r="B663" t="str">
        <f>_xlfn.CONCAT(Tabel1[[#This Row],[personeelsnr]]," ",C663," ",D663)</f>
        <v>38035 Simsek Isa</v>
      </c>
      <c r="C663" t="str">
        <f>VLOOKUP(Tabel1[[#This Row],[personeelsnr]],'data hastus'!$A:$C,2,0)</f>
        <v>Simsek</v>
      </c>
      <c r="D663" t="str">
        <f>VLOOKUP(Tabel1[[#This Row],[personeelsnr]],'data hastus'!$A:$C,3,0)</f>
        <v>Isa</v>
      </c>
      <c r="E663" t="str">
        <f>VLOOKUP(Tabel1[[#This Row],[personeelsnr]],'data hastus'!A:K,11,FALSE)</f>
        <v>Bart Van Der Beken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45756</v>
      </c>
      <c r="U663" s="8" t="s">
        <v>3154</v>
      </c>
      <c r="V663" s="8">
        <v>1</v>
      </c>
      <c r="W663" s="8"/>
      <c r="X663" t="s">
        <v>57</v>
      </c>
      <c r="Y663" t="s">
        <v>26</v>
      </c>
    </row>
    <row r="664" spans="1:25" x14ac:dyDescent="0.25">
      <c r="A664">
        <v>38740</v>
      </c>
      <c r="B664" t="str">
        <f>_xlfn.CONCAT(Tabel1[[#This Row],[personeelsnr]]," ",C664," ",D664)</f>
        <v>38740 Meskens Anthony</v>
      </c>
      <c r="C664" t="str">
        <f>VLOOKUP(Tabel1[[#This Row],[personeelsnr]],'data hastus'!$A:$C,2,0)</f>
        <v>Meskens</v>
      </c>
      <c r="D664" t="str">
        <f>VLOOKUP(Tabel1[[#This Row],[personeelsnr]],'data hastus'!$A:$C,3,0)</f>
        <v>Anthony</v>
      </c>
      <c r="E664" t="str">
        <f>VLOOKUP(Tabel1[[#This Row],[personeelsnr]],'data hastus'!A:K,11,FALSE)</f>
        <v>Christoff Rotty</v>
      </c>
      <c r="F664" s="10">
        <v>45777</v>
      </c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/>
      <c r="U664" s="8" t="s">
        <v>3169</v>
      </c>
      <c r="V664" s="8"/>
      <c r="W664" s="8">
        <v>1</v>
      </c>
      <c r="X664" t="s">
        <v>58</v>
      </c>
      <c r="Y664" t="s">
        <v>144</v>
      </c>
    </row>
    <row r="665" spans="1:25" x14ac:dyDescent="0.25">
      <c r="A665">
        <v>25679</v>
      </c>
      <c r="B665" t="str">
        <f>_xlfn.CONCAT(Tabel1[[#This Row],[personeelsnr]]," ",C665," ",D665)</f>
        <v>25679 Vanrenterghem Serge</v>
      </c>
      <c r="C665" t="str">
        <f>VLOOKUP(Tabel1[[#This Row],[personeelsnr]],'data hastus'!$A:$C,2,0)</f>
        <v>Vanrenterghem</v>
      </c>
      <c r="D665" t="str">
        <f>VLOOKUP(Tabel1[[#This Row],[personeelsnr]],'data hastus'!$A:$C,3,0)</f>
        <v>Serge</v>
      </c>
      <c r="E665" t="str">
        <f>VLOOKUP(Tabel1[[#This Row],[personeelsnr]],'data hastus'!A:K,11,FALSE)</f>
        <v>Christoff Rotty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45756</v>
      </c>
      <c r="U665" s="8" t="s">
        <v>3167</v>
      </c>
      <c r="V665" s="8"/>
      <c r="W665" s="8">
        <v>1</v>
      </c>
      <c r="X665" t="s">
        <v>58</v>
      </c>
      <c r="Y665" t="s">
        <v>19</v>
      </c>
    </row>
    <row r="666" spans="1:25" x14ac:dyDescent="0.25">
      <c r="A666">
        <v>34325</v>
      </c>
      <c r="B666" t="str">
        <f>_xlfn.CONCAT(Tabel1[[#This Row],[personeelsnr]]," ",C666," ",D666)</f>
        <v>34325 Eid Mathyn</v>
      </c>
      <c r="C666" t="str">
        <f>VLOOKUP(Tabel1[[#This Row],[personeelsnr]],'data hastus'!$A:$C,2,0)</f>
        <v>Eid</v>
      </c>
      <c r="D666" t="str">
        <f>VLOOKUP(Tabel1[[#This Row],[personeelsnr]],'data hastus'!$A:$C,3,0)</f>
        <v>Mathyn</v>
      </c>
      <c r="E666" t="str">
        <f>VLOOKUP(Tabel1[[#This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45757</v>
      </c>
      <c r="U666" s="8" t="s">
        <v>3181</v>
      </c>
      <c r="V666" s="8"/>
      <c r="W666" s="8">
        <v>1</v>
      </c>
      <c r="X666" t="s">
        <v>58</v>
      </c>
      <c r="Y666" t="s">
        <v>201</v>
      </c>
    </row>
    <row r="667" spans="1:25" x14ac:dyDescent="0.25">
      <c r="A667">
        <v>35645</v>
      </c>
      <c r="B667" t="str">
        <f>_xlfn.CONCAT(Tabel1[[#This Row],[personeelsnr]]," ",C667," ",D667)</f>
        <v>35645 Jalili Yaseeb</v>
      </c>
      <c r="C667" t="str">
        <f>VLOOKUP(Tabel1[[#This Row],[personeelsnr]],'data hastus'!$A:$C,2,0)</f>
        <v>Jalili</v>
      </c>
      <c r="D667" t="str">
        <f>VLOOKUP(Tabel1[[#This Row],[personeelsnr]],'data hastus'!$A:$C,3,0)</f>
        <v>Yaseeb</v>
      </c>
      <c r="E667" t="str">
        <f>VLOOKUP(Tabel1[[#This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45758</v>
      </c>
      <c r="U667" s="8" t="s">
        <v>3182</v>
      </c>
      <c r="V667" s="8">
        <v>1</v>
      </c>
      <c r="W667" s="8"/>
      <c r="X667" t="s">
        <v>57</v>
      </c>
      <c r="Y667" t="s">
        <v>21</v>
      </c>
    </row>
    <row r="668" spans="1:25" x14ac:dyDescent="0.25">
      <c r="A668">
        <v>9158</v>
      </c>
      <c r="B668" t="str">
        <f>_xlfn.CONCAT(Tabel1[[#This Row],[personeelsnr]]," ",C668," ",D668)</f>
        <v>9158 De Weirdt Ronny</v>
      </c>
      <c r="C668" t="str">
        <f>VLOOKUP(Tabel1[[#This Row],[personeelsnr]],'data hastus'!$A:$C,2,0)</f>
        <v>De Weirdt</v>
      </c>
      <c r="D668" t="str">
        <f>VLOOKUP(Tabel1[[#This Row],[personeelsnr]],'data hastus'!$A:$C,3,0)</f>
        <v>Ronny</v>
      </c>
      <c r="E668" t="str">
        <f>VLOOKUP(Tabel1[[#This Row],[personeelsnr]],'data hastus'!A:K,11,FALSE)</f>
        <v>Steven Storm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45758</v>
      </c>
      <c r="U668" s="8" t="s">
        <v>3177</v>
      </c>
      <c r="V668" s="8"/>
      <c r="W668" s="8">
        <v>1</v>
      </c>
      <c r="X668" t="s">
        <v>58</v>
      </c>
      <c r="Y668" t="s">
        <v>19</v>
      </c>
    </row>
    <row r="669" spans="1:25" x14ac:dyDescent="0.25">
      <c r="A669">
        <v>36820</v>
      </c>
      <c r="B669" t="str">
        <f>_xlfn.CONCAT(Tabel1[[#This Row],[personeelsnr]]," ",C669," ",D669)</f>
        <v>36820 Haché Philip</v>
      </c>
      <c r="C669" t="str">
        <f>VLOOKUP(Tabel1[[#This Row],[personeelsnr]],'data hastus'!$A:$C,2,0)</f>
        <v>Haché</v>
      </c>
      <c r="D669" t="str">
        <f>VLOOKUP(Tabel1[[#This Row],[personeelsnr]],'data hastus'!$A:$C,3,0)</f>
        <v>Philip</v>
      </c>
      <c r="E669" t="str">
        <f>VLOOKUP(Tabel1[[#This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45759</v>
      </c>
      <c r="U669" s="8" t="s">
        <v>3183</v>
      </c>
      <c r="V669" s="8">
        <v>1</v>
      </c>
      <c r="W669" s="8"/>
      <c r="X669" t="s">
        <v>57</v>
      </c>
      <c r="Y669" t="s">
        <v>372</v>
      </c>
    </row>
    <row r="670" spans="1:25" x14ac:dyDescent="0.25">
      <c r="A670">
        <v>25733</v>
      </c>
      <c r="B670" t="str">
        <f>_xlfn.CONCAT(Tabel1[[#This Row],[personeelsnr]]," ",C670," ",D670)</f>
        <v>25733 Simsek Abdullah</v>
      </c>
      <c r="C670" t="str">
        <f>VLOOKUP(Tabel1[[#This Row],[personeelsnr]],'data hastus'!$A:$C,2,0)</f>
        <v>Simsek</v>
      </c>
      <c r="D670" t="str">
        <f>VLOOKUP(Tabel1[[#This Row],[personeelsnr]],'data hastus'!$A:$C,3,0)</f>
        <v>Abdullah</v>
      </c>
      <c r="E670" t="str">
        <f>VLOOKUP(Tabel1[[#This Row],[personeelsnr]],'data hastus'!A:K,11,FALSE)</f>
        <v>Els Vanhoe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45759</v>
      </c>
      <c r="U670" s="8" t="s">
        <v>3172</v>
      </c>
      <c r="V670" s="8"/>
      <c r="W670" s="8">
        <v>1</v>
      </c>
      <c r="X670" t="s">
        <v>58</v>
      </c>
      <c r="Y670" t="s">
        <v>89</v>
      </c>
    </row>
    <row r="671" spans="1:25" x14ac:dyDescent="0.25">
      <c r="A671">
        <v>32002</v>
      </c>
      <c r="B671" t="str">
        <f>_xlfn.CONCAT(Tabel1[[#This Row],[personeelsnr]]," ",C671," ",D671)</f>
        <v>32002 Hasni Helmi</v>
      </c>
      <c r="C671" t="str">
        <f>VLOOKUP(Tabel1[[#This Row],[personeelsnr]],'data hastus'!$A:$C,2,0)</f>
        <v>Hasni</v>
      </c>
      <c r="D671" t="str">
        <f>VLOOKUP(Tabel1[[#This Row],[personeelsnr]],'data hastus'!$A:$C,3,0)</f>
        <v>Helmi</v>
      </c>
      <c r="E671" t="str">
        <f>VLOOKUP(Tabel1[[#This Row],[personeelsnr]],'data hastus'!A:K,11,FALSE)</f>
        <v>Steven Storm</v>
      </c>
      <c r="F671" s="10">
        <v>45773</v>
      </c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/>
      <c r="U671" s="8" t="s">
        <v>3176</v>
      </c>
      <c r="V671" s="8"/>
      <c r="W671" s="8">
        <v>1</v>
      </c>
      <c r="X671" t="s">
        <v>58</v>
      </c>
      <c r="Y671" t="s">
        <v>19</v>
      </c>
    </row>
    <row r="672" spans="1:25" x14ac:dyDescent="0.25">
      <c r="A672">
        <v>40443</v>
      </c>
      <c r="B672" t="str">
        <f>_xlfn.CONCAT(Tabel1[[#This Row],[personeelsnr]]," ",C672," ",D672)</f>
        <v>40443 Fakash Mahmoud</v>
      </c>
      <c r="C672" t="str">
        <f>VLOOKUP(Tabel1[[#This Row],[personeelsnr]],'data hastus'!$A:$C,2,0)</f>
        <v>Fakash</v>
      </c>
      <c r="D672" t="str">
        <f>VLOOKUP(Tabel1[[#This Row],[personeelsnr]],'data hastus'!$A:$C,3,0)</f>
        <v>Mahmoud</v>
      </c>
      <c r="E672" t="str">
        <f>VLOOKUP(Tabel1[[#This Row],[personeelsnr]],'data hastus'!A:K,11,FALSE)</f>
        <v>Bart Van Der Beken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SUM(Tabel1[[#This Row],[Januari]:[December]])</f>
        <v>1</v>
      </c>
      <c r="T672" s="3">
        <v>45762</v>
      </c>
      <c r="U672" s="8" t="s">
        <v>3156</v>
      </c>
      <c r="V672" s="8">
        <v>1</v>
      </c>
      <c r="W672" s="8"/>
      <c r="X672" t="s">
        <v>57</v>
      </c>
      <c r="Y672" t="s">
        <v>222</v>
      </c>
    </row>
    <row r="673" spans="1:25" x14ac:dyDescent="0.25">
      <c r="A673">
        <v>34445</v>
      </c>
      <c r="B673" t="str">
        <f>_xlfn.CONCAT(Tabel1[[#This Row],[personeelsnr]]," ",C673," ",D673)</f>
        <v>34445 Wulleput Illya</v>
      </c>
      <c r="C673" t="str">
        <f>VLOOKUP(Tabel1[[#This Row],[personeelsnr]],'data hastus'!$A:$C,2,0)</f>
        <v>Wulleput</v>
      </c>
      <c r="D673" t="str">
        <f>VLOOKUP(Tabel1[[#This Row],[personeelsnr]],'data hastus'!$A:$C,3,0)</f>
        <v>Illya</v>
      </c>
      <c r="E673" t="str">
        <f>VLOOKUP(Tabel1[[#This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45763</v>
      </c>
      <c r="U673" s="8" t="s">
        <v>3174</v>
      </c>
      <c r="V673" s="8"/>
      <c r="W673" s="8">
        <v>1</v>
      </c>
      <c r="X673" t="s">
        <v>58</v>
      </c>
      <c r="Y673" t="s">
        <v>52</v>
      </c>
    </row>
    <row r="674" spans="1:25" x14ac:dyDescent="0.25">
      <c r="A674">
        <v>37744</v>
      </c>
      <c r="B674" t="str">
        <f>_xlfn.CONCAT(Tabel1[[#This Row],[personeelsnr]]," ",C674," ",D674)</f>
        <v>37744 De Lange Frank</v>
      </c>
      <c r="C674" t="str">
        <f>VLOOKUP(Tabel1[[#This Row],[personeelsnr]],'data hastus'!$A:$C,2,0)</f>
        <v>De Lange</v>
      </c>
      <c r="D674" t="str">
        <f>VLOOKUP(Tabel1[[#This Row],[personeelsnr]],'data hastus'!$A:$C,3,0)</f>
        <v>Frank</v>
      </c>
      <c r="E674" t="str">
        <f>VLOOKUP(Tabel1[[#This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45765</v>
      </c>
      <c r="U674" s="8" t="s">
        <v>3153</v>
      </c>
      <c r="V674" s="8">
        <v>1</v>
      </c>
      <c r="W674" s="8"/>
      <c r="X674" t="s">
        <v>57</v>
      </c>
      <c r="Y674" t="s">
        <v>178</v>
      </c>
    </row>
    <row r="675" spans="1:25" x14ac:dyDescent="0.25">
      <c r="A675">
        <v>41230</v>
      </c>
      <c r="B675" t="str">
        <f>_xlfn.CONCAT(Tabel1[[#This Row],[personeelsnr]]," ",C675," ",D675)</f>
        <v>41230 De Witte Bart</v>
      </c>
      <c r="C675" t="str">
        <f>VLOOKUP(Tabel1[[#This Row],[personeelsnr]],'data hastus'!$A:$C,2,0)</f>
        <v>De Witte</v>
      </c>
      <c r="D675" t="str">
        <f>VLOOKUP(Tabel1[[#This Row],[personeelsnr]],'data hastus'!$A:$C,3,0)</f>
        <v>Bart</v>
      </c>
      <c r="E675" t="str">
        <f>VLOOKUP(Tabel1[[#This Row],[personeelsnr]],'data hastus'!A:K,11,FALSE)</f>
        <v>Dominique De Clercq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SUM(Tabel1[[#This Row],[Januari]:[December]])</f>
        <v>1</v>
      </c>
      <c r="T675" s="3">
        <v>45765</v>
      </c>
      <c r="U675" s="8" t="s">
        <v>3159</v>
      </c>
      <c r="V675" s="8">
        <v>1</v>
      </c>
      <c r="W675" s="8"/>
      <c r="X675" t="s">
        <v>57</v>
      </c>
      <c r="Y675" t="s">
        <v>105</v>
      </c>
    </row>
    <row r="676" spans="1:25" x14ac:dyDescent="0.25">
      <c r="A676">
        <v>21582</v>
      </c>
      <c r="B676" t="str">
        <f>_xlfn.CONCAT(Tabel1[[#This Row],[personeelsnr]]," ",C676," ",D676)</f>
        <v>21582 De Grom Patrick</v>
      </c>
      <c r="C676" t="str">
        <f>VLOOKUP(Tabel1[[#This Row],[personeelsnr]],'data hastus'!$A:$C,2,0)</f>
        <v>De Grom</v>
      </c>
      <c r="D676" t="str">
        <f>VLOOKUP(Tabel1[[#This Row],[personeelsnr]],'data hastus'!$A:$C,3,0)</f>
        <v>Patrick</v>
      </c>
      <c r="E676" t="str">
        <f>VLOOKUP(Tabel1[[#This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45765</v>
      </c>
      <c r="U676" s="8" t="s">
        <v>3166</v>
      </c>
      <c r="V676" s="8"/>
      <c r="W676" s="8">
        <v>1</v>
      </c>
      <c r="X676" t="s">
        <v>58</v>
      </c>
      <c r="Y676" t="s">
        <v>18</v>
      </c>
    </row>
    <row r="677" spans="1:25" x14ac:dyDescent="0.25">
      <c r="A677">
        <v>38938</v>
      </c>
      <c r="B677" t="str">
        <f>_xlfn.CONCAT(Tabel1[[#This Row],[personeelsnr]]," ",C677," ",D677)</f>
        <v>38938 Sedighi Hamid</v>
      </c>
      <c r="C677" t="str">
        <f>VLOOKUP(Tabel1[[#This Row],[personeelsnr]],'data hastus'!$A:$C,2,0)</f>
        <v>Sedighi</v>
      </c>
      <c r="D677" t="str">
        <f>VLOOKUP(Tabel1[[#This Row],[personeelsnr]],'data hastus'!$A:$C,3,0)</f>
        <v>Hamid</v>
      </c>
      <c r="E677" t="str">
        <f>VLOOKUP(Tabel1[[#This Row],[personeelsnr]],'data hastus'!A:K,11,FALSE)</f>
        <v>Lucie Vande Velde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SUM(Tabel1[[#This Row],[Januari]:[December]])</f>
        <v>1</v>
      </c>
      <c r="T677" s="3">
        <v>45765</v>
      </c>
      <c r="U677" s="8" t="s">
        <v>3173</v>
      </c>
      <c r="V677" s="8"/>
      <c r="W677" s="8">
        <v>1</v>
      </c>
      <c r="X677" t="s">
        <v>58</v>
      </c>
      <c r="Y677" t="s">
        <v>108</v>
      </c>
    </row>
    <row r="678" spans="1:25" x14ac:dyDescent="0.25">
      <c r="A678">
        <v>40110</v>
      </c>
      <c r="B678" t="str">
        <f>_xlfn.CONCAT(Tabel1[[#This Row],[personeelsnr]]," ",C678," ",D678)</f>
        <v>40110 Vanlerberghe Sandra</v>
      </c>
      <c r="C678" t="str">
        <f>VLOOKUP(Tabel1[[#This Row],[personeelsnr]],'data hastus'!$A:$C,2,0)</f>
        <v>Vanlerberghe</v>
      </c>
      <c r="D678" t="str">
        <f>VLOOKUP(Tabel1[[#This Row],[personeelsnr]],'data hastus'!$A:$C,3,0)</f>
        <v>Sandra</v>
      </c>
      <c r="E678" t="str">
        <f>VLOOKUP(Tabel1[[#This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45766</v>
      </c>
      <c r="U678" s="8" t="s">
        <v>3145</v>
      </c>
      <c r="V678" s="8">
        <v>1</v>
      </c>
      <c r="W678" s="8"/>
      <c r="X678" t="s">
        <v>57</v>
      </c>
      <c r="Y678" t="s">
        <v>55</v>
      </c>
    </row>
    <row r="679" spans="1:25" x14ac:dyDescent="0.25">
      <c r="A679">
        <v>32245</v>
      </c>
      <c r="B679" t="str">
        <f>_xlfn.CONCAT(Tabel1[[#This Row],[personeelsnr]]," ",C679," ",D679)</f>
        <v>32245 Verlinden Bianca</v>
      </c>
      <c r="C679" t="str">
        <f>VLOOKUP(Tabel1[[#This Row],[personeelsnr]],'data hastus'!$A:$C,2,0)</f>
        <v>Verlinden</v>
      </c>
      <c r="D679" t="str">
        <f>VLOOKUP(Tabel1[[#This Row],[personeelsnr]],'data hastus'!$A:$C,3,0)</f>
        <v>Bianca</v>
      </c>
      <c r="E679" t="str">
        <f>VLOOKUP(Tabel1[[#This Row],[personeelsnr]],'data hastus'!A:K,11,FALSE)</f>
        <v>Els Vanhoe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45766</v>
      </c>
      <c r="U679" s="8" t="s">
        <v>3162</v>
      </c>
      <c r="V679" s="8">
        <v>1</v>
      </c>
      <c r="W679" s="8"/>
      <c r="X679" t="s">
        <v>57</v>
      </c>
      <c r="Y679" t="s">
        <v>21</v>
      </c>
    </row>
    <row r="680" spans="1:25" x14ac:dyDescent="0.25">
      <c r="A680">
        <v>39651</v>
      </c>
      <c r="B680" t="str">
        <f>_xlfn.CONCAT(Tabel1[[#This Row],[personeelsnr]]," ",C680," ",D680)</f>
        <v>39651 Kallenbach Sunny</v>
      </c>
      <c r="C680" t="str">
        <f>VLOOKUP(Tabel1[[#This Row],[personeelsnr]],'data hastus'!$A:$C,2,0)</f>
        <v>Kallenbach</v>
      </c>
      <c r="D680" t="str">
        <f>VLOOKUP(Tabel1[[#This Row],[personeelsnr]],'data hastus'!$A:$C,3,0)</f>
        <v>Sunny</v>
      </c>
      <c r="E680" t="str">
        <f>VLOOKUP(Tabel1[[#This Row],[personeelsnr]],'data hastus'!A:K,11,FALSE)</f>
        <v>Kenneth De Rick</v>
      </c>
      <c r="F680" s="10">
        <v>45800</v>
      </c>
      <c r="G680" s="7"/>
      <c r="H680" s="7"/>
      <c r="I680" s="7"/>
      <c r="K680" s="5">
        <v>1</v>
      </c>
      <c r="S680" s="5">
        <f>SUM(Tabel1[[#This Row],[Januari]:[December]])</f>
        <v>1</v>
      </c>
      <c r="T680" s="9">
        <v>45800</v>
      </c>
      <c r="U680" s="8" t="s">
        <v>3186</v>
      </c>
      <c r="V680" s="24">
        <v>1</v>
      </c>
      <c r="W680" s="24"/>
      <c r="X680" t="s">
        <v>57</v>
      </c>
      <c r="Y680" t="s">
        <v>18</v>
      </c>
    </row>
    <row r="681" spans="1:25" x14ac:dyDescent="0.25">
      <c r="A681">
        <v>41520</v>
      </c>
      <c r="B681" t="str">
        <f>_xlfn.CONCAT(Tabel1[[#This Row],[personeelsnr]]," ",C681," ",D681)</f>
        <v>41520 Smets Avery</v>
      </c>
      <c r="C681" t="str">
        <f>VLOOKUP(Tabel1[[#This Row],[personeelsnr]],'data hastus'!$A:$C,2,0)</f>
        <v>Smets</v>
      </c>
      <c r="D681" t="str">
        <f>VLOOKUP(Tabel1[[#This Row],[personeelsnr]],'data hastus'!$A:$C,3,0)</f>
        <v>Avery</v>
      </c>
      <c r="E681" t="str">
        <f>VLOOKUP(Tabel1[[#This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45766</v>
      </c>
      <c r="U681" s="8" t="s">
        <v>3163</v>
      </c>
      <c r="V681" s="8">
        <v>1</v>
      </c>
      <c r="W681" s="8"/>
      <c r="X681" t="s">
        <v>57</v>
      </c>
      <c r="Y681" t="s">
        <v>197</v>
      </c>
    </row>
    <row r="682" spans="1:25" x14ac:dyDescent="0.25">
      <c r="A682">
        <v>41588</v>
      </c>
      <c r="B682" t="str">
        <f>_xlfn.CONCAT(Tabel1[[#This Row],[personeelsnr]]," ",C682," ",D682)</f>
        <v>41588 Naessens Yves</v>
      </c>
      <c r="C682" t="str">
        <f>VLOOKUP(Tabel1[[#This Row],[personeelsnr]],'data hastus'!$A:$C,2,0)</f>
        <v>Naessens</v>
      </c>
      <c r="D682" t="str">
        <f>VLOOKUP(Tabel1[[#This Row],[personeelsnr]],'data hastus'!$A:$C,3,0)</f>
        <v>Yves</v>
      </c>
      <c r="E682" t="str">
        <f>VLOOKUP(Tabel1[[#This Row],[personeelsnr]],'data hastus'!A:K,11,FALSE)</f>
        <v>Kenneth De Rick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45769</v>
      </c>
      <c r="U682" s="8" t="s">
        <v>3178</v>
      </c>
      <c r="V682" s="8">
        <v>1</v>
      </c>
      <c r="W682" s="8"/>
      <c r="X682" t="s">
        <v>57</v>
      </c>
      <c r="Y682" t="s">
        <v>160</v>
      </c>
    </row>
    <row r="683" spans="1:25" x14ac:dyDescent="0.25">
      <c r="A683">
        <v>40478</v>
      </c>
      <c r="B683" t="str">
        <f>_xlfn.CONCAT(Tabel1[[#This Row],[personeelsnr]]," ",C683," ",D683)</f>
        <v>40478 Hashimi Ali Mir</v>
      </c>
      <c r="C683" t="str">
        <f>VLOOKUP(Tabel1[[#This Row],[personeelsnr]],'data hastus'!$A:$C,2,0)</f>
        <v>Hashimi</v>
      </c>
      <c r="D683" t="str">
        <f>VLOOKUP(Tabel1[[#This Row],[personeelsnr]],'data hastus'!$A:$C,3,0)</f>
        <v>Ali Mir</v>
      </c>
      <c r="E683" t="str">
        <f>VLOOKUP(Tabel1[[#This Row],[personeelsnr]],'data hastus'!A:K,11,FALSE)</f>
        <v>Bart Van Der Beken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45769</v>
      </c>
      <c r="U683" s="8" t="s">
        <v>3158</v>
      </c>
      <c r="V683" s="8">
        <v>1</v>
      </c>
      <c r="W683" s="8"/>
      <c r="X683" t="s">
        <v>57</v>
      </c>
      <c r="Y683" t="s">
        <v>186</v>
      </c>
    </row>
    <row r="684" spans="1:25" x14ac:dyDescent="0.25">
      <c r="A684">
        <v>36512</v>
      </c>
      <c r="B684" t="str">
        <f>_xlfn.CONCAT(Tabel1[[#This Row],[personeelsnr]]," ",C684," ",D684)</f>
        <v>36512 Van Herreweghe Branco</v>
      </c>
      <c r="C684" t="str">
        <f>VLOOKUP(Tabel1[[#This Row],[personeelsnr]],'data hastus'!$A:$C,2,0)</f>
        <v>Van Herreweghe</v>
      </c>
      <c r="D684" t="str">
        <f>VLOOKUP(Tabel1[[#This Row],[personeelsnr]],'data hastus'!$A:$C,3,0)</f>
        <v>Branco</v>
      </c>
      <c r="E684" t="str">
        <f>VLOOKUP(Tabel1[[#This Row],[personeelsnr]],'data hastus'!A:K,11,FALSE)</f>
        <v>Steven Storm</v>
      </c>
      <c r="F684" s="10"/>
      <c r="G684" s="7"/>
      <c r="H684" s="7"/>
      <c r="I684" s="7"/>
      <c r="J684" s="5">
        <v>1</v>
      </c>
      <c r="S684" s="5">
        <f>SUM(Tabel1[[#This Row],[Januari]:[December]])</f>
        <v>1</v>
      </c>
      <c r="T684" s="9">
        <v>45770</v>
      </c>
      <c r="U684" s="8" t="s">
        <v>3184</v>
      </c>
      <c r="V684" s="24"/>
      <c r="W684" s="24">
        <v>1</v>
      </c>
      <c r="X684" t="s">
        <v>58</v>
      </c>
      <c r="Y684" t="s">
        <v>25</v>
      </c>
    </row>
    <row r="685" spans="1:25" x14ac:dyDescent="0.25">
      <c r="A685">
        <v>37132</v>
      </c>
      <c r="B685" t="str">
        <f>_xlfn.CONCAT(Tabel1[[#This Row],[personeelsnr]]," ",C685," ",D685)</f>
        <v>37132 Dacic Esmir</v>
      </c>
      <c r="C685" t="str">
        <f>VLOOKUP(Tabel1[[#This Row],[personeelsnr]],'data hastus'!$A:$C,2,0)</f>
        <v>Dacic</v>
      </c>
      <c r="D685" t="str">
        <f>VLOOKUP(Tabel1[[#This Row],[personeelsnr]],'data hastus'!$A:$C,3,0)</f>
        <v>Esmir</v>
      </c>
      <c r="E685" t="str">
        <f>VLOOKUP(Tabel1[[#This Row],[personeelsnr]],'data hastus'!A:K,11,FALSE)</f>
        <v>Dominique De Clercq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SUM(Tabel1[[#This Row],[Januari]:[December]])</f>
        <v>1</v>
      </c>
      <c r="T685" s="3">
        <v>45770</v>
      </c>
      <c r="U685" s="8" t="s">
        <v>3168</v>
      </c>
      <c r="V685" s="8"/>
      <c r="W685" s="8">
        <v>1</v>
      </c>
      <c r="X685" t="s">
        <v>58</v>
      </c>
      <c r="Y685" t="s">
        <v>124</v>
      </c>
    </row>
    <row r="686" spans="1:25" x14ac:dyDescent="0.25">
      <c r="A686">
        <v>9999</v>
      </c>
      <c r="B686" t="str">
        <f>_xlfn.CONCAT(Tabel1[[#This Row],[personeelsnr]]," ",C686," ",D686)</f>
        <v>9999 - -</v>
      </c>
      <c r="C686" t="s">
        <v>2919</v>
      </c>
      <c r="D686" t="s">
        <v>2919</v>
      </c>
      <c r="E686" t="s">
        <v>810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SUM(Tabel1[[#This Row],[Januari]:[December]])</f>
        <v>1</v>
      </c>
      <c r="T686" s="3">
        <v>45771</v>
      </c>
      <c r="U686" s="8" t="s">
        <v>3179</v>
      </c>
      <c r="V686" s="8">
        <v>1</v>
      </c>
      <c r="W686" s="8"/>
      <c r="X686" t="s">
        <v>57</v>
      </c>
      <c r="Y686" t="s">
        <v>19</v>
      </c>
    </row>
    <row r="687" spans="1:25" x14ac:dyDescent="0.25">
      <c r="A687">
        <v>33965</v>
      </c>
      <c r="B687" t="str">
        <f>_xlfn.CONCAT(Tabel1[[#This Row],[personeelsnr]]," ",C687," ",D687)</f>
        <v>33965 Van de Gehuchte Gilles</v>
      </c>
      <c r="C687" t="str">
        <f>VLOOKUP(Tabel1[[#This Row],[personeelsnr]],'data hastus'!$A:$C,2,0)</f>
        <v>Van de Gehuchte</v>
      </c>
      <c r="D687" t="str">
        <f>VLOOKUP(Tabel1[[#This Row],[personeelsnr]],'data hastus'!$A:$C,3,0)</f>
        <v>Gilles</v>
      </c>
      <c r="E687" t="str">
        <f>VLOOKUP(Tabel1[[#This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SUM(Tabel1[[#This Row],[Januari]:[December]])</f>
        <v>1</v>
      </c>
      <c r="T687" s="3">
        <v>45771</v>
      </c>
      <c r="U687" s="8" t="s">
        <v>3161</v>
      </c>
      <c r="V687" s="8">
        <v>1</v>
      </c>
      <c r="W687" s="8"/>
      <c r="X687" t="s">
        <v>57</v>
      </c>
      <c r="Y687" t="s">
        <v>43</v>
      </c>
    </row>
    <row r="688" spans="1:25" x14ac:dyDescent="0.25">
      <c r="A688">
        <v>38475</v>
      </c>
      <c r="B688" t="str">
        <f>_xlfn.CONCAT(Tabel1[[#This Row],[personeelsnr]]," ",C688," ",D688)</f>
        <v>38475 Verschraegen Katleen</v>
      </c>
      <c r="C688" t="str">
        <f>VLOOKUP(Tabel1[[#This Row],[personeelsnr]],'data hastus'!$A:$C,2,0)</f>
        <v>Verschraegen</v>
      </c>
      <c r="D688" t="str">
        <f>VLOOKUP(Tabel1[[#This Row],[personeelsnr]],'data hastus'!$A:$C,3,0)</f>
        <v>Katleen</v>
      </c>
      <c r="E688" t="str">
        <f>VLOOKUP(Tabel1[[#This Row],[personeelsnr]],'data hastus'!A:K,11,FALSE)</f>
        <v>Els Dewulf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SUM(Tabel1[[#This Row],[Januari]:[December]])</f>
        <v>1</v>
      </c>
      <c r="T688" s="3">
        <v>45771</v>
      </c>
      <c r="U688" s="8" t="s">
        <v>3165</v>
      </c>
      <c r="V688" s="8">
        <v>1</v>
      </c>
      <c r="W688" s="8"/>
      <c r="X688" t="s">
        <v>57</v>
      </c>
      <c r="Y688" t="s">
        <v>92</v>
      </c>
    </row>
    <row r="689" spans="1:25" x14ac:dyDescent="0.25">
      <c r="A689">
        <v>33085</v>
      </c>
      <c r="B689" t="str">
        <f>_xlfn.CONCAT(Tabel1[[#This Row],[personeelsnr]]," ",C689," ",D689)</f>
        <v>33085 Van Hoe Ivo</v>
      </c>
      <c r="C689" t="str">
        <f>VLOOKUP(Tabel1[[#This Row],[personeelsnr]],'data hastus'!$A:$C,2,0)</f>
        <v>Van Hoe</v>
      </c>
      <c r="D689" t="str">
        <f>VLOOKUP(Tabel1[[#This Row],[personeelsnr]],'data hastus'!$A:$C,3,0)</f>
        <v>Ivo</v>
      </c>
      <c r="E689" t="str">
        <f>VLOOKUP(Tabel1[[#This Row],[personeelsnr]],'data hastus'!A:K,11,FALSE)</f>
        <v>Kenneth De Rick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SUM(Tabel1[[#This Row],[Januari]:[December]])</f>
        <v>1</v>
      </c>
      <c r="T689" s="3">
        <v>45773</v>
      </c>
      <c r="U689" s="8" t="s">
        <v>3146</v>
      </c>
      <c r="V689" s="8">
        <v>1</v>
      </c>
      <c r="W689" s="8"/>
      <c r="X689" t="s">
        <v>57</v>
      </c>
      <c r="Y689" t="s">
        <v>161</v>
      </c>
    </row>
    <row r="690" spans="1:25" x14ac:dyDescent="0.25">
      <c r="A690">
        <v>26960</v>
      </c>
      <c r="B690" t="str">
        <f>_xlfn.CONCAT(Tabel1[[#This Row],[personeelsnr]]," ",C690," ",D690)</f>
        <v>26960 Toubadie Mossa</v>
      </c>
      <c r="C690" t="str">
        <f>VLOOKUP(Tabel1[[#This Row],[personeelsnr]],'data hastus'!$A:$C,2,0)</f>
        <v>Toubadie</v>
      </c>
      <c r="D690" t="str">
        <f>VLOOKUP(Tabel1[[#This Row],[personeelsnr]],'data hastus'!$A:$C,3,0)</f>
        <v>Mossa</v>
      </c>
      <c r="E690" t="str">
        <f>VLOOKUP(Tabel1[[#This Row],[personeelsnr]],'data hastus'!A:K,11,FALSE)</f>
        <v>Els Vanhoe</v>
      </c>
      <c r="F690" s="10">
        <v>45798</v>
      </c>
      <c r="G690" s="7"/>
      <c r="H690" s="7"/>
      <c r="I690" s="7"/>
      <c r="K690" s="5">
        <v>1</v>
      </c>
      <c r="S690" s="5">
        <f>SUM(Tabel1[[#This Row],[Januari]:[December]])</f>
        <v>1</v>
      </c>
      <c r="T690" s="23"/>
      <c r="U690" s="8" t="s">
        <v>3190</v>
      </c>
      <c r="V690" s="8">
        <v>1</v>
      </c>
      <c r="W690" s="8"/>
      <c r="X690" t="s">
        <v>57</v>
      </c>
      <c r="Y690" t="s">
        <v>105</v>
      </c>
    </row>
    <row r="691" spans="1:25" x14ac:dyDescent="0.25">
      <c r="A691">
        <v>40591</v>
      </c>
      <c r="B691" t="str">
        <f>_xlfn.CONCAT(Tabel1[[#This Row],[personeelsnr]]," ",C691," ",D691)</f>
        <v>40591 Hiloui Mahmoud</v>
      </c>
      <c r="C691" t="str">
        <f>VLOOKUP(Tabel1[[#This Row],[personeelsnr]],'data hastus'!$A:$C,2,0)</f>
        <v>Hiloui</v>
      </c>
      <c r="D691" t="str">
        <f>VLOOKUP(Tabel1[[#This Row],[personeelsnr]],'data hastus'!$A:$C,3,0)</f>
        <v>Mahmoud</v>
      </c>
      <c r="E691" t="str">
        <f>VLOOKUP(Tabel1[[#This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SUM(Tabel1[[#This Row],[Januari]:[December]])</f>
        <v>1</v>
      </c>
      <c r="T691" s="3">
        <v>45775</v>
      </c>
      <c r="U691" s="8" t="s">
        <v>3149</v>
      </c>
      <c r="V691" s="8">
        <v>1</v>
      </c>
      <c r="W691" s="8"/>
      <c r="X691" t="s">
        <v>57</v>
      </c>
      <c r="Y691" t="s">
        <v>91</v>
      </c>
    </row>
    <row r="692" spans="1:25" x14ac:dyDescent="0.25">
      <c r="A692">
        <v>40134</v>
      </c>
      <c r="B692" t="str">
        <f>_xlfn.CONCAT(Tabel1[[#This Row],[personeelsnr]]," ",C692," ",D692)</f>
        <v>40134 Cardon Sharon</v>
      </c>
      <c r="C692" t="str">
        <f>VLOOKUP(Tabel1[[#This Row],[personeelsnr]],'data hastus'!$A:$C,2,0)</f>
        <v>Cardon</v>
      </c>
      <c r="D692" t="str">
        <f>VLOOKUP(Tabel1[[#This Row],[personeelsnr]],'data hastus'!$A:$C,3,0)</f>
        <v>Sharon</v>
      </c>
      <c r="E692" t="str">
        <f>VLOOKUP(Tabel1[[#This Row],[personeelsnr]],'data hastus'!A:K,11,FALSE)</f>
        <v>Dominique De Clercq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SUM(Tabel1[[#This Row],[Januari]:[December]])</f>
        <v>1</v>
      </c>
      <c r="T692" s="3">
        <v>45775</v>
      </c>
      <c r="U692" s="8" t="s">
        <v>3157</v>
      </c>
      <c r="V692" s="8">
        <v>1</v>
      </c>
      <c r="W692" s="8"/>
      <c r="X692" t="s">
        <v>57</v>
      </c>
      <c r="Y692" t="s">
        <v>112</v>
      </c>
    </row>
    <row r="693" spans="1:25" x14ac:dyDescent="0.25">
      <c r="A693">
        <v>38475</v>
      </c>
      <c r="B693" t="str">
        <f>_xlfn.CONCAT(Tabel1[[#This Row],[personeelsnr]]," ",C693," ",D693)</f>
        <v>38475 Verschraegen Katleen</v>
      </c>
      <c r="C693" t="str">
        <f>VLOOKUP(Tabel1[[#This Row],[personeelsnr]],'data hastus'!$A:$C,2,0)</f>
        <v>Verschraegen</v>
      </c>
      <c r="D693" t="str">
        <f>VLOOKUP(Tabel1[[#This Row],[personeelsnr]],'data hastus'!$A:$C,3,0)</f>
        <v>Katleen</v>
      </c>
      <c r="E693" t="str">
        <f>VLOOKUP(Tabel1[[#This Row],[personeelsnr]],'data hastus'!A:K,11,FALSE)</f>
        <v>Els Dewulf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SUM(Tabel1[[#This Row],[Januari]:[December]])</f>
        <v>1</v>
      </c>
      <c r="T693" s="3">
        <v>45775</v>
      </c>
      <c r="U693" s="8" t="s">
        <v>3164</v>
      </c>
      <c r="V693" s="8">
        <v>1</v>
      </c>
      <c r="W693" s="8"/>
      <c r="X693" t="s">
        <v>57</v>
      </c>
      <c r="Y693" t="s">
        <v>93</v>
      </c>
    </row>
    <row r="694" spans="1:25" x14ac:dyDescent="0.25">
      <c r="A694">
        <v>24155</v>
      </c>
      <c r="B694" t="str">
        <f>_xlfn.CONCAT(Tabel1[[#This Row],[personeelsnr]]," ",C694," ",D694)</f>
        <v>24155 Luttens Koen</v>
      </c>
      <c r="C694" t="str">
        <f>VLOOKUP(Tabel1[[#This Row],[personeelsnr]],'data hastus'!$A:$C,2,0)</f>
        <v>Luttens</v>
      </c>
      <c r="D694" t="str">
        <f>VLOOKUP(Tabel1[[#This Row],[personeelsnr]],'data hastus'!$A:$C,3,0)</f>
        <v>Koen</v>
      </c>
      <c r="E694" t="str">
        <f>VLOOKUP(Tabel1[[#This Row],[personeelsnr]],'data hastus'!A:K,11,FALSE)</f>
        <v>Els Vanhoe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45776</v>
      </c>
      <c r="U694" s="8" t="s">
        <v>3175</v>
      </c>
      <c r="V694" s="8">
        <v>1</v>
      </c>
      <c r="W694" s="8"/>
      <c r="X694" t="s">
        <v>57</v>
      </c>
      <c r="Y694" t="s">
        <v>246</v>
      </c>
    </row>
    <row r="695" spans="1:25" x14ac:dyDescent="0.25">
      <c r="A695">
        <v>37908</v>
      </c>
      <c r="B695" t="str">
        <f>_xlfn.CONCAT(Tabel1[[#This Row],[personeelsnr]]," ",C695," ",D695)</f>
        <v>37908 Vandenberghe Michael</v>
      </c>
      <c r="C695" t="str">
        <f>VLOOKUP(Tabel1[[#This Row],[personeelsnr]],'data hastus'!$A:$C,2,0)</f>
        <v>Vandenberghe</v>
      </c>
      <c r="D695" t="str">
        <f>VLOOKUP(Tabel1[[#This Row],[personeelsnr]],'data hastus'!$A:$C,3,0)</f>
        <v>Michael</v>
      </c>
      <c r="E695" t="str">
        <f>VLOOKUP(Tabel1[[#This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SUM(Tabel1[[#This Row],[Januari]:[December]])</f>
        <v>1</v>
      </c>
      <c r="T695" s="3">
        <v>45777</v>
      </c>
      <c r="U695" s="8" t="s">
        <v>3185</v>
      </c>
      <c r="V695" s="8">
        <v>1</v>
      </c>
      <c r="W695" s="8"/>
      <c r="X695" t="s">
        <v>57</v>
      </c>
      <c r="Y695" t="s">
        <v>24</v>
      </c>
    </row>
    <row r="696" spans="1:25" x14ac:dyDescent="0.25">
      <c r="A696">
        <v>41092</v>
      </c>
      <c r="B696" t="str">
        <f>_xlfn.CONCAT(Tabel1[[#This Row],[personeelsnr]]," ",C696," ",D696)</f>
        <v>41092 De Keyser Dorien</v>
      </c>
      <c r="C696" t="str">
        <f>VLOOKUP(Tabel1[[#This Row],[personeelsnr]],'data hastus'!$A:$C,2,0)</f>
        <v>De Keyser</v>
      </c>
      <c r="D696" t="str">
        <f>VLOOKUP(Tabel1[[#This Row],[personeelsnr]],'data hastus'!$A:$C,3,0)</f>
        <v>Dorien</v>
      </c>
      <c r="E696" t="str">
        <f>VLOOKUP(Tabel1[[#This Row],[personeelsnr]],'data hastus'!A:K,11,FALSE)</f>
        <v>Dominique De Clercq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SUM(Tabel1[[#This Row],[Januari]:[December]])</f>
        <v>1</v>
      </c>
      <c r="T696" s="3">
        <v>45777</v>
      </c>
      <c r="U696" s="8" t="s">
        <v>3160</v>
      </c>
      <c r="V696" s="8">
        <v>1</v>
      </c>
      <c r="W696" s="8"/>
      <c r="X696" t="s">
        <v>57</v>
      </c>
      <c r="Y696" t="s">
        <v>89</v>
      </c>
    </row>
    <row r="697" spans="1:25" x14ac:dyDescent="0.25">
      <c r="A697">
        <v>30967</v>
      </c>
      <c r="B697" t="str">
        <f>_xlfn.CONCAT(Tabel1[[#This Row],[personeelsnr]]," ",C697," ",D697)</f>
        <v>30967 Taser Fatih</v>
      </c>
      <c r="C697" t="str">
        <f>VLOOKUP(Tabel1[[#This Row],[personeelsnr]],'data hastus'!$A:$C,2,0)</f>
        <v>Taser</v>
      </c>
      <c r="D697" t="str">
        <f>VLOOKUP(Tabel1[[#This Row],[personeelsnr]],'data hastus'!$A:$C,3,0)</f>
        <v>Fatih</v>
      </c>
      <c r="E697" t="str">
        <f>VLOOKUP(Tabel1[[#This Row],[personeelsnr]],'data hastus'!A:K,11,FALSE)</f>
        <v>Dominique De Clercq</v>
      </c>
      <c r="F697" s="10"/>
      <c r="G697" s="7"/>
      <c r="H697" s="7"/>
      <c r="I697" s="7"/>
      <c r="K697" s="12">
        <v>1</v>
      </c>
      <c r="S697" s="5">
        <f>SUM(Tabel1[[#This Row],[Januari]:[December]])</f>
        <v>1</v>
      </c>
      <c r="T697" s="9">
        <v>45778</v>
      </c>
      <c r="U697" s="8" t="s">
        <v>3203</v>
      </c>
      <c r="V697" s="8">
        <v>1</v>
      </c>
      <c r="W697" s="8"/>
      <c r="X697" t="s">
        <v>57</v>
      </c>
      <c r="Y697" t="s">
        <v>28</v>
      </c>
    </row>
    <row r="698" spans="1:25" x14ac:dyDescent="0.25">
      <c r="A698">
        <v>40652</v>
      </c>
      <c r="B698" t="str">
        <f>_xlfn.CONCAT(Tabel1[[#This Row],[personeelsnr]]," ",C698," ",D698)</f>
        <v>40652 Van Damme Gilyann</v>
      </c>
      <c r="C698" t="str">
        <f>VLOOKUP(Tabel1[[#This Row],[personeelsnr]],'data hastus'!$A:$C,2,0)</f>
        <v>Van Damme</v>
      </c>
      <c r="D698" t="str">
        <f>VLOOKUP(Tabel1[[#This Row],[personeelsnr]],'data hastus'!$A:$C,3,0)</f>
        <v>Gilyann</v>
      </c>
      <c r="E698" t="str">
        <f>VLOOKUP(Tabel1[[#This Row],[personeelsnr]],'data hastus'!A:K,11,FALSE)</f>
        <v>Els Vanhoe</v>
      </c>
      <c r="F698" s="10"/>
      <c r="G698" s="6"/>
      <c r="H698" s="6"/>
      <c r="I698" s="6"/>
      <c r="J698"/>
      <c r="K698">
        <v>1</v>
      </c>
      <c r="L698"/>
      <c r="M698"/>
      <c r="N698"/>
      <c r="O698"/>
      <c r="P698"/>
      <c r="Q698"/>
      <c r="R698"/>
      <c r="S698">
        <f>SUM(Tabel1[[#This Row],[Januari]:[December]])</f>
        <v>1</v>
      </c>
      <c r="T698" s="3">
        <v>45779</v>
      </c>
      <c r="U698" s="8" t="s">
        <v>2928</v>
      </c>
      <c r="V698" s="8">
        <v>1</v>
      </c>
      <c r="W698" s="8"/>
      <c r="X698" t="s">
        <v>57</v>
      </c>
      <c r="Y698" t="s">
        <v>61</v>
      </c>
    </row>
    <row r="699" spans="1:25" x14ac:dyDescent="0.25">
      <c r="A699">
        <v>40652</v>
      </c>
      <c r="B699" s="35" t="str">
        <f>_xlfn.CONCAT(Tabel1[[#This Row],[personeelsnr]]," ",C699," ",D699)</f>
        <v>40652 Van Damme Gilyann</v>
      </c>
      <c r="C699" t="str">
        <f>VLOOKUP(Tabel1[[#This Row],[personeelsnr]],'data hastus'!$A:$C,2,0)</f>
        <v>Van Damme</v>
      </c>
      <c r="D699" t="str">
        <f>VLOOKUP(Tabel1[[#This Row],[personeelsnr]],'data hastus'!$A:$C,3,0)</f>
        <v>Gilyann</v>
      </c>
      <c r="E699" t="str">
        <f>VLOOKUP(Tabel1[[#This Row],[personeelsnr]],'data hastus'!A:K,11,FALSE)</f>
        <v>Els Vanhoe</v>
      </c>
      <c r="F699" s="10"/>
      <c r="G699" s="7"/>
      <c r="H699" s="7"/>
      <c r="I699" s="7"/>
      <c r="K699" s="5">
        <v>1</v>
      </c>
      <c r="S699" s="36">
        <f>SUM(Tabel1[[#This Row],[Januari]:[December]])</f>
        <v>1</v>
      </c>
      <c r="T699" s="9">
        <v>45779</v>
      </c>
      <c r="U699" s="8" t="s">
        <v>3212</v>
      </c>
      <c r="V699" s="24">
        <v>1</v>
      </c>
      <c r="W699" s="24"/>
      <c r="X699" t="s">
        <v>57</v>
      </c>
      <c r="Y699" t="s">
        <v>61</v>
      </c>
    </row>
    <row r="700" spans="1:25" x14ac:dyDescent="0.25">
      <c r="A700">
        <v>29746</v>
      </c>
      <c r="B700" t="str">
        <f>_xlfn.CONCAT(Tabel1[[#This Row],[personeelsnr]]," ",C700," ",D700)</f>
        <v>29746 Huyse Annicke</v>
      </c>
      <c r="C700" t="str">
        <f>VLOOKUP(Tabel1[[#This Row],[personeelsnr]],'data hastus'!$A:$C,2,0)</f>
        <v>Huyse</v>
      </c>
      <c r="D700" t="str">
        <f>VLOOKUP(Tabel1[[#This Row],[personeelsnr]],'data hastus'!$A:$C,3,0)</f>
        <v>Annicke</v>
      </c>
      <c r="E700" t="str">
        <f>VLOOKUP(Tabel1[[#This Row],[personeelsnr]],'data hastus'!A:K,11,FALSE)</f>
        <v>Bart Van Der Beken</v>
      </c>
      <c r="F700" s="10">
        <v>45831</v>
      </c>
      <c r="G700" s="7"/>
      <c r="H700" s="7"/>
      <c r="I700" s="7"/>
      <c r="L700" s="5">
        <v>1</v>
      </c>
      <c r="S700" s="5">
        <f>SUM(Tabel1[[#This Row],[Januari]:[December]])</f>
        <v>1</v>
      </c>
      <c r="U700" s="8" t="s">
        <v>3243</v>
      </c>
      <c r="V700" s="24"/>
      <c r="W700" s="24">
        <v>1</v>
      </c>
      <c r="X700" t="s">
        <v>58</v>
      </c>
      <c r="Y700" t="s">
        <v>123</v>
      </c>
    </row>
    <row r="701" spans="1:25" x14ac:dyDescent="0.25">
      <c r="A701">
        <v>4608</v>
      </c>
      <c r="B701" t="str">
        <f>_xlfn.CONCAT(Tabel1[[#This Row],[personeelsnr]]," ",C701," ",D701)</f>
        <v>4608 Steenbrugge Johan</v>
      </c>
      <c r="C701" t="str">
        <f>VLOOKUP(Tabel1[[#This Row],[personeelsnr]],'data hastus'!$A:$C,2,0)</f>
        <v>Steenbrugge</v>
      </c>
      <c r="D701" t="str">
        <f>VLOOKUP(Tabel1[[#This Row],[personeelsnr]],'data hastus'!$A:$C,3,0)</f>
        <v>Johan</v>
      </c>
      <c r="E701" t="str">
        <f>VLOOKUP(Tabel1[[#This Row],[personeelsnr]],'data hastus'!A:K,11,FALSE)</f>
        <v>Lucie Vande Velde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SUM(Tabel1[[#This Row],[Januari]:[December]])</f>
        <v>1</v>
      </c>
      <c r="T701" s="3">
        <v>45780</v>
      </c>
      <c r="U701" s="8" t="s">
        <v>3211</v>
      </c>
      <c r="V701" s="8">
        <v>1</v>
      </c>
      <c r="W701" s="8"/>
      <c r="X701" t="s">
        <v>57</v>
      </c>
      <c r="Y701" t="s">
        <v>20</v>
      </c>
    </row>
    <row r="702" spans="1:25" x14ac:dyDescent="0.25">
      <c r="A702">
        <v>33965</v>
      </c>
      <c r="B702" t="str">
        <f>_xlfn.CONCAT(Tabel1[[#This Row],[personeelsnr]]," ",C702," ",D702)</f>
        <v>33965 Van de Gehuchte Gilles</v>
      </c>
      <c r="C702" t="str">
        <f>VLOOKUP(Tabel1[[#This Row],[personeelsnr]],'data hastus'!$A:$C,2,0)</f>
        <v>Van de Gehuchte</v>
      </c>
      <c r="D702" t="str">
        <f>VLOOKUP(Tabel1[[#This Row],[personeelsnr]],'data hastus'!$A:$C,3,0)</f>
        <v>Gilles</v>
      </c>
      <c r="E702" t="str">
        <f>VLOOKUP(Tabel1[[#This Row],[personeelsnr]],'data hastus'!A:K,11,FALSE)</f>
        <v>Kenneth De Rick</v>
      </c>
      <c r="F702" s="10"/>
      <c r="G702" s="7"/>
      <c r="H702" s="7"/>
      <c r="I702" s="7"/>
      <c r="K702" s="12">
        <v>1</v>
      </c>
      <c r="S702" s="5">
        <f>SUM(Tabel1[[#This Row],[Januari]:[December]])</f>
        <v>1</v>
      </c>
      <c r="T702" s="9">
        <v>45781</v>
      </c>
      <c r="U702" s="8" t="s">
        <v>3202</v>
      </c>
      <c r="V702" s="8"/>
      <c r="W702" s="8">
        <v>1</v>
      </c>
      <c r="X702" t="s">
        <v>58</v>
      </c>
      <c r="Y702" t="s">
        <v>19</v>
      </c>
    </row>
    <row r="703" spans="1:25" x14ac:dyDescent="0.25">
      <c r="A703">
        <v>26695</v>
      </c>
      <c r="B703" t="str">
        <f>_xlfn.CONCAT(Tabel1[[#This Row],[personeelsnr]]," ",C703," ",D703)</f>
        <v>26695 Lippens Miguel</v>
      </c>
      <c r="C703" t="str">
        <f>VLOOKUP(Tabel1[[#This Row],[personeelsnr]],'data hastus'!$A:$C,2,0)</f>
        <v>Lippens</v>
      </c>
      <c r="D703" t="str">
        <f>VLOOKUP(Tabel1[[#This Row],[personeelsnr]],'data hastus'!$A:$C,3,0)</f>
        <v>Miguel</v>
      </c>
      <c r="E703" t="str">
        <f>VLOOKUP(Tabel1[[#This Row],[personeelsnr]],'data hastus'!A:K,11,FALSE)</f>
        <v>Christoff Rotty</v>
      </c>
      <c r="F703" s="10">
        <v>45821</v>
      </c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45821</v>
      </c>
      <c r="U703" s="8" t="s">
        <v>3249</v>
      </c>
      <c r="V703" s="24">
        <v>1</v>
      </c>
      <c r="W703" s="24"/>
      <c r="X703" t="s">
        <v>57</v>
      </c>
      <c r="Y703" t="s">
        <v>2896</v>
      </c>
    </row>
    <row r="704" spans="1:25" x14ac:dyDescent="0.25">
      <c r="A704">
        <v>38731</v>
      </c>
      <c r="B704" t="str">
        <f>_xlfn.CONCAT(Tabel1[[#This Row],[personeelsnr]]," ",C704," ",D704)</f>
        <v>38731 Ben Sidhom Samir</v>
      </c>
      <c r="C704" t="str">
        <f>VLOOKUP(Tabel1[[#This Row],[personeelsnr]],'data hastus'!$A:$C,2,0)</f>
        <v>Ben Sidhom</v>
      </c>
      <c r="D704" t="str">
        <f>VLOOKUP(Tabel1[[#This Row],[personeelsnr]],'data hastus'!$A:$C,3,0)</f>
        <v>Samir</v>
      </c>
      <c r="E704" t="str">
        <f>VLOOKUP(Tabel1[[#This Row],[personeelsnr]],'data hastus'!A:K,11,FALSE)</f>
        <v>Christoff Rotty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SUM(Tabel1[[#This Row],[Januari]:[December]])</f>
        <v>1</v>
      </c>
      <c r="T704" s="3">
        <v>45782</v>
      </c>
      <c r="U704" s="8" t="s">
        <v>3210</v>
      </c>
      <c r="V704" s="8">
        <v>1</v>
      </c>
      <c r="W704" s="8"/>
      <c r="X704" t="s">
        <v>57</v>
      </c>
      <c r="Y704" t="s">
        <v>21</v>
      </c>
    </row>
    <row r="705" spans="1:25" x14ac:dyDescent="0.25">
      <c r="A705">
        <v>14625</v>
      </c>
      <c r="B705" t="str">
        <f>_xlfn.CONCAT(Tabel1[[#This Row],[personeelsnr]]," ",C705," ",D705)</f>
        <v>14625 Rodrigue Vincent</v>
      </c>
      <c r="C705" t="str">
        <f>VLOOKUP(Tabel1[[#This Row],[personeelsnr]],'data hastus'!$A:$C,2,0)</f>
        <v>Rodrigue</v>
      </c>
      <c r="D705" t="str">
        <f>VLOOKUP(Tabel1[[#This Row],[personeelsnr]],'data hastus'!$A:$C,3,0)</f>
        <v>Vincent</v>
      </c>
      <c r="E705" t="str">
        <f>VLOOKUP(Tabel1[[#This Row],[personeelsnr]],'data hastus'!A:K,11,FALSE)</f>
        <v>Lucie Vande Velde</v>
      </c>
      <c r="F705" s="10">
        <v>45828</v>
      </c>
      <c r="G705" s="7"/>
      <c r="H705" s="7"/>
      <c r="I705" s="7"/>
      <c r="L705" s="5">
        <v>1</v>
      </c>
      <c r="S705" s="5">
        <f>SUM(Tabel1[[#This Row],[Januari]:[December]])</f>
        <v>1</v>
      </c>
      <c r="U705" s="8" t="s">
        <v>3213</v>
      </c>
      <c r="V705" s="24">
        <v>1</v>
      </c>
      <c r="W705" s="24"/>
      <c r="X705" t="s">
        <v>57</v>
      </c>
      <c r="Y705" t="s">
        <v>49</v>
      </c>
    </row>
    <row r="706" spans="1:25" x14ac:dyDescent="0.25">
      <c r="A706">
        <v>40938</v>
      </c>
      <c r="B706" t="str">
        <f>_xlfn.CONCAT(Tabel1[[#This Row],[personeelsnr]]," ",C706," ",D706)</f>
        <v>40938 Hasnaoui Nejmeddine</v>
      </c>
      <c r="C706" t="str">
        <f>VLOOKUP(Tabel1[[#This Row],[personeelsnr]],'data hastus'!$A:$C,2,0)</f>
        <v>Hasnaoui</v>
      </c>
      <c r="D706" t="str">
        <f>VLOOKUP(Tabel1[[#This Row],[personeelsnr]],'data hastus'!$A:$C,3,0)</f>
        <v>Nejmeddine</v>
      </c>
      <c r="E706" t="str">
        <f>VLOOKUP(Tabel1[[#This Row],[personeelsnr]],'data hastus'!A:K,11,FALSE)</f>
        <v>Dominique De Clercq</v>
      </c>
      <c r="F706" s="10"/>
      <c r="G706" s="7"/>
      <c r="H706" s="7"/>
      <c r="I706" s="7"/>
      <c r="K706" s="5">
        <v>1</v>
      </c>
      <c r="S706" s="5">
        <f>SUM(Tabel1[[#This Row],[Januari]:[December]])</f>
        <v>1</v>
      </c>
      <c r="T706" s="9">
        <v>45783</v>
      </c>
      <c r="U706" s="8" t="s">
        <v>3199</v>
      </c>
      <c r="V706" s="8">
        <v>1</v>
      </c>
      <c r="W706" s="8"/>
      <c r="X706" t="s">
        <v>57</v>
      </c>
      <c r="Y706" t="s">
        <v>45</v>
      </c>
    </row>
    <row r="707" spans="1:25" x14ac:dyDescent="0.25">
      <c r="A707">
        <v>40652</v>
      </c>
      <c r="B707" t="str">
        <f>_xlfn.CONCAT(Tabel1[[#This Row],[personeelsnr]]," ",C707," ",D707)</f>
        <v>40652 Van Damme Gilyann</v>
      </c>
      <c r="C707" t="str">
        <f>VLOOKUP(Tabel1[[#This Row],[personeelsnr]],'data hastus'!$A:$C,2,0)</f>
        <v>Van Damme</v>
      </c>
      <c r="D707" t="str">
        <f>VLOOKUP(Tabel1[[#This Row],[personeelsnr]],'data hastus'!$A:$C,3,0)</f>
        <v>Gilyann</v>
      </c>
      <c r="E707" t="str">
        <f>VLOOKUP(Tabel1[[#This Row],[personeelsnr]],'data hastus'!A:K,11,FALSE)</f>
        <v>Els Vanhoe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SUM(Tabel1[[#This Row],[Januari]:[December]])</f>
        <v>1</v>
      </c>
      <c r="T707" s="3">
        <v>45784</v>
      </c>
      <c r="U707" s="8" t="s">
        <v>3207</v>
      </c>
      <c r="V707" s="8">
        <v>1</v>
      </c>
      <c r="W707" s="8"/>
      <c r="X707" t="s">
        <v>57</v>
      </c>
      <c r="Y707" t="s">
        <v>235</v>
      </c>
    </row>
    <row r="708" spans="1:25" x14ac:dyDescent="0.25">
      <c r="A708">
        <v>38931</v>
      </c>
      <c r="B708" t="str">
        <f>_xlfn.CONCAT(Tabel1[[#This Row],[personeelsnr]]," ",C708," ",D708)</f>
        <v>38931 Sancak Eyuphan</v>
      </c>
      <c r="C708" t="str">
        <f>VLOOKUP(Tabel1[[#This Row],[personeelsnr]],'data hastus'!$A:$C,2,0)</f>
        <v>Sancak</v>
      </c>
      <c r="D708" t="str">
        <f>VLOOKUP(Tabel1[[#This Row],[personeelsnr]],'data hastus'!$A:$C,3,0)</f>
        <v>Eyuphan</v>
      </c>
      <c r="E708" t="str">
        <f>VLOOKUP(Tabel1[[#This Row],[personeelsnr]],'data hastus'!A:K,11,FALSE)</f>
        <v>Bart Van Der Beken</v>
      </c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SUM(Tabel1[[#This Row],[Januari]:[December]])</f>
        <v>1</v>
      </c>
      <c r="T708" s="3">
        <v>45786</v>
      </c>
      <c r="U708" s="8" t="s">
        <v>3206</v>
      </c>
      <c r="V708" s="8">
        <v>1</v>
      </c>
      <c r="W708" s="8"/>
      <c r="X708" t="s">
        <v>57</v>
      </c>
      <c r="Y708" t="s">
        <v>243</v>
      </c>
    </row>
    <row r="709" spans="1:25" x14ac:dyDescent="0.25">
      <c r="A709">
        <v>31165</v>
      </c>
      <c r="B709" t="str">
        <f>_xlfn.CONCAT(Tabel1[[#This Row],[personeelsnr]]," ",C709," ",D709)</f>
        <v>31165 Govaerts Sandro</v>
      </c>
      <c r="C709" t="str">
        <f>VLOOKUP(Tabel1[[#This Row],[personeelsnr]],'data hastus'!$A:$C,2,0)</f>
        <v>Govaerts</v>
      </c>
      <c r="D709" t="str">
        <f>VLOOKUP(Tabel1[[#This Row],[personeelsnr]],'data hastus'!$A:$C,3,0)</f>
        <v>Sandro</v>
      </c>
      <c r="E709" t="str">
        <f>VLOOKUP(Tabel1[[#This Row],[personeelsnr]],'data hastus'!A:K,11,FALSE)</f>
        <v>Lucie Vande Velde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SUM(Tabel1[[#This Row],[Januari]:[December]])</f>
        <v>1</v>
      </c>
      <c r="T709" s="3">
        <v>45787</v>
      </c>
      <c r="U709" s="8" t="s">
        <v>3205</v>
      </c>
      <c r="V709" s="8">
        <v>1</v>
      </c>
      <c r="W709" s="8"/>
      <c r="X709" t="s">
        <v>57</v>
      </c>
      <c r="Y709" t="s">
        <v>148</v>
      </c>
    </row>
    <row r="710" spans="1:25" x14ac:dyDescent="0.25">
      <c r="A710">
        <v>27672</v>
      </c>
      <c r="B710" t="str">
        <f>_xlfn.CONCAT(Tabel1[[#This Row],[personeelsnr]]," ",C710," ",D710)</f>
        <v>27672 Criel Veronique</v>
      </c>
      <c r="C710" t="str">
        <f>VLOOKUP(Tabel1[[#This Row],[personeelsnr]],'data hastus'!$A:$C,2,0)</f>
        <v>Criel</v>
      </c>
      <c r="D710" t="str">
        <f>VLOOKUP(Tabel1[[#This Row],[personeelsnr]],'data hastus'!$A:$C,3,0)</f>
        <v>Veronique</v>
      </c>
      <c r="E710" t="str">
        <f>VLOOKUP(Tabel1[[#This Row],[personeelsnr]],'data hastus'!A:K,11,FALSE)</f>
        <v>Steven Storm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SUM(Tabel1[[#This Row],[Januari]:[December]])</f>
        <v>1</v>
      </c>
      <c r="T710" s="3">
        <v>45787</v>
      </c>
      <c r="U710" s="8" t="s">
        <v>3201</v>
      </c>
      <c r="V710" s="8"/>
      <c r="W710" s="8">
        <v>1</v>
      </c>
      <c r="X710" t="s">
        <v>58</v>
      </c>
      <c r="Y710" t="s">
        <v>27</v>
      </c>
    </row>
    <row r="711" spans="1:25" x14ac:dyDescent="0.25">
      <c r="A711">
        <v>40138</v>
      </c>
      <c r="B711" t="str">
        <f>_xlfn.CONCAT(Tabel1[[#This Row],[personeelsnr]]," ",C711," ",D711)</f>
        <v>40138 Moerman Tjimmy</v>
      </c>
      <c r="C711" t="str">
        <f>VLOOKUP(Tabel1[[#This Row],[personeelsnr]],'data hastus'!$A:$C,2,0)</f>
        <v>Moerman</v>
      </c>
      <c r="D711" t="str">
        <f>VLOOKUP(Tabel1[[#This Row],[personeelsnr]],'data hastus'!$A:$C,3,0)</f>
        <v>Tjimmy</v>
      </c>
      <c r="E711" t="str">
        <f>VLOOKUP(Tabel1[[#This Row],[personeelsnr]],'data hastus'!A:K,11,FALSE)</f>
        <v>Christoff Rotty</v>
      </c>
      <c r="F711" s="10"/>
      <c r="G711" s="6"/>
      <c r="H711" s="6"/>
      <c r="I711" s="6"/>
      <c r="J711"/>
      <c r="K711">
        <v>1</v>
      </c>
      <c r="L711"/>
      <c r="M711"/>
      <c r="N711"/>
      <c r="O711"/>
      <c r="P711"/>
      <c r="Q711"/>
      <c r="R711"/>
      <c r="S711">
        <f>SUM(Tabel1[[#This Row],[Januari]:[December]])</f>
        <v>1</v>
      </c>
      <c r="T711" s="3">
        <v>45788</v>
      </c>
      <c r="U711" s="8" t="s">
        <v>3205</v>
      </c>
      <c r="V711" s="8">
        <v>1</v>
      </c>
      <c r="W711" s="8"/>
      <c r="X711" t="s">
        <v>57</v>
      </c>
      <c r="Y711" t="s">
        <v>24</v>
      </c>
    </row>
    <row r="712" spans="1:25" x14ac:dyDescent="0.25">
      <c r="A712">
        <v>39856</v>
      </c>
      <c r="B712" t="str">
        <f>_xlfn.CONCAT(Tabel1[[#This Row],[personeelsnr]]," ",C712," ",D712)</f>
        <v>39856 Curukcu Bayram</v>
      </c>
      <c r="C712" t="str">
        <f>VLOOKUP(Tabel1[[#This Row],[personeelsnr]],'data hastus'!$A:$C,2,0)</f>
        <v>Curukcu</v>
      </c>
      <c r="D712" t="str">
        <f>VLOOKUP(Tabel1[[#This Row],[personeelsnr]],'data hastus'!$A:$C,3,0)</f>
        <v>Bayram</v>
      </c>
      <c r="E712" t="str">
        <f>VLOOKUP(Tabel1[[#This Row],[personeelsnr]],'data hastus'!A:K,11,FALSE)</f>
        <v>Kenneth De Rick</v>
      </c>
      <c r="F712" s="10"/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SUM(Tabel1[[#This Row],[Januari]:[December]])</f>
        <v>1</v>
      </c>
      <c r="T712" s="3">
        <v>45790</v>
      </c>
      <c r="U712" s="8" t="s">
        <v>3204</v>
      </c>
      <c r="V712" s="8">
        <v>1</v>
      </c>
      <c r="W712" s="8"/>
      <c r="X712" t="s">
        <v>57</v>
      </c>
      <c r="Y712" t="s">
        <v>47</v>
      </c>
    </row>
    <row r="713" spans="1:25" x14ac:dyDescent="0.25">
      <c r="A713">
        <v>29746</v>
      </c>
      <c r="B713" t="str">
        <f>_xlfn.CONCAT(Tabel1[[#This Row],[personeelsnr]]," ",C713," ",D713)</f>
        <v>29746 Huyse Annicke</v>
      </c>
      <c r="C713" t="str">
        <f>VLOOKUP(Tabel1[[#This Row],[personeelsnr]],'data hastus'!$A:$C,2,0)</f>
        <v>Huyse</v>
      </c>
      <c r="D713" t="str">
        <f>VLOOKUP(Tabel1[[#This Row],[personeelsnr]],'data hastus'!$A:$C,3,0)</f>
        <v>Annicke</v>
      </c>
      <c r="E713" t="str">
        <f>VLOOKUP(Tabel1[[#This Row],[personeelsnr]],'data hastus'!A:K,11,FALSE)</f>
        <v>Bart Van Der Beken</v>
      </c>
      <c r="F713" s="10"/>
      <c r="G713" s="7"/>
      <c r="H713" s="7"/>
      <c r="I713" s="7"/>
      <c r="K713" s="5">
        <v>1</v>
      </c>
      <c r="S713" s="5">
        <f>SUM(Tabel1[[#This Row],[Januari]:[December]])</f>
        <v>1</v>
      </c>
      <c r="T713" s="9">
        <v>45791</v>
      </c>
      <c r="U713" s="8" t="s">
        <v>3193</v>
      </c>
      <c r="V713" s="8">
        <v>1</v>
      </c>
      <c r="W713" s="8"/>
      <c r="X713" t="s">
        <v>57</v>
      </c>
      <c r="Y713" t="s">
        <v>21</v>
      </c>
    </row>
    <row r="714" spans="1:25" x14ac:dyDescent="0.25">
      <c r="A714">
        <v>40393</v>
      </c>
      <c r="B714" t="str">
        <f>_xlfn.CONCAT(Tabel1[[#This Row],[personeelsnr]]," ",C714," ",D714)</f>
        <v>40393 Salimova Eydzhan</v>
      </c>
      <c r="C714" t="str">
        <f>VLOOKUP(Tabel1[[#This Row],[personeelsnr]],'data hastus'!$A:$C,2,0)</f>
        <v>Salimova</v>
      </c>
      <c r="D714" t="str">
        <f>VLOOKUP(Tabel1[[#This Row],[personeelsnr]],'data hastus'!$A:$C,3,0)</f>
        <v>Eydzhan</v>
      </c>
      <c r="E714" t="str">
        <f>VLOOKUP(Tabel1[[#This Row],[personeelsnr]],'data hastus'!A:K,11,FALSE)</f>
        <v>Dominique De Clercq</v>
      </c>
      <c r="F714" s="10"/>
      <c r="G714" s="7"/>
      <c r="H714" s="7"/>
      <c r="I714" s="7"/>
      <c r="S714" s="5">
        <f>SUM(Tabel1[[#This Row],[Januari]:[December]])</f>
        <v>0</v>
      </c>
      <c r="T714" s="9">
        <v>45792</v>
      </c>
      <c r="U714" s="8" t="s">
        <v>793</v>
      </c>
      <c r="V714" s="8">
        <v>1</v>
      </c>
      <c r="W714" s="8"/>
      <c r="X714" t="s">
        <v>57</v>
      </c>
      <c r="Y714" t="s">
        <v>189</v>
      </c>
    </row>
    <row r="715" spans="1:25" x14ac:dyDescent="0.25">
      <c r="A715">
        <v>36428</v>
      </c>
      <c r="B715" t="str">
        <f>_xlfn.CONCAT(Tabel1[[#This Row],[personeelsnr]]," ",C715," ",D715)</f>
        <v>36428 Abdi Shaiye Rashid</v>
      </c>
      <c r="C715" t="str">
        <f>VLOOKUP(Tabel1[[#This Row],[personeelsnr]],'data hastus'!$A:$C,2,0)</f>
        <v>Abdi Shaiye</v>
      </c>
      <c r="D715" t="str">
        <f>VLOOKUP(Tabel1[[#This Row],[personeelsnr]],'data hastus'!$A:$C,3,0)</f>
        <v>Rashid</v>
      </c>
      <c r="E715" t="str">
        <f>VLOOKUP(Tabel1[[#This Row],[personeelsnr]],'data hastus'!A:K,11,FALSE)</f>
        <v>Lucie Vande Velde</v>
      </c>
      <c r="F715" s="10"/>
      <c r="G715" s="7"/>
      <c r="H715" s="7"/>
      <c r="I715" s="7"/>
      <c r="K715" s="5">
        <v>1</v>
      </c>
      <c r="S715" s="5">
        <f>SUM(Tabel1[[#This Row],[Januari]:[December]])</f>
        <v>1</v>
      </c>
      <c r="T715" s="9">
        <v>45792</v>
      </c>
      <c r="U715" s="8" t="s">
        <v>3200</v>
      </c>
      <c r="V715" s="8"/>
      <c r="W715" s="8">
        <v>1</v>
      </c>
      <c r="X715" t="s">
        <v>58</v>
      </c>
      <c r="Y715" t="s">
        <v>18</v>
      </c>
    </row>
    <row r="716" spans="1:25" x14ac:dyDescent="0.25">
      <c r="A716">
        <v>31600</v>
      </c>
      <c r="B716" t="str">
        <f>_xlfn.CONCAT(Tabel1[[#This Row],[personeelsnr]]," ",C716," ",D716)</f>
        <v>31600 Mertens Tom</v>
      </c>
      <c r="C716" t="str">
        <f>VLOOKUP(Tabel1[[#This Row],[personeelsnr]],'data hastus'!$A:$C,2,0)</f>
        <v>Mertens</v>
      </c>
      <c r="D716" t="str">
        <f>VLOOKUP(Tabel1[[#This Row],[personeelsnr]],'data hastus'!$A:$C,3,0)</f>
        <v>Tom</v>
      </c>
      <c r="E716" t="str">
        <f>VLOOKUP(Tabel1[[#This Row],[personeelsnr]],'data hastus'!A:K,11,FALSE)</f>
        <v>Els Dewulf</v>
      </c>
      <c r="F716" s="10">
        <v>45737</v>
      </c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3104</v>
      </c>
      <c r="V716" s="8">
        <v>1</v>
      </c>
      <c r="W716" s="8"/>
      <c r="X716" t="s">
        <v>57</v>
      </c>
      <c r="Y716" t="s">
        <v>797</v>
      </c>
    </row>
    <row r="717" spans="1:25" x14ac:dyDescent="0.25">
      <c r="A717">
        <v>41230</v>
      </c>
      <c r="B717" t="str">
        <f>_xlfn.CONCAT(Tabel1[[#This Row],[personeelsnr]]," ",C717," ",D717)</f>
        <v>41230 De Witte Bart</v>
      </c>
      <c r="C717" t="str">
        <f>VLOOKUP(Tabel1[[#This Row],[personeelsnr]],'data hastus'!$A:$C,2,0)</f>
        <v>De Witte</v>
      </c>
      <c r="D717" t="str">
        <f>VLOOKUP(Tabel1[[#This Row],[personeelsnr]],'data hastus'!$A:$C,3,0)</f>
        <v>Bart</v>
      </c>
      <c r="E717" t="str">
        <f>VLOOKUP(Tabel1[[#This Row],[personeelsnr]],'data hastus'!A:K,11,FALSE)</f>
        <v>Dominique De Clercq</v>
      </c>
      <c r="F717" s="10"/>
      <c r="G717" s="7"/>
      <c r="H717" s="7"/>
      <c r="I717" s="7"/>
      <c r="K717" s="5">
        <v>1</v>
      </c>
      <c r="S717" s="5">
        <f>SUM(Tabel1[[#This Row],[Januari]:[December]])</f>
        <v>1</v>
      </c>
      <c r="T717" s="9">
        <v>45794</v>
      </c>
      <c r="U717" s="8" t="s">
        <v>3198</v>
      </c>
      <c r="V717" s="8">
        <v>1</v>
      </c>
      <c r="W717" s="8"/>
      <c r="X717" t="s">
        <v>57</v>
      </c>
      <c r="Y717" t="s">
        <v>156</v>
      </c>
    </row>
    <row r="718" spans="1:25" x14ac:dyDescent="0.25">
      <c r="A718">
        <v>41710</v>
      </c>
      <c r="B718" t="str">
        <f>_xlfn.CONCAT(Tabel1[[#This Row],[personeelsnr]]," ",C718," ",D718)</f>
        <v>41710 Ghani Fazal</v>
      </c>
      <c r="C718" t="str">
        <f>VLOOKUP(Tabel1[[#This Row],[personeelsnr]],'data hastus'!$A:$C,2,0)</f>
        <v>Ghani</v>
      </c>
      <c r="D718" t="str">
        <f>VLOOKUP(Tabel1[[#This Row],[personeelsnr]],'data hastus'!$A:$C,3,0)</f>
        <v>Fazal</v>
      </c>
      <c r="E718" t="str">
        <f>VLOOKUP(Tabel1[[#This Row],[personeelsnr]],'data hastus'!A:K,11,FALSE)</f>
        <v>Els Vanhoe</v>
      </c>
      <c r="F718" s="10"/>
      <c r="G718" s="7"/>
      <c r="H718" s="7"/>
      <c r="I718" s="7"/>
      <c r="K718" s="5">
        <v>1</v>
      </c>
      <c r="S718" s="5">
        <f>SUM(Tabel1[[#This Row],[Januari]:[December]])</f>
        <v>1</v>
      </c>
      <c r="T718" s="9">
        <v>45798</v>
      </c>
      <c r="U718" s="8" t="s">
        <v>3197</v>
      </c>
      <c r="V718" s="8">
        <v>1</v>
      </c>
      <c r="W718" s="8"/>
      <c r="X718" t="s">
        <v>57</v>
      </c>
      <c r="Y718" t="s">
        <v>138</v>
      </c>
    </row>
    <row r="719" spans="1:25" x14ac:dyDescent="0.25">
      <c r="A719">
        <v>38648</v>
      </c>
      <c r="B719" t="str">
        <f>_xlfn.CONCAT(Tabel1[[#This Row],[personeelsnr]]," ",C719," ",D719)</f>
        <v>38648 Uckuyulu Muhammet Emin</v>
      </c>
      <c r="C719" t="str">
        <f>VLOOKUP(Tabel1[[#This Row],[personeelsnr]],'data hastus'!$A:$C,2,0)</f>
        <v>Uckuyulu</v>
      </c>
      <c r="D719" t="str">
        <f>VLOOKUP(Tabel1[[#This Row],[personeelsnr]],'data hastus'!$A:$C,3,0)</f>
        <v>Muhammet Emin</v>
      </c>
      <c r="E719" t="str">
        <f>VLOOKUP(Tabel1[[#This Row],[personeelsnr]],'data hastus'!A:K,11,FALSE)</f>
        <v>Lucie Vande Velde</v>
      </c>
      <c r="F719" s="10"/>
      <c r="G719" s="7"/>
      <c r="H719" s="7"/>
      <c r="I719" s="7"/>
      <c r="K719" s="5">
        <v>1</v>
      </c>
      <c r="S719" s="5">
        <f>SUM(Tabel1[[#This Row],[Januari]:[December]])</f>
        <v>1</v>
      </c>
      <c r="T719" s="9">
        <v>45798</v>
      </c>
      <c r="U719" s="8" t="s">
        <v>3196</v>
      </c>
      <c r="V719" s="8"/>
      <c r="W719" s="8">
        <v>1</v>
      </c>
      <c r="X719" t="s">
        <v>58</v>
      </c>
      <c r="Y719" t="s">
        <v>158</v>
      </c>
    </row>
    <row r="720" spans="1:25" x14ac:dyDescent="0.25">
      <c r="A720">
        <v>41671</v>
      </c>
      <c r="B720" t="str">
        <f>_xlfn.CONCAT(Tabel1[[#This Row],[personeelsnr]]," ",C720," ",D720)</f>
        <v>41671 Hasan Salem</v>
      </c>
      <c r="C720" t="str">
        <f>VLOOKUP(Tabel1[[#This Row],[personeelsnr]],'data hastus'!$A:$C,2,0)</f>
        <v>Hasan</v>
      </c>
      <c r="D720" t="str">
        <f>VLOOKUP(Tabel1[[#This Row],[personeelsnr]],'data hastus'!$A:$C,3,0)</f>
        <v>Salem</v>
      </c>
      <c r="E720" t="str">
        <f>VLOOKUP(Tabel1[[#This Row],[personeelsnr]],'data hastus'!A:K,11,FALSE)</f>
        <v>Bart Van Der Beken</v>
      </c>
      <c r="F720" s="10"/>
      <c r="G720" s="7"/>
      <c r="H720" s="7"/>
      <c r="I720" s="7"/>
      <c r="K720" s="5">
        <v>1</v>
      </c>
      <c r="S720" s="5">
        <f>SUM(Tabel1[[#This Row],[Januari]:[December]])</f>
        <v>1</v>
      </c>
      <c r="T720" s="9">
        <v>45799</v>
      </c>
      <c r="U720" s="8" t="s">
        <v>3194</v>
      </c>
      <c r="V720" s="8">
        <v>1</v>
      </c>
      <c r="W720" s="8"/>
      <c r="X720" t="s">
        <v>57</v>
      </c>
      <c r="Y720" t="s">
        <v>52</v>
      </c>
    </row>
    <row r="721" spans="1:25" x14ac:dyDescent="0.25">
      <c r="A721">
        <v>39779</v>
      </c>
      <c r="B721" t="str">
        <f>_xlfn.CONCAT(Tabel1[[#This Row],[personeelsnr]]," ",C721," ",D721)</f>
        <v>39779 Avci Muhammet Abdullah</v>
      </c>
      <c r="C721" t="str">
        <f>VLOOKUP(Tabel1[[#This Row],[personeelsnr]],'data hastus'!$A:$C,2,0)</f>
        <v>Avci</v>
      </c>
      <c r="D721" t="str">
        <f>VLOOKUP(Tabel1[[#This Row],[personeelsnr]],'data hastus'!$A:$C,3,0)</f>
        <v>Muhammet Abdullah</v>
      </c>
      <c r="E721" t="str">
        <f>VLOOKUP(Tabel1[[#This Row],[personeelsnr]],'data hastus'!A:K,11,FALSE)</f>
        <v>Bart Van Der Beken</v>
      </c>
      <c r="F721" s="10">
        <v>45735</v>
      </c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3109</v>
      </c>
      <c r="V721" s="8">
        <v>1</v>
      </c>
      <c r="W721" s="8"/>
      <c r="X721" t="s">
        <v>57</v>
      </c>
      <c r="Y721" t="s">
        <v>27</v>
      </c>
    </row>
    <row r="722" spans="1:25" x14ac:dyDescent="0.25">
      <c r="A722">
        <v>40278</v>
      </c>
      <c r="B722" t="str">
        <f>_xlfn.CONCAT(Tabel1[[#This Row],[personeelsnr]]," ",C722," ",D722)</f>
        <v>40278 Ates Firat</v>
      </c>
      <c r="C722" t="str">
        <f>VLOOKUP(Tabel1[[#This Row],[personeelsnr]],'data hastus'!$A:$C,2,0)</f>
        <v>Ates</v>
      </c>
      <c r="D722" t="str">
        <f>VLOOKUP(Tabel1[[#This Row],[personeelsnr]],'data hastus'!$A:$C,3,0)</f>
        <v>Firat</v>
      </c>
      <c r="E722" t="str">
        <f>VLOOKUP(Tabel1[[#This Row],[personeelsnr]],'data hastus'!A:K,11,FALSE)</f>
        <v>Christoff Rotty</v>
      </c>
      <c r="F722" s="10"/>
      <c r="G722" s="7"/>
      <c r="H722" s="7"/>
      <c r="I722" s="7"/>
      <c r="K722" s="5">
        <v>1</v>
      </c>
      <c r="S722" s="5">
        <f>SUM(Tabel1[[#This Row],[Januari]:[December]])</f>
        <v>1</v>
      </c>
      <c r="T722" s="9">
        <v>45800</v>
      </c>
      <c r="U722" s="5" t="s">
        <v>794</v>
      </c>
      <c r="V722" s="8">
        <v>1</v>
      </c>
      <c r="X722" t="s">
        <v>57</v>
      </c>
      <c r="Y722" t="s">
        <v>30</v>
      </c>
    </row>
    <row r="723" spans="1:25" x14ac:dyDescent="0.25">
      <c r="A723">
        <v>41482</v>
      </c>
      <c r="B723" t="str">
        <f>_xlfn.CONCAT(Tabel1[[#This Row],[personeelsnr]]," ",C723," ",D723)</f>
        <v>41482 Özdemir Osman</v>
      </c>
      <c r="C723" t="str">
        <f>VLOOKUP(Tabel1[[#This Row],[personeelsnr]],'data hastus'!$A:$C,2,0)</f>
        <v>Özdemir</v>
      </c>
      <c r="D723" t="str">
        <f>VLOOKUP(Tabel1[[#This Row],[personeelsnr]],'data hastus'!$A:$C,3,0)</f>
        <v>Osman</v>
      </c>
      <c r="E723" t="str">
        <f>VLOOKUP(Tabel1[[#This Row],[personeelsnr]],'data hastus'!A:K,11,FALSE)</f>
        <v>Bart Van Der Beken</v>
      </c>
      <c r="F723" s="10"/>
      <c r="G723" s="7"/>
      <c r="H723" s="7"/>
      <c r="I723" s="7"/>
      <c r="K723" s="5">
        <v>1</v>
      </c>
      <c r="S723" s="5">
        <f>SUM(Tabel1[[#This Row],[Januari]:[December]])</f>
        <v>1</v>
      </c>
      <c r="T723" s="9">
        <v>45800</v>
      </c>
      <c r="U723" s="8" t="s">
        <v>3195</v>
      </c>
      <c r="V723" s="8">
        <v>1</v>
      </c>
      <c r="W723" s="8"/>
      <c r="X723" t="s">
        <v>57</v>
      </c>
      <c r="Y723" t="s">
        <v>20</v>
      </c>
    </row>
    <row r="724" spans="1:25" x14ac:dyDescent="0.25">
      <c r="A724">
        <v>15282</v>
      </c>
      <c r="B724" t="str">
        <f>_xlfn.CONCAT(Tabel1[[#This Row],[personeelsnr]]," ",C724," ",D724)</f>
        <v>15282 Marinx Kristoff</v>
      </c>
      <c r="C724" t="str">
        <f>VLOOKUP(Tabel1[[#This Row],[personeelsnr]],'data hastus'!$A:$C,2,0)</f>
        <v>Marinx</v>
      </c>
      <c r="D724" t="str">
        <f>VLOOKUP(Tabel1[[#This Row],[personeelsnr]],'data hastus'!$A:$C,3,0)</f>
        <v>Kristoff</v>
      </c>
      <c r="E724" t="str">
        <f>VLOOKUP(Tabel1[[#This Row],[personeelsnr]],'data hastus'!A:K,11,FALSE)</f>
        <v>Kenneth De Rick</v>
      </c>
      <c r="F724" s="10"/>
      <c r="G724" s="7"/>
      <c r="H724" s="7"/>
      <c r="I724" s="7"/>
      <c r="K724" s="5">
        <v>1</v>
      </c>
      <c r="S724" s="5">
        <f>SUM(Tabel1[[#This Row],[Januari]:[December]])</f>
        <v>1</v>
      </c>
      <c r="T724" s="9">
        <v>45803</v>
      </c>
      <c r="U724" s="8" t="s">
        <v>3192</v>
      </c>
      <c r="V724" s="8"/>
      <c r="W724" s="8">
        <v>1</v>
      </c>
      <c r="X724" t="s">
        <v>58</v>
      </c>
      <c r="Y724" t="s">
        <v>96</v>
      </c>
    </row>
    <row r="725" spans="1:25" x14ac:dyDescent="0.25">
      <c r="A725">
        <v>15412</v>
      </c>
      <c r="B725" t="str">
        <f>_xlfn.CONCAT(Tabel1[[#This Row],[personeelsnr]]," ",C725," ",D725)</f>
        <v>15412 Dhondt Frank</v>
      </c>
      <c r="C725" t="str">
        <f>VLOOKUP(Tabel1[[#This Row],[personeelsnr]],'data hastus'!$A:$C,2,0)</f>
        <v>Dhondt</v>
      </c>
      <c r="D725" t="str">
        <f>VLOOKUP(Tabel1[[#This Row],[personeelsnr]],'data hastus'!$A:$C,3,0)</f>
        <v>Frank</v>
      </c>
      <c r="E725" t="str">
        <f>VLOOKUP(Tabel1[[#This Row],[personeelsnr]],'data hastus'!A:K,11,FALSE)</f>
        <v>Bart Van Der Beken</v>
      </c>
      <c r="F725" s="10"/>
      <c r="G725" s="7"/>
      <c r="H725" s="7"/>
      <c r="I725" s="7"/>
      <c r="L725" s="5">
        <v>1</v>
      </c>
      <c r="S725" s="5">
        <f>SUM(Tabel1[[#This Row],[Januari]:[December]])</f>
        <v>1</v>
      </c>
      <c r="T725" s="9">
        <v>45803</v>
      </c>
      <c r="U725" s="8" t="s">
        <v>3187</v>
      </c>
      <c r="V725" s="8">
        <v>1</v>
      </c>
      <c r="W725" s="8"/>
      <c r="X725" t="s">
        <v>57</v>
      </c>
      <c r="Y725" t="s">
        <v>116</v>
      </c>
    </row>
    <row r="726" spans="1:25" x14ac:dyDescent="0.25">
      <c r="A726">
        <v>36438</v>
      </c>
      <c r="B726" t="str">
        <f>_xlfn.CONCAT(Tabel1[[#This Row],[personeelsnr]]," ",C726," ",D726)</f>
        <v>36438 Agil Birol</v>
      </c>
      <c r="C726" t="str">
        <f>VLOOKUP(Tabel1[[#This Row],[personeelsnr]],'data hastus'!$A:$C,2,0)</f>
        <v>Agil</v>
      </c>
      <c r="D726" t="str">
        <f>VLOOKUP(Tabel1[[#This Row],[personeelsnr]],'data hastus'!$A:$C,3,0)</f>
        <v>Birol</v>
      </c>
      <c r="E726" t="str">
        <f>VLOOKUP(Tabel1[[#This Row],[personeelsnr]],'data hastus'!A:K,11,FALSE)</f>
        <v>Bart Van Der Beken</v>
      </c>
      <c r="F726" s="10"/>
      <c r="G726" s="6"/>
      <c r="H726" s="6"/>
      <c r="I726" s="6"/>
      <c r="J726"/>
      <c r="K726">
        <v>1</v>
      </c>
      <c r="L726"/>
      <c r="M726"/>
      <c r="N726"/>
      <c r="O726"/>
      <c r="P726"/>
      <c r="Q726"/>
      <c r="R726"/>
      <c r="S726">
        <f>SUM(Tabel1[[#This Row],[Januari]:[December]])</f>
        <v>1</v>
      </c>
      <c r="T726" s="3">
        <v>45803</v>
      </c>
      <c r="U726" s="8" t="s">
        <v>3191</v>
      </c>
      <c r="V726" s="8"/>
      <c r="W726" s="8">
        <v>1</v>
      </c>
      <c r="X726" t="s">
        <v>58</v>
      </c>
      <c r="Y726" t="s">
        <v>97</v>
      </c>
    </row>
    <row r="727" spans="1:25" x14ac:dyDescent="0.25">
      <c r="A727">
        <v>40856</v>
      </c>
      <c r="B727" t="str">
        <f>_xlfn.CONCAT(Tabel1[[#This Row],[personeelsnr]]," ",C727," ",D727)</f>
        <v>40856 Neissi Sadegh</v>
      </c>
      <c r="C727" t="str">
        <f>VLOOKUP(Tabel1[[#This Row],[personeelsnr]],'data hastus'!$A:$C,2,0)</f>
        <v>Neissi</v>
      </c>
      <c r="D727" t="str">
        <f>VLOOKUP(Tabel1[[#This Row],[personeelsnr]],'data hastus'!$A:$C,3,0)</f>
        <v>Sadegh</v>
      </c>
      <c r="E727" t="str">
        <f>VLOOKUP(Tabel1[[#This Row],[personeelsnr]],'data hastus'!A:K,11,FALSE)</f>
        <v>Kenneth De Rick</v>
      </c>
      <c r="F727" s="10"/>
      <c r="G727" s="7"/>
      <c r="H727" s="7"/>
      <c r="I727" s="7"/>
      <c r="K727" s="5">
        <v>1</v>
      </c>
      <c r="S727" s="5">
        <f>SUM(Tabel1[[#This Row],[Januari]:[December]])</f>
        <v>1</v>
      </c>
      <c r="T727" s="9">
        <v>45806</v>
      </c>
      <c r="U727" s="8" t="s">
        <v>3189</v>
      </c>
      <c r="V727" s="8">
        <v>1</v>
      </c>
      <c r="W727" s="8"/>
      <c r="X727" t="s">
        <v>57</v>
      </c>
      <c r="Y727" t="s">
        <v>114</v>
      </c>
    </row>
    <row r="728" spans="1:25" x14ac:dyDescent="0.25">
      <c r="A728">
        <v>41619</v>
      </c>
      <c r="B728" t="str">
        <f>_xlfn.CONCAT(Tabel1[[#This Row],[personeelsnr]]," ",C728," ",D728)</f>
        <v>41619 Bachiri Ousama</v>
      </c>
      <c r="C728" t="str">
        <f>VLOOKUP(Tabel1[[#This Row],[personeelsnr]],'data hastus'!$A:$C,2,0)</f>
        <v>Bachiri</v>
      </c>
      <c r="D728" t="str">
        <f>VLOOKUP(Tabel1[[#This Row],[personeelsnr]],'data hastus'!$A:$C,3,0)</f>
        <v>Ousama</v>
      </c>
      <c r="E728" t="str">
        <f>VLOOKUP(Tabel1[[#This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SUM(Tabel1[[#This Row],[Januari]:[December]])</f>
        <v>1</v>
      </c>
      <c r="T728" s="9">
        <v>45807</v>
      </c>
      <c r="U728" s="8" t="s">
        <v>3233</v>
      </c>
      <c r="V728" s="8">
        <v>1</v>
      </c>
      <c r="W728" s="8"/>
      <c r="X728" t="s">
        <v>57</v>
      </c>
      <c r="Y728" t="s">
        <v>140</v>
      </c>
    </row>
    <row r="729" spans="1:25" x14ac:dyDescent="0.25">
      <c r="A729">
        <v>39927</v>
      </c>
      <c r="B729" t="str">
        <f>_xlfn.CONCAT(Tabel1[[#This Row],[personeelsnr]]," ",C729," ",D729)</f>
        <v>39927 De Wilde Jordy</v>
      </c>
      <c r="C729" t="str">
        <f>VLOOKUP(Tabel1[[#This Row],[personeelsnr]],'data hastus'!$A:$C,2,0)</f>
        <v>De Wilde</v>
      </c>
      <c r="D729" t="str">
        <f>VLOOKUP(Tabel1[[#This Row],[personeelsnr]],'data hastus'!$A:$C,3,0)</f>
        <v>Jordy</v>
      </c>
      <c r="E729" t="str">
        <f>VLOOKUP(Tabel1[[#This Row],[personeelsnr]],'data hastus'!A:K,11,FALSE)</f>
        <v>Christoff Rotty</v>
      </c>
      <c r="F729" s="10"/>
      <c r="G729" s="7"/>
      <c r="H729" s="7"/>
      <c r="I729" s="7"/>
      <c r="K729" s="5">
        <v>1</v>
      </c>
      <c r="S729" s="5">
        <f>SUM(Tabel1[[#This Row],[Januari]:[December]])</f>
        <v>1</v>
      </c>
      <c r="T729" s="9">
        <v>45808</v>
      </c>
      <c r="U729" s="8" t="s">
        <v>3188</v>
      </c>
      <c r="V729" s="8"/>
      <c r="W729" s="8">
        <v>1</v>
      </c>
      <c r="X729" t="s">
        <v>58</v>
      </c>
      <c r="Y729" t="s">
        <v>19</v>
      </c>
    </row>
    <row r="730" spans="1:25" x14ac:dyDescent="0.25">
      <c r="A730">
        <v>40278</v>
      </c>
      <c r="B730" t="str">
        <f>_xlfn.CONCAT(Tabel1[[#This Row],[personeelsnr]]," ",C730," ",D730)</f>
        <v>40278 Ates Firat</v>
      </c>
      <c r="C730" t="str">
        <f>VLOOKUP(Tabel1[[#This Row],[personeelsnr]],'data hastus'!$A:$C,2,0)</f>
        <v>Ates</v>
      </c>
      <c r="D730" t="str">
        <f>VLOOKUP(Tabel1[[#This Row],[personeelsnr]],'data hastus'!$A:$C,3,0)</f>
        <v>Firat</v>
      </c>
      <c r="E730" t="str">
        <f>VLOOKUP(Tabel1[[#This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SUM(Tabel1[[#This Row],[Januari]:[December]])</f>
        <v>1</v>
      </c>
      <c r="T730" s="9">
        <v>45810</v>
      </c>
      <c r="U730" s="8" t="s">
        <v>3220</v>
      </c>
      <c r="V730" s="8">
        <v>1</v>
      </c>
      <c r="W730" s="8"/>
      <c r="X730" t="s">
        <v>57</v>
      </c>
      <c r="Y730" t="s">
        <v>111</v>
      </c>
    </row>
    <row r="731" spans="1:25" x14ac:dyDescent="0.25">
      <c r="A731">
        <v>41384</v>
      </c>
      <c r="B731" t="str">
        <f>_xlfn.CONCAT(Tabel1[[#This Row],[personeelsnr]]," ",C731," ",D731)</f>
        <v>41384 Hillaert Thimo</v>
      </c>
      <c r="C731" t="str">
        <f>VLOOKUP(Tabel1[[#This Row],[personeelsnr]],'data hastus'!$A:$C,2,0)</f>
        <v>Hillaert</v>
      </c>
      <c r="D731" t="str">
        <f>VLOOKUP(Tabel1[[#This Row],[personeelsnr]],'data hastus'!$A:$C,3,0)</f>
        <v>Thimo</v>
      </c>
      <c r="E731" t="str">
        <f>VLOOKUP(Tabel1[[#This Row],[personeelsnr]],'data hastus'!A:K,11,FALSE)</f>
        <v>Christoff Rotty</v>
      </c>
      <c r="F731" s="10"/>
      <c r="G731" s="7"/>
      <c r="H731" s="7"/>
      <c r="I731" s="7"/>
      <c r="L731" s="5">
        <v>1</v>
      </c>
      <c r="S731" s="5">
        <f>SUM(Tabel1[[#This Row],[Januari]:[December]])</f>
        <v>1</v>
      </c>
      <c r="T731" s="9">
        <v>45810</v>
      </c>
      <c r="U731" s="8" t="s">
        <v>3226</v>
      </c>
      <c r="V731" s="8">
        <v>1</v>
      </c>
      <c r="W731" s="8"/>
      <c r="X731" t="s">
        <v>57</v>
      </c>
      <c r="Y731" t="s">
        <v>41</v>
      </c>
    </row>
    <row r="732" spans="1:25" x14ac:dyDescent="0.25">
      <c r="A732">
        <v>40036</v>
      </c>
      <c r="B732" t="str">
        <f>_xlfn.CONCAT(Tabel1[[#This Row],[personeelsnr]]," ",C732," ",D732)</f>
        <v>40036 Karakaya Oguz</v>
      </c>
      <c r="C732" t="str">
        <f>VLOOKUP(Tabel1[[#This Row],[personeelsnr]],'data hastus'!$A:$C,2,0)</f>
        <v>Karakaya</v>
      </c>
      <c r="D732" t="str">
        <f>VLOOKUP(Tabel1[[#This Row],[personeelsnr]],'data hastus'!$A:$C,3,0)</f>
        <v>Oguz</v>
      </c>
      <c r="E732" t="str">
        <f>VLOOKUP(Tabel1[[#This Row],[personeelsnr]],'data hastus'!A:K,11,FALSE)</f>
        <v>Dominique De Clercq</v>
      </c>
      <c r="F732" s="10"/>
      <c r="G732" s="7"/>
      <c r="H732" s="7"/>
      <c r="I732" s="7"/>
      <c r="L732" s="5">
        <v>1</v>
      </c>
      <c r="S732" s="5">
        <f>SUM(Tabel1[[#This Row],[Januari]:[December]])</f>
        <v>1</v>
      </c>
      <c r="T732" s="9">
        <v>45810</v>
      </c>
      <c r="U732" s="8" t="s">
        <v>3234</v>
      </c>
      <c r="V732" s="8">
        <v>1</v>
      </c>
      <c r="W732" s="8"/>
      <c r="X732" t="s">
        <v>57</v>
      </c>
      <c r="Y732" t="s">
        <v>88</v>
      </c>
    </row>
    <row r="733" spans="1:25" x14ac:dyDescent="0.25">
      <c r="A733">
        <v>36154</v>
      </c>
      <c r="B733" t="str">
        <f>_xlfn.CONCAT(Tabel1[[#This Row],[personeelsnr]]," ",C733," ",D733)</f>
        <v>36154 De Clercq Sven</v>
      </c>
      <c r="C733" t="str">
        <f>VLOOKUP(Tabel1[[#This Row],[personeelsnr]],'data hastus'!$A:$C,2,0)</f>
        <v>De Clercq</v>
      </c>
      <c r="D733" t="str">
        <f>VLOOKUP(Tabel1[[#This Row],[personeelsnr]],'data hastus'!$A:$C,3,0)</f>
        <v>Sven</v>
      </c>
      <c r="E733" t="str">
        <f>VLOOKUP(Tabel1[[#This Row],[personeelsnr]],'data hastus'!A:K,11,FALSE)</f>
        <v>Lucie Vande Velde</v>
      </c>
      <c r="F733" s="10"/>
      <c r="G733" s="7"/>
      <c r="H733" s="7"/>
      <c r="I733" s="7"/>
      <c r="L733" s="5">
        <v>1</v>
      </c>
      <c r="S733" s="5">
        <f>SUM(Tabel1[[#This Row],[Januari]:[December]])</f>
        <v>1</v>
      </c>
      <c r="T733" s="9">
        <v>45811</v>
      </c>
      <c r="U733" s="8" t="s">
        <v>3241</v>
      </c>
      <c r="V733" s="8"/>
      <c r="W733" s="8">
        <v>1</v>
      </c>
      <c r="X733" t="s">
        <v>58</v>
      </c>
      <c r="Y733" t="s">
        <v>34</v>
      </c>
    </row>
    <row r="734" spans="1:25" x14ac:dyDescent="0.25">
      <c r="A734">
        <v>41064</v>
      </c>
      <c r="B734" t="str">
        <f>_xlfn.CONCAT(Tabel1[[#This Row],[personeelsnr]]," ",C734," ",D734)</f>
        <v>41064 Ardic Atilla</v>
      </c>
      <c r="C734" t="str">
        <f>VLOOKUP(Tabel1[[#This Row],[personeelsnr]],'data hastus'!$A:$C,2,0)</f>
        <v>Ardic</v>
      </c>
      <c r="D734" t="str">
        <f>VLOOKUP(Tabel1[[#This Row],[personeelsnr]],'data hastus'!$A:$C,3,0)</f>
        <v>Atilla</v>
      </c>
      <c r="E734" t="str">
        <f>VLOOKUP(Tabel1[[#This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45811</v>
      </c>
      <c r="U734" s="8" t="s">
        <v>3218</v>
      </c>
      <c r="V734" s="24">
        <v>1</v>
      </c>
      <c r="W734" s="24"/>
      <c r="X734" t="s">
        <v>57</v>
      </c>
      <c r="Y734" t="s">
        <v>19</v>
      </c>
    </row>
    <row r="735" spans="1:25" x14ac:dyDescent="0.25">
      <c r="A735">
        <v>41246</v>
      </c>
      <c r="B735" t="str">
        <f>_xlfn.CONCAT(Tabel1[[#This Row],[personeelsnr]]," ",C735," ",D735)</f>
        <v>41246 Van Holsbeeck Yana</v>
      </c>
      <c r="C735" t="str">
        <f>VLOOKUP(Tabel1[[#This Row],[personeelsnr]],'data hastus'!$A:$C,2,0)</f>
        <v>Van Holsbeeck</v>
      </c>
      <c r="D735" t="str">
        <f>VLOOKUP(Tabel1[[#This Row],[personeelsnr]],'data hastus'!$A:$C,3,0)</f>
        <v>Yana</v>
      </c>
      <c r="E735" t="str">
        <f>VLOOKUP(Tabel1[[#This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45811</v>
      </c>
      <c r="U735" s="8" t="s">
        <v>3231</v>
      </c>
      <c r="V735" s="8">
        <v>1</v>
      </c>
      <c r="W735" s="8"/>
      <c r="X735" t="s">
        <v>57</v>
      </c>
      <c r="Y735" t="s">
        <v>233</v>
      </c>
    </row>
    <row r="736" spans="1:25" x14ac:dyDescent="0.25">
      <c r="A736">
        <v>23918</v>
      </c>
      <c r="B736" t="str">
        <f>_xlfn.CONCAT(Tabel1[[#This Row],[personeelsnr]]," ",C736," ",D736)</f>
        <v>23918 D'Haeyere Bernard</v>
      </c>
      <c r="C736" t="str">
        <f>VLOOKUP(Tabel1[[#This Row],[personeelsnr]],'data hastus'!$A:$C,2,0)</f>
        <v>D'Haeyere</v>
      </c>
      <c r="D736" t="str">
        <f>VLOOKUP(Tabel1[[#This Row],[personeelsnr]],'data hastus'!$A:$C,3,0)</f>
        <v>Bernard</v>
      </c>
      <c r="E736" t="str">
        <f>VLOOKUP(Tabel1[[#This Row],[personeelsnr]],'data hastus'!A:K,11,FALSE)</f>
        <v>Els Vanhoe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3235</v>
      </c>
      <c r="V736" s="8">
        <v>1</v>
      </c>
      <c r="W736" s="8"/>
      <c r="X736" t="s">
        <v>57</v>
      </c>
      <c r="Y736" t="s">
        <v>187</v>
      </c>
    </row>
    <row r="737" spans="1:25" x14ac:dyDescent="0.25">
      <c r="A737">
        <v>38481</v>
      </c>
      <c r="B737" t="str">
        <f>_xlfn.CONCAT(Tabel1[[#This Row],[personeelsnr]]," ",C737," ",D737)</f>
        <v>38481 Sari Devrim</v>
      </c>
      <c r="C737" t="str">
        <f>VLOOKUP(Tabel1[[#This Row],[personeelsnr]],'data hastus'!$A:$C,2,0)</f>
        <v>Sari</v>
      </c>
      <c r="D737" t="str">
        <f>VLOOKUP(Tabel1[[#This Row],[personeelsnr]],'data hastus'!$A:$C,3,0)</f>
        <v>Devrim</v>
      </c>
      <c r="E737" t="str">
        <f>VLOOKUP(Tabel1[[#This Row],[personeelsnr]],'data hastus'!A:K,11,FALSE)</f>
        <v>Kenneth De Rick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45812</v>
      </c>
      <c r="U737" s="8" t="s">
        <v>3248</v>
      </c>
      <c r="V737" s="24">
        <v>1</v>
      </c>
      <c r="W737" s="24"/>
      <c r="X737" t="s">
        <v>57</v>
      </c>
      <c r="Y737" t="s">
        <v>2897</v>
      </c>
    </row>
    <row r="738" spans="1:25" x14ac:dyDescent="0.25">
      <c r="A738">
        <v>41032</v>
      </c>
      <c r="B738" t="str">
        <f>_xlfn.CONCAT(Tabel1[[#This Row],[personeelsnr]]," ",C738," ",D738)</f>
        <v>41032 Rocabado Hinojosa Lukas</v>
      </c>
      <c r="C738" t="str">
        <f>VLOOKUP(Tabel1[[#This Row],[personeelsnr]],'data hastus'!$A:$C,2,0)</f>
        <v>Rocabado Hinojosa</v>
      </c>
      <c r="D738" t="str">
        <f>VLOOKUP(Tabel1[[#This Row],[personeelsnr]],'data hastus'!$A:$C,3,0)</f>
        <v>Lukas</v>
      </c>
      <c r="E738" t="str">
        <f>VLOOKUP(Tabel1[[#This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45813</v>
      </c>
      <c r="U738" s="8" t="s">
        <v>3221</v>
      </c>
      <c r="V738" s="8">
        <v>1</v>
      </c>
      <c r="W738" s="8"/>
      <c r="X738" t="s">
        <v>57</v>
      </c>
      <c r="Y738" t="s">
        <v>62</v>
      </c>
    </row>
    <row r="739" spans="1:25" x14ac:dyDescent="0.25">
      <c r="A739">
        <v>41032</v>
      </c>
      <c r="B739" t="str">
        <f>_xlfn.CONCAT(Tabel1[[#This Row],[personeelsnr]]," ",C739," ",D739)</f>
        <v>41032 Rocabado Hinojosa Lukas</v>
      </c>
      <c r="C739" t="str">
        <f>VLOOKUP(Tabel1[[#This Row],[personeelsnr]],'data hastus'!$A:$C,2,0)</f>
        <v>Rocabado Hinojosa</v>
      </c>
      <c r="D739" t="str">
        <f>VLOOKUP(Tabel1[[#This Row],[personeelsnr]],'data hastus'!$A:$C,3,0)</f>
        <v>Lukas</v>
      </c>
      <c r="E739" t="str">
        <f>VLOOKUP(Tabel1[[#This Row],[personeelsnr]],'data hastus'!A:K,11,FALSE)</f>
        <v>Els Vanhoe</v>
      </c>
      <c r="F739" s="10"/>
      <c r="G739" s="7"/>
      <c r="H739" s="7"/>
      <c r="I739" s="7"/>
      <c r="L739" s="5">
        <v>1</v>
      </c>
      <c r="S739" s="5">
        <f>SUM(Tabel1[[#This Row],[Januari]:[December]])</f>
        <v>1</v>
      </c>
      <c r="T739" s="9">
        <v>45813</v>
      </c>
      <c r="U739" s="8" t="s">
        <v>3222</v>
      </c>
      <c r="V739" s="8">
        <v>1</v>
      </c>
      <c r="W739" s="8"/>
      <c r="X739" t="s">
        <v>57</v>
      </c>
      <c r="Y739" t="s">
        <v>20</v>
      </c>
    </row>
    <row r="740" spans="1:25" x14ac:dyDescent="0.25">
      <c r="A740">
        <v>36627</v>
      </c>
      <c r="B740" t="str">
        <f>_xlfn.CONCAT(Tabel1[[#This Row],[personeelsnr]]," ",C740," ",D740)</f>
        <v>36627 Dobbelaere David</v>
      </c>
      <c r="C740" t="str">
        <f>VLOOKUP(Tabel1[[#This Row],[personeelsnr]],'data hastus'!$A:$C,2,0)</f>
        <v>Dobbelaere</v>
      </c>
      <c r="D740" t="str">
        <f>VLOOKUP(Tabel1[[#This Row],[personeelsnr]],'data hastus'!$A:$C,3,0)</f>
        <v>David</v>
      </c>
      <c r="E740" t="str">
        <f>VLOOKUP(Tabel1[[#This Row],[personeelsnr]],'data hastus'!A:K,11,FALSE)</f>
        <v>Els Dewulf</v>
      </c>
      <c r="F740" s="10"/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45814</v>
      </c>
      <c r="U740" s="8" t="s">
        <v>3244</v>
      </c>
      <c r="V740" s="24"/>
      <c r="W740" s="24">
        <v>1</v>
      </c>
      <c r="X740" t="s">
        <v>58</v>
      </c>
      <c r="Y740" t="s">
        <v>27</v>
      </c>
    </row>
    <row r="741" spans="1:25" x14ac:dyDescent="0.25">
      <c r="A741">
        <v>37208</v>
      </c>
      <c r="B741" t="str">
        <f>_xlfn.CONCAT(Tabel1[[#This Row],[personeelsnr]]," ",C741," ",D741)</f>
        <v>37208 Catar Gökhan</v>
      </c>
      <c r="C741" t="str">
        <f>VLOOKUP(Tabel1[[#This Row],[personeelsnr]],'data hastus'!$A:$C,2,0)</f>
        <v>Catar</v>
      </c>
      <c r="D741" t="str">
        <f>VLOOKUP(Tabel1[[#This Row],[personeelsnr]],'data hastus'!$A:$C,3,0)</f>
        <v>Gökhan</v>
      </c>
      <c r="E741" t="str">
        <f>VLOOKUP(Tabel1[[#This Row],[personeelsnr]],'data hastus'!A:K,11,FALSE)</f>
        <v>Kenneth De Rick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45815</v>
      </c>
      <c r="U741" s="8" t="s">
        <v>3239</v>
      </c>
      <c r="V741" s="24"/>
      <c r="W741" s="24">
        <v>1</v>
      </c>
      <c r="X741" t="s">
        <v>58</v>
      </c>
      <c r="Y741" t="s">
        <v>18</v>
      </c>
    </row>
    <row r="742" spans="1:25" x14ac:dyDescent="0.25">
      <c r="A742">
        <v>40645</v>
      </c>
      <c r="B742" t="str">
        <f>_xlfn.CONCAT(Tabel1[[#This Row],[personeelsnr]]," ",C742," ",D742)</f>
        <v>40645 Bytebier Jason</v>
      </c>
      <c r="C742" t="str">
        <f>VLOOKUP(Tabel1[[#This Row],[personeelsnr]],'data hastus'!$A:$C,2,0)</f>
        <v>Bytebier</v>
      </c>
      <c r="D742" t="str">
        <f>VLOOKUP(Tabel1[[#This Row],[personeelsnr]],'data hastus'!$A:$C,3,0)</f>
        <v>Jason</v>
      </c>
      <c r="E742" t="str">
        <f>VLOOKUP(Tabel1[[#This Row],[personeelsnr]],'data hastus'!A:K,11,FALSE)</f>
        <v>Els Dewulf</v>
      </c>
      <c r="F742" s="10"/>
      <c r="G742" s="7"/>
      <c r="H742" s="7"/>
      <c r="I742" s="7"/>
      <c r="L742" s="5">
        <v>1</v>
      </c>
      <c r="S742" s="5">
        <f>SUM(Tabel1[[#This Row],[Januari]:[December]])</f>
        <v>1</v>
      </c>
      <c r="T742" s="9">
        <v>45818</v>
      </c>
      <c r="U742" s="8" t="s">
        <v>3228</v>
      </c>
      <c r="V742" s="24">
        <v>1</v>
      </c>
      <c r="W742" s="24"/>
      <c r="X742" t="s">
        <v>57</v>
      </c>
      <c r="Y742" t="s">
        <v>29</v>
      </c>
    </row>
    <row r="743" spans="1:25" x14ac:dyDescent="0.25">
      <c r="A743">
        <v>36512</v>
      </c>
      <c r="B743" t="str">
        <f>_xlfn.CONCAT(Tabel1[[#This Row],[personeelsnr]]," ",C743," ",D743)</f>
        <v>36512 Van Herreweghe Branco</v>
      </c>
      <c r="C743" t="str">
        <f>VLOOKUP(Tabel1[[#This Row],[personeelsnr]],'data hastus'!$A:$C,2,0)</f>
        <v>Van Herreweghe</v>
      </c>
      <c r="D743" t="str">
        <f>VLOOKUP(Tabel1[[#This Row],[personeelsnr]],'data hastus'!$A:$C,3,0)</f>
        <v>Branco</v>
      </c>
      <c r="E743" t="str">
        <f>VLOOKUP(Tabel1[[#This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45819</v>
      </c>
      <c r="U743" s="8" t="s">
        <v>3245</v>
      </c>
      <c r="V743" s="24">
        <v>1</v>
      </c>
      <c r="W743" s="24"/>
      <c r="X743" t="s">
        <v>57</v>
      </c>
      <c r="Y743" t="s">
        <v>178</v>
      </c>
    </row>
    <row r="744" spans="1:25" x14ac:dyDescent="0.25">
      <c r="A744">
        <v>31150</v>
      </c>
      <c r="B744" t="str">
        <f>_xlfn.CONCAT(Tabel1[[#This Row],[personeelsnr]]," ",C744," ",D744)</f>
        <v>31150 Oueslati Mohamed Ali</v>
      </c>
      <c r="C744" t="str">
        <f>VLOOKUP(Tabel1[[#This Row],[personeelsnr]],'data hastus'!$A:$C,2,0)</f>
        <v>Oueslati</v>
      </c>
      <c r="D744" t="str">
        <f>VLOOKUP(Tabel1[[#This Row],[personeelsnr]],'data hastus'!$A:$C,3,0)</f>
        <v>Mohamed Ali</v>
      </c>
      <c r="E744" t="str">
        <f>VLOOKUP(Tabel1[[#This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SUM(Tabel1[[#This Row],[Januari]:[December]])</f>
        <v>1</v>
      </c>
      <c r="T744" s="9">
        <v>45820</v>
      </c>
      <c r="U744" s="8" t="s">
        <v>3214</v>
      </c>
      <c r="V744" s="24">
        <v>1</v>
      </c>
      <c r="W744" s="24"/>
      <c r="X744" t="s">
        <v>57</v>
      </c>
      <c r="Y744" t="s">
        <v>28</v>
      </c>
    </row>
    <row r="745" spans="1:25" x14ac:dyDescent="0.25">
      <c r="A745">
        <v>7746</v>
      </c>
      <c r="B745" t="str">
        <f>_xlfn.CONCAT(Tabel1[[#This Row],[personeelsnr]]," ",C745," ",D745)</f>
        <v>7746 Aelterman Didier</v>
      </c>
      <c r="C745" t="str">
        <f>VLOOKUP(Tabel1[[#This Row],[personeelsnr]],'data hastus'!$A:$C,2,0)</f>
        <v>Aelterman</v>
      </c>
      <c r="D745" t="str">
        <f>VLOOKUP(Tabel1[[#This Row],[personeelsnr]],'data hastus'!$A:$C,3,0)</f>
        <v>Didier</v>
      </c>
      <c r="E745" t="str">
        <f>VLOOKUP(Tabel1[[#This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45820</v>
      </c>
      <c r="U745" s="8" t="s">
        <v>3225</v>
      </c>
      <c r="V745" s="24">
        <v>1</v>
      </c>
      <c r="W745" s="24"/>
      <c r="X745" t="s">
        <v>57</v>
      </c>
      <c r="Y745" t="s">
        <v>2896</v>
      </c>
    </row>
    <row r="746" spans="1:25" x14ac:dyDescent="0.25">
      <c r="A746">
        <v>36426</v>
      </c>
      <c r="B746" t="str">
        <f>_xlfn.CONCAT(Tabel1[[#This Row],[personeelsnr]]," ",C746," ",D746)</f>
        <v>36426 Mohamed Yassin Abdulhamid</v>
      </c>
      <c r="C746" t="str">
        <f>VLOOKUP(Tabel1[[#This Row],[personeelsnr]],'data hastus'!$A:$C,2,0)</f>
        <v>Mohamed Yassin</v>
      </c>
      <c r="D746" t="str">
        <f>VLOOKUP(Tabel1[[#This Row],[personeelsnr]],'data hastus'!$A:$C,3,0)</f>
        <v>Abdulhamid</v>
      </c>
      <c r="E746" t="str">
        <f>VLOOKUP(Tabel1[[#This Row],[personeelsnr]],'data hastus'!A:K,11,FALSE)</f>
        <v>Bart Van Der Beken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3242</v>
      </c>
      <c r="V746" s="24"/>
      <c r="W746" s="24">
        <v>1</v>
      </c>
      <c r="X746" t="s">
        <v>58</v>
      </c>
      <c r="Y746" t="s">
        <v>74</v>
      </c>
    </row>
    <row r="747" spans="1:25" x14ac:dyDescent="0.25">
      <c r="A747">
        <v>26847</v>
      </c>
      <c r="B747" t="str">
        <f>_xlfn.CONCAT(Tabel1[[#This Row],[personeelsnr]]," ",C747," ",D747)</f>
        <v>26847 De Meester David</v>
      </c>
      <c r="C747" t="str">
        <f>VLOOKUP(Tabel1[[#This Row],[personeelsnr]],'data hastus'!$A:$C,2,0)</f>
        <v>De Meester</v>
      </c>
      <c r="D747" t="str">
        <f>VLOOKUP(Tabel1[[#This Row],[personeelsnr]],'data hastus'!$A:$C,3,0)</f>
        <v>David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3250</v>
      </c>
      <c r="V747" s="24"/>
      <c r="W747" s="24">
        <v>1</v>
      </c>
      <c r="X747" t="s">
        <v>58</v>
      </c>
      <c r="Y747" t="s">
        <v>18</v>
      </c>
    </row>
    <row r="748" spans="1:25" x14ac:dyDescent="0.25">
      <c r="A748">
        <v>41721</v>
      </c>
      <c r="B748" t="str">
        <f>_xlfn.CONCAT(Tabel1[[#This Row],[personeelsnr]]," ",C748," ",D748)</f>
        <v>41721 Nolf Philippe</v>
      </c>
      <c r="C748" t="str">
        <f>VLOOKUP(Tabel1[[#This Row],[personeelsnr]],'data hastus'!$A:$C,2,0)</f>
        <v>Nolf</v>
      </c>
      <c r="D748" t="str">
        <f>VLOOKUP(Tabel1[[#This Row],[personeelsnr]],'data hastus'!$A:$C,3,0)</f>
        <v>Philippe</v>
      </c>
      <c r="E748" t="str">
        <f>VLOOKUP(Tabel1[[#This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45828</v>
      </c>
      <c r="U748" s="8" t="s">
        <v>3236</v>
      </c>
      <c r="V748" s="24">
        <v>1</v>
      </c>
      <c r="W748" s="24"/>
      <c r="X748" t="s">
        <v>57</v>
      </c>
      <c r="Y748" t="s">
        <v>140</v>
      </c>
    </row>
    <row r="749" spans="1:25" x14ac:dyDescent="0.25">
      <c r="A749">
        <v>36569</v>
      </c>
      <c r="B749" t="str">
        <f>_xlfn.CONCAT(Tabel1[[#This Row],[personeelsnr]]," ",C749," ",D749)</f>
        <v>36569 Stroobandt Jonas</v>
      </c>
      <c r="C749" t="str">
        <f>VLOOKUP(Tabel1[[#This Row],[personeelsnr]],'data hastus'!$A:$C,2,0)</f>
        <v>Stroobandt</v>
      </c>
      <c r="D749" t="str">
        <f>VLOOKUP(Tabel1[[#This Row],[personeelsnr]],'data hastus'!$A:$C,3,0)</f>
        <v>Jonas</v>
      </c>
      <c r="E749" t="str">
        <f>VLOOKUP(Tabel1[[#This Row],[personeelsnr]],'data hastus'!A:K,11,FALSE)</f>
        <v>Els Vanhoe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45828</v>
      </c>
      <c r="U749" s="8" t="s">
        <v>3237</v>
      </c>
      <c r="V749" s="24"/>
      <c r="W749" s="24">
        <v>1</v>
      </c>
      <c r="X749" t="s">
        <v>58</v>
      </c>
      <c r="Y749" t="s">
        <v>25</v>
      </c>
    </row>
    <row r="750" spans="1:25" x14ac:dyDescent="0.25">
      <c r="A750">
        <v>41690</v>
      </c>
      <c r="B750" t="str">
        <f>_xlfn.CONCAT(Tabel1[[#This Row],[personeelsnr]]," ",C750," ",D750)</f>
        <v>41690 Van de Winckel Kelly</v>
      </c>
      <c r="C750" t="str">
        <f>VLOOKUP(Tabel1[[#This Row],[personeelsnr]],'data hastus'!$A:$C,2,0)</f>
        <v>Van de Winckel</v>
      </c>
      <c r="D750" t="str">
        <f>VLOOKUP(Tabel1[[#This Row],[personeelsnr]],'data hastus'!$A:$C,3,0)</f>
        <v>Kelly</v>
      </c>
      <c r="E750" t="str">
        <f>VLOOKUP(Tabel1[[#This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45829</v>
      </c>
      <c r="U750" s="8" t="s">
        <v>3227</v>
      </c>
      <c r="V750" s="24">
        <v>1</v>
      </c>
      <c r="W750" s="24"/>
      <c r="X750" t="s">
        <v>57</v>
      </c>
      <c r="Y750" t="s">
        <v>22</v>
      </c>
    </row>
    <row r="751" spans="1:25" x14ac:dyDescent="0.25">
      <c r="A751">
        <v>36624</v>
      </c>
      <c r="B751" t="str">
        <f>_xlfn.CONCAT(Tabel1[[#This Row],[personeelsnr]]," ",C751," ",D751)</f>
        <v>36624 De Meulenaere Kurt</v>
      </c>
      <c r="C751" t="str">
        <f>VLOOKUP(Tabel1[[#This Row],[personeelsnr]],'data hastus'!$A:$C,2,0)</f>
        <v>De Meulenaere</v>
      </c>
      <c r="D751" t="str">
        <f>VLOOKUP(Tabel1[[#This Row],[personeelsnr]],'data hastus'!$A:$C,3,0)</f>
        <v>Kurt</v>
      </c>
      <c r="E751" t="str">
        <f>VLOOKUP(Tabel1[[#This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45829</v>
      </c>
      <c r="U751" s="8" t="s">
        <v>3229</v>
      </c>
      <c r="V751" s="24">
        <v>1</v>
      </c>
      <c r="W751" s="24"/>
      <c r="X751" t="s">
        <v>57</v>
      </c>
      <c r="Y751" t="s">
        <v>132</v>
      </c>
    </row>
    <row r="752" spans="1:25" x14ac:dyDescent="0.25">
      <c r="A752">
        <v>38808</v>
      </c>
      <c r="B752" t="str">
        <f>_xlfn.CONCAT(Tabel1[[#This Row],[personeelsnr]]," ",C752," ",D752)</f>
        <v>38808 Wasen Jens</v>
      </c>
      <c r="C752" t="str">
        <f>VLOOKUP(Tabel1[[#This Row],[personeelsnr]],'data hastus'!$A:$C,2,0)</f>
        <v>Wasen</v>
      </c>
      <c r="D752" t="str">
        <f>VLOOKUP(Tabel1[[#This Row],[personeelsnr]],'data hastus'!$A:$C,3,0)</f>
        <v>Jens</v>
      </c>
      <c r="E752" t="str">
        <f>VLOOKUP(Tabel1[[#This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45830</v>
      </c>
      <c r="U752" s="8" t="s">
        <v>3232</v>
      </c>
      <c r="V752" s="24">
        <v>1</v>
      </c>
      <c r="W752" s="24"/>
      <c r="X752" t="s">
        <v>57</v>
      </c>
      <c r="Y752" t="s">
        <v>29</v>
      </c>
    </row>
    <row r="753" spans="1:25" x14ac:dyDescent="0.25">
      <c r="A753">
        <v>38633</v>
      </c>
      <c r="B753" t="str">
        <f>_xlfn.CONCAT(Tabel1[[#This Row],[personeelsnr]]," ",C753," ",D753)</f>
        <v>38633 Stomphorst Mattanja</v>
      </c>
      <c r="C753" t="str">
        <f>VLOOKUP(Tabel1[[#This Row],[personeelsnr]],'data hastus'!$A:$C,2,0)</f>
        <v>Stomphorst</v>
      </c>
      <c r="D753" t="str">
        <f>VLOOKUP(Tabel1[[#This Row],[personeelsnr]],'data hastus'!$A:$C,3,0)</f>
        <v>Mattanja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45831</v>
      </c>
      <c r="U753" s="8" t="s">
        <v>3246</v>
      </c>
      <c r="V753" s="24">
        <v>1</v>
      </c>
      <c r="W753" s="24"/>
      <c r="X753" t="s">
        <v>57</v>
      </c>
      <c r="Y753" t="s">
        <v>41</v>
      </c>
    </row>
    <row r="754" spans="1:25" x14ac:dyDescent="0.25">
      <c r="A754">
        <v>19917</v>
      </c>
      <c r="B754" t="str">
        <f>_xlfn.CONCAT(Tabel1[[#This Row],[personeelsnr]]," ",C754," ",D754)</f>
        <v>19917 Vandevyvere Frank</v>
      </c>
      <c r="C754" t="str">
        <f>VLOOKUP(Tabel1[[#This Row],[personeelsnr]],'data hastus'!$A:$C,2,0)</f>
        <v>Vandevyvere</v>
      </c>
      <c r="D754" t="str">
        <f>VLOOKUP(Tabel1[[#This Row],[personeelsnr]],'data hastus'!$A:$C,3,0)</f>
        <v>Frank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45831</v>
      </c>
      <c r="U754" s="8" t="s">
        <v>3223</v>
      </c>
      <c r="V754" s="24">
        <v>1</v>
      </c>
      <c r="W754" s="24"/>
      <c r="X754" t="s">
        <v>57</v>
      </c>
      <c r="Y754" t="s">
        <v>53</v>
      </c>
    </row>
    <row r="755" spans="1:25" x14ac:dyDescent="0.25">
      <c r="A755">
        <v>40478</v>
      </c>
      <c r="B755" t="str">
        <f>_xlfn.CONCAT(Tabel1[[#This Row],[personeelsnr]]," ",C755," ",D755)</f>
        <v>40478 Hashimi Ali Mir</v>
      </c>
      <c r="C755" t="str">
        <f>VLOOKUP(Tabel1[[#This Row],[personeelsnr]],'data hastus'!$A:$C,2,0)</f>
        <v>Hashimi</v>
      </c>
      <c r="D755" t="str">
        <f>VLOOKUP(Tabel1[[#This Row],[personeelsnr]],'data hastus'!$A:$C,3,0)</f>
        <v>Ali Mir</v>
      </c>
      <c r="E755" t="str">
        <f>VLOOKUP(Tabel1[[#This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SUM(Tabel1[[#This Row],[Januari]:[December]])</f>
        <v>1</v>
      </c>
      <c r="T755" s="9">
        <v>45831</v>
      </c>
      <c r="U755" s="8" t="s">
        <v>3230</v>
      </c>
      <c r="V755" s="24">
        <v>1</v>
      </c>
      <c r="W755" s="24"/>
      <c r="X755" t="s">
        <v>57</v>
      </c>
      <c r="Y755" t="s">
        <v>93</v>
      </c>
    </row>
    <row r="756" spans="1:25" x14ac:dyDescent="0.25">
      <c r="A756">
        <v>38634</v>
      </c>
      <c r="B756" t="str">
        <f>_xlfn.CONCAT(Tabel1[[#This Row],[personeelsnr]]," ",C756," ",D756)</f>
        <v>38634 Asskale Zouhir</v>
      </c>
      <c r="C756" t="str">
        <f>VLOOKUP(Tabel1[[#This Row],[personeelsnr]],'data hastus'!$A:$C,2,0)</f>
        <v>Asskale</v>
      </c>
      <c r="D756" t="str">
        <f>VLOOKUP(Tabel1[[#This Row],[personeelsnr]],'data hastus'!$A:$C,3,0)</f>
        <v>Zouhir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SUM(Tabel1[[#This Row],[Januari]:[December]])</f>
        <v>1</v>
      </c>
      <c r="T756" s="9">
        <v>45832</v>
      </c>
      <c r="U756" s="8" t="s">
        <v>3240</v>
      </c>
      <c r="V756" s="24"/>
      <c r="W756" s="24">
        <v>1</v>
      </c>
      <c r="X756" t="s">
        <v>58</v>
      </c>
      <c r="Y756" t="s">
        <v>113</v>
      </c>
    </row>
    <row r="757" spans="1:25" x14ac:dyDescent="0.25">
      <c r="A757">
        <v>40362</v>
      </c>
      <c r="B757" t="str">
        <f>_xlfn.CONCAT(Tabel1[[#This Row],[personeelsnr]]," ",C757," ",D757)</f>
        <v>40362 Kuru Cetin</v>
      </c>
      <c r="C757" t="str">
        <f>VLOOKUP(Tabel1[[#This Row],[personeelsnr]],'data hastus'!$A:$C,2,0)</f>
        <v>Kuru</v>
      </c>
      <c r="D757" t="str">
        <f>VLOOKUP(Tabel1[[#This Row],[personeelsnr]],'data hastus'!$A:$C,3,0)</f>
        <v>Cetin</v>
      </c>
      <c r="E757" t="str">
        <f>VLOOKUP(Tabel1[[#This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SUM(Tabel1[[#This Row],[Januari]:[December]])</f>
        <v>1</v>
      </c>
      <c r="T757" s="9">
        <v>45833</v>
      </c>
      <c r="U757" s="8" t="s">
        <v>3219</v>
      </c>
      <c r="V757" s="24">
        <v>1</v>
      </c>
      <c r="W757" s="24"/>
      <c r="X757" t="s">
        <v>57</v>
      </c>
      <c r="Y757" t="s">
        <v>222</v>
      </c>
    </row>
    <row r="758" spans="1:25" x14ac:dyDescent="0.25">
      <c r="A758">
        <v>15412</v>
      </c>
      <c r="B758" t="str">
        <f>_xlfn.CONCAT(Tabel1[[#This Row],[personeelsnr]]," ",C758," ",D758)</f>
        <v>15412 Dhondt Frank</v>
      </c>
      <c r="C758" t="str">
        <f>VLOOKUP(Tabel1[[#This Row],[personeelsnr]],'data hastus'!$A:$C,2,0)</f>
        <v>Dhondt</v>
      </c>
      <c r="D758" t="str">
        <f>VLOOKUP(Tabel1[[#This Row],[personeelsnr]],'data hastus'!$A:$C,3,0)</f>
        <v>Frank</v>
      </c>
      <c r="E758" t="str">
        <f>VLOOKUP(Tabel1[[#This Row],[personeelsnr]],'data hastus'!A:K,11,FALSE)</f>
        <v>Bart Van Der Beken</v>
      </c>
      <c r="F758" s="10"/>
      <c r="G758" s="7"/>
      <c r="H758" s="7"/>
      <c r="I758" s="7"/>
      <c r="S758" s="5">
        <f>SUM(Tabel1[[#This Row],[Januari]:[December]])</f>
        <v>0</v>
      </c>
      <c r="T758" s="9">
        <v>45833</v>
      </c>
      <c r="U758" s="8" t="s">
        <v>3224</v>
      </c>
      <c r="V758" s="24">
        <v>1</v>
      </c>
      <c r="W758" s="24"/>
      <c r="X758" t="s">
        <v>57</v>
      </c>
      <c r="Y758" t="s">
        <v>2899</v>
      </c>
    </row>
    <row r="759" spans="1:25" x14ac:dyDescent="0.25">
      <c r="A759">
        <v>39850</v>
      </c>
      <c r="B759" t="str">
        <f>_xlfn.CONCAT(Tabel1[[#This Row],[personeelsnr]]," ",C759," ",D759)</f>
        <v>39850 Helleputte William</v>
      </c>
      <c r="C759" t="str">
        <f>VLOOKUP(Tabel1[[#This Row],[personeelsnr]],'data hastus'!$A:$C,2,0)</f>
        <v>Helleputte</v>
      </c>
      <c r="D759" t="str">
        <f>VLOOKUP(Tabel1[[#This Row],[personeelsnr]],'data hastus'!$A:$C,3,0)</f>
        <v>William</v>
      </c>
      <c r="E759" t="str">
        <f>VLOOKUP(Tabel1[[#This Row],[personeelsnr]],'data hastus'!A:K,11,FALSE)</f>
        <v>Dominique De Clercq</v>
      </c>
      <c r="F759" s="10"/>
      <c r="G759" s="7"/>
      <c r="H759" s="7"/>
      <c r="I759" s="7"/>
      <c r="L759" s="5">
        <v>1</v>
      </c>
      <c r="S759" s="5">
        <f>SUM(Tabel1[[#This Row],[Januari]:[December]])</f>
        <v>1</v>
      </c>
      <c r="T759" s="9">
        <v>45837</v>
      </c>
      <c r="U759" s="8" t="s">
        <v>3215</v>
      </c>
      <c r="V759" s="24">
        <v>1</v>
      </c>
      <c r="W759" s="24"/>
      <c r="X759" t="s">
        <v>57</v>
      </c>
      <c r="Y759" t="s">
        <v>39</v>
      </c>
    </row>
    <row r="760" spans="1:25" x14ac:dyDescent="0.25">
      <c r="A760">
        <v>15088</v>
      </c>
      <c r="B760" t="str">
        <f>_xlfn.CONCAT(Tabel1[[#This Row],[personeelsnr]]," ",C760," ",D760)</f>
        <v>15088 Laute Dirk</v>
      </c>
      <c r="C760" t="str">
        <f>VLOOKUP(Tabel1[[#This Row],[personeelsnr]],'data hastus'!$A:$C,2,0)</f>
        <v>Laute</v>
      </c>
      <c r="D760" t="str">
        <f>VLOOKUP(Tabel1[[#This Row],[personeelsnr]],'data hastus'!$A:$C,3,0)</f>
        <v>Dirk</v>
      </c>
      <c r="E760" t="str">
        <f>VLOOKUP(Tabel1[[#This Row],[personeelsnr]],'data hastus'!A:K,11,FALSE)</f>
        <v>Els Vanhoe</v>
      </c>
      <c r="F760" s="10"/>
      <c r="G760" s="7"/>
      <c r="H760" s="7"/>
      <c r="I760" s="7"/>
      <c r="L760" s="5">
        <v>1</v>
      </c>
      <c r="S760" s="5">
        <f>SUM(Tabel1[[#This Row],[Januari]:[December]])</f>
        <v>1</v>
      </c>
      <c r="T760" s="9">
        <v>45837</v>
      </c>
      <c r="U760" s="8" t="s">
        <v>3216</v>
      </c>
      <c r="V760" s="24">
        <v>1</v>
      </c>
      <c r="W760" s="24"/>
      <c r="X760" t="s">
        <v>57</v>
      </c>
      <c r="Y760" t="s">
        <v>53</v>
      </c>
    </row>
    <row r="761" spans="1:25" x14ac:dyDescent="0.25">
      <c r="A761">
        <v>40223</v>
      </c>
      <c r="B761" t="str">
        <f>_xlfn.CONCAT(Tabel1[[#This Row],[personeelsnr]]," ",C761," ",D761)</f>
        <v>40223 Teetaert Billy</v>
      </c>
      <c r="C761" t="str">
        <f>VLOOKUP(Tabel1[[#This Row],[personeelsnr]],'data hastus'!$A:$C,2,0)</f>
        <v>Teetaert</v>
      </c>
      <c r="D761" t="str">
        <f>VLOOKUP(Tabel1[[#This Row],[personeelsnr]],'data hastus'!$A:$C,3,0)</f>
        <v>Billy</v>
      </c>
      <c r="E761" t="str">
        <f>VLOOKUP(Tabel1[[#This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SUM(Tabel1[[#This Row],[Januari]:[December]])</f>
        <v>1</v>
      </c>
      <c r="T761" s="9">
        <v>45837</v>
      </c>
      <c r="U761" s="8" t="s">
        <v>3217</v>
      </c>
      <c r="V761" s="24">
        <v>1</v>
      </c>
      <c r="W761" s="24"/>
      <c r="X761" t="s">
        <v>57</v>
      </c>
      <c r="Y761" t="s">
        <v>2907</v>
      </c>
    </row>
    <row r="762" spans="1:25" x14ac:dyDescent="0.25">
      <c r="A762">
        <v>32528</v>
      </c>
      <c r="B762" t="str">
        <f>_xlfn.CONCAT(Tabel1[[#This Row],[personeelsnr]]," ",C762," ",D762)</f>
        <v>32528 Benjilali Abdelhak</v>
      </c>
      <c r="C762" t="str">
        <f>VLOOKUP(Tabel1[[#This Row],[personeelsnr]],'data hastus'!$A:$C,2,0)</f>
        <v>Benjilali</v>
      </c>
      <c r="D762" t="str">
        <f>VLOOKUP(Tabel1[[#This Row],[personeelsnr]],'data hastus'!$A:$C,3,0)</f>
        <v>Abdelhak</v>
      </c>
      <c r="E762" t="str">
        <f>VLOOKUP(Tabel1[[#This Row],[personeelsnr]],'data hastus'!A:K,11,FALSE)</f>
        <v>Steven Storm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45839</v>
      </c>
      <c r="U762" s="8" t="s">
        <v>3282</v>
      </c>
      <c r="V762" s="24">
        <v>1</v>
      </c>
      <c r="W762" s="24"/>
      <c r="X762" t="s">
        <v>57</v>
      </c>
      <c r="Y762" t="s">
        <v>43</v>
      </c>
    </row>
    <row r="763" spans="1:25" x14ac:dyDescent="0.25">
      <c r="A763">
        <v>4419</v>
      </c>
      <c r="B763" t="str">
        <f>_xlfn.CONCAT(Tabel1[[#This Row],[personeelsnr]]," ",C763," ",D763)</f>
        <v>4419 Maelbrancke Eddy</v>
      </c>
      <c r="C763" t="str">
        <f>VLOOKUP(Tabel1[[#This Row],[personeelsnr]],'data hastus'!$A:$C,2,0)</f>
        <v>Maelbrancke</v>
      </c>
      <c r="D763" t="str">
        <f>VLOOKUP(Tabel1[[#This Row],[personeelsnr]],'data hastus'!$A:$C,3,0)</f>
        <v>Eddy</v>
      </c>
      <c r="E763" t="str">
        <f>VLOOKUP(Tabel1[[#This Row],[personeelsnr]],'data hastus'!A:K,11,FALSE)</f>
        <v>Lucie Vande Velde</v>
      </c>
      <c r="F763" s="10"/>
      <c r="G763" s="7"/>
      <c r="H763" s="7"/>
      <c r="I763" s="7"/>
      <c r="M763" s="5">
        <v>1</v>
      </c>
      <c r="S763" s="5">
        <f>SUM(Tabel1[[#This Row],[Januari]:[December]])</f>
        <v>1</v>
      </c>
      <c r="T763" s="9">
        <v>45839</v>
      </c>
      <c r="U763" s="8" t="s">
        <v>3293</v>
      </c>
      <c r="V763" s="24">
        <v>1</v>
      </c>
      <c r="W763" s="24"/>
      <c r="X763" t="s">
        <v>57</v>
      </c>
      <c r="Y763" t="s">
        <v>2900</v>
      </c>
    </row>
    <row r="764" spans="1:25" x14ac:dyDescent="0.25">
      <c r="A764">
        <v>21509</v>
      </c>
      <c r="B764" t="str">
        <f>_xlfn.CONCAT(Tabel1[[#This Row],[personeelsnr]]," ",C764," ",D764)</f>
        <v>21509 De Craemer Kris</v>
      </c>
      <c r="C764" t="str">
        <f>VLOOKUP(Tabel1[[#This Row],[personeelsnr]],'data hastus'!$A:$C,2,0)</f>
        <v>De Craemer</v>
      </c>
      <c r="D764" t="str">
        <f>VLOOKUP(Tabel1[[#This Row],[personeelsnr]],'data hastus'!$A:$C,3,0)</f>
        <v>Kris</v>
      </c>
      <c r="E764" t="str">
        <f>VLOOKUP(Tabel1[[#This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45839</v>
      </c>
      <c r="U764" s="8" t="s">
        <v>3291</v>
      </c>
      <c r="V764" s="24"/>
      <c r="W764" s="24">
        <v>1</v>
      </c>
      <c r="X764" t="s">
        <v>58</v>
      </c>
      <c r="Y764" t="s">
        <v>70</v>
      </c>
    </row>
    <row r="765" spans="1:25" x14ac:dyDescent="0.25">
      <c r="A765">
        <v>37542</v>
      </c>
      <c r="B765" t="str">
        <f>_xlfn.CONCAT(Tabel1[[#This Row],[personeelsnr]]," ",C765," ",D765)</f>
        <v>37542 De Tandt Hans</v>
      </c>
      <c r="C765" t="str">
        <f>VLOOKUP(Tabel1[[#This Row],[personeelsnr]],'data hastus'!$A:$C,2,0)</f>
        <v>De Tandt</v>
      </c>
      <c r="D765" t="str">
        <f>VLOOKUP(Tabel1[[#This Row],[personeelsnr]],'data hastus'!$A:$C,3,0)</f>
        <v>Hans</v>
      </c>
      <c r="E765" t="str">
        <f>VLOOKUP(Tabel1[[#This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SUM(Tabel1[[#This Row],[Januari]:[December]])</f>
        <v>1</v>
      </c>
      <c r="T765" s="9">
        <v>45840</v>
      </c>
      <c r="U765" s="8" t="s">
        <v>3289</v>
      </c>
      <c r="V765" s="24"/>
      <c r="W765" s="24">
        <v>1</v>
      </c>
      <c r="X765" t="s">
        <v>58</v>
      </c>
      <c r="Y765" t="s">
        <v>52</v>
      </c>
    </row>
    <row r="766" spans="1:25" x14ac:dyDescent="0.25">
      <c r="A766">
        <v>38648</v>
      </c>
      <c r="B766" t="str">
        <f>_xlfn.CONCAT(Tabel1[[#This Row],[personeelsnr]]," ",C766," ",D766)</f>
        <v>38648 Uckuyulu Muhammet Emin</v>
      </c>
      <c r="C766" t="str">
        <f>VLOOKUP(Tabel1[[#This Row],[personeelsnr]],'data hastus'!$A:$C,2,0)</f>
        <v>Uckuyulu</v>
      </c>
      <c r="D766" t="str">
        <f>VLOOKUP(Tabel1[[#This Row],[personeelsnr]],'data hastus'!$A:$C,3,0)</f>
        <v>Muhammet Emin</v>
      </c>
      <c r="E766" t="str">
        <f>VLOOKUP(Tabel1[[#This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SUM(Tabel1[[#This Row],[Januari]:[December]])</f>
        <v>1</v>
      </c>
      <c r="T766" s="9">
        <v>45840</v>
      </c>
      <c r="U766" s="8" t="s">
        <v>3290</v>
      </c>
      <c r="V766" s="24"/>
      <c r="W766" s="24">
        <v>1</v>
      </c>
      <c r="X766" t="s">
        <v>58</v>
      </c>
      <c r="Y766" t="s">
        <v>19</v>
      </c>
    </row>
    <row r="767" spans="1:25" x14ac:dyDescent="0.25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3284</v>
      </c>
      <c r="V767" s="24">
        <v>1</v>
      </c>
      <c r="W767" s="24"/>
      <c r="X767" t="s">
        <v>57</v>
      </c>
      <c r="Y767" t="s">
        <v>111</v>
      </c>
    </row>
    <row r="768" spans="1:25" x14ac:dyDescent="0.25">
      <c r="A768">
        <v>28737</v>
      </c>
      <c r="B768" t="str">
        <f>_xlfn.CONCAT(Tabel1[[#This Row],[personeelsnr]]," ",C768," ",D768)</f>
        <v>28737 El-Mohamed Mohamed</v>
      </c>
      <c r="C768" t="str">
        <f>VLOOKUP(Tabel1[[#This Row],[personeelsnr]],'data hastus'!$A:$C,2,0)</f>
        <v>El-Mohamed</v>
      </c>
      <c r="D768" t="str">
        <f>VLOOKUP(Tabel1[[#This Row],[personeelsnr]],'data hastus'!$A:$C,3,0)</f>
        <v>Mohamed</v>
      </c>
      <c r="E768" t="str">
        <f>VLOOKUP(Tabel1[[#This Row],[personeelsnr]],'data hastus'!A:K,11,FALSE)</f>
        <v>Lucie Vande Velde</v>
      </c>
      <c r="F768" s="10"/>
      <c r="G768" s="7"/>
      <c r="H768" s="7"/>
      <c r="I768" s="7"/>
      <c r="M768" s="5">
        <v>1</v>
      </c>
      <c r="S768" s="5">
        <f>SUM(Tabel1[[#This Row],[Januari]:[December]])</f>
        <v>1</v>
      </c>
      <c r="T768" s="9">
        <v>45842</v>
      </c>
      <c r="U768" s="8" t="s">
        <v>3285</v>
      </c>
      <c r="V768" s="24">
        <v>1</v>
      </c>
      <c r="W768" s="24"/>
      <c r="X768" t="s">
        <v>57</v>
      </c>
      <c r="Y768" t="s">
        <v>389</v>
      </c>
    </row>
    <row r="769" spans="1:25" x14ac:dyDescent="0.25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3283</v>
      </c>
      <c r="V769" s="24">
        <v>1</v>
      </c>
      <c r="W769" s="24"/>
      <c r="X769" t="s">
        <v>57</v>
      </c>
      <c r="Y769" t="s">
        <v>26</v>
      </c>
    </row>
    <row r="770" spans="1:25" x14ac:dyDescent="0.25">
      <c r="A770">
        <v>30119</v>
      </c>
      <c r="B770" t="str">
        <f>_xlfn.CONCAT(Tabel1[[#This Row],[personeelsnr]]," ",C770," ",D770)</f>
        <v>30119 Haerens Tom</v>
      </c>
      <c r="C770" t="str">
        <f>VLOOKUP(Tabel1[[#This Row],[personeelsnr]],'data hastus'!$A:$C,2,0)</f>
        <v>Haerens</v>
      </c>
      <c r="D770" t="str">
        <f>VLOOKUP(Tabel1[[#This Row],[personeelsnr]],'data hastus'!$A:$C,3,0)</f>
        <v>Tom</v>
      </c>
      <c r="E770" t="str">
        <f>VLOOKUP(Tabel1[[#This Row],[personeelsnr]],'data hastus'!A:K,11,FALSE)</f>
        <v>Dominique De Clercq</v>
      </c>
      <c r="F770" s="10">
        <v>45813</v>
      </c>
      <c r="G770" s="7"/>
      <c r="H770" s="7"/>
      <c r="I770" s="7"/>
      <c r="L770" s="5">
        <v>1</v>
      </c>
      <c r="S770" s="5">
        <f>SUM(Tabel1[[#This Row],[Januari]:[December]])</f>
        <v>1</v>
      </c>
      <c r="U770" s="8" t="s">
        <v>3238</v>
      </c>
      <c r="V770" s="24"/>
      <c r="W770" s="24">
        <v>1</v>
      </c>
      <c r="X770" t="s">
        <v>58</v>
      </c>
      <c r="Y770" t="s">
        <v>25</v>
      </c>
    </row>
    <row r="771" spans="1:25" x14ac:dyDescent="0.25">
      <c r="A771">
        <v>22416</v>
      </c>
      <c r="B771" t="str">
        <f>_xlfn.CONCAT(Tabel1[[#This Row],[personeelsnr]]," ",C771," ",D771)</f>
        <v>22416 Bicici Abdul Kadir</v>
      </c>
      <c r="C771" t="str">
        <f>VLOOKUP(Tabel1[[#This Row],[personeelsnr]],'data hastus'!$A:$C,2,0)</f>
        <v>Bicici</v>
      </c>
      <c r="D771" t="str">
        <f>VLOOKUP(Tabel1[[#This Row],[personeelsnr]],'data hastus'!$A:$C,3,0)</f>
        <v>Abdul Kadir</v>
      </c>
      <c r="E771" t="str">
        <f>VLOOKUP(Tabel1[[#This Row],[personeelsnr]],'data hastus'!A:K,11,FALSE)</f>
        <v>Christoff Rotty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45843</v>
      </c>
      <c r="U771" s="8" t="s">
        <v>3287</v>
      </c>
      <c r="V771" s="24"/>
      <c r="W771" s="24">
        <v>1</v>
      </c>
      <c r="X771" t="s">
        <v>58</v>
      </c>
      <c r="Y771" t="s">
        <v>2902</v>
      </c>
    </row>
    <row r="772" spans="1:25" x14ac:dyDescent="0.25">
      <c r="A772">
        <v>31776</v>
      </c>
      <c r="B772" t="str">
        <f>_xlfn.CONCAT(Tabel1[[#This Row],[personeelsnr]]," ",C772," ",D772)</f>
        <v>31776 Famelaer Steve</v>
      </c>
      <c r="C772" t="str">
        <f>VLOOKUP(Tabel1[[#This Row],[personeelsnr]],'data hastus'!$A:$C,2,0)</f>
        <v>Famelaer</v>
      </c>
      <c r="D772" t="str">
        <f>VLOOKUP(Tabel1[[#This Row],[personeelsnr]],'data hastus'!$A:$C,3,0)</f>
        <v>Steve</v>
      </c>
      <c r="E772" t="str">
        <f>VLOOKUP(Tabel1[[#This Row],[personeelsnr]],'data hastus'!A:K,11,FALSE)</f>
        <v>Dominique De Clercq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45845</v>
      </c>
      <c r="U772" s="8" t="s">
        <v>3280</v>
      </c>
      <c r="V772" s="24">
        <v>1</v>
      </c>
      <c r="W772" s="24"/>
      <c r="X772" t="s">
        <v>57</v>
      </c>
      <c r="Y772" t="s">
        <v>28</v>
      </c>
    </row>
    <row r="773" spans="1:25" x14ac:dyDescent="0.25">
      <c r="A773">
        <v>37439</v>
      </c>
      <c r="B773" t="str">
        <f>_xlfn.CONCAT(Tabel1[[#This Row],[personeelsnr]]," ",C773," ",D773)</f>
        <v>37439 Demirkazik Mustafa</v>
      </c>
      <c r="C773" t="str">
        <f>VLOOKUP(Tabel1[[#This Row],[personeelsnr]],'data hastus'!$A:$C,2,0)</f>
        <v>Demirkazik</v>
      </c>
      <c r="D773" t="str">
        <f>VLOOKUP(Tabel1[[#This Row],[personeelsnr]],'data hastus'!$A:$C,3,0)</f>
        <v>Mustafa</v>
      </c>
      <c r="E773" t="str">
        <f>VLOOKUP(Tabel1[[#This Row],[personeelsnr]],'data hastus'!A:K,11,FALSE)</f>
        <v>Kenneth De Rick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3278</v>
      </c>
      <c r="V773" s="24">
        <v>1</v>
      </c>
      <c r="W773" s="24"/>
      <c r="X773" t="s">
        <v>57</v>
      </c>
      <c r="Y773" t="s">
        <v>64</v>
      </c>
    </row>
    <row r="774" spans="1:25" x14ac:dyDescent="0.25">
      <c r="A774">
        <v>41859</v>
      </c>
      <c r="B774" t="str">
        <f>_xlfn.CONCAT(Tabel1[[#This Row],[personeelsnr]]," ",C774," ",D774)</f>
        <v>41859 Palit Ramazan</v>
      </c>
      <c r="C774" t="s">
        <v>2903</v>
      </c>
      <c r="D774" t="s">
        <v>1329</v>
      </c>
      <c r="E774" t="s">
        <v>2926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3279</v>
      </c>
      <c r="V774" s="24">
        <v>1</v>
      </c>
      <c r="W774" s="24"/>
      <c r="X774" t="s">
        <v>57</v>
      </c>
      <c r="Y774" t="s">
        <v>29</v>
      </c>
    </row>
    <row r="775" spans="1:25" x14ac:dyDescent="0.25">
      <c r="A775">
        <v>18987</v>
      </c>
      <c r="B775" t="str">
        <f>_xlfn.CONCAT(Tabel1[[#This Row],[personeelsnr]]," ",C775," ",D775)</f>
        <v>18987 De Geyter Dolly</v>
      </c>
      <c r="C775" t="str">
        <f>VLOOKUP(Tabel1[[#This Row],[personeelsnr]],'data hastus'!$A:$C,2,0)</f>
        <v>De Geyter</v>
      </c>
      <c r="D775" t="str">
        <f>VLOOKUP(Tabel1[[#This Row],[personeelsnr]],'data hastus'!$A:$C,3,0)</f>
        <v>Dolly</v>
      </c>
      <c r="E775" t="str">
        <f>VLOOKUP(Tabel1[[#This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45846</v>
      </c>
      <c r="U775" s="8" t="s">
        <v>3281</v>
      </c>
      <c r="V775" s="24"/>
      <c r="W775" s="24">
        <v>1</v>
      </c>
      <c r="X775" t="s">
        <v>58</v>
      </c>
      <c r="Y775" t="s">
        <v>68</v>
      </c>
    </row>
    <row r="776" spans="1:25" x14ac:dyDescent="0.25">
      <c r="A776">
        <v>22877</v>
      </c>
      <c r="B776" t="str">
        <f>_xlfn.CONCAT(Tabel1[[#This Row],[personeelsnr]]," ",C776," ",D776)</f>
        <v>22877 Goossens Gunther</v>
      </c>
      <c r="C776" t="str">
        <f>VLOOKUP(Tabel1[[#This Row],[personeelsnr]],'data hastus'!$A:$C,2,0)</f>
        <v>Goossens</v>
      </c>
      <c r="D776" t="str">
        <f>VLOOKUP(Tabel1[[#This Row],[personeelsnr]],'data hastus'!$A:$C,3,0)</f>
        <v>Gunther</v>
      </c>
      <c r="E776" t="str">
        <f>VLOOKUP(Tabel1[[#This Row],[personeelsnr]],'data hastus'!A:K,11,FALSE)</f>
        <v>Els Dewulf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45847</v>
      </c>
      <c r="U776" s="8" t="s">
        <v>3273</v>
      </c>
      <c r="V776" s="24">
        <v>1</v>
      </c>
      <c r="W776" s="24"/>
      <c r="X776" t="s">
        <v>57</v>
      </c>
      <c r="Y776" t="s">
        <v>114</v>
      </c>
    </row>
    <row r="777" spans="1:25" x14ac:dyDescent="0.25">
      <c r="A777">
        <v>4720</v>
      </c>
      <c r="B777" t="str">
        <f>_xlfn.CONCAT(Tabel1[[#This Row],[personeelsnr]]," ",C777," ",D777)</f>
        <v>4720 De Roo Jo</v>
      </c>
      <c r="C777" t="str">
        <f>VLOOKUP(Tabel1[[#This Row],[personeelsnr]],'data hastus'!$A:$C,2,0)</f>
        <v>De Roo</v>
      </c>
      <c r="D777" t="str">
        <f>VLOOKUP(Tabel1[[#This Row],[personeelsnr]],'data hastus'!$A:$C,3,0)</f>
        <v>Jo</v>
      </c>
      <c r="E777" t="str">
        <f>VLOOKUP(Tabel1[[#This Row],[personeelsnr]],'data hastus'!A:K,11,FALSE)</f>
        <v>Els Vanhoe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45847</v>
      </c>
      <c r="U777" s="8" t="s">
        <v>3274</v>
      </c>
      <c r="V777" s="24">
        <v>1</v>
      </c>
      <c r="W777" s="24"/>
      <c r="X777" t="s">
        <v>57</v>
      </c>
      <c r="Y777" t="s">
        <v>2905</v>
      </c>
    </row>
    <row r="778" spans="1:25" x14ac:dyDescent="0.25">
      <c r="A778">
        <v>31668</v>
      </c>
      <c r="B778" t="str">
        <f>_xlfn.CONCAT(Tabel1[[#This Row],[personeelsnr]]," ",C778," ",D778)</f>
        <v>31668 Weemhof Maurice</v>
      </c>
      <c r="C778" t="str">
        <f>VLOOKUP(Tabel1[[#This Row],[personeelsnr]],'data hastus'!$A:$C,2,0)</f>
        <v>Weemhof</v>
      </c>
      <c r="D778" t="str">
        <f>VLOOKUP(Tabel1[[#This Row],[personeelsnr]],'data hastus'!$A:$C,3,0)</f>
        <v>Maurice</v>
      </c>
      <c r="E778" t="str">
        <f>VLOOKUP(Tabel1[[#This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SUM(Tabel1[[#This Row],[Januari]:[December]])</f>
        <v>1</v>
      </c>
      <c r="T778" s="9">
        <v>45848</v>
      </c>
      <c r="U778" s="8" t="s">
        <v>3277</v>
      </c>
      <c r="V778" s="24">
        <v>1</v>
      </c>
      <c r="W778" s="24"/>
      <c r="X778" t="s">
        <v>57</v>
      </c>
      <c r="Y778" t="s">
        <v>29</v>
      </c>
    </row>
    <row r="779" spans="1:25" x14ac:dyDescent="0.25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3272</v>
      </c>
      <c r="V779" s="24">
        <v>1</v>
      </c>
      <c r="W779" s="24"/>
      <c r="X779" t="s">
        <v>57</v>
      </c>
      <c r="Y779" t="s">
        <v>30</v>
      </c>
    </row>
    <row r="780" spans="1:25" x14ac:dyDescent="0.25">
      <c r="A780">
        <v>40362</v>
      </c>
      <c r="B780" t="str">
        <f>_xlfn.CONCAT(Tabel1[[#This Row],[personeelsnr]]," ",C780," ",D780)</f>
        <v>40362 Kuru Cetin</v>
      </c>
      <c r="C780" t="str">
        <f>VLOOKUP(Tabel1[[#This Row],[personeelsnr]],'data hastus'!$A:$C,2,0)</f>
        <v>Kuru</v>
      </c>
      <c r="D780" t="str">
        <f>VLOOKUP(Tabel1[[#This Row],[personeelsnr]],'data hastus'!$A:$C,3,0)</f>
        <v>Cetin</v>
      </c>
      <c r="E780" t="str">
        <f>VLOOKUP(Tabel1[[#This Row],[personeelsnr]],'data hastus'!A:K,11,FALSE)</f>
        <v>Kenneth De Rick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45848</v>
      </c>
      <c r="U780" s="8" t="s">
        <v>3275</v>
      </c>
      <c r="V780" s="24">
        <v>1</v>
      </c>
      <c r="W780" s="24"/>
      <c r="X780" t="s">
        <v>57</v>
      </c>
      <c r="Y780" t="s">
        <v>93</v>
      </c>
    </row>
    <row r="781" spans="1:25" x14ac:dyDescent="0.25">
      <c r="A781">
        <v>32002</v>
      </c>
      <c r="B781" t="str">
        <f>_xlfn.CONCAT(Tabel1[[#This Row],[personeelsnr]]," ",C781," ",D781)</f>
        <v>32002 Hasni Helmi</v>
      </c>
      <c r="C781" t="str">
        <f>VLOOKUP(Tabel1[[#This Row],[personeelsnr]],'data hastus'!$A:$C,2,0)</f>
        <v>Hasni</v>
      </c>
      <c r="D781" t="str">
        <f>VLOOKUP(Tabel1[[#This Row],[personeelsnr]],'data hastus'!$A:$C,3,0)</f>
        <v>Helmi</v>
      </c>
      <c r="E781" t="str">
        <f>VLOOKUP(Tabel1[[#This Row],[personeelsnr]],'data hastus'!A:K,11,FALSE)</f>
        <v>Steven Storm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45848</v>
      </c>
      <c r="U781" s="8" t="s">
        <v>3276</v>
      </c>
      <c r="V781" s="24"/>
      <c r="W781" s="24">
        <v>1</v>
      </c>
      <c r="X781" t="s">
        <v>58</v>
      </c>
      <c r="Y781" t="s">
        <v>2904</v>
      </c>
    </row>
    <row r="782" spans="1:25" x14ac:dyDescent="0.25">
      <c r="A782">
        <v>40856</v>
      </c>
      <c r="B782" t="str">
        <f>_xlfn.CONCAT(Tabel1[[#This Row],[personeelsnr]]," ",C782," ",D782)</f>
        <v>40856 Neissi Sadegh</v>
      </c>
      <c r="C782" t="str">
        <f>VLOOKUP(Tabel1[[#This Row],[personeelsnr]],'data hastus'!$A:$C,2,0)</f>
        <v>Neissi</v>
      </c>
      <c r="D782" t="str">
        <f>VLOOKUP(Tabel1[[#This Row],[personeelsnr]],'data hastus'!$A:$C,3,0)</f>
        <v>Sadegh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45850</v>
      </c>
      <c r="U782" s="8" t="s">
        <v>3270</v>
      </c>
      <c r="V782" s="24">
        <v>1</v>
      </c>
      <c r="W782" s="24"/>
      <c r="X782" t="s">
        <v>57</v>
      </c>
      <c r="Y782" t="s">
        <v>28</v>
      </c>
    </row>
    <row r="783" spans="1:25" x14ac:dyDescent="0.25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3271</v>
      </c>
      <c r="V783" s="24">
        <v>1</v>
      </c>
      <c r="W783" s="24"/>
      <c r="X783" t="s">
        <v>57</v>
      </c>
      <c r="Y783" t="s">
        <v>2906</v>
      </c>
    </row>
    <row r="784" spans="1:25" x14ac:dyDescent="0.25">
      <c r="A784">
        <v>37936</v>
      </c>
      <c r="B784" t="str">
        <f>_xlfn.CONCAT(Tabel1[[#This Row],[personeelsnr]]," ",C784," ",D784)</f>
        <v>37936 Detaeye Alexander</v>
      </c>
      <c r="C784" t="str">
        <f>VLOOKUP(Tabel1[[#This Row],[personeelsnr]],'data hastus'!$A:$C,2,0)</f>
        <v>Detaeye</v>
      </c>
      <c r="D784" t="str">
        <f>VLOOKUP(Tabel1[[#This Row],[personeelsnr]],'data hastus'!$A:$C,3,0)</f>
        <v>Alexander</v>
      </c>
      <c r="E784" t="str">
        <f>VLOOKUP(Tabel1[[#This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45851</v>
      </c>
      <c r="U784" s="8" t="s">
        <v>3262</v>
      </c>
      <c r="V784" s="24">
        <v>1</v>
      </c>
      <c r="W784" s="24"/>
      <c r="X784" t="s">
        <v>57</v>
      </c>
      <c r="Y784" t="s">
        <v>2909</v>
      </c>
    </row>
    <row r="785" spans="1:25" x14ac:dyDescent="0.25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3269</v>
      </c>
      <c r="V785" s="24">
        <v>1</v>
      </c>
      <c r="W785" s="24"/>
      <c r="X785" t="s">
        <v>57</v>
      </c>
      <c r="Y785" t="s">
        <v>70</v>
      </c>
    </row>
    <row r="786" spans="1:25" x14ac:dyDescent="0.25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3266</v>
      </c>
      <c r="V786" s="24">
        <v>1</v>
      </c>
      <c r="W786" s="24"/>
      <c r="X786" t="s">
        <v>57</v>
      </c>
      <c r="Y786" t="s">
        <v>155</v>
      </c>
    </row>
    <row r="787" spans="1:25" x14ac:dyDescent="0.25">
      <c r="A787">
        <v>11120</v>
      </c>
      <c r="B787" t="str">
        <f>_xlfn.CONCAT(Tabel1[[#This Row],[personeelsnr]]," ",C787," ",D787)</f>
        <v>11120 De Vrieze Ludo</v>
      </c>
      <c r="C787" t="str">
        <f>VLOOKUP(Tabel1[[#This Row],[personeelsnr]],'data hastus'!$A:$C,2,0)</f>
        <v>De Vrieze</v>
      </c>
      <c r="D787" t="str">
        <f>VLOOKUP(Tabel1[[#This Row],[personeelsnr]],'data hastus'!$A:$C,3,0)</f>
        <v>Ludo</v>
      </c>
      <c r="E787" t="str">
        <f>VLOOKUP(Tabel1[[#This Row],[personeelsnr]],'data hastus'!A:K,11,FALSE)</f>
        <v>Lucie Vande Velde</v>
      </c>
      <c r="F787" s="10">
        <v>45735</v>
      </c>
      <c r="G787" s="6"/>
      <c r="H787" s="6"/>
      <c r="I787" s="6"/>
      <c r="J787"/>
      <c r="K787"/>
      <c r="L787"/>
      <c r="M787"/>
      <c r="N787"/>
      <c r="O787"/>
      <c r="P787"/>
      <c r="Q787"/>
      <c r="R787"/>
      <c r="S787">
        <f>SUM(Tabel1[[#This Row],[Januari]:[December]])</f>
        <v>0</v>
      </c>
      <c r="T787" s="3"/>
      <c r="U787" s="8" t="s">
        <v>3125</v>
      </c>
      <c r="V787" s="8"/>
      <c r="W787" s="8">
        <v>1</v>
      </c>
      <c r="X787" t="s">
        <v>58</v>
      </c>
      <c r="Y787" t="s">
        <v>164</v>
      </c>
    </row>
    <row r="788" spans="1:25" x14ac:dyDescent="0.25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3268</v>
      </c>
      <c r="V788" s="24">
        <v>1</v>
      </c>
      <c r="W788" s="24"/>
      <c r="X788" t="s">
        <v>57</v>
      </c>
      <c r="Y788" t="s">
        <v>41</v>
      </c>
    </row>
    <row r="789" spans="1:25" x14ac:dyDescent="0.25">
      <c r="A789">
        <v>30271</v>
      </c>
      <c r="B789" t="str">
        <f>_xlfn.CONCAT(Tabel1[[#This Row],[personeelsnr]]," ",C789," ",D789)</f>
        <v>30271 Bracke Jeroen</v>
      </c>
      <c r="C789" t="str">
        <f>VLOOKUP(Tabel1[[#This Row],[personeelsnr]],'data hastus'!$A:$C,2,0)</f>
        <v>Bracke</v>
      </c>
      <c r="D789" t="str">
        <f>VLOOKUP(Tabel1[[#This Row],[personeelsnr]],'data hastus'!$A:$C,3,0)</f>
        <v>Jeroen</v>
      </c>
      <c r="E789" t="str">
        <f>VLOOKUP(Tabel1[[#This Row],[personeelsnr]],'data hastus'!A:K,11,FALSE)</f>
        <v>Els Dewulf</v>
      </c>
      <c r="F789" s="10"/>
      <c r="G789" s="7"/>
      <c r="H789" s="7"/>
      <c r="I789" s="7"/>
      <c r="M789" s="5">
        <v>1</v>
      </c>
      <c r="S789" s="5">
        <f>SUM(Tabel1[[#This Row],[Januari]:[December]])</f>
        <v>1</v>
      </c>
      <c r="T789" s="9">
        <v>45854</v>
      </c>
      <c r="U789" s="8" t="s">
        <v>3263</v>
      </c>
      <c r="V789" s="24">
        <v>1</v>
      </c>
      <c r="W789" s="24"/>
      <c r="X789" t="s">
        <v>57</v>
      </c>
      <c r="Y789" t="s">
        <v>18</v>
      </c>
    </row>
    <row r="790" spans="1:25" x14ac:dyDescent="0.25">
      <c r="A790">
        <v>26331</v>
      </c>
      <c r="B790" t="str">
        <f>_xlfn.CONCAT(Tabel1[[#This Row],[personeelsnr]]," ",C790," ",D790)</f>
        <v>26331 Van Semmertier Pascal</v>
      </c>
      <c r="C790" t="str">
        <f>VLOOKUP(Tabel1[[#This Row],[personeelsnr]],'data hastus'!$A:$C,2,0)</f>
        <v>Van Semmertier</v>
      </c>
      <c r="D790" t="str">
        <f>VLOOKUP(Tabel1[[#This Row],[personeelsnr]],'data hastus'!$A:$C,3,0)</f>
        <v>Pascal</v>
      </c>
      <c r="E790" t="str">
        <f>VLOOKUP(Tabel1[[#This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45857</v>
      </c>
      <c r="U790" s="8" t="s">
        <v>3257</v>
      </c>
      <c r="V790" s="24">
        <v>1</v>
      </c>
      <c r="W790" s="24"/>
      <c r="X790" t="s">
        <v>57</v>
      </c>
      <c r="Y790" t="s">
        <v>2911</v>
      </c>
    </row>
    <row r="791" spans="1:25" x14ac:dyDescent="0.25">
      <c r="A791">
        <v>41137</v>
      </c>
      <c r="B791" s="35" t="str">
        <f>_xlfn.CONCAT(Tabel1[[#This Row],[personeelsnr]]," ",C791," ",D791)</f>
        <v>41137 De smet Dirk</v>
      </c>
      <c r="C791" t="str">
        <f>VLOOKUP(Tabel1[[#This Row],[personeelsnr]],'data hastus'!$A:$C,2,0)</f>
        <v>De smet</v>
      </c>
      <c r="D791" t="str">
        <f>VLOOKUP(Tabel1[[#This Row],[personeelsnr]],'data hastus'!$A:$C,3,0)</f>
        <v>Dirk</v>
      </c>
      <c r="E791" t="str">
        <f>VLOOKUP(Tabel1[[#This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36">
        <f>SUM(Tabel1[[#This Row],[Januari]:[December]])</f>
        <v>1</v>
      </c>
      <c r="T791" s="9">
        <v>45859</v>
      </c>
      <c r="U791" s="24" t="s">
        <v>3029</v>
      </c>
      <c r="V791" s="24">
        <v>1</v>
      </c>
      <c r="W791" s="24"/>
      <c r="X791" t="s">
        <v>57</v>
      </c>
      <c r="Y791" t="s">
        <v>157</v>
      </c>
    </row>
    <row r="792" spans="1:25" x14ac:dyDescent="0.25">
      <c r="A792">
        <v>41162</v>
      </c>
      <c r="B792" t="str">
        <f>_xlfn.CONCAT(Tabel1[[#This Row],[personeelsnr]]," ",C792," ",D792)</f>
        <v>41162 Hoeckman Jeroen</v>
      </c>
      <c r="C792" t="str">
        <f>VLOOKUP(Tabel1[[#This Row],[personeelsnr]],'data hastus'!$A:$C,2,0)</f>
        <v>Hoeckman</v>
      </c>
      <c r="D792" t="str">
        <f>VLOOKUP(Tabel1[[#This Row],[personeelsnr]],'data hastus'!$A:$C,3,0)</f>
        <v>Jeroen</v>
      </c>
      <c r="E792" t="str">
        <f>VLOOKUP(Tabel1[[#This Row],[personeelsnr]],'data hastus'!A:K,11,FALSE)</f>
        <v>Dominique De Clercq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3252</v>
      </c>
      <c r="V792" s="24">
        <v>1</v>
      </c>
      <c r="W792" s="24"/>
      <c r="X792" t="s">
        <v>57</v>
      </c>
      <c r="Y792" t="s">
        <v>2920</v>
      </c>
    </row>
    <row r="793" spans="1:25" x14ac:dyDescent="0.25">
      <c r="A793">
        <v>39581</v>
      </c>
      <c r="B793" t="str">
        <f>_xlfn.CONCAT(Tabel1[[#This Row],[personeelsnr]]," ",C793," ",D793)</f>
        <v>39581 Vandenhaute Linus</v>
      </c>
      <c r="C793" t="str">
        <f>VLOOKUP(Tabel1[[#This Row],[personeelsnr]],'data hastus'!$A:$C,2,0)</f>
        <v>Vandenhaute</v>
      </c>
      <c r="D793" t="str">
        <f>VLOOKUP(Tabel1[[#This Row],[personeelsnr]],'data hastus'!$A:$C,3,0)</f>
        <v>Linus</v>
      </c>
      <c r="E793" t="str">
        <f>VLOOKUP(Tabel1[[#This Row],[personeelsnr]],'data hastus'!A:K,11,FALSE)</f>
        <v>Els Dewulf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45861</v>
      </c>
      <c r="U793" s="8" t="s">
        <v>3265</v>
      </c>
      <c r="V793" s="24">
        <v>1</v>
      </c>
      <c r="W793" s="24"/>
      <c r="X793" t="s">
        <v>57</v>
      </c>
      <c r="Y793" t="s">
        <v>35</v>
      </c>
    </row>
    <row r="794" spans="1:25" x14ac:dyDescent="0.25">
      <c r="A794">
        <v>35397</v>
      </c>
      <c r="B794" t="str">
        <f>_xlfn.CONCAT(Tabel1[[#This Row],[personeelsnr]]," ",C794," ",D794)</f>
        <v>35397 Minbari Ako</v>
      </c>
      <c r="C794" t="str">
        <f>VLOOKUP(Tabel1[[#This Row],[personeelsnr]],'data hastus'!$A:$C,2,0)</f>
        <v>Minbari</v>
      </c>
      <c r="D794" t="str">
        <f>VLOOKUP(Tabel1[[#This Row],[personeelsnr]],'data hastus'!$A:$C,3,0)</f>
        <v>Ako</v>
      </c>
      <c r="E794" t="str">
        <f>VLOOKUP(Tabel1[[#This Row],[personeelsnr]],'data hastus'!A:K,11,FALSE)</f>
        <v>Lucie Vande Velde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45861</v>
      </c>
      <c r="U794" s="8" t="s">
        <v>3251</v>
      </c>
      <c r="V794" s="24"/>
      <c r="W794" s="24">
        <v>1</v>
      </c>
      <c r="X794" t="s">
        <v>58</v>
      </c>
      <c r="Y794" t="s">
        <v>139</v>
      </c>
    </row>
    <row r="795" spans="1:25" x14ac:dyDescent="0.25">
      <c r="A795">
        <v>23918</v>
      </c>
      <c r="B795" t="str">
        <f>_xlfn.CONCAT(Tabel1[[#This Row],[personeelsnr]]," ",C795," ",D795)</f>
        <v>23918 D'Haeyere Bernard</v>
      </c>
      <c r="C795" t="str">
        <f>VLOOKUP(Tabel1[[#This Row],[personeelsnr]],'data hastus'!$A:$C,2,0)</f>
        <v>D'Haeyere</v>
      </c>
      <c r="D795" t="str">
        <f>VLOOKUP(Tabel1[[#This Row],[personeelsnr]],'data hastus'!$A:$C,3,0)</f>
        <v>Bernard</v>
      </c>
      <c r="E795" t="str">
        <f>VLOOKUP(Tabel1[[#This Row],[personeelsnr]],'data hastus'!A:K,11,FALSE)</f>
        <v>Els Vanhoe</v>
      </c>
      <c r="F795" s="10"/>
      <c r="G795" s="7"/>
      <c r="H795" s="7"/>
      <c r="I795" s="7"/>
      <c r="M795" s="5">
        <v>1</v>
      </c>
      <c r="S795" s="5">
        <f>SUM(Tabel1[[#This Row],[Januari]:[December]])</f>
        <v>1</v>
      </c>
      <c r="T795" s="9">
        <v>45862</v>
      </c>
      <c r="U795" s="8" t="s">
        <v>3258</v>
      </c>
      <c r="V795" s="24">
        <v>1</v>
      </c>
      <c r="W795" s="24"/>
      <c r="X795" t="s">
        <v>57</v>
      </c>
      <c r="Y795" t="s">
        <v>29</v>
      </c>
    </row>
    <row r="796" spans="1:25" x14ac:dyDescent="0.25">
      <c r="A796">
        <v>11213</v>
      </c>
      <c r="B796" t="str">
        <f>_xlfn.CONCAT(Tabel1[[#This Row],[personeelsnr]]," ",C796," ",D796)</f>
        <v>11213 De Plus Gunter</v>
      </c>
      <c r="C796" t="str">
        <f>VLOOKUP(Tabel1[[#This Row],[personeelsnr]],'data hastus'!$A:$C,2,0)</f>
        <v>De Plus</v>
      </c>
      <c r="D796" t="str">
        <f>VLOOKUP(Tabel1[[#This Row],[personeelsnr]],'data hastus'!$A:$C,3,0)</f>
        <v>Gunter</v>
      </c>
      <c r="E796" t="str">
        <f>VLOOKUP(Tabel1[[#This Row],[personeelsnr]],'data hastus'!A:K,11,FALSE)</f>
        <v>Bart Van Der Beken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3264</v>
      </c>
      <c r="V796" s="24"/>
      <c r="W796" s="24">
        <v>1</v>
      </c>
      <c r="X796" t="s">
        <v>58</v>
      </c>
      <c r="Y796" t="s">
        <v>2908</v>
      </c>
    </row>
    <row r="797" spans="1:25" x14ac:dyDescent="0.25">
      <c r="A797">
        <v>35495</v>
      </c>
      <c r="B797" t="str">
        <f>_xlfn.CONCAT(Tabel1[[#This Row],[personeelsnr]]," ",C797," ",D797)</f>
        <v>35495 Razzaz Mahmoud</v>
      </c>
      <c r="C797" t="str">
        <f>VLOOKUP(Tabel1[[#This Row],[personeelsnr]],'data hastus'!$A:$C,2,0)</f>
        <v>Razzaz</v>
      </c>
      <c r="D797" t="str">
        <f>VLOOKUP(Tabel1[[#This Row],[personeelsnr]],'data hastus'!$A:$C,3,0)</f>
        <v>Mahmoud</v>
      </c>
      <c r="E797" t="str">
        <f>VLOOKUP(Tabel1[[#This Row],[personeelsnr]],'data hastus'!A:K,11,FALSE)</f>
        <v>Kenneth De Rick</v>
      </c>
      <c r="F797" s="10">
        <v>45731</v>
      </c>
      <c r="G797" s="6"/>
      <c r="H797" s="6"/>
      <c r="I797" s="6">
        <v>1</v>
      </c>
      <c r="J797"/>
      <c r="K797"/>
      <c r="L797"/>
      <c r="M797"/>
      <c r="N797"/>
      <c r="O797"/>
      <c r="P797"/>
      <c r="Q797"/>
      <c r="R797"/>
      <c r="S797">
        <f>SUM(Tabel1[[#This Row],[Januari]:[December]])</f>
        <v>1</v>
      </c>
      <c r="T797" s="3"/>
      <c r="U797" s="8" t="s">
        <v>3127</v>
      </c>
      <c r="V797" s="8"/>
      <c r="W797" s="8">
        <v>1</v>
      </c>
      <c r="X797" t="s">
        <v>58</v>
      </c>
      <c r="Y797" t="s">
        <v>133</v>
      </c>
    </row>
    <row r="798" spans="1:25" x14ac:dyDescent="0.25">
      <c r="A798">
        <v>12819</v>
      </c>
      <c r="B798" t="str">
        <f>_xlfn.CONCAT(Tabel1[[#This Row],[personeelsnr]]," ",C798," ",D798)</f>
        <v>12819 Van Eenaeme David</v>
      </c>
      <c r="C798" t="str">
        <f>VLOOKUP(Tabel1[[#This Row],[personeelsnr]],'data hastus'!$A:$C,2,0)</f>
        <v>Van Eenaeme</v>
      </c>
      <c r="D798" t="str">
        <f>VLOOKUP(Tabel1[[#This Row],[personeelsnr]],'data hastus'!$A:$C,3,0)</f>
        <v>David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45863</v>
      </c>
      <c r="U798" s="8" t="s">
        <v>3261</v>
      </c>
      <c r="V798" s="24">
        <v>1</v>
      </c>
      <c r="W798" s="24"/>
      <c r="X798" t="s">
        <v>57</v>
      </c>
      <c r="Y798" t="s">
        <v>59</v>
      </c>
    </row>
    <row r="799" spans="1:25" x14ac:dyDescent="0.25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3256</v>
      </c>
      <c r="V799" s="24">
        <v>1</v>
      </c>
      <c r="W799" s="24"/>
      <c r="X799" t="s">
        <v>57</v>
      </c>
      <c r="Y799" t="s">
        <v>2912</v>
      </c>
    </row>
    <row r="800" spans="1:25" x14ac:dyDescent="0.25">
      <c r="A800">
        <v>41296</v>
      </c>
      <c r="B800" s="35" t="str">
        <f>_xlfn.CONCAT(Tabel1[[#This Row],[personeelsnr]]," ",C800," ",D800)</f>
        <v>41296 Abulehia Oday</v>
      </c>
      <c r="C800" t="str">
        <f>VLOOKUP(Tabel1[[#This Row],[personeelsnr]],'data hastus'!$A:$C,2,0)</f>
        <v>Abulehia</v>
      </c>
      <c r="D800" t="str">
        <f>VLOOKUP(Tabel1[[#This Row],[personeelsnr]],'data hastus'!$A:$C,3,0)</f>
        <v>Oday</v>
      </c>
      <c r="E800" t="str">
        <f>VLOOKUP(Tabel1[[#This Row],[personeelsnr]],'data hastus'!A:K,11,FALSE)</f>
        <v>Christoff Rotty</v>
      </c>
      <c r="F800" s="10"/>
      <c r="G800" s="7"/>
      <c r="H800" s="7"/>
      <c r="I800" s="7"/>
      <c r="M800" s="5">
        <v>1</v>
      </c>
      <c r="S800" s="36">
        <f>SUM(Tabel1[[#This Row],[Januari]:[December]])</f>
        <v>1</v>
      </c>
      <c r="T800" s="9">
        <v>45867</v>
      </c>
      <c r="U800" s="24" t="s">
        <v>2948</v>
      </c>
      <c r="V800" s="24">
        <v>1</v>
      </c>
      <c r="W800" s="24"/>
      <c r="X800" t="s">
        <v>57</v>
      </c>
      <c r="Y800" t="s">
        <v>2949</v>
      </c>
    </row>
    <row r="801" spans="1:25" x14ac:dyDescent="0.25">
      <c r="A801">
        <v>41007</v>
      </c>
      <c r="B801" s="35" t="str">
        <f>_xlfn.CONCAT(Tabel1[[#This Row],[personeelsnr]]," ",C801," ",D801)</f>
        <v>41007 Sogut Cagri</v>
      </c>
      <c r="C801" t="s">
        <v>1320</v>
      </c>
      <c r="D801" t="s">
        <v>2946</v>
      </c>
      <c r="E801" t="s">
        <v>2926</v>
      </c>
      <c r="F801" s="10"/>
      <c r="G801" s="7"/>
      <c r="H801" s="7"/>
      <c r="I801" s="7"/>
      <c r="M801" s="5">
        <v>1</v>
      </c>
      <c r="S801" s="36">
        <f>SUM(Tabel1[[#This Row],[Januari]:[December]])</f>
        <v>1</v>
      </c>
      <c r="T801" s="9">
        <v>45867</v>
      </c>
      <c r="U801" s="24" t="s">
        <v>2947</v>
      </c>
      <c r="V801" s="24">
        <v>1</v>
      </c>
      <c r="W801" s="24"/>
      <c r="X801" t="s">
        <v>57</v>
      </c>
      <c r="Y801" t="s">
        <v>29</v>
      </c>
    </row>
    <row r="802" spans="1:25" x14ac:dyDescent="0.25">
      <c r="A802">
        <v>40138</v>
      </c>
      <c r="B802" t="str">
        <f>_xlfn.CONCAT(Tabel1[[#This Row],[personeelsnr]]," ",C802," ",D802)</f>
        <v>40138 Moerman Tjimmy</v>
      </c>
      <c r="C802" t="str">
        <f>VLOOKUP(Tabel1[[#This Row],[personeelsnr]],'data hastus'!$A:$C,2,0)</f>
        <v>Moerman</v>
      </c>
      <c r="D802" t="str">
        <f>VLOOKUP(Tabel1[[#This Row],[personeelsnr]],'data hastus'!$A:$C,3,0)</f>
        <v>Tjimmy</v>
      </c>
      <c r="E802" t="str">
        <f>VLOOKUP(Tabel1[[#This Row],[personeelsnr]],'data hastus'!A:K,11,FALSE)</f>
        <v>Christoff Rotty</v>
      </c>
      <c r="F802" s="10"/>
      <c r="G802" s="7"/>
      <c r="H802" s="7"/>
      <c r="I802" s="7"/>
      <c r="N802" s="5">
        <v>1</v>
      </c>
      <c r="S802" s="5">
        <f>SUM(Tabel1[[#This Row],[Januari]:[December]])</f>
        <v>1</v>
      </c>
      <c r="T802" s="9">
        <v>45871</v>
      </c>
      <c r="U802" s="8" t="s">
        <v>3292</v>
      </c>
      <c r="V802" s="24">
        <v>1</v>
      </c>
      <c r="W802" s="24"/>
      <c r="X802" t="s">
        <v>57</v>
      </c>
      <c r="Y802" t="s">
        <v>24</v>
      </c>
    </row>
    <row r="803" spans="1:25" x14ac:dyDescent="0.25">
      <c r="A803">
        <v>40859</v>
      </c>
      <c r="B803" t="str">
        <f>_xlfn.CONCAT(Tabel1[[#This Row],[personeelsnr]]," ",C803," ",D803)</f>
        <v>40859 Yagoub Abdelali</v>
      </c>
      <c r="C803" t="str">
        <f>VLOOKUP(Tabel1[[#This Row],[personeelsnr]],'data hastus'!$A:$C,2,0)</f>
        <v>Yagoub</v>
      </c>
      <c r="D803" t="str">
        <f>VLOOKUP(Tabel1[[#This Row],[personeelsnr]],'data hastus'!$A:$C,3,0)</f>
        <v>Abdelali</v>
      </c>
      <c r="E803" t="str">
        <f>VLOOKUP(Tabel1[[#This Row],[personeelsnr]],'data hastus'!A:K,11,FALSE)</f>
        <v>Els Vanhoe</v>
      </c>
      <c r="F803" s="10"/>
      <c r="G803" s="7"/>
      <c r="H803" s="7"/>
      <c r="I803" s="7"/>
      <c r="N803" s="5">
        <v>1</v>
      </c>
      <c r="S803" s="5">
        <f>SUM(Tabel1[[#This Row],[Januari]:[December]])</f>
        <v>1</v>
      </c>
      <c r="T803" s="9">
        <v>45872</v>
      </c>
      <c r="U803" s="8" t="s">
        <v>2925</v>
      </c>
      <c r="V803" s="24">
        <v>1</v>
      </c>
      <c r="W803" s="24"/>
      <c r="X803" t="s">
        <v>57</v>
      </c>
      <c r="Y803" t="s">
        <v>2924</v>
      </c>
    </row>
    <row r="804" spans="1:25" x14ac:dyDescent="0.25">
      <c r="A804">
        <v>41162</v>
      </c>
      <c r="B804" t="str">
        <f>_xlfn.CONCAT(Tabel1[[#This Row],[personeelsnr]]," ",C804," ",D804)</f>
        <v>41162 Hoeckman Jeroen</v>
      </c>
      <c r="C804" t="str">
        <f>VLOOKUP(Tabel1[[#This Row],[personeelsnr]],'data hastus'!$A:$C,2,0)</f>
        <v>Hoeckman</v>
      </c>
      <c r="D804" t="str">
        <f>VLOOKUP(Tabel1[[#This Row],[personeelsnr]],'data hastus'!$A:$C,3,0)</f>
        <v>Jeroen</v>
      </c>
      <c r="E804" t="str">
        <f>VLOOKUP(Tabel1[[#This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45874</v>
      </c>
      <c r="U804" s="24" t="s">
        <v>2939</v>
      </c>
      <c r="V804" s="24">
        <v>1</v>
      </c>
      <c r="W804" s="24"/>
      <c r="X804" t="s">
        <v>57</v>
      </c>
      <c r="Y804" t="s">
        <v>28</v>
      </c>
    </row>
    <row r="805" spans="1:25" x14ac:dyDescent="0.25">
      <c r="A805">
        <v>37345</v>
      </c>
      <c r="B805" t="str">
        <f>_xlfn.CONCAT(Tabel1[[#This Row],[personeelsnr]]," ",C805," ",D805)</f>
        <v>37345 Walleyn Renaat</v>
      </c>
      <c r="C805" t="str">
        <f>VLOOKUP(Tabel1[[#This Row],[personeelsnr]],'data hastus'!$A:$C,2,0)</f>
        <v>Walleyn</v>
      </c>
      <c r="D805" t="str">
        <f>VLOOKUP(Tabel1[[#This Row],[personeelsnr]],'data hastus'!$A:$C,3,0)</f>
        <v>Renaat</v>
      </c>
      <c r="E805" t="str">
        <f>VLOOKUP(Tabel1[[#This Row],[personeelsnr]],'data hastus'!A:K,11,FALSE)</f>
        <v>Lucie Vande Velde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45874</v>
      </c>
      <c r="U805" s="24" t="s">
        <v>2940</v>
      </c>
      <c r="V805" s="24">
        <v>1</v>
      </c>
      <c r="W805" s="24"/>
      <c r="X805" t="s">
        <v>57</v>
      </c>
      <c r="Y805" t="s">
        <v>18</v>
      </c>
    </row>
    <row r="806" spans="1:25" x14ac:dyDescent="0.25">
      <c r="A806">
        <v>37254</v>
      </c>
      <c r="B806" s="35" t="str">
        <f>_xlfn.CONCAT(Tabel1[[#This Row],[personeelsnr]]," ",C806," ",D806)</f>
        <v>37254 Coulon Rayan</v>
      </c>
      <c r="C806" t="str">
        <f>VLOOKUP(Tabel1[[#This Row],[personeelsnr]],'data hastus'!$A:$C,2,0)</f>
        <v>Coulon</v>
      </c>
      <c r="D806" t="str">
        <f>VLOOKUP(Tabel1[[#This Row],[personeelsnr]],'data hastus'!$A:$C,3,0)</f>
        <v>Rayan</v>
      </c>
      <c r="E806" t="str">
        <f>VLOOKUP(Tabel1[[#This Row],[personeelsnr]],'data hastus'!A:K,11,FALSE)</f>
        <v>Kenneth De Rick</v>
      </c>
      <c r="F806" s="10"/>
      <c r="G806" s="7"/>
      <c r="H806" s="7"/>
      <c r="I806" s="7"/>
      <c r="N806" s="5">
        <v>1</v>
      </c>
      <c r="S806" s="36">
        <f>SUM(Tabel1[[#This Row],[Januari]:[December]])</f>
        <v>1</v>
      </c>
      <c r="T806" s="9">
        <v>45876</v>
      </c>
      <c r="U806" s="24" t="s">
        <v>2945</v>
      </c>
      <c r="V806" s="24">
        <v>1</v>
      </c>
      <c r="W806" s="24"/>
      <c r="X806" t="s">
        <v>57</v>
      </c>
      <c r="Y806" t="s">
        <v>20</v>
      </c>
    </row>
    <row r="807" spans="1:25" x14ac:dyDescent="0.25">
      <c r="A807">
        <v>41874</v>
      </c>
      <c r="B807" s="35" t="str">
        <f>_xlfn.CONCAT(Tabel1[[#This Row],[personeelsnr]]," ",C807," ",D807)</f>
        <v>41874 Dobbeleire Bruno</v>
      </c>
      <c r="C807" t="str">
        <f>VLOOKUP(Tabel1[[#This Row],[personeelsnr]],'data hastus'!$A:$C,2,0)</f>
        <v>Dobbeleire</v>
      </c>
      <c r="D807" t="str">
        <f>VLOOKUP(Tabel1[[#This Row],[personeelsnr]],'data hastus'!$A:$C,3,0)</f>
        <v>Bruno</v>
      </c>
      <c r="E807" t="str">
        <f>VLOOKUP(Tabel1[[#This Row],[personeelsnr]],'data hastus'!A:K,11,FALSE)</f>
        <v>Dominique De Clercq</v>
      </c>
      <c r="F807" s="10"/>
      <c r="G807" s="7"/>
      <c r="H807" s="7"/>
      <c r="I807" s="7"/>
      <c r="N807" s="5">
        <v>1</v>
      </c>
      <c r="S807" s="36">
        <f>SUM(Tabel1[[#This Row],[Januari]:[December]])</f>
        <v>1</v>
      </c>
      <c r="T807" s="9">
        <v>45876</v>
      </c>
      <c r="U807" s="24" t="s">
        <v>2944</v>
      </c>
      <c r="V807" s="24">
        <v>1</v>
      </c>
      <c r="W807" s="24"/>
      <c r="X807" t="s">
        <v>57</v>
      </c>
      <c r="Y807" t="s">
        <v>22</v>
      </c>
    </row>
    <row r="808" spans="1:25" x14ac:dyDescent="0.25">
      <c r="A808">
        <v>41092</v>
      </c>
      <c r="B808" s="35" t="str">
        <f>_xlfn.CONCAT(Tabel1[[#This Row],[personeelsnr]]," ",C808," ",D808)</f>
        <v>41092 De Keyser Dorien</v>
      </c>
      <c r="C808" t="str">
        <f>VLOOKUP(Tabel1[[#This Row],[personeelsnr]],'data hastus'!$A:$C,2,0)</f>
        <v>De Keyser</v>
      </c>
      <c r="D808" t="str">
        <f>VLOOKUP(Tabel1[[#This Row],[personeelsnr]],'data hastus'!$A:$C,3,0)</f>
        <v>Dorien</v>
      </c>
      <c r="E808" t="str">
        <f>VLOOKUP(Tabel1[[#This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36">
        <f>SUM(Tabel1[[#This Row],[Januari]:[December]])</f>
        <v>1</v>
      </c>
      <c r="T808" s="9">
        <v>45878</v>
      </c>
      <c r="U808" s="8" t="s">
        <v>2943</v>
      </c>
      <c r="V808" s="24">
        <v>1</v>
      </c>
      <c r="W808" s="24"/>
      <c r="X808" t="s">
        <v>57</v>
      </c>
      <c r="Y808" t="s">
        <v>2942</v>
      </c>
    </row>
    <row r="809" spans="1:25" x14ac:dyDescent="0.25">
      <c r="A809">
        <v>38740</v>
      </c>
      <c r="B809" s="35" t="str">
        <f>_xlfn.CONCAT(Tabel1[[#This Row],[personeelsnr]]," ",C809," ",D809)</f>
        <v>38740 Meskens Anthony</v>
      </c>
      <c r="C809" t="str">
        <f>VLOOKUP(Tabel1[[#This Row],[personeelsnr]],'data hastus'!$A:$C,2,0)</f>
        <v>Meskens</v>
      </c>
      <c r="D809" t="str">
        <f>VLOOKUP(Tabel1[[#This Row],[personeelsnr]],'data hastus'!$A:$C,3,0)</f>
        <v>Anthony</v>
      </c>
      <c r="E809" t="str">
        <f>VLOOKUP(Tabel1[[#This Row],[personeelsnr]],'data hastus'!A:K,11,FALSE)</f>
        <v>Christoff Rotty</v>
      </c>
      <c r="F809" s="10"/>
      <c r="G809" s="7"/>
      <c r="H809" s="7"/>
      <c r="I809" s="7"/>
      <c r="N809" s="5">
        <v>1</v>
      </c>
      <c r="S809" s="36">
        <f>SUM(Tabel1[[#This Row],[Januari]:[December]])</f>
        <v>1</v>
      </c>
      <c r="T809" s="9">
        <v>45879</v>
      </c>
      <c r="U809" s="24" t="s">
        <v>2951</v>
      </c>
      <c r="V809" s="24"/>
      <c r="W809" s="24">
        <v>1</v>
      </c>
      <c r="X809" t="s">
        <v>58</v>
      </c>
      <c r="Y809" t="s">
        <v>19</v>
      </c>
    </row>
    <row r="810" spans="1:25" x14ac:dyDescent="0.25">
      <c r="A810">
        <v>39660</v>
      </c>
      <c r="B810" t="str">
        <f>_xlfn.CONCAT(Tabel1[[#This Row],[personeelsnr]]," ",C810," ",D810)</f>
        <v>39660 Lloyd Glenn</v>
      </c>
      <c r="C810" t="str">
        <f>VLOOKUP(Tabel1[[#This Row],[personeelsnr]],'data hastus'!$A:$C,2,0)</f>
        <v>Lloyd</v>
      </c>
      <c r="D810" t="str">
        <f>VLOOKUP(Tabel1[[#This Row],[personeelsnr]],'data hastus'!$A:$C,3,0)</f>
        <v>Glenn</v>
      </c>
      <c r="E810" t="str">
        <f>VLOOKUP(Tabel1[[#This Row],[personeelsnr]],'data hastus'!A:K,11,FALSE)</f>
        <v>Bart Van Der Beken</v>
      </c>
      <c r="F810" s="10">
        <v>45842</v>
      </c>
      <c r="G810" s="7"/>
      <c r="H810" s="7"/>
      <c r="I810" s="7"/>
      <c r="M810" s="5">
        <v>1</v>
      </c>
      <c r="S810" s="5">
        <f>SUM(Tabel1[[#This Row],[Januari]:[December]])</f>
        <v>1</v>
      </c>
      <c r="U810" s="8" t="s">
        <v>3286</v>
      </c>
      <c r="V810" s="24">
        <v>1</v>
      </c>
      <c r="W810" s="24"/>
      <c r="X810" t="s">
        <v>57</v>
      </c>
      <c r="Y810" t="s">
        <v>2900</v>
      </c>
    </row>
    <row r="811" spans="1:25" x14ac:dyDescent="0.25">
      <c r="A811">
        <v>4419</v>
      </c>
      <c r="B811" t="str">
        <f>_xlfn.CONCAT(Tabel1[[#This Row],[personeelsnr]]," ",C811," ",D811)</f>
        <v>4419 Maelbrancke Eddy</v>
      </c>
      <c r="C811" t="str">
        <f>VLOOKUP(Tabel1[[#This Row],[personeelsnr]],'data hastus'!$A:$C,2,0)</f>
        <v>Maelbrancke</v>
      </c>
      <c r="D811" t="str">
        <f>VLOOKUP(Tabel1[[#This Row],[personeelsnr]],'data hastus'!$A:$C,3,0)</f>
        <v>Eddy</v>
      </c>
      <c r="E811" t="str">
        <f>VLOOKUP(Tabel1[[#This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SUM(Tabel1[[#This Row],[Januari]:[December]])</f>
        <v>1</v>
      </c>
      <c r="U811" s="8" t="s">
        <v>3288</v>
      </c>
      <c r="V811" s="24">
        <v>1</v>
      </c>
      <c r="W811" s="24"/>
      <c r="X811" t="s">
        <v>57</v>
      </c>
      <c r="Y811" t="s">
        <v>2901</v>
      </c>
    </row>
    <row r="812" spans="1:25" x14ac:dyDescent="0.25">
      <c r="A812">
        <v>41384</v>
      </c>
      <c r="B812" t="str">
        <f>_xlfn.CONCAT(Tabel1[[#This Row],[personeelsnr]]," ",C812," ",D812)</f>
        <v>41384 Hillaert Thimo</v>
      </c>
      <c r="C812" t="str">
        <f>VLOOKUP(Tabel1[[#This Row],[personeelsnr]],'data hastus'!$A:$C,2,0)</f>
        <v>Hillaert</v>
      </c>
      <c r="D812" t="str">
        <f>VLOOKUP(Tabel1[[#This Row],[personeelsnr]],'data hastus'!$A:$C,3,0)</f>
        <v>Thimo</v>
      </c>
      <c r="E812" t="str">
        <f>VLOOKUP(Tabel1[[#This Row],[personeelsnr]],'data hastus'!A:K,11,FALSE)</f>
        <v>Christoff Rotty</v>
      </c>
      <c r="F812" s="10">
        <v>45864</v>
      </c>
      <c r="G812" s="7"/>
      <c r="H812" s="7"/>
      <c r="I812" s="7"/>
      <c r="M812" s="5">
        <v>1</v>
      </c>
      <c r="S812" s="5">
        <f>SUM(Tabel1[[#This Row],[Januari]:[December]])</f>
        <v>1</v>
      </c>
      <c r="U812" s="8" t="s">
        <v>3260</v>
      </c>
      <c r="V812" s="24">
        <v>1</v>
      </c>
      <c r="W812" s="24"/>
      <c r="X812" t="s">
        <v>57</v>
      </c>
      <c r="Y812" t="s">
        <v>138</v>
      </c>
    </row>
    <row r="813" spans="1:25" x14ac:dyDescent="0.25">
      <c r="A813">
        <v>42002</v>
      </c>
      <c r="B813" t="str">
        <f>_xlfn.CONCAT(Tabel1[[#This Row],[personeelsnr]]," ",C813," ",D813)</f>
        <v>42002 Bogaert Kevin</v>
      </c>
      <c r="C813" t="str">
        <f>VLOOKUP(Tabel1[[#This Row],[personeelsnr]],'data hastus'!$A:$C,2,0)</f>
        <v>Bogaert</v>
      </c>
      <c r="D813" t="str">
        <f>VLOOKUP(Tabel1[[#This Row],[personeelsnr]],'data hastus'!$A:$C,3,0)</f>
        <v>Kevin</v>
      </c>
      <c r="E813" t="str">
        <f>VLOOKUP(Tabel1[[#This Row],[personeelsnr]],'data hastus'!A:K,11,FALSE)</f>
        <v>Els Vanhoe</v>
      </c>
      <c r="F813" s="10">
        <v>45862</v>
      </c>
      <c r="G813" s="7"/>
      <c r="H813" s="7"/>
      <c r="I813" s="7"/>
      <c r="M813" s="5">
        <v>1</v>
      </c>
      <c r="S813" s="5">
        <f>SUM(Tabel1[[#This Row],[Januari]:[December]])</f>
        <v>1</v>
      </c>
      <c r="U813" s="8" t="s">
        <v>3259</v>
      </c>
      <c r="V813" s="24">
        <v>1</v>
      </c>
      <c r="W813" s="24"/>
      <c r="X813" t="s">
        <v>57</v>
      </c>
      <c r="Y813" t="s">
        <v>29</v>
      </c>
    </row>
    <row r="814" spans="1:25" x14ac:dyDescent="0.25">
      <c r="A814">
        <v>20653</v>
      </c>
      <c r="B814" t="str">
        <f>_xlfn.CONCAT(Tabel1[[#This Row],[personeelsnr]]," ",C814," ",D814)</f>
        <v>20653 Mestdag Marius</v>
      </c>
      <c r="C814" t="str">
        <f>VLOOKUP(Tabel1[[#This Row],[personeelsnr]],'data hastus'!$A:$C,2,0)</f>
        <v>Mestdag</v>
      </c>
      <c r="D814" t="str">
        <f>VLOOKUP(Tabel1[[#This Row],[personeelsnr]],'data hastus'!$A:$C,3,0)</f>
        <v>Marius</v>
      </c>
      <c r="E814" t="str">
        <f>VLOOKUP(Tabel1[[#This Row],[personeelsnr]],'data hastus'!A:K,11,FALSE)</f>
        <v>Bart Van Der Beken</v>
      </c>
      <c r="F814" s="10">
        <v>45867</v>
      </c>
      <c r="G814" s="7"/>
      <c r="H814" s="7"/>
      <c r="I814" s="7"/>
      <c r="M814" s="5">
        <v>1</v>
      </c>
      <c r="S814" s="5">
        <f>SUM(Tabel1[[#This Row],[Januari]:[December]])</f>
        <v>1</v>
      </c>
      <c r="U814" s="8" t="s">
        <v>3255</v>
      </c>
      <c r="V814" s="24"/>
      <c r="W814" s="24">
        <v>1</v>
      </c>
      <c r="X814" t="s">
        <v>58</v>
      </c>
      <c r="Y814" t="s">
        <v>89</v>
      </c>
    </row>
    <row r="815" spans="1:25" x14ac:dyDescent="0.25">
      <c r="A815">
        <v>10782</v>
      </c>
      <c r="B815" t="str">
        <f>_xlfn.CONCAT(Tabel1[[#This Row],[personeelsnr]]," ",C815," ",D815)</f>
        <v>10782 De Kee Ina</v>
      </c>
      <c r="C815" t="str">
        <f>VLOOKUP(Tabel1[[#This Row],[personeelsnr]],'data hastus'!$A:$C,2,0)</f>
        <v>De Kee</v>
      </c>
      <c r="D815" t="str">
        <f>VLOOKUP(Tabel1[[#This Row],[personeelsnr]],'data hastus'!$A:$C,3,0)</f>
        <v>Ina</v>
      </c>
      <c r="E815" t="str">
        <f>VLOOKUP(Tabel1[[#This Row],[personeelsnr]],'data hastus'!A:K,11,FALSE)</f>
        <v>Kenneth De Rick</v>
      </c>
      <c r="F815" s="10">
        <v>45868</v>
      </c>
      <c r="G815" s="7"/>
      <c r="H815" s="7"/>
      <c r="I815" s="7"/>
      <c r="S815" s="5">
        <v>1</v>
      </c>
      <c r="U815" s="8" t="s">
        <v>3254</v>
      </c>
      <c r="V815" s="24"/>
      <c r="W815" s="24">
        <v>1</v>
      </c>
      <c r="X815" t="s">
        <v>58</v>
      </c>
      <c r="Y815" t="s">
        <v>2913</v>
      </c>
    </row>
    <row r="816" spans="1:25" x14ac:dyDescent="0.25">
      <c r="A816">
        <v>18051</v>
      </c>
      <c r="B816" t="str">
        <f>_xlfn.CONCAT(Tabel1[[#This Row],[personeelsnr]]," ",C816," ",D816)</f>
        <v>18051 Van Wittenberge Filip</v>
      </c>
      <c r="C816" t="str">
        <f>VLOOKUP(Tabel1[[#This Row],[personeelsnr]],'data hastus'!$A:$C,2,0)</f>
        <v>Van Wittenberge</v>
      </c>
      <c r="D816" t="str">
        <f>VLOOKUP(Tabel1[[#This Row],[personeelsnr]],'data hastus'!$A:$C,3,0)</f>
        <v>Filip</v>
      </c>
      <c r="E816" t="str">
        <f>VLOOKUP(Tabel1[[#This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SUM(Tabel1[[#This Row],[Januari]:[December]])</f>
        <v>1</v>
      </c>
      <c r="U816" s="8" t="s">
        <v>3253</v>
      </c>
      <c r="V816" s="24"/>
      <c r="W816" s="24">
        <v>1</v>
      </c>
      <c r="X816" t="s">
        <v>58</v>
      </c>
      <c r="Y816" t="s">
        <v>127</v>
      </c>
    </row>
    <row r="817" spans="1:25" x14ac:dyDescent="0.25">
      <c r="A817">
        <v>39529</v>
      </c>
      <c r="B817" t="str">
        <f>_xlfn.CONCAT(Tabel1[[#This Row],[personeelsnr]]," ",C817," ",D817)</f>
        <v>39529 Desmet Patricia</v>
      </c>
      <c r="C817" t="str">
        <f>VLOOKUP(Tabel1[[#This Row],[personeelsnr]],'data hastus'!$A:$C,2,0)</f>
        <v>Desmet</v>
      </c>
      <c r="D817" t="str">
        <f>VLOOKUP(Tabel1[[#This Row],[personeelsnr]],'data hastus'!$A:$C,3,0)</f>
        <v>Patricia</v>
      </c>
      <c r="E817" t="str">
        <f>VLOOKUP(Tabel1[[#This Row],[personeelsnr]],'data hastus'!A:K,11,FALSE)</f>
        <v>Christoff Rotty</v>
      </c>
      <c r="F817" s="10">
        <v>45853</v>
      </c>
      <c r="G817" s="7"/>
      <c r="H817" s="7"/>
      <c r="I817" s="7"/>
      <c r="M817" s="5">
        <v>1</v>
      </c>
      <c r="S817" s="5">
        <f>SUM(Tabel1[[#This Row],[Januari]:[December]])</f>
        <v>1</v>
      </c>
      <c r="U817" s="8" t="s">
        <v>3267</v>
      </c>
      <c r="V817" s="24"/>
      <c r="W817" s="24">
        <v>1</v>
      </c>
      <c r="X817" t="s">
        <v>58</v>
      </c>
      <c r="Y817" t="s">
        <v>168</v>
      </c>
    </row>
    <row r="818" spans="1:25" x14ac:dyDescent="0.25">
      <c r="A818">
        <v>36021</v>
      </c>
      <c r="B818" t="str">
        <f>_xlfn.CONCAT(Tabel1[[#This Row],[personeelsnr]]," ",C818," ",D818)</f>
        <v>36021 Boelaert Frederik</v>
      </c>
      <c r="C818" t="str">
        <f>VLOOKUP(Tabel1[[#This Row],[personeelsnr]],'data hastus'!$A:$C,2,0)</f>
        <v>Boelaert</v>
      </c>
      <c r="D818" t="str">
        <f>VLOOKUP(Tabel1[[#This Row],[personeelsnr]],'data hastus'!$A:$C,3,0)</f>
        <v>Frederik</v>
      </c>
      <c r="E818" t="str">
        <f>VLOOKUP(Tabel1[[#This Row],[personeelsnr]],'data hastus'!A:K,11,FALSE)</f>
        <v>Lucie Vande Velde</v>
      </c>
      <c r="F818" s="10">
        <v>45874</v>
      </c>
      <c r="G818" s="7"/>
      <c r="H818" s="7"/>
      <c r="I818" s="7"/>
      <c r="N818" s="5">
        <v>1</v>
      </c>
      <c r="S818" s="5">
        <f>SUM(Tabel1[[#This Row],[Januari]:[December]])</f>
        <v>1</v>
      </c>
      <c r="U818" s="24" t="s">
        <v>2941</v>
      </c>
      <c r="V818" s="24">
        <v>1</v>
      </c>
      <c r="W818" s="24"/>
      <c r="X818" t="s">
        <v>57</v>
      </c>
      <c r="Y818" t="s">
        <v>222</v>
      </c>
    </row>
  </sheetData>
  <sheetProtection sort="0" autoFilter="0"/>
  <phoneticPr fontId="1" type="noConversion"/>
  <conditionalFormatting sqref="F2:F818">
    <cfRule type="cellIs" dxfId="5" priority="2" operator="equal">
      <formula>0</formula>
    </cfRule>
    <cfRule type="cellIs" dxfId="4" priority="4" operator="between">
      <formula>1</formula>
      <formula>4</formula>
    </cfRule>
    <cfRule type="cellIs" dxfId="3" priority="6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624" r:id="rId3" display="../../../../../../../:b:/r/teams/CTM-OTGentStad/Shared Documents/General/EAF/CSI(nieuwe sharepoint) 2025/1. Januari/EAF 6337 Gent 17012025.pdf?csf=1&amp;web=1&amp;e=HIde3n" xr:uid="{B7A5B04D-2444-4A69-96EE-429FE1FAEFC1}"/>
    <hyperlink ref="U626" r:id="rId4" display="../../../../../../../:b:/r/teams/CTM-OTGentStad/Shared Documents/General/EAF/CSI(nieuwe sharepoint) 2025/1. Januari/EAF 6356 Gentbrugge 18012025.pdf?csf=1&amp;web=1&amp;e=mefvXc" xr:uid="{3B1FF491-C1E6-43FD-A0C3-057465EB5192}"/>
    <hyperlink ref="U615" r:id="rId5" display="../../../../../../../:b:/r/teams/CTM-OTGentStad/Shared Documents/General/EAF/CSI(nieuwe sharepoint) 2025/1. Januari/EAF 5263 Mariakerke 13012025.pdf?csf=1&amp;web=1&amp;e=qFf0hX" xr:uid="{1AF9CACF-A798-4483-851F-5828A099BE42}"/>
    <hyperlink ref="U613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6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60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602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0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1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1" r:id="rId16" xr:uid="{7921045D-AAB1-4DF0-9E93-D83FFE86B6F5}"/>
    <hyperlink ref="U620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5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03" r:id="rId533" xr:uid="{150DA4FD-1711-4867-B634-D05F4AEFF1A7}"/>
    <hyperlink ref="U554" r:id="rId534" xr:uid="{D4A9EBC2-7040-472D-9CD7-25E0CD73A803}"/>
    <hyperlink ref="U69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804" r:id="rId547" xr:uid="{1D07BE5F-6D45-449E-A856-72ABC302C426}"/>
    <hyperlink ref="U805" r:id="rId548" xr:uid="{74CF06CF-A463-4FAA-9D33-6F2484FDFE16}"/>
    <hyperlink ref="U818" r:id="rId549" xr:uid="{4D2D47F3-D93E-4E06-A609-F6F31A503B9E}"/>
    <hyperlink ref="U808" r:id="rId550" xr:uid="{BB3ADF8B-2677-4058-AC30-13299C7C8573}"/>
    <hyperlink ref="U807" r:id="rId551" xr:uid="{F243989D-7F6A-4CAE-A35A-DDFC357040CB}"/>
    <hyperlink ref="U806" r:id="rId552" xr:uid="{E058195F-A560-43AD-B42C-D9F293BF83BE}"/>
    <hyperlink ref="U801" r:id="rId553" xr:uid="{E23FAE86-C71A-42EC-8B47-C80E9CF9E459}"/>
    <hyperlink ref="U800" r:id="rId554" xr:uid="{56031605-4B81-4A26-9C04-859AC6BC7199}"/>
    <hyperlink ref="U809" r:id="rId555" xr:uid="{37F3A534-9157-4431-A907-DA8F76A26E11}"/>
    <hyperlink ref="U791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600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34" r:id="rId622" xr:uid="{96DD215D-8D77-42B5-87FD-AAD46745E6CE}"/>
    <hyperlink ref="U608" r:id="rId623" xr:uid="{25E3891C-A841-4FAD-8848-83BCDA07B07D}"/>
    <hyperlink ref="U716" r:id="rId624" xr:uid="{6B2453B4-DE64-4299-98A6-04B583A216BE}"/>
    <hyperlink ref="U636" r:id="rId625" xr:uid="{ABB49E0F-D960-4CBD-9512-B12078CCF062}"/>
    <hyperlink ref="U641" r:id="rId626" xr:uid="{310C0FCD-B925-4842-B943-ECA2DEB634D8}"/>
    <hyperlink ref="U647" r:id="rId627" xr:uid="{DF068475-DB5A-4B55-AC50-4551B49647A5}"/>
    <hyperlink ref="U637" r:id="rId628" xr:uid="{96287227-49F7-4F9C-AB86-3F9606F24C0C}"/>
    <hyperlink ref="U721" r:id="rId629" xr:uid="{56BCDB2C-7703-45F5-A312-C5E893E4471F}"/>
    <hyperlink ref="U645" r:id="rId630" xr:uid="{DB7207BC-37CA-486F-B566-C1D2EEC1D98C}"/>
    <hyperlink ref="U631" r:id="rId631" xr:uid="{EB1DE0E7-525B-41A5-B65D-E4EFDD71FA50}"/>
    <hyperlink ref="U632" r:id="rId632" xr:uid="{9EC01C6F-6C00-4ADD-9130-4C36DFCB9779}"/>
    <hyperlink ref="U650" r:id="rId633" xr:uid="{93F4F107-6055-4000-B994-82766AC2F8B3}"/>
    <hyperlink ref="U648" r:id="rId634" xr:uid="{7CF19AB4-E4D1-4E84-8F6B-D30EEFAB42E5}"/>
    <hyperlink ref="U630" r:id="rId635" xr:uid="{AD2BAD26-D2CD-4C3C-A625-0421ABE6776E}"/>
    <hyperlink ref="U639" r:id="rId636" xr:uid="{AB528683-13E1-43EF-9397-0F1EA0A95500}"/>
    <hyperlink ref="U623" r:id="rId637" xr:uid="{63D05921-89F2-42B2-8802-476070CE7486}"/>
    <hyperlink ref="U633" r:id="rId638" xr:uid="{7511178A-2DAB-45C1-B7D5-E5AB38820A3D}"/>
    <hyperlink ref="U653" r:id="rId639" xr:uid="{3A3EB255-474E-47F0-A53A-051803ED74C0}"/>
    <hyperlink ref="U649" r:id="rId640" xr:uid="{768F261D-495B-41EC-B1C0-677BBCBABEC5}"/>
    <hyperlink ref="U644" r:id="rId641" xr:uid="{CC1D23EA-2FA4-475A-B130-CAFDD977883C}"/>
    <hyperlink ref="U640" r:id="rId642" xr:uid="{4532DF16-2F25-4398-A9D2-C64BCAC2623A}"/>
    <hyperlink ref="U642" r:id="rId643" xr:uid="{DBF3EEA2-E5BA-4578-9529-31D42BC09EE8}"/>
    <hyperlink ref="U628" r:id="rId644" xr:uid="{6DBCD5CC-7915-4AD2-ACB7-9AF638A8D476}"/>
    <hyperlink ref="U787" r:id="rId645" xr:uid="{ABEA59BF-FF44-4925-AA21-B49F73E586F9}"/>
    <hyperlink ref="U651" r:id="rId646" xr:uid="{6ADC597C-C276-4C62-8E82-A4969ACC73EF}"/>
    <hyperlink ref="U797" r:id="rId647" xr:uid="{2FBBADAF-55DB-491E-AD6E-CBCBA567C379}"/>
    <hyperlink ref="U635" r:id="rId648" xr:uid="{FC933634-D1AA-401F-9EC8-E2A2DA5B1806}"/>
    <hyperlink ref="U652" r:id="rId649" xr:uid="{B0C3DC5B-76AF-4980-9ED1-806AF6657A94}"/>
    <hyperlink ref="U605" r:id="rId650" xr:uid="{26A56EE1-DB69-411D-ACCF-185580542394}"/>
    <hyperlink ref="U643" r:id="rId651" xr:uid="{CCE2BD31-28A5-4D0E-89EE-5DB37DEC1506}"/>
    <hyperlink ref="U603" r:id="rId652" xr:uid="{D422ED3F-5E9D-4F5A-A8B1-B5ED221AA5CB}"/>
    <hyperlink ref="U604" r:id="rId653" xr:uid="{1EEB36FB-467C-4173-9337-6930BD20E5BF}"/>
    <hyperlink ref="U609" r:id="rId654" xr:uid="{4A86C2AA-47F9-4BF7-8520-E38A909DD226}"/>
    <hyperlink ref="U610" r:id="rId655" xr:uid="{80485985-F15E-473A-982F-1696C89487EF}"/>
    <hyperlink ref="U614" r:id="rId656" xr:uid="{C011010E-C6E0-4E9F-8C53-F07785B63047}"/>
    <hyperlink ref="U616" r:id="rId657" xr:uid="{083F9CE9-FB70-4A23-968F-174CB60F5F3C}"/>
    <hyperlink ref="U617" r:id="rId658" xr:uid="{5DBEABD7-9276-4526-98A7-F5BD247071FC}"/>
    <hyperlink ref="U621" r:id="rId659" xr:uid="{9152E7DD-8182-4F52-B2D5-9C32E77A51E3}"/>
    <hyperlink ref="U627" r:id="rId660" xr:uid="{01D51050-FBEA-4B59-8B56-73F47A55F718}"/>
    <hyperlink ref="U625" r:id="rId661" xr:uid="{6E0D216D-F35E-408D-A4BA-9CB81B5BDEF6}"/>
    <hyperlink ref="U629" r:id="rId662" xr:uid="{B3851F33-F581-4CD5-B45F-70F07B9370B5}"/>
    <hyperlink ref="U638" r:id="rId663" xr:uid="{C2DA7E70-657B-451F-BE61-5753ED491960}"/>
    <hyperlink ref="U661" r:id="rId664" xr:uid="{E760B65F-D437-4A82-ADB0-CE57C56613BB}"/>
    <hyperlink ref="U678" r:id="rId665" xr:uid="{389D8CFC-6E96-47C9-95C2-6D0DC5FDC47F}"/>
    <hyperlink ref="U689" r:id="rId666" xr:uid="{D2F96A81-C7E3-4D73-A9D6-8A3776AEECF0}"/>
    <hyperlink ref="U657" r:id="rId667" xr:uid="{6A2967DA-72F6-4A66-BEB1-06B967D72FB9}"/>
    <hyperlink ref="U658" r:id="rId668" xr:uid="{F10DFD8F-A4E6-41F4-BE12-01AC9829729E}"/>
    <hyperlink ref="U691" r:id="rId669" xr:uid="{DCEB82AA-5B00-4B67-8A9B-4E25B22FF280}"/>
    <hyperlink ref="U656" r:id="rId670" xr:uid="{BB9AC7A1-5FDB-4793-9AA6-3BB716B0C417}"/>
    <hyperlink ref="U646" r:id="rId671" xr:uid="{4CBA8A86-B0FD-497B-A600-0A4526F783DB}"/>
    <hyperlink ref="U662" r:id="rId672" xr:uid="{D79D5AFE-C6AE-4FA5-A4C4-9789128877A0}"/>
    <hyperlink ref="U674" r:id="rId673" xr:uid="{87D82A19-8903-4915-BAF9-F10A723DAE7D}"/>
    <hyperlink ref="U663" r:id="rId674" xr:uid="{0726CA3F-D1B7-4365-8444-071E08AB4843}"/>
    <hyperlink ref="U659" r:id="rId675" xr:uid="{4DABF424-4C2A-4687-9B10-293A0FA9CC8F}"/>
    <hyperlink ref="U672" r:id="rId676" xr:uid="{708E88D7-B2D1-4C38-9F56-2D3CEA54003B}"/>
    <hyperlink ref="U692" r:id="rId677" xr:uid="{4D1CA8F5-6233-474B-A545-0E94FA4DC8F3}"/>
    <hyperlink ref="U683" r:id="rId678" xr:uid="{14267202-C2D0-4352-8EB8-846DAF2A0233}"/>
    <hyperlink ref="U675" r:id="rId679" xr:uid="{648D6711-B4FB-49BE-91E9-C9B8326515D3}"/>
    <hyperlink ref="U696" r:id="rId680" xr:uid="{A1731FAA-3015-41C5-8D89-A3BC6FF922C1}"/>
    <hyperlink ref="U687" r:id="rId681" xr:uid="{FB514E15-C32B-496E-B7E0-17F9FFE4F17A}"/>
    <hyperlink ref="U679" r:id="rId682" xr:uid="{5808F782-76C6-429E-96A0-A064A37AB21C}"/>
    <hyperlink ref="U681" r:id="rId683" xr:uid="{0959C9E6-7835-43BF-8547-BF481EE80D5F}"/>
    <hyperlink ref="U693" r:id="rId684" xr:uid="{E52DBEBD-5887-4E06-947D-8EBE36982A82}"/>
    <hyperlink ref="U688" r:id="rId685" xr:uid="{BEDB739D-737F-46F1-8D57-3FC8CC982198}"/>
    <hyperlink ref="U676" r:id="rId686" xr:uid="{2C8D7F5E-0E75-41BC-BBB4-A9211236EFFC}"/>
    <hyperlink ref="U665" r:id="rId687" xr:uid="{F99B1E7C-2349-405E-AA64-6967C432A75C}"/>
    <hyperlink ref="U685" r:id="rId688" xr:uid="{7C2A0286-1324-4403-B4DD-361A1DE5D0D9}"/>
    <hyperlink ref="U664" r:id="rId689" xr:uid="{A843F00B-7BAC-4217-9322-AFAA44197BF0}"/>
    <hyperlink ref="U654" r:id="rId690" xr:uid="{7B9D040B-C241-4309-A54F-21F4A2598A78}"/>
    <hyperlink ref="U655" r:id="rId691" xr:uid="{D015F0C9-969C-41A7-B05D-E8B186DD2A94}"/>
    <hyperlink ref="U670" r:id="rId692" xr:uid="{3C13EDDC-696D-4A5F-8A9E-BF272DB24513}"/>
    <hyperlink ref="U677" r:id="rId693" xr:uid="{E34F6C64-B60F-4F48-B4F1-8F9AACEBD075}"/>
    <hyperlink ref="U673" r:id="rId694" xr:uid="{220AA725-B3A5-4243-828D-E1C53155A150}"/>
    <hyperlink ref="U694" r:id="rId695" xr:uid="{BD4E9079-B973-4420-B1FD-4BF6FB1C7BE3}"/>
    <hyperlink ref="U671" r:id="rId696" xr:uid="{9B75B6EB-4972-47F4-A52E-FEF937B469CF}"/>
    <hyperlink ref="U668" r:id="rId697" xr:uid="{B58AB238-8D14-4EBC-B9DB-4A28D670C5DE}"/>
    <hyperlink ref="U682" r:id="rId698" xr:uid="{5173BAAC-F800-464C-B1AE-88F401557E13}"/>
    <hyperlink ref="U686" r:id="rId699" xr:uid="{484C4C1C-5CCC-486B-A82C-68FA2983E0DC}"/>
    <hyperlink ref="U660" r:id="rId700" xr:uid="{103C09BE-ED5D-4747-B5EA-48E902C6140F}"/>
    <hyperlink ref="U666" r:id="rId701" xr:uid="{251288C3-BF64-4860-9A54-41802A975EDB}"/>
    <hyperlink ref="U667" r:id="rId702" xr:uid="{FAF8B960-BFE9-4FB4-9CC7-36E0BE491390}"/>
    <hyperlink ref="U669" r:id="rId703" xr:uid="{6949557C-A40F-49B7-BB27-5E184F540F37}"/>
    <hyperlink ref="U684" r:id="rId704" xr:uid="{BA558B59-A969-4F15-8D2F-64FA1E58F79D}"/>
    <hyperlink ref="U695" r:id="rId705" xr:uid="{6D11B92B-7522-488B-A553-08C77073F8DF}"/>
    <hyperlink ref="U680" r:id="rId706" xr:uid="{A432BF3B-B956-4B79-A609-35525C4FFC9D}"/>
    <hyperlink ref="U725" r:id="rId707" xr:uid="{B09855AE-7B80-4B3A-911C-960610B88F94}"/>
    <hyperlink ref="U729" r:id="rId708" xr:uid="{EB8F3410-4B22-4544-A2C6-9E83C2900923}"/>
    <hyperlink ref="U727" r:id="rId709" xr:uid="{03AA8935-8534-457F-8190-65FC4AD3BB0D}"/>
    <hyperlink ref="U690" r:id="rId710" xr:uid="{F4EFC8AC-0CB9-4AD7-92FA-021D8A8DC863}"/>
    <hyperlink ref="U726" r:id="rId711" xr:uid="{593C82B9-E6E1-4283-9A5A-1601224BACAE}"/>
    <hyperlink ref="U724" r:id="rId712" xr:uid="{A0977BE1-A651-41F4-AE35-711937967CEF}"/>
    <hyperlink ref="U713" r:id="rId713" xr:uid="{F49DB4A0-BC81-4A06-9A32-5C72DB73A3BA}"/>
    <hyperlink ref="U720" r:id="rId714" xr:uid="{1FA4F1A2-C68C-43F7-B1C4-BA99F25F26CE}"/>
    <hyperlink ref="U723" r:id="rId715" xr:uid="{3AAD246B-25BE-4D96-817A-D6CB2F311E44}"/>
    <hyperlink ref="U719" r:id="rId716" xr:uid="{18B2D28D-956E-4BA4-AFA1-1B87456A0A2C}"/>
    <hyperlink ref="U718" r:id="rId717" xr:uid="{B22F530F-E864-4C38-8989-BD6CCCFFE2C2}"/>
    <hyperlink ref="U717" r:id="rId718" xr:uid="{83DE97E8-FA36-495A-88E8-38CAC06F844C}"/>
    <hyperlink ref="U706" r:id="rId719" xr:uid="{5C67D965-A539-410D-A59A-D6AEF2A02C03}"/>
    <hyperlink ref="U715" r:id="rId720" xr:uid="{FC61B223-3866-4716-9F84-568EC3B46547}"/>
    <hyperlink ref="U710" r:id="rId721" xr:uid="{D85F952D-CB1B-44F4-B28A-6C3D09476CF2}"/>
    <hyperlink ref="U702" r:id="rId722" xr:uid="{5568D8F3-F32F-4736-A916-963C9CCB47FA}"/>
    <hyperlink ref="U697" r:id="rId723" xr:uid="{B723EA80-581E-475A-B68D-9A836974DD11}"/>
    <hyperlink ref="U712" r:id="rId724" xr:uid="{0F637775-FD3B-4C08-8D6F-C589BFDB9CC9}"/>
    <hyperlink ref="U709" r:id="rId725" xr:uid="{51B51EB8-64EF-476E-ACD4-48008568D921}"/>
    <hyperlink ref="U711" r:id="rId726" xr:uid="{C120082C-3A17-4BF4-9FE5-8316049E6832}"/>
    <hyperlink ref="U708" r:id="rId727" xr:uid="{6939651F-8743-40D7-8248-7C59BC326531}"/>
    <hyperlink ref="U707" r:id="rId728" xr:uid="{AE840088-FA86-44F9-8AEA-7685D8FC1882}"/>
    <hyperlink ref="U618" r:id="rId729" xr:uid="{F06FFB0D-5885-4D14-8AC6-016C02308BD6}"/>
    <hyperlink ref="U612" r:id="rId730" xr:uid="{34E44BC6-0C9A-468D-8837-FC115CC6C91C}"/>
    <hyperlink ref="U704" r:id="rId731" xr:uid="{0ED0DD59-3557-4D96-AA95-5DC7A645AE06}"/>
    <hyperlink ref="U701" r:id="rId732" xr:uid="{A2170097-8EAE-46AC-9251-EF553AB1A9D6}"/>
    <hyperlink ref="U699" r:id="rId733" xr:uid="{F8BF4E85-D8D9-47D4-AB8E-C87937357FA9}"/>
    <hyperlink ref="U705" r:id="rId734" xr:uid="{4CE98016-D7E6-4D5E-912E-DED4D44F20AD}"/>
    <hyperlink ref="U744" r:id="rId735" xr:uid="{9321BFD9-F8A8-4656-8410-61658A528AC5}"/>
    <hyperlink ref="U759" r:id="rId736" xr:uid="{A92F0936-5E6B-42FE-85E7-A4B061C5DAD3}"/>
    <hyperlink ref="U760" r:id="rId737" xr:uid="{6049A51A-F4DF-4E73-8440-DE6F40AEBDD9}"/>
    <hyperlink ref="U761" r:id="rId738" xr:uid="{7928FACB-A4C4-47AE-B295-577B8CBBB398}"/>
    <hyperlink ref="U734" r:id="rId739" xr:uid="{941EBDF1-E734-4E5A-AA48-F30D0B24F93C}"/>
    <hyperlink ref="U757" r:id="rId740" xr:uid="{574AA468-D84B-4155-9894-72B740EF0AB1}"/>
    <hyperlink ref="U730" r:id="rId741" xr:uid="{E57FF12C-76E0-4A86-99D4-5E1538E38ACD}"/>
    <hyperlink ref="U738" r:id="rId742" xr:uid="{7E75644F-64CB-4F63-924E-F8365E75C71A}"/>
    <hyperlink ref="U739" r:id="rId743" xr:uid="{973F95B8-C132-4D72-96F7-C5CD97AB7E19}"/>
    <hyperlink ref="U754" r:id="rId744" xr:uid="{4511E0E2-3308-42B9-8AB9-1E3204BB4AB9}"/>
    <hyperlink ref="U758" r:id="rId745" xr:uid="{5805C3DE-57A9-46D6-9F19-1050F00D1E46}"/>
    <hyperlink ref="U745" r:id="rId746" xr:uid="{DAF3293A-AB51-4EAB-94D6-99379936EE9A}"/>
    <hyperlink ref="U731" r:id="rId747" xr:uid="{0D2FAD1A-6FB7-42BC-ACD4-2ED17239737A}"/>
    <hyperlink ref="U750" r:id="rId748" xr:uid="{C97D0CF5-D880-48AA-976A-46B72F6366E2}"/>
    <hyperlink ref="U742" r:id="rId749" xr:uid="{5B139B7F-C169-4457-832F-2CDEE69FD825}"/>
    <hyperlink ref="U751" r:id="rId750" xr:uid="{03CEA0C4-C067-4D36-8EC4-BD674608B5EC}"/>
    <hyperlink ref="U755" r:id="rId751" xr:uid="{7F799986-DE7E-4CB4-9450-D1751467B184}"/>
    <hyperlink ref="U735" r:id="rId752" xr:uid="{2FEEE5DD-8A0F-48EB-80CD-BE2AF1317FD9}"/>
    <hyperlink ref="U752" r:id="rId753" xr:uid="{95504083-0ADC-4023-97B7-A22841E41A0A}"/>
    <hyperlink ref="U728" r:id="rId754" xr:uid="{B3527575-B430-444E-9B0B-A3C05BCAB247}"/>
    <hyperlink ref="U732" r:id="rId755" xr:uid="{6A58F34B-5E83-417C-AE7D-F5176857093F}"/>
    <hyperlink ref="U736" r:id="rId756" xr:uid="{A65CEF8A-32E1-43C3-A6EE-B0328385DBFC}"/>
    <hyperlink ref="U748" r:id="rId757" xr:uid="{2C6873D5-430D-4DDD-932E-93E40910B97B}"/>
    <hyperlink ref="U749" r:id="rId758" xr:uid="{FCD32162-3212-4E63-83FF-A086C4015E85}"/>
    <hyperlink ref="U770" r:id="rId759" xr:uid="{43EDAC8C-154F-4594-876F-3F9377E4C0C1}"/>
    <hyperlink ref="U741" r:id="rId760" xr:uid="{8D3EABC5-7EEB-4300-9EC6-7B98D5F8E029}"/>
    <hyperlink ref="U756" r:id="rId761" xr:uid="{E0BA6773-6967-4D97-A6D9-16414C9EBA75}"/>
    <hyperlink ref="U733" r:id="rId762" xr:uid="{373A757C-29EC-4205-A1DA-27EEA898D2E7}"/>
    <hyperlink ref="U746" r:id="rId763" xr:uid="{E74A0A93-7E76-4BC0-99FA-7A5BB8BD7138}"/>
    <hyperlink ref="U700" r:id="rId764" xr:uid="{F37985B0-E9F1-438A-82A1-42D19BFF8F90}"/>
    <hyperlink ref="U740" r:id="rId765" xr:uid="{DCE67A40-B91D-42D6-B85F-800E2487CF07}"/>
    <hyperlink ref="U743" r:id="rId766" xr:uid="{23CA3DFE-A440-4845-ADDC-E00CDDC2FAB8}"/>
    <hyperlink ref="U753" r:id="rId767" xr:uid="{DC114D74-FDA1-4A5B-99B3-1F704C9F9E88}"/>
    <hyperlink ref="U622" r:id="rId768" xr:uid="{5FB200BE-8F49-4D2F-AF1F-5BDC0C88CA57}"/>
    <hyperlink ref="U737" r:id="rId769" xr:uid="{E9488F98-417D-45F0-AF31-42083D111195}"/>
    <hyperlink ref="U703" r:id="rId770" xr:uid="{F330EFD7-79BD-46D0-80F4-426AC08554CF}"/>
    <hyperlink ref="U747" r:id="rId771" xr:uid="{11491747-2133-49D4-A272-44F6FF53D9C6}"/>
    <hyperlink ref="U794" r:id="rId772" xr:uid="{93FCF700-48E1-4AAB-8495-FC2999DF82EF}"/>
    <hyperlink ref="U792" r:id="rId773" xr:uid="{254E9E40-B563-406B-8450-9FF9E949AC8C}"/>
    <hyperlink ref="U816" r:id="rId774" xr:uid="{8C7050E5-1548-47AD-9816-9F8590927730}"/>
    <hyperlink ref="U815" r:id="rId775" xr:uid="{298E54A3-9DBF-4CA6-8BA6-31974C23228C}"/>
    <hyperlink ref="U814" r:id="rId776" xr:uid="{1562B673-8C26-4B21-ACFD-266C8A1777FD}"/>
    <hyperlink ref="U799" r:id="rId777" xr:uid="{ED1DD83C-6022-4BD4-8146-1AD33BD7F5AA}"/>
    <hyperlink ref="U790" r:id="rId778" xr:uid="{8DEB09DF-90D5-4C0F-84ED-2C9E5F524D87}"/>
    <hyperlink ref="U795" r:id="rId779" xr:uid="{FA5FD159-9EBA-4548-9418-76FA3AEF3C15}"/>
    <hyperlink ref="U813" r:id="rId780" xr:uid="{77FF1940-85B2-4158-80F6-DBA00A0D3F48}"/>
    <hyperlink ref="U812" r:id="rId781" xr:uid="{59EF7A79-E073-4066-A0E3-4FBC18F26DDD}"/>
    <hyperlink ref="U798" r:id="rId782" xr:uid="{754E2135-D332-4D17-85A1-DC7CD58911BE}"/>
    <hyperlink ref="U784" r:id="rId783" xr:uid="{88F06494-6D83-4A92-B776-4B6746B0CDAD}"/>
    <hyperlink ref="U789" r:id="rId784" xr:uid="{DFC68BEC-B39F-4AC2-9D00-AF674412F4D1}"/>
    <hyperlink ref="U796" r:id="rId785" xr:uid="{D39377EB-7E62-4F41-B32C-DD7C8FD9FD9A}"/>
    <hyperlink ref="U793" r:id="rId786" xr:uid="{9929740E-87D0-46BF-BF92-B7A6F0F75EB5}"/>
    <hyperlink ref="U786" r:id="rId787" xr:uid="{E123B967-6F80-47D3-AA99-5D00D58C1C7B}"/>
    <hyperlink ref="U817" r:id="rId788" xr:uid="{BD1736A6-FDDE-4E2B-AEC4-56B7A59A4D9B}"/>
    <hyperlink ref="U788" r:id="rId789" xr:uid="{2C5F8736-DD9A-4211-A2E6-04D793B952E2}"/>
    <hyperlink ref="U785" r:id="rId790" xr:uid="{CAA0EEB7-98AD-4175-978B-3481CD4B09A2}"/>
    <hyperlink ref="U782" r:id="rId791" xr:uid="{B994F345-9D6F-49FE-936F-A1FF870DA159}"/>
    <hyperlink ref="U783" r:id="rId792" xr:uid="{4E7BD72F-64F1-4161-94B3-40F3EAD4DF8D}"/>
    <hyperlink ref="U779" r:id="rId793" xr:uid="{42CE2B8A-4445-4D38-A19B-27E617E5355F}"/>
    <hyperlink ref="U776" r:id="rId794" xr:uid="{77672107-1074-4CC5-B773-C90D586B98DC}"/>
    <hyperlink ref="U777" r:id="rId795" xr:uid="{B8BBF23F-600D-4EA8-8F9E-4C020A484596}"/>
    <hyperlink ref="U780" r:id="rId796" xr:uid="{DF5118FE-DD0A-43D5-A04A-F1BB5EC966CB}"/>
    <hyperlink ref="U781" r:id="rId797" xr:uid="{80154DBC-66DF-4433-A9D0-087580B052BE}"/>
    <hyperlink ref="U778" r:id="rId798" xr:uid="{DA9F6E43-F97B-474A-85EE-108BF5C95D67}"/>
    <hyperlink ref="U773" r:id="rId799" xr:uid="{AD697AE6-4666-4389-B2B4-38726DB31C7C}"/>
    <hyperlink ref="U774" r:id="rId800" xr:uid="{436AFDD6-523C-43FE-9A08-ED579E166D7F}"/>
    <hyperlink ref="U772" r:id="rId801" xr:uid="{D71CB4A7-6A12-475B-B09C-97A19E5BF7E7}"/>
    <hyperlink ref="U775" r:id="rId802" xr:uid="{86BB9DC2-49BD-4EA6-88AF-16451F0EF0F2}"/>
    <hyperlink ref="U762" r:id="rId803" xr:uid="{FF4ED1A0-310A-4193-BF64-B647931B2430}"/>
    <hyperlink ref="U769" r:id="rId804" xr:uid="{5C6636C1-94D3-4505-AC39-65A67FE4CB32}"/>
    <hyperlink ref="U767" r:id="rId805" xr:uid="{BB7CE327-230E-48A5-8741-25B18189C503}"/>
    <hyperlink ref="U768" r:id="rId806" xr:uid="{DD89C437-E14C-48AB-B80E-F8AF986B6A7D}"/>
    <hyperlink ref="U810" r:id="rId807" xr:uid="{5E6E094E-D08D-41A9-9AD4-AB96C0D2D0E5}"/>
    <hyperlink ref="U771" r:id="rId808" xr:uid="{738BBA94-39E1-4EAD-85E3-D6FD30B5D2A2}"/>
    <hyperlink ref="U811" r:id="rId809" xr:uid="{366A0727-3127-49A7-8A3D-1CF9FEDBA2C5}"/>
    <hyperlink ref="U765" r:id="rId810" xr:uid="{36071FA3-ED9D-4C49-BBE1-80EA68977EF9}"/>
    <hyperlink ref="U766" r:id="rId811" xr:uid="{6E08855B-C243-4269-AE79-8EAC47FB9816}"/>
    <hyperlink ref="U764" r:id="rId812" xr:uid="{3F757C3A-AABB-46B0-A376-7F8782AED0B7}"/>
    <hyperlink ref="U802" r:id="rId813" xr:uid="{E6EBA1DA-3AD1-419D-8F5E-43BB39D94529}"/>
    <hyperlink ref="U763" r:id="rId814" xr:uid="{713D8C42-321D-4476-9086-F7A96074829F}"/>
  </hyperlinks>
  <pageMargins left="0.7" right="0.7" top="0.75" bottom="0.75" header="0.3" footer="0.3"/>
  <pageSetup paperSize="9" orientation="portrait" verticalDpi="0" r:id="rId815"/>
  <drawing r:id="rId816"/>
  <tableParts count="1">
    <tablePart r:id="rId8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_xlfn.CONCAT(Tabel1[[#This Row],[personeelsnr]]," ",C2," ",D2)</f>
        <v>#N/A</v>
      </c>
      <c r="C2" t="e">
        <f>VLOOKUP(Tabel1[[#This Row],[personeelsnr]],'data hastus'!$A:$C,2,0)</f>
        <v>#N/A</v>
      </c>
      <c r="D2" t="e">
        <f>VLOOKUP(Tabel1[[#This Row],[personeelsnr]],'data hastus'!$A:$C,3,0)</f>
        <v>#N/A</v>
      </c>
      <c r="E2" t="e">
        <f>VLOOKUP(Tabel1[[#This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_xlfn.CONCAT(Tabel1[[#This Row],[personeelsnr]]," ",C14," ",D14)</f>
        <v>#N/A</v>
      </c>
      <c r="C14" t="e">
        <f>VLOOKUP(Tabel1[[#This Row],[personeelsnr]],'data hastus'!$A:$C,2,0)</f>
        <v>#N/A</v>
      </c>
      <c r="D14" t="e">
        <f>VLOOKUP(Tabel1[[#This Row],[personeelsnr]],'data hastus'!$A:$C,3,0)</f>
        <v>#N/A</v>
      </c>
      <c r="E14" t="e">
        <f>VLOOKUP(Tabel1[[#This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_xlfn.CONCAT(Tabel1[[#This Row],[personeelsnr]]," ",C15," ",D15)</f>
        <v>#N/A</v>
      </c>
      <c r="C15" t="e">
        <f>VLOOKUP(Tabel1[[#This Row],[personeelsnr]],'data hastus'!$A:$C,2,0)</f>
        <v>#N/A</v>
      </c>
      <c r="D15" t="e">
        <f>VLOOKUP(Tabel1[[#This Row],[personeelsnr]],'data hastus'!$A:$C,3,0)</f>
        <v>#N/A</v>
      </c>
      <c r="E15" t="e">
        <f>VLOOKUP(Tabel1[[#This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_xlfn.CONCAT(Tabel1[[#This Row],[personeelsnr]]," ",C25," ",D25)</f>
        <v>#N/A</v>
      </c>
      <c r="C25" t="e">
        <f>VLOOKUP(Tabel1[[#This Row],[personeelsnr]],'data hastus'!$A:$C,2,0)</f>
        <v>#N/A</v>
      </c>
      <c r="D25" t="e">
        <f>VLOOKUP(Tabel1[[#This Row],[personeelsnr]],'data hastus'!$A:$C,3,0)</f>
        <v>#N/A</v>
      </c>
      <c r="E25" t="e">
        <f>VLOOKUP(Tabel1[[#This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_xlfn.CONCAT(Tabel1[[#This Row],[personeelsnr]]," ",C26," ",D26)</f>
        <v>#N/A</v>
      </c>
      <c r="C26" t="e">
        <f>VLOOKUP(Tabel1[[#This Row],[personeelsnr]],'data hastus'!$A:$C,2,0)</f>
        <v>#N/A</v>
      </c>
      <c r="D26" t="e">
        <f>VLOOKUP(Tabel1[[#This Row],[personeelsnr]],'data hastus'!$A:$C,3,0)</f>
        <v>#N/A</v>
      </c>
      <c r="E26" t="e">
        <f>VLOOKUP(Tabel1[[#This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_xlfn.CONCAT(Tabel1[[#This Row],[personeelsnr]]," ",C28," ",D28)</f>
        <v>#N/A</v>
      </c>
      <c r="C28" t="e">
        <f>VLOOKUP(Tabel1[[#This Row],[personeelsnr]],'data hastus'!$A:$C,2,0)</f>
        <v>#N/A</v>
      </c>
      <c r="D28" t="e">
        <f>VLOOKUP(Tabel1[[#This Row],[personeelsnr]],'data hastus'!$A:$C,3,0)</f>
        <v>#N/A</v>
      </c>
      <c r="E28" t="e">
        <f>VLOOKUP(Tabel1[[#This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_xlfn.CONCAT(Tabel1[[#This Row],[personeelsnr]]," ",C59," ",D59)</f>
        <v>#N/A</v>
      </c>
      <c r="C59" t="e">
        <f>VLOOKUP(Tabel1[[#This Row],[personeelsnr]],'data hastus'!$A:$C,2,0)</f>
        <v>#N/A</v>
      </c>
      <c r="D59" t="e">
        <f>VLOOKUP(Tabel1[[#This Row],[personeelsnr]],'data hastus'!$A:$C,3,0)</f>
        <v>#N/A</v>
      </c>
      <c r="E59" t="e">
        <f>VLOOKUP(Tabel1[[#This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_xlfn.CONCAT(Tabel1[[#This Row],[personeelsnr]]," ",C76," ",D76)</f>
        <v>#N/A</v>
      </c>
      <c r="C76" t="e">
        <f>VLOOKUP(Tabel1[[#This Row],[personeelsnr]],'data hastus'!$A:$C,2,0)</f>
        <v>#N/A</v>
      </c>
      <c r="D76" t="e">
        <f>VLOOKUP(Tabel1[[#This Row],[personeelsnr]],'data hastus'!$A:$C,3,0)</f>
        <v>#N/A</v>
      </c>
      <c r="E76" t="e">
        <f>VLOOKUP(Tabel1[[#This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_xlfn.CONCAT(Tabel1[[#This Row],[personeelsnr]]," ",C97," ",D97)</f>
        <v>#N/A</v>
      </c>
      <c r="C97" t="e">
        <f>VLOOKUP(Tabel1[[#This Row],[personeelsnr]],'data hastus'!$A:$C,2,0)</f>
        <v>#N/A</v>
      </c>
      <c r="D97" t="e">
        <f>VLOOKUP(Tabel1[[#This Row],[personeelsnr]],'data hastus'!$A:$C,3,0)</f>
        <v>#N/A</v>
      </c>
      <c r="E97" t="e">
        <f>VLOOKUP(Tabel1[[#This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_xlfn.CONCAT(Tabel1[[#This Row],[personeelsnr]]," ",C103," ",D103)</f>
        <v>#N/A</v>
      </c>
      <c r="C103" t="e">
        <f>VLOOKUP(Tabel1[[#This Row],[personeelsnr]],'data hastus'!$A:$C,2,0)</f>
        <v>#N/A</v>
      </c>
      <c r="D103" t="e">
        <f>VLOOKUP(Tabel1[[#This Row],[personeelsnr]],'data hastus'!$A:$C,3,0)</f>
        <v>#N/A</v>
      </c>
      <c r="E103" t="e">
        <f>VLOOKUP(Tabel1[[#This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_xlfn.CONCAT(Tabel1[[#This Row],[personeelsnr]]," ",C125," ",D125)</f>
        <v>#N/A</v>
      </c>
      <c r="C125" t="e">
        <f>VLOOKUP(Tabel1[[#This Row],[personeelsnr]],'data hastus'!$A:$C,2,0)</f>
        <v>#N/A</v>
      </c>
      <c r="D125" t="e">
        <f>VLOOKUP(Tabel1[[#This Row],[personeelsnr]],'data hastus'!$A:$C,3,0)</f>
        <v>#N/A</v>
      </c>
      <c r="E125" t="e">
        <f>VLOOKUP(Tabel1[[#This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_xlfn.CONCAT(Tabel1[[#This Row],[personeelsnr]]," ",C134," ",D134)</f>
        <v>#N/A</v>
      </c>
      <c r="C134" t="e">
        <f>VLOOKUP(Tabel1[[#This Row],[personeelsnr]],'data hastus'!$A:$C,2,0)</f>
        <v>#N/A</v>
      </c>
      <c r="D134" t="e">
        <f>VLOOKUP(Tabel1[[#This Row],[personeelsnr]],'data hastus'!$A:$C,3,0)</f>
        <v>#N/A</v>
      </c>
      <c r="E134" t="e">
        <f>VLOOKUP(Tabel1[[#This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_xlfn.CONCAT(Tabel1[[#This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_xlfn.CONCAT(Tabel1[[#This Row],[personeelsnr]]," ",C141," ",D141)</f>
        <v>#N/A</v>
      </c>
      <c r="C141" t="e">
        <f>VLOOKUP(Tabel1[[#This Row],[personeelsnr]],'data hastus'!$A:$C,2,0)</f>
        <v>#N/A</v>
      </c>
      <c r="D141" t="e">
        <f>VLOOKUP(Tabel1[[#This Row],[personeelsnr]],'data hastus'!$A:$C,3,0)</f>
        <v>#N/A</v>
      </c>
      <c r="E141" t="e">
        <f>VLOOKUP(Tabel1[[#This Row],[personeelsnr]],'data hastus'!A:K,11,FALSE)</f>
        <v>#N/A</v>
      </c>
    </row>
    <row r="142" spans="1:6" x14ac:dyDescent="0.25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25">
      <c r="A144">
        <v>21424</v>
      </c>
      <c r="B144" t="e">
        <f>_xlfn.CONCAT(Tabel1[[#This Row],[personeelsnr]]," ",C144," ",D144)</f>
        <v>#N/A</v>
      </c>
      <c r="C144" t="e">
        <f>VLOOKUP(Tabel1[[#This Row],[personeelsnr]],'data hastus'!$A:$C,2,0)</f>
        <v>#N/A</v>
      </c>
      <c r="D144" t="e">
        <f>VLOOKUP(Tabel1[[#This Row],[personeelsnr]],'data hastus'!$A:$C,3,0)</f>
        <v>#N/A</v>
      </c>
      <c r="E144" t="e">
        <f>VLOOKUP(Tabel1[[#This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_xlfn.CONCAT(Tabel1[[#This Row],[personeelsnr]]," ",C148," ",D148)</f>
        <v>#N/A</v>
      </c>
      <c r="C148" t="e">
        <f>VLOOKUP(Tabel1[[#This Row],[personeelsnr]],'data hastus'!$A:$C,2,0)</f>
        <v>#N/A</v>
      </c>
      <c r="D148" t="e">
        <f>VLOOKUP(Tabel1[[#This Row],[personeelsnr]],'data hastus'!$A:$C,3,0)</f>
        <v>#N/A</v>
      </c>
      <c r="E148" t="e">
        <f>VLOOKUP(Tabel1[[#This Row],[personeelsnr]],'data hastus'!A:K,11,FALSE)</f>
        <v>#N/A</v>
      </c>
    </row>
    <row r="149" spans="1:6" x14ac:dyDescent="0.25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25">
      <c r="A150">
        <v>26199</v>
      </c>
      <c r="B150" t="e">
        <f>_xlfn.CONCAT(Tabel1[[#This Row],[personeelsnr]]," ",C150," ",D150)</f>
        <v>#N/A</v>
      </c>
      <c r="C150" t="e">
        <f>VLOOKUP(Tabel1[[#This Row],[personeelsnr]],'data hastus'!$A:$C,2,0)</f>
        <v>#N/A</v>
      </c>
      <c r="D150" t="e">
        <f>VLOOKUP(Tabel1[[#This Row],[personeelsnr]],'data hastus'!$A:$C,3,0)</f>
        <v>#N/A</v>
      </c>
      <c r="E150" t="e">
        <f>VLOOKUP(Tabel1[[#This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25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25">
      <c r="A156">
        <v>99999</v>
      </c>
      <c r="B156" t="str">
        <f>_xlfn.CONCAT(Tabel1[[#This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25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_xlfn.CONCAT(Tabel1[[#This Row],[personeelsnr]]," ",C167," ",D167)</f>
        <v>#N/A</v>
      </c>
      <c r="C167" t="e">
        <f>VLOOKUP(Tabel1[[#This Row],[personeelsnr]],'data hastus'!$A:$C,2,0)</f>
        <v>#N/A</v>
      </c>
      <c r="D167" t="e">
        <f>VLOOKUP(Tabel1[[#This Row],[personeelsnr]],'data hastus'!$A:$C,3,0)</f>
        <v>#N/A</v>
      </c>
      <c r="E167" t="e">
        <f>VLOOKUP(Tabel1[[#This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_xlfn.CONCAT(Tabel1[[#This Row],[personeelsnr]]," ",C174," ",D174)</f>
        <v>#N/A</v>
      </c>
      <c r="C174" t="e">
        <f>VLOOKUP(Tabel1[[#This Row],[personeelsnr]],'data hastus'!$A:$C,2,0)</f>
        <v>#N/A</v>
      </c>
      <c r="D174" t="e">
        <f>VLOOKUP(Tabel1[[#This Row],[personeelsnr]],'data hastus'!$A:$C,3,0)</f>
        <v>#N/A</v>
      </c>
      <c r="E174" t="e">
        <f>VLOOKUP(Tabel1[[#This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_xlfn.CONCAT(Tabel1[[#This Row],[personeelsnr]]," ",C175," ",D175)</f>
        <v>#N/A</v>
      </c>
      <c r="C175" t="e">
        <f>VLOOKUP(Tabel1[[#This Row],[personeelsnr]],'data hastus'!$A:$C,2,0)</f>
        <v>#N/A</v>
      </c>
      <c r="D175" t="e">
        <f>VLOOKUP(Tabel1[[#This Row],[personeelsnr]],'data hastus'!$A:$C,3,0)</f>
        <v>#N/A</v>
      </c>
      <c r="E175" t="e">
        <f>VLOOKUP(Tabel1[[#This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_xlfn.CONCAT(Tabel1[[#This Row],[personeelsnr]]," ",C179," ",D179)</f>
        <v>#N/A</v>
      </c>
      <c r="C179" t="e">
        <f>VLOOKUP(Tabel1[[#This Row],[personeelsnr]],'data hastus'!$A:$C,2,0)</f>
        <v>#N/A</v>
      </c>
      <c r="D179" t="e">
        <f>VLOOKUP(Tabel1[[#This Row],[personeelsnr]],'data hastus'!$A:$C,3,0)</f>
        <v>#N/A</v>
      </c>
      <c r="E179" t="e">
        <f>VLOOKUP(Tabel1[[#This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25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_xlfn.CONCAT(Tabel1[[#This Row],[personeelsnr]]," ",C194," ",D194)</f>
        <v>#N/A</v>
      </c>
      <c r="C194" t="e">
        <f>VLOOKUP(Tabel1[[#This Row],[personeelsnr]],'data hastus'!$A:$C,2,0)</f>
        <v>#N/A</v>
      </c>
      <c r="D194" t="e">
        <f>VLOOKUP(Tabel1[[#This Row],[personeelsnr]],'data hastus'!$A:$C,3,0)</f>
        <v>#N/A</v>
      </c>
      <c r="E194" t="e">
        <f>VLOOKUP(Tabel1[[#This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_xlfn.CONCAT(Tabel1[[#This Row],[personeelsnr]]," ",C199," ",D199)</f>
        <v>#N/A</v>
      </c>
      <c r="C199" t="e">
        <f>VLOOKUP(Tabel1[[#This Row],[personeelsnr]],'data hastus'!$A:$C,2,0)</f>
        <v>#N/A</v>
      </c>
      <c r="D199" t="e">
        <f>VLOOKUP(Tabel1[[#This Row],[personeelsnr]],'data hastus'!$A:$C,3,0)</f>
        <v>#N/A</v>
      </c>
      <c r="E199" t="e">
        <f>VLOOKUP(Tabel1[[#This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_xlfn.CONCAT(Tabel1[[#This Row],[personeelsnr]]," ",C216," ",D216)</f>
        <v>#N/A</v>
      </c>
      <c r="C216" t="e">
        <f>VLOOKUP(Tabel1[[#This Row],[personeelsnr]],'data hastus'!$A:$C,2,0)</f>
        <v>#N/A</v>
      </c>
      <c r="D216" t="e">
        <f>VLOOKUP(Tabel1[[#This Row],[personeelsnr]],'data hastus'!$A:$C,3,0)</f>
        <v>#N/A</v>
      </c>
      <c r="E216" t="e">
        <f>VLOOKUP(Tabel1[[#This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_xlfn.CONCAT(Tabel1[[#This Row],[personeelsnr]]," ",C218," ",D218)</f>
        <v>#N/A</v>
      </c>
      <c r="C218" t="e">
        <f>VLOOKUP(Tabel1[[#This Row],[personeelsnr]],'data hastus'!$A:$C,2,0)</f>
        <v>#N/A</v>
      </c>
      <c r="D218" t="e">
        <f>VLOOKUP(Tabel1[[#This Row],[personeelsnr]],'data hastus'!$A:$C,3,0)</f>
        <v>#N/A</v>
      </c>
      <c r="E218" t="e">
        <f>VLOOKUP(Tabel1[[#This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_xlfn.CONCAT(Tabel1[[#This Row],[personeelsnr]]," ",C219," ",D219)</f>
        <v>#N/A</v>
      </c>
      <c r="C219" t="e">
        <f>VLOOKUP(Tabel1[[#This Row],[personeelsnr]],'data hastus'!$A:$C,2,0)</f>
        <v>#N/A</v>
      </c>
      <c r="D219" t="e">
        <f>VLOOKUP(Tabel1[[#This Row],[personeelsnr]],'data hastus'!$A:$C,3,0)</f>
        <v>#N/A</v>
      </c>
      <c r="E219" t="e">
        <f>VLOOKUP(Tabel1[[#This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_xlfn.CONCAT(Tabel1[[#This Row],[personeelsnr]]," ",C222," ",D222)</f>
        <v>#N/A</v>
      </c>
      <c r="C222" t="e">
        <f>VLOOKUP(Tabel1[[#This Row],[personeelsnr]],'data hastus'!$A:$C,2,0)</f>
        <v>#N/A</v>
      </c>
      <c r="D222" t="e">
        <f>VLOOKUP(Tabel1[[#This Row],[personeelsnr]],'data hastus'!$A:$C,3,0)</f>
        <v>#N/A</v>
      </c>
      <c r="E222" t="e">
        <f>VLOOKUP(Tabel1[[#This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25">
      <c r="A226">
        <v>39558</v>
      </c>
      <c r="B226" t="e">
        <f>_xlfn.CONCAT(Tabel1[[#This Row],[personeelsnr]]," ",C226," ",D226)</f>
        <v>#N/A</v>
      </c>
      <c r="C226" t="e">
        <f>VLOOKUP(Tabel1[[#This Row],[personeelsnr]],'data hastus'!$A:$C,2,0)</f>
        <v>#N/A</v>
      </c>
      <c r="D226" t="e">
        <f>VLOOKUP(Tabel1[[#This Row],[personeelsnr]],'data hastus'!$A:$C,3,0)</f>
        <v>#N/A</v>
      </c>
      <c r="E226" t="e">
        <f>VLOOKUP(Tabel1[[#This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_xlfn.CONCAT(Tabel1[[#This Row],[personeelsnr]]," ",C234," ",D234)</f>
        <v>#N/A</v>
      </c>
      <c r="C234" t="e">
        <f>VLOOKUP(Tabel1[[#This Row],[personeelsnr]],'data hastus'!$A:$C,2,0)</f>
        <v>#N/A</v>
      </c>
      <c r="D234" t="e">
        <f>VLOOKUP(Tabel1[[#This Row],[personeelsnr]],'data hastus'!$A:$C,3,0)</f>
        <v>#N/A</v>
      </c>
      <c r="E234" t="e">
        <f>VLOOKUP(Tabel1[[#This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_xlfn.CONCAT(Tabel1[[#This Row],[personeelsnr]]," ",C236," ",D236)</f>
        <v>#N/A</v>
      </c>
      <c r="C236" t="e">
        <f>VLOOKUP(Tabel1[[#This Row],[personeelsnr]],'data hastus'!$A:$C,2,0)</f>
        <v>#N/A</v>
      </c>
      <c r="D236" t="e">
        <f>VLOOKUP(Tabel1[[#This Row],[personeelsnr]],'data hastus'!$A:$C,3,0)</f>
        <v>#N/A</v>
      </c>
      <c r="E236" t="e">
        <f>VLOOKUP(Tabel1[[#This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_xlfn.CONCAT(Tabel1[[#This Row],[personeelsnr]]," ",C241," ",D241)</f>
        <v>#N/A</v>
      </c>
      <c r="C241" t="e">
        <f>VLOOKUP(Tabel1[[#This Row],[personeelsnr]],'data hastus'!$A:$C,2,0)</f>
        <v>#N/A</v>
      </c>
      <c r="D241" t="e">
        <f>VLOOKUP(Tabel1[[#This Row],[personeelsnr]],'data hastus'!$A:$C,3,0)</f>
        <v>#N/A</v>
      </c>
      <c r="E241" t="e">
        <f>VLOOKUP(Tabel1[[#This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_xlfn.CONCAT(Tabel1[[#This Row],[personeelsnr]]," ",C243," ",D243)</f>
        <v>#N/A</v>
      </c>
      <c r="C243" t="e">
        <f>VLOOKUP(Tabel1[[#This Row],[personeelsnr]],'data hastus'!$A:$C,2,0)</f>
        <v>#N/A</v>
      </c>
      <c r="D243" t="e">
        <f>VLOOKUP(Tabel1[[#This Row],[personeelsnr]],'data hastus'!$A:$C,3,0)</f>
        <v>#N/A</v>
      </c>
      <c r="E243" t="e">
        <f>VLOOKUP(Tabel1[[#This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25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25">
      <c r="A259">
        <v>16895</v>
      </c>
      <c r="B259" t="e">
        <f>_xlfn.CONCAT(Tabel1[[#This Row],[personeelsnr]]," ",C259," ",D259)</f>
        <v>#N/A</v>
      </c>
      <c r="C259" t="e">
        <f>VLOOKUP(Tabel1[[#This Row],[personeelsnr]],'data hastus'!$A:$C,2,0)</f>
        <v>#N/A</v>
      </c>
      <c r="D259" t="e">
        <f>VLOOKUP(Tabel1[[#This Row],[personeelsnr]],'data hastus'!$A:$C,3,0)</f>
        <v>#N/A</v>
      </c>
      <c r="E259" t="e">
        <f>VLOOKUP(Tabel1[[#This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_xlfn.CONCAT(Tabel1[[#This Row],[personeelsnr]]," ",C261," ",D261)</f>
        <v>#N/A</v>
      </c>
      <c r="C261" t="e">
        <f>VLOOKUP(Tabel1[[#This Row],[personeelsnr]],'data hastus'!$A:$C,2,0)</f>
        <v>#N/A</v>
      </c>
      <c r="D261" t="e">
        <f>VLOOKUP(Tabel1[[#This Row],[personeelsnr]],'data hastus'!$A:$C,3,0)</f>
        <v>#N/A</v>
      </c>
      <c r="E261" t="e">
        <f>VLOOKUP(Tabel1[[#This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_xlfn.CONCAT(Tabel1[[#This Row],[personeelsnr]]," ",C269," ",D269)</f>
        <v>#N/A</v>
      </c>
      <c r="C269" t="e">
        <f>VLOOKUP(Tabel1[[#This Row],[personeelsnr]],'data hastus'!$A:$C,2,0)</f>
        <v>#N/A</v>
      </c>
      <c r="D269" t="e">
        <f>VLOOKUP(Tabel1[[#This Row],[personeelsnr]],'data hastus'!$A:$C,3,0)</f>
        <v>#N/A</v>
      </c>
      <c r="E269" t="e">
        <f>VLOOKUP(Tabel1[[#This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25">
      <c r="A271">
        <v>38551</v>
      </c>
      <c r="B271" t="e">
        <f>_xlfn.CONCAT(Tabel1[[#This Row],[personeelsnr]]," ",C271," ",D271)</f>
        <v>#N/A</v>
      </c>
      <c r="C271" t="e">
        <f>VLOOKUP(Tabel1[[#This Row],[personeelsnr]],'data hastus'!$A:$C,2,0)</f>
        <v>#N/A</v>
      </c>
      <c r="D271" t="e">
        <f>VLOOKUP(Tabel1[[#This Row],[personeelsnr]],'data hastus'!$A:$C,3,0)</f>
        <v>#N/A</v>
      </c>
      <c r="E271" t="e">
        <f>VLOOKUP(Tabel1[[#This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25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25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_xlfn.CONCAT(Tabel1[[#This Row],[personeelsnr]]," ",C279," ",D279)</f>
        <v>#N/A</v>
      </c>
      <c r="C279" t="e">
        <f>VLOOKUP(Tabel1[[#This Row],[personeelsnr]],'data hastus'!$A:$C,2,0)</f>
        <v>#N/A</v>
      </c>
      <c r="D279" t="e">
        <f>VLOOKUP(Tabel1[[#This Row],[personeelsnr]],'data hastus'!$A:$C,3,0)</f>
        <v>#N/A</v>
      </c>
      <c r="E279" t="e">
        <f>VLOOKUP(Tabel1[[#This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_xlfn.CONCAT(Tabel1[[#This Row],[personeelsnr]]," ",C280," ",D280)</f>
        <v>#N/A</v>
      </c>
      <c r="C280" t="e">
        <f>VLOOKUP(Tabel1[[#This Row],[personeelsnr]],'data hastus'!$A:$C,2,0)</f>
        <v>#N/A</v>
      </c>
      <c r="D280" t="e">
        <f>VLOOKUP(Tabel1[[#This Row],[personeelsnr]],'data hastus'!$A:$C,3,0)</f>
        <v>#N/A</v>
      </c>
      <c r="E280" t="e">
        <f>VLOOKUP(Tabel1[[#This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_xlfn.CONCAT(Tabel1[[#This Row],[personeelsnr]]," ",C281," ",D281)</f>
        <v>#N/A</v>
      </c>
      <c r="C281" t="e">
        <f>VLOOKUP(Tabel1[[#This Row],[personeelsnr]],'data hastus'!$A:$C,2,0)</f>
        <v>#N/A</v>
      </c>
      <c r="D281" t="e">
        <f>VLOOKUP(Tabel1[[#This Row],[personeelsnr]],'data hastus'!$A:$C,3,0)</f>
        <v>#N/A</v>
      </c>
      <c r="E281" t="e">
        <f>VLOOKUP(Tabel1[[#This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25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_xlfn.CONCAT(Tabel1[[#This Row],[personeelsnr]]," ",C297," ",D297)</f>
        <v>#N/A</v>
      </c>
      <c r="C297" t="e">
        <f>VLOOKUP(Tabel1[[#This Row],[personeelsnr]],'data hastus'!$A:$C,2,0)</f>
        <v>#N/A</v>
      </c>
      <c r="D297" t="e">
        <f>VLOOKUP(Tabel1[[#This Row],[personeelsnr]],'data hastus'!$A:$C,3,0)</f>
        <v>#N/A</v>
      </c>
      <c r="E297" t="e">
        <f>VLOOKUP(Tabel1[[#This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_xlfn.CONCAT(Tabel1[[#This Row],[personeelsnr]]," ",C313," ",D313)</f>
        <v>#N/A</v>
      </c>
      <c r="C313" t="e">
        <f>VLOOKUP(Tabel1[[#This Row],[personeelsnr]],'data hastus'!$A:$C,2,0)</f>
        <v>#N/A</v>
      </c>
      <c r="D313" t="e">
        <f>VLOOKUP(Tabel1[[#This Row],[personeelsnr]],'data hastus'!$A:$C,3,0)</f>
        <v>#N/A</v>
      </c>
      <c r="E313" t="e">
        <f>VLOOKUP(Tabel1[[#This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_xlfn.CONCAT(Tabel1[[#This Row],[personeelsnr]]," ",C314," ",D314)</f>
        <v>#N/A</v>
      </c>
      <c r="C314" t="e">
        <f>VLOOKUP(Tabel1[[#This Row],[personeelsnr]],'data hastus'!$A:$C,2,0)</f>
        <v>#N/A</v>
      </c>
      <c r="D314" t="e">
        <f>VLOOKUP(Tabel1[[#This Row],[personeelsnr]],'data hastus'!$A:$C,3,0)</f>
        <v>#N/A</v>
      </c>
      <c r="E314" t="e">
        <f>VLOOKUP(Tabel1[[#This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25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_xlfn.CONCAT(Tabel1[[#This Row],[personeelsnr]]," ",C323," ",D323)</f>
        <v>#N/A</v>
      </c>
      <c r="C323" t="e">
        <f>VLOOKUP(Tabel1[[#This Row],[personeelsnr]],'data hastus'!$A:$C,2,0)</f>
        <v>#N/A</v>
      </c>
      <c r="D323" t="e">
        <f>VLOOKUP(Tabel1[[#This Row],[personeelsnr]],'data hastus'!$A:$C,3,0)</f>
        <v>#N/A</v>
      </c>
      <c r="E323" t="e">
        <f>VLOOKUP(Tabel1[[#This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_xlfn.CONCAT(Tabel1[[#This Row],[personeelsnr]]," ",C326," ",D326)</f>
        <v>#N/A</v>
      </c>
      <c r="C326" t="e">
        <f>VLOOKUP(Tabel1[[#This Row],[personeelsnr]],'data hastus'!$A:$C,2,0)</f>
        <v>#N/A</v>
      </c>
      <c r="D326" t="e">
        <f>VLOOKUP(Tabel1[[#This Row],[personeelsnr]],'data hastus'!$A:$C,3,0)</f>
        <v>#N/A</v>
      </c>
      <c r="E326" t="e">
        <f>VLOOKUP(Tabel1[[#This Row],[personeelsnr]],'data hastus'!A:K,11,FALSE)</f>
        <v>#N/A</v>
      </c>
    </row>
    <row r="327" spans="1:6" x14ac:dyDescent="0.25">
      <c r="A327">
        <v>35619</v>
      </c>
      <c r="B327" t="str">
        <f>_xlfn.CONCAT(Tabel1[[#This Row],[personeelsnr]]," ",C327," ",D327)</f>
        <v>33965 Van de Gehuchte Gilles</v>
      </c>
      <c r="C327" t="str">
        <f>VLOOKUP(Tabel1[[#This Row],[personeelsnr]],'data hastus'!$A:$C,2,0)</f>
        <v>Van de Gehuchte</v>
      </c>
      <c r="D327" t="str">
        <f>VLOOKUP(Tabel1[[#This Row],[personeelsnr]],'data hastus'!$A:$C,3,0)</f>
        <v>Gilles</v>
      </c>
      <c r="E327" t="str">
        <f>VLOOKUP(Tabel1[[#This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</row>
    <row r="332" spans="1:6" x14ac:dyDescent="0.25">
      <c r="A332">
        <v>99999</v>
      </c>
      <c r="B332" t="str">
        <f>_xlfn.CONCAT(Tabel1[[#This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_xlfn.CONCAT(Tabel1[[#This Row],[personeelsnr]]," ",C333," ",D333)</f>
        <v>#N/A</v>
      </c>
      <c r="C333" t="e">
        <f>VLOOKUP(Tabel1[[#This Row],[personeelsnr]],'data hastus'!$A:$C,2,0)</f>
        <v>#N/A</v>
      </c>
      <c r="D333" t="e">
        <f>VLOOKUP(Tabel1[[#This Row],[personeelsnr]],'data hastus'!$A:$C,3,0)</f>
        <v>#N/A</v>
      </c>
      <c r="E333" t="e">
        <f>VLOOKUP(Tabel1[[#This Row],[personeelsnr]],'data hastus'!A:K,11,FALSE)</f>
        <v>#N/A</v>
      </c>
    </row>
    <row r="334" spans="1:6" x14ac:dyDescent="0.25">
      <c r="A334">
        <v>38740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_xlfn.CONCAT(Tabel1[[#This Row],[personeelsnr]]," ",C335," ",D335)</f>
        <v>#N/A</v>
      </c>
      <c r="C335" t="e">
        <f>VLOOKUP(Tabel1[[#This Row],[personeelsnr]],'data hastus'!$A:$C,2,0)</f>
        <v>#N/A</v>
      </c>
      <c r="D335" t="e">
        <f>VLOOKUP(Tabel1[[#This Row],[personeelsnr]],'data hastus'!$A:$C,3,0)</f>
        <v>#N/A</v>
      </c>
      <c r="E335" t="e">
        <f>VLOOKUP(Tabel1[[#This Row],[personeelsnr]],'data hastus'!A:K,11,FALSE)</f>
        <v>#N/A</v>
      </c>
    </row>
    <row r="336" spans="1:6" x14ac:dyDescent="0.25">
      <c r="A336">
        <v>39972</v>
      </c>
      <c r="B336" t="str">
        <f>_xlfn.CONCAT(Tabel1[[#This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</row>
    <row r="340" spans="1:6" x14ac:dyDescent="0.25">
      <c r="A340">
        <v>40138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</row>
    <row r="341" spans="1:6" x14ac:dyDescent="0.25">
      <c r="A341">
        <v>40138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</row>
    <row r="342" spans="1:6" x14ac:dyDescent="0.25">
      <c r="A342">
        <v>40138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</row>
    <row r="343" spans="1:6" x14ac:dyDescent="0.25">
      <c r="A343">
        <v>35645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</row>
    <row r="344" spans="1:6" x14ac:dyDescent="0.25">
      <c r="A344">
        <v>40223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</row>
    <row r="345" spans="1:6" x14ac:dyDescent="0.25">
      <c r="A345">
        <v>36820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_xlfn.CONCAT(Tabel1[[#This Row],[personeelsnr]]," ",C346," ",D346)</f>
        <v>#N/A</v>
      </c>
      <c r="C346" t="e">
        <f>VLOOKUP(Tabel1[[#This Row],[personeelsnr]],'data hastus'!$A:$C,2,0)</f>
        <v>#N/A</v>
      </c>
      <c r="D346" t="e">
        <f>VLOOKUP(Tabel1[[#This Row],[personeelsnr]],'data hastus'!$A:$C,3,0)</f>
        <v>#N/A</v>
      </c>
      <c r="E346" t="e">
        <f>VLOOKUP(Tabel1[[#This Row],[personeelsnr]],'data hastus'!A:K,11,FALSE)</f>
        <v>#N/A</v>
      </c>
    </row>
    <row r="347" spans="1:6" x14ac:dyDescent="0.25">
      <c r="A347">
        <v>24155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</row>
    <row r="351" spans="1:6" x14ac:dyDescent="0.25">
      <c r="A351">
        <v>40591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</row>
    <row r="353" spans="1:6" x14ac:dyDescent="0.25">
      <c r="A353">
        <v>40652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</row>
    <row r="354" spans="1:6" x14ac:dyDescent="0.25">
      <c r="A354">
        <v>32002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_xlfn.CONCAT(Tabel1[[#This Row],[personeelsnr]]," ",C355," ",D355)</f>
        <v>#N/A</v>
      </c>
      <c r="C355" t="e">
        <f>VLOOKUP(Tabel1[[#This Row],[personeelsnr]],'data hastus'!$A:$C,2,0)</f>
        <v>#N/A</v>
      </c>
      <c r="D355" t="e">
        <f>VLOOKUP(Tabel1[[#This Row],[personeelsnr]],'data hastus'!$A:$C,3,0)</f>
        <v>#N/A</v>
      </c>
      <c r="E355" t="e">
        <f>VLOOKUP(Tabel1[[#This Row],[personeelsnr]],'data hastus'!A:K,11,FALSE)</f>
        <v>#N/A</v>
      </c>
    </row>
    <row r="356" spans="1:6" x14ac:dyDescent="0.25">
      <c r="A356">
        <v>40744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</row>
    <row r="357" spans="1:6" x14ac:dyDescent="0.25">
      <c r="A357">
        <v>33085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</row>
    <row r="360" spans="1:6" x14ac:dyDescent="0.25">
      <c r="A360">
        <v>40859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</row>
    <row r="361" spans="1:6" x14ac:dyDescent="0.25">
      <c r="A361">
        <v>40939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</row>
    <row r="362" spans="1:6" x14ac:dyDescent="0.25">
      <c r="A362">
        <v>40939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</row>
    <row r="363" spans="1:6" x14ac:dyDescent="0.25">
      <c r="A363">
        <v>37744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</row>
    <row r="367" spans="1:6" x14ac:dyDescent="0.25">
      <c r="A367">
        <v>41012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</row>
    <row r="368" spans="1:6" x14ac:dyDescent="0.25">
      <c r="A368">
        <v>41032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</row>
    <row r="369" spans="1:6" x14ac:dyDescent="0.25">
      <c r="A369">
        <v>41064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_xlfn.CONCAT(Tabel1[[#This Row],[personeelsnr]]," ",C370," ",D370)</f>
        <v>#N/A</v>
      </c>
      <c r="C370" t="e">
        <f>VLOOKUP(Tabel1[[#This Row],[personeelsnr]],'data hastus'!$A:$C,2,0)</f>
        <v>#N/A</v>
      </c>
      <c r="D370" t="e">
        <f>VLOOKUP(Tabel1[[#This Row],[personeelsnr]],'data hastus'!$A:$C,3,0)</f>
        <v>#N/A</v>
      </c>
      <c r="E370" t="e">
        <f>VLOOKUP(Tabel1[[#This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_xlfn.CONCAT(Tabel1[[#This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_xlfn.CONCAT(Tabel1[[#This Row],[personeelsnr]]," ",C373," ",D373)</f>
        <v>#N/A</v>
      </c>
      <c r="C373" t="e">
        <f>VLOOKUP(Tabel1[[#This Row],[personeelsnr]],'data hastus'!$A:$C,2,0)</f>
        <v>#N/A</v>
      </c>
      <c r="D373" t="e">
        <f>VLOOKUP(Tabel1[[#This Row],[personeelsnr]],'data hastus'!$A:$C,3,0)</f>
        <v>#N/A</v>
      </c>
      <c r="E373" t="e">
        <f>VLOOKUP(Tabel1[[#This Row],[personeelsnr]],'data hastus'!A:K,11,FALSE)</f>
        <v>#N/A</v>
      </c>
    </row>
    <row r="374" spans="1:6" x14ac:dyDescent="0.25">
      <c r="A374">
        <v>41091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</row>
    <row r="375" spans="1:6" x14ac:dyDescent="0.25">
      <c r="A375">
        <v>41092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</row>
    <row r="376" spans="1:6" x14ac:dyDescent="0.25">
      <c r="A376">
        <v>4608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</row>
    <row r="377" spans="1:6" x14ac:dyDescent="0.25">
      <c r="A377">
        <v>41092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</row>
    <row r="378" spans="1:6" x14ac:dyDescent="0.25">
      <c r="A378">
        <v>41092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</row>
    <row r="379" spans="1:6" x14ac:dyDescent="0.25">
      <c r="A379">
        <v>41092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</row>
    <row r="380" spans="1:6" x14ac:dyDescent="0.25">
      <c r="A380">
        <v>41092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</row>
    <row r="381" spans="1:6" x14ac:dyDescent="0.25">
      <c r="A381">
        <v>37908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</row>
    <row r="382" spans="1:6" x14ac:dyDescent="0.25">
      <c r="A382">
        <v>37908</v>
      </c>
      <c r="B382" t="e">
        <f>_xlfn.CONCAT(Tabel1[[#This Row],[personeelsnr]]," ",C382," ",D382)</f>
        <v>#N/A</v>
      </c>
      <c r="C382" t="e">
        <f>VLOOKUP(Tabel1[[#This Row],[personeelsnr]],'data hastus'!$A:$C,2,0)</f>
        <v>#N/A</v>
      </c>
      <c r="D382" t="e">
        <f>VLOOKUP(Tabel1[[#This Row],[personeelsnr]],'data hastus'!$A:$C,3,0)</f>
        <v>#N/A</v>
      </c>
      <c r="E382" t="e">
        <f>VLOOKUP(Tabel1[[#This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</row>
    <row r="384" spans="1:6" x14ac:dyDescent="0.25">
      <c r="A384">
        <v>39779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</row>
    <row r="386" spans="1:6" x14ac:dyDescent="0.25">
      <c r="A386">
        <v>41162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</row>
    <row r="387" spans="1:6" x14ac:dyDescent="0.25">
      <c r="A387">
        <v>37132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</row>
    <row r="389" spans="1:6" x14ac:dyDescent="0.25">
      <c r="A389">
        <v>41383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</row>
    <row r="390" spans="1:6" x14ac:dyDescent="0.25">
      <c r="A390">
        <v>41520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_xlfn.CONCAT(Tabel1[[#This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</row>
    <row r="393" spans="1:6" x14ac:dyDescent="0.25">
      <c r="A393">
        <v>33965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</row>
    <row r="394" spans="1:6" x14ac:dyDescent="0.25">
      <c r="A394">
        <v>36428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</row>
    <row r="395" spans="1:6" x14ac:dyDescent="0.25">
      <c r="A395">
        <v>40938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</row>
    <row r="396" spans="1:6" x14ac:dyDescent="0.25">
      <c r="A396">
        <v>41230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</row>
    <row r="397" spans="1:6" x14ac:dyDescent="0.25">
      <c r="A397">
        <v>41710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</row>
    <row r="398" spans="1:6" x14ac:dyDescent="0.25">
      <c r="A398">
        <v>11120</v>
      </c>
      <c r="B398" t="e">
        <f>_xlfn.CONCAT(Tabel1[[#This Row],[personeelsnr]]," ",C398," ",D398)</f>
        <v>#N/A</v>
      </c>
      <c r="C398" t="e">
        <f>VLOOKUP(Tabel1[[#This Row],[personeelsnr]],'data hastus'!$A:$C,2,0)</f>
        <v>#N/A</v>
      </c>
      <c r="D398" t="e">
        <f>VLOOKUP(Tabel1[[#This Row],[personeelsnr]],'data hastus'!$A:$C,3,0)</f>
        <v>#N/A</v>
      </c>
      <c r="E398" t="e">
        <f>VLOOKUP(Tabel1[[#This Row],[personeelsnr]],'data hastus'!A:K,11,FALSE)</f>
        <v>#N/A</v>
      </c>
    </row>
    <row r="399" spans="1:6" x14ac:dyDescent="0.25">
      <c r="A399">
        <v>40744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</row>
    <row r="401" spans="1:5" x14ac:dyDescent="0.25">
      <c r="A401">
        <v>38648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</row>
    <row r="402" spans="1:5" x14ac:dyDescent="0.25">
      <c r="A402">
        <v>41482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</row>
    <row r="403" spans="1:5" x14ac:dyDescent="0.25">
      <c r="A403">
        <v>41671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</row>
    <row r="404" spans="1:5" x14ac:dyDescent="0.25">
      <c r="A404">
        <v>15282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</row>
    <row r="405" spans="1:5" x14ac:dyDescent="0.25">
      <c r="A405">
        <v>29746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</row>
    <row r="406" spans="1:5" x14ac:dyDescent="0.25">
      <c r="A406">
        <v>26960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</row>
    <row r="407" spans="1:5" x14ac:dyDescent="0.25">
      <c r="A407">
        <v>40278</v>
      </c>
      <c r="B407" t="e">
        <f>_xlfn.CONCAT(Tabel1[[#This Row],[personeelsnr]]," ",C407," ",D407)</f>
        <v>#N/A</v>
      </c>
      <c r="C407" t="e">
        <f>VLOOKUP(Tabel1[[#This Row],[personeelsnr]],'data hastus'!$A:$C,2,0)</f>
        <v>#N/A</v>
      </c>
      <c r="D407" t="e">
        <f>VLOOKUP(Tabel1[[#This Row],[personeelsnr]],'data hastus'!$A:$C,3,0)</f>
        <v>#N/A</v>
      </c>
      <c r="E407" t="e">
        <f>VLOOKUP(Tabel1[[#This Row],[personeelsnr]],'data hastus'!A:K,11,FALSE)</f>
        <v>#N/A</v>
      </c>
    </row>
    <row r="408" spans="1:5" x14ac:dyDescent="0.25">
      <c r="A408">
        <v>40856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sqref="A1:T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2952</v>
      </c>
      <c r="C21" t="s">
        <v>906</v>
      </c>
      <c r="D21" s="3">
        <v>24230</v>
      </c>
      <c r="E21" t="s">
        <v>833</v>
      </c>
      <c r="G21" s="3">
        <v>45831</v>
      </c>
      <c r="H21" t="s">
        <v>2953</v>
      </c>
      <c r="J21" t="s">
        <v>841</v>
      </c>
      <c r="K21" t="s">
        <v>44</v>
      </c>
      <c r="L21" s="3">
        <v>47677</v>
      </c>
      <c r="M21" s="3">
        <v>47610</v>
      </c>
      <c r="N21" t="s">
        <v>2954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2955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2956</v>
      </c>
      <c r="C80" t="s">
        <v>2957</v>
      </c>
      <c r="D80" s="3">
        <v>36894</v>
      </c>
      <c r="E80" t="s">
        <v>833</v>
      </c>
      <c r="G80" s="3">
        <v>45874</v>
      </c>
      <c r="H80" t="s">
        <v>2958</v>
      </c>
      <c r="J80" t="s">
        <v>846</v>
      </c>
      <c r="K80" t="s">
        <v>50</v>
      </c>
      <c r="L80" s="3">
        <v>1</v>
      </c>
      <c r="M80" s="3">
        <v>1</v>
      </c>
      <c r="N80" t="s">
        <v>2959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2960</v>
      </c>
      <c r="C110" t="s">
        <v>2961</v>
      </c>
      <c r="D110" s="3">
        <v>30683</v>
      </c>
      <c r="E110" t="s">
        <v>833</v>
      </c>
      <c r="G110" s="3">
        <v>45831</v>
      </c>
      <c r="H110" t="s">
        <v>2962</v>
      </c>
      <c r="J110" t="s">
        <v>841</v>
      </c>
      <c r="K110" t="s">
        <v>40</v>
      </c>
      <c r="L110" s="3">
        <v>47673</v>
      </c>
      <c r="M110" s="3">
        <v>47608</v>
      </c>
      <c r="N110" t="s">
        <v>2963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2964</v>
      </c>
      <c r="C121" t="s">
        <v>2965</v>
      </c>
      <c r="D121" s="3">
        <v>30767</v>
      </c>
      <c r="E121" t="s">
        <v>833</v>
      </c>
      <c r="G121" s="3">
        <v>45870</v>
      </c>
      <c r="H121" t="s">
        <v>2966</v>
      </c>
      <c r="I121" t="s">
        <v>2967</v>
      </c>
      <c r="J121" t="s">
        <v>2968</v>
      </c>
      <c r="K121" t="s">
        <v>36</v>
      </c>
      <c r="L121" s="3">
        <v>46301</v>
      </c>
      <c r="M121" s="3">
        <v>47644</v>
      </c>
      <c r="N121" t="s">
        <v>2969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2970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2971</v>
      </c>
      <c r="D174" s="3">
        <v>37796</v>
      </c>
      <c r="E174" t="s">
        <v>833</v>
      </c>
      <c r="G174" s="3">
        <v>45853</v>
      </c>
      <c r="H174" t="s">
        <v>2972</v>
      </c>
      <c r="J174" t="s">
        <v>841</v>
      </c>
      <c r="K174" t="s">
        <v>36</v>
      </c>
      <c r="L174" s="3">
        <v>1</v>
      </c>
      <c r="M174" s="3">
        <v>1</v>
      </c>
      <c r="N174" t="s">
        <v>2973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2974</v>
      </c>
      <c r="C183" t="s">
        <v>2975</v>
      </c>
      <c r="D183" s="3">
        <v>28657</v>
      </c>
      <c r="E183" t="s">
        <v>833</v>
      </c>
      <c r="G183" s="3">
        <v>45860</v>
      </c>
      <c r="H183" t="s">
        <v>2976</v>
      </c>
      <c r="J183" t="s">
        <v>841</v>
      </c>
      <c r="K183" t="s">
        <v>50</v>
      </c>
      <c r="L183" s="3">
        <v>1</v>
      </c>
      <c r="M183" s="3">
        <v>1</v>
      </c>
      <c r="N183" t="s">
        <v>2977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2978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2979</v>
      </c>
      <c r="C219" t="s">
        <v>1615</v>
      </c>
      <c r="D219" s="3">
        <v>34485</v>
      </c>
      <c r="E219" t="s">
        <v>833</v>
      </c>
      <c r="G219" s="3">
        <v>45868</v>
      </c>
      <c r="H219" t="s">
        <v>2980</v>
      </c>
      <c r="J219" t="s">
        <v>846</v>
      </c>
      <c r="K219" t="s">
        <v>40</v>
      </c>
      <c r="L219" s="3">
        <v>47428</v>
      </c>
      <c r="M219" s="3">
        <v>47243</v>
      </c>
      <c r="N219" t="s">
        <v>2981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2982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2983</v>
      </c>
      <c r="J220" t="s">
        <v>841</v>
      </c>
      <c r="K220" t="s">
        <v>40</v>
      </c>
      <c r="L220" s="3">
        <v>47688</v>
      </c>
      <c r="M220" s="3">
        <v>47616</v>
      </c>
      <c r="N220" t="s">
        <v>2984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2985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2986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2987</v>
      </c>
      <c r="J296" t="s">
        <v>841</v>
      </c>
      <c r="K296" t="s">
        <v>42</v>
      </c>
      <c r="L296" s="3">
        <v>47660</v>
      </c>
      <c r="M296" s="3">
        <v>47622</v>
      </c>
      <c r="N296" t="s">
        <v>2988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2989</v>
      </c>
      <c r="C315" t="s">
        <v>2990</v>
      </c>
      <c r="D315" s="3">
        <v>33500</v>
      </c>
      <c r="E315" t="s">
        <v>833</v>
      </c>
      <c r="G315" s="3">
        <v>45854</v>
      </c>
      <c r="H315" t="s">
        <v>2991</v>
      </c>
      <c r="J315" t="s">
        <v>841</v>
      </c>
      <c r="K315" t="s">
        <v>36</v>
      </c>
      <c r="L315" s="3">
        <v>46678</v>
      </c>
      <c r="M315" s="3">
        <v>46606</v>
      </c>
      <c r="N315" t="s">
        <v>2992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2993</v>
      </c>
      <c r="C317" t="s">
        <v>2994</v>
      </c>
      <c r="D317" s="3">
        <v>34251</v>
      </c>
      <c r="E317" t="s">
        <v>833</v>
      </c>
      <c r="G317" s="3">
        <v>45874</v>
      </c>
      <c r="H317" t="s">
        <v>2995</v>
      </c>
      <c r="J317" t="s">
        <v>846</v>
      </c>
      <c r="K317" t="s">
        <v>50</v>
      </c>
      <c r="L317" s="3">
        <v>1</v>
      </c>
      <c r="M317" s="3">
        <v>1</v>
      </c>
      <c r="N317" t="s">
        <v>2996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2997</v>
      </c>
      <c r="C349" t="s">
        <v>2998</v>
      </c>
      <c r="D349" s="3">
        <v>37799</v>
      </c>
      <c r="E349" t="s">
        <v>833</v>
      </c>
      <c r="G349" s="3">
        <v>45860</v>
      </c>
      <c r="H349" t="s">
        <v>2999</v>
      </c>
      <c r="J349" t="s">
        <v>841</v>
      </c>
      <c r="K349" t="s">
        <v>44</v>
      </c>
      <c r="L349" s="3">
        <v>1</v>
      </c>
      <c r="M349" s="3">
        <v>1</v>
      </c>
      <c r="N349" t="s">
        <v>3000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3001</v>
      </c>
      <c r="C398" t="s">
        <v>3002</v>
      </c>
      <c r="D398" s="3">
        <v>28890</v>
      </c>
      <c r="E398" t="s">
        <v>833</v>
      </c>
      <c r="G398" s="3">
        <v>45874</v>
      </c>
      <c r="H398" t="s">
        <v>3003</v>
      </c>
      <c r="J398" t="s">
        <v>2968</v>
      </c>
      <c r="K398" t="s">
        <v>48</v>
      </c>
      <c r="L398" s="3">
        <v>1</v>
      </c>
      <c r="M398" s="3">
        <v>1</v>
      </c>
      <c r="N398" t="s">
        <v>3004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3005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3006</v>
      </c>
      <c r="J448" t="s">
        <v>841</v>
      </c>
      <c r="K448" t="s">
        <v>46</v>
      </c>
      <c r="L448" s="3">
        <v>1</v>
      </c>
      <c r="M448" s="3">
        <v>1</v>
      </c>
      <c r="N448" t="s">
        <v>3007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3008</v>
      </c>
      <c r="D466" s="3">
        <v>26685</v>
      </c>
      <c r="E466" t="s">
        <v>833</v>
      </c>
      <c r="G466" s="3">
        <v>42975</v>
      </c>
      <c r="H466" t="s">
        <v>3009</v>
      </c>
      <c r="J466" t="s">
        <v>2968</v>
      </c>
      <c r="K466" t="s">
        <v>38</v>
      </c>
      <c r="L466" s="3">
        <v>46565</v>
      </c>
      <c r="M466" s="3">
        <v>46494</v>
      </c>
      <c r="N466" t="s">
        <v>3010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3011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3012</v>
      </c>
      <c r="J511" t="s">
        <v>841</v>
      </c>
      <c r="K511" t="s">
        <v>36</v>
      </c>
      <c r="L511" s="3">
        <v>47659</v>
      </c>
      <c r="M511" s="3">
        <v>47596</v>
      </c>
      <c r="N511" t="s">
        <v>3013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3014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3015</v>
      </c>
      <c r="J518" t="s">
        <v>841</v>
      </c>
      <c r="K518" t="s">
        <v>46</v>
      </c>
      <c r="L518" s="3">
        <v>47678</v>
      </c>
      <c r="M518" s="3">
        <v>47594</v>
      </c>
      <c r="N518" t="s">
        <v>3016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3017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3018</v>
      </c>
      <c r="J532" t="s">
        <v>841</v>
      </c>
      <c r="K532" t="s">
        <v>42</v>
      </c>
      <c r="L532" s="3">
        <v>47673</v>
      </c>
      <c r="M532" s="3">
        <v>47568</v>
      </c>
      <c r="N532" t="s">
        <v>3019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3020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3021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3022</v>
      </c>
      <c r="C564" t="s">
        <v>3023</v>
      </c>
      <c r="D564" s="3">
        <v>36225</v>
      </c>
      <c r="E564" t="s">
        <v>833</v>
      </c>
      <c r="G564" s="3">
        <v>45840</v>
      </c>
      <c r="H564" t="s">
        <v>3024</v>
      </c>
      <c r="J564" t="s">
        <v>841</v>
      </c>
      <c r="K564" t="s">
        <v>42</v>
      </c>
      <c r="L564" s="3">
        <v>47538</v>
      </c>
      <c r="M564" s="3">
        <v>47243</v>
      </c>
      <c r="N564" t="s">
        <v>3025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3026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3027</v>
      </c>
      <c r="J570" t="s">
        <v>841</v>
      </c>
      <c r="K570" t="s">
        <v>42</v>
      </c>
      <c r="L570" s="3">
        <v>47679</v>
      </c>
      <c r="M570" s="3">
        <v>47636</v>
      </c>
      <c r="N570" t="s">
        <v>3028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2025-08-14T07:15:20Z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