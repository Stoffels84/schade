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7" documentId="13_ncr:1_{10FCACA5-8197-478D-90D3-5F83063FB753}" xr6:coauthVersionLast="47" xr6:coauthVersionMax="47" xr10:uidLastSave="{AAFCD585-5AD3-4119-BE8F-FFD2B10779C6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<sst xmlns="http://schemas.openxmlformats.org/spreadsheetml/2006/main" count="8880" uniqueCount="3804">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</sst>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49" activePane="bottomLeft" state="frozen"/>
      <selection activeCell="F1" sqref="F1"/>
      <selection pane="bottomLeft" activeCell="T959" sqref="T95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39"/>
      <c r="H955" s="39"/>
      <c r="I955" s="39"/>
      <c r="S955" s="44">
        <f>SUM(bron[[#This Row],[Januari]:[December]])</f>
        <v>0</v>
      </c>
      <c r="T955" s="41">
        <v>45973</v>
      </c>
      <c r="U955" s="5" t="s">
        <v>3800</v>
      </c>
      <c r="V955" s="37"/>
      <c r="W955" s="37"/>
      <c r="X955" t="s">
        <v>3512</v>
      </c>
      <c r="Y955" t="s">
        <v>48</v>
      </c>
      <c r="Z955" s="2">
        <v>5929</v>
      </c>
      <c r="AA955" s="43" t="s">
        <v>3559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36505</v>
      </c>
      <c r="B958" t="str">
        <f>_xlfn.CONCAT(bron[[#This Row],[personeelsnr]]," ",bron[[#This Row],[achternaam]]," ",bron[[#This Row],[voornaam]])</f>
        <v>36505 De Lange Ruben</v>
      </c>
      <c r="C958" t="str">
        <f>VLOOKUP(bron[[#This Row],[personeelsnr]],'data hastus'!$A:$C,2,0)</f>
        <v>De Lange</v>
      </c>
      <c r="D958" t="str">
        <f>VLOOKUP(bron[[#This Row],[personeelsnr]],'data hastus'!$A:$C,3,0)</f>
        <v>Ruben</v>
      </c>
      <c r="E958" s="2" t="str">
        <f>VLOOKUP(bron[[#This Row],[personeelsnr]],'data hastus'!A:K,11,FALSE)</f>
        <v>Kenneth De Rick</v>
      </c>
      <c r="F958" s="10"/>
      <c r="G958" s="39"/>
      <c r="H958" s="39"/>
      <c r="I958" s="39"/>
      <c r="S958" s="44">
        <f>SUM(bron[[#This Row],[Januari]:[December]])</f>
        <v>0</v>
      </c>
      <c r="T958" s="41">
        <v>45976</v>
      </c>
      <c r="U958" s="5" t="s">
        <v>3802</v>
      </c>
      <c r="V958" s="37"/>
      <c r="W958" s="37"/>
      <c r="X958" t="s">
        <v>3548</v>
      </c>
      <c r="Y958" t="s">
        <v>666</v>
      </c>
      <c r="Z958" s="2">
        <v>6359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2025-11-17T12:57:17Z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