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66" documentId="13_ncr:1_{10FCACA5-8197-478D-90D3-5F83063FB753}" xr6:coauthVersionLast="47" xr6:coauthVersionMax="47" xr10:uidLastSave="{473A3FE7-BCF6-4E64-B3B1-A23A13859401}"/>
  <bookViews>
    <workbookView minimized="1" xWindow="-8100" yWindow="-13200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3" i="1"/>
  <c r="D953" i="1"/>
  <c r="E953" i="1"/>
  <c r="S953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D954" i="1"/>
  <c r="E954" i="1"/>
  <c r="S954" i="1"/>
  <c r="C949" i="1"/>
  <c r="B949" i="1" s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4" i="1" l="1"/>
  <c r="B947" i="1"/>
  <c r="B953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<sst xmlns="http://schemas.openxmlformats.org/spreadsheetml/2006/main" count="8880" uniqueCount="3804">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</sst>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4">
  <autoFilter ref="A1:AA971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1">
    <sortCondition ref="T1:T971"/>
  </sortState>
  <tableColumns count="27">
    <tableColumn id="1" xr3:uid="{A89FCEBD-EFF0-43A5-BEAC-9201FF09453E}" name="personeelsnr"/>
    <tableColumn id="23" xr3:uid="{3989647C-F1EB-4322-A586-1EC53B4E823E}" name="volledige naam" dataDxfId="1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2"/>
    <tableColumn id="11" xr3:uid="{97ECF1D5-48DC-4487-B3C2-17232CC8E19E}" name="Januari" dataDxfId="11"/>
    <tableColumn id="12" xr3:uid="{7B2FF520-A575-45C0-BB5A-19B87DDB4EA0}" name="Februari" dataDxfId="10"/>
    <tableColumn id="13" xr3:uid="{4E6C30D1-FB72-4AB2-900F-14A3D53F34DE}" name="Maart" dataDxfId="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8">
      <calculatedColumnFormula>SUM(bron[[#This Row],[Januari]:[December]])</calculatedColumnFormula>
    </tableColumn>
    <tableColumn id="10" xr3:uid="{8D9646BD-38B6-4F4D-9859-B3933369346B}" name="Datum" dataDxfId="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77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49" activePane="bottomLeft" state="frozen"/>
      <selection activeCell="F1" sqref="F1"/>
      <selection pane="bottomLeft" activeCell="X957" sqref="X95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40403</v>
      </c>
      <c r="B953" t="str">
        <f>_xlfn.CONCAT(bron[[#This Row],[personeelsnr]]," ",bron[[#This Row],[achternaam]]," ",bron[[#This Row],[voornaam]])</f>
        <v>40403 Prové Michaël</v>
      </c>
      <c r="C953" t="str">
        <f>VLOOKUP(bron[[#This Row],[personeelsnr]],'data hastus'!$A:$C,2,0)</f>
        <v>Prové</v>
      </c>
      <c r="D953" t="str">
        <f>VLOOKUP(bron[[#This Row],[personeelsnr]],'data hastus'!$A:$C,3,0)</f>
        <v>Michaël</v>
      </c>
      <c r="E953" s="2" t="str">
        <f>VLOOKUP(bron[[#This Row],[personeelsnr]],'data hastus'!A:K,11,FALSE)</f>
        <v>Dominique De Clercq</v>
      </c>
      <c r="F953" s="10"/>
      <c r="G953" s="39"/>
      <c r="H953" s="39"/>
      <c r="I953" s="39"/>
      <c r="S953" s="44">
        <f>SUM(bron[[#This Row],[Januari]:[December]])</f>
        <v>0</v>
      </c>
      <c r="T953" s="41">
        <v>45974</v>
      </c>
      <c r="U953" s="5" t="s">
        <v>3795</v>
      </c>
      <c r="V953" s="37"/>
      <c r="W953" s="37"/>
      <c r="X953" t="s">
        <v>3513</v>
      </c>
      <c r="Y953" t="s">
        <v>106</v>
      </c>
      <c r="Z953" s="2">
        <v>5233</v>
      </c>
      <c r="AA953" s="43" t="s">
        <v>3558</v>
      </c>
    </row>
    <row r="954" spans="1:27" x14ac:dyDescent="0.25">
      <c r="A954">
        <v>42249</v>
      </c>
      <c r="B954" t="str">
        <f>_xlfn.CONCAT(bron[[#This Row],[personeelsnr]]," ",bron[[#This Row],[achternaam]]," ",bron[[#This Row],[voornaam]])</f>
        <v>42249 Bontinck Stephan</v>
      </c>
      <c r="C954" t="str">
        <f>VLOOKUP(bron[[#This Row],[personeelsnr]],'data hastus'!$A:$C,2,0)</f>
        <v>Bontinck</v>
      </c>
      <c r="D954" t="str">
        <f>VLOOKUP(bron[[#This Row],[personeelsnr]],'data hastus'!$A:$C,3,0)</f>
        <v>Stephan</v>
      </c>
      <c r="E954" s="2" t="str">
        <f>VLOOKUP(bron[[#This Row],[personeelsnr]],'data hastus'!A:K,11,FALSE)</f>
        <v>Kenneth De Rick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3797</v>
      </c>
      <c r="V954" s="37"/>
      <c r="W954" s="37"/>
      <c r="X954" t="s">
        <v>3513</v>
      </c>
      <c r="Y954" t="s">
        <v>3798</v>
      </c>
      <c r="Z954" s="2" t="s">
        <v>3799</v>
      </c>
      <c r="AA954" s="43" t="s">
        <v>3631</v>
      </c>
    </row>
    <row r="955" spans="1:27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39"/>
      <c r="H955" s="39"/>
      <c r="I955" s="39"/>
      <c r="S955" s="44">
        <f>SUM(bron[[#This Row],[Januari]:[December]])</f>
        <v>0</v>
      </c>
      <c r="T955" s="41">
        <v>45973</v>
      </c>
      <c r="U955" s="5" t="s">
        <v>3800</v>
      </c>
      <c r="V955" s="37"/>
      <c r="W955" s="37"/>
      <c r="X955" t="s">
        <v>3512</v>
      </c>
      <c r="Y955" t="s">
        <v>48</v>
      </c>
      <c r="Z955" s="2">
        <v>5929</v>
      </c>
      <c r="AA955" s="43" t="s">
        <v>3559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36505</v>
      </c>
      <c r="B958" t="str">
        <f>_xlfn.CONCAT(bron[[#This Row],[personeelsnr]]," ",bron[[#This Row],[achternaam]]," ",bron[[#This Row],[voornaam]])</f>
        <v>36505 De Lange Ruben</v>
      </c>
      <c r="C958" t="str">
        <f>VLOOKUP(bron[[#This Row],[personeelsnr]],'data hastus'!$A:$C,2,0)</f>
        <v>De Lange</v>
      </c>
      <c r="D958" t="str">
        <f>VLOOKUP(bron[[#This Row],[personeelsnr]],'data hastus'!$A:$C,3,0)</f>
        <v>Ruben</v>
      </c>
      <c r="E958" s="2" t="str">
        <f>VLOOKUP(bron[[#This Row],[personeelsnr]],'data hastus'!A:K,11,FALSE)</f>
        <v>Kenneth De Rick</v>
      </c>
      <c r="F958" s="10"/>
      <c r="G958" s="39"/>
      <c r="H958" s="39"/>
      <c r="I958" s="39"/>
      <c r="S958" s="44">
        <f>SUM(bron[[#This Row],[Januari]:[December]])</f>
        <v>0</v>
      </c>
      <c r="T958" s="41">
        <v>45976</v>
      </c>
      <c r="U958" s="5" t="s">
        <v>3802</v>
      </c>
      <c r="V958" s="37"/>
      <c r="W958" s="37"/>
      <c r="X958" t="s">
        <v>3548</v>
      </c>
      <c r="Y958" t="s">
        <v>666</v>
      </c>
      <c r="Z958" s="2">
        <v>6359</v>
      </c>
      <c r="AA958" s="43" t="s">
        <v>3558</v>
      </c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2025-11-17T10:17:53Z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