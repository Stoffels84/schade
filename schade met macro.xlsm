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9" documentId="8_{21511603-A870-4D4C-809B-4C28D285AF8F}" xr6:coauthVersionLast="47" xr6:coauthVersionMax="47" xr10:uidLastSave="{11FCFE7F-4DF9-4D01-8AAA-96F587A4B59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<sst xmlns="http://schemas.openxmlformats.org/spreadsheetml/2006/main" count="8633" uniqueCount="3716">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</sst>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22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188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A906" sqref="A90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25">
      <c r="A905">
        <v>42252</v>
      </c>
      <c r="B905" t="str">
        <f>_xlfn.CONCAT(bron[[#This Row],[personeelsnr]]," ",bron[[#This Row],[achternaam]]," ",bron[[#This Row],[voornaam]])</f>
        <v>42252 Sular Abdullah</v>
      </c>
      <c r="C905" t="str">
        <f>VLOOKUP(bron[[#This Row],[personeelsnr]],'data hastus'!$A:$C,2,0)</f>
        <v>Sular</v>
      </c>
      <c r="D905" t="str">
        <f>VLOOKUP(bron[[#This Row],[personeelsnr]],'data hastus'!$A:$C,3,0)</f>
        <v>Abdullah</v>
      </c>
      <c r="E905" s="2" t="str">
        <f>VLOOKUP(bron[[#This Row],[personeelsnr]],'data hastus'!A:K,11,FALSE)</f>
        <v>Christoff Rotty</v>
      </c>
      <c r="G905" s="39"/>
      <c r="H905" s="39"/>
      <c r="I905" s="39"/>
      <c r="S905" s="36">
        <f>SUM(bron[[#This Row],[Januari]:[December]])</f>
        <v>0</v>
      </c>
      <c r="T905" s="41">
        <v>45945</v>
      </c>
      <c r="V905" s="37"/>
      <c r="W905" s="37"/>
      <c r="X905" t="s">
        <v>3512</v>
      </c>
      <c r="Y905" t="s">
        <v>608</v>
      </c>
      <c r="Z905" s="2">
        <v>5910</v>
      </c>
      <c r="AA905" s="43" t="s">
        <v>3559</v>
      </c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2025-10-15T13:27:06Z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