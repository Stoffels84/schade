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2032" documentId="8_{E6BCF386-B104-424C-B4A8-F32964540273}" xr6:coauthVersionLast="47" xr6:coauthVersionMax="47" xr10:uidLastSave="{9984858B-9A94-4519-9909-D6A3EED4DA63}"/>
  <bookViews>
    <workbookView xWindow="13800" yWindow="1608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8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57" i="1" l="1"/>
  <c r="D857" i="1"/>
  <c r="E857" i="1"/>
  <c r="S857" i="1"/>
  <c r="C856" i="1"/>
  <c r="B856" i="1" s="1"/>
  <c r="D856" i="1"/>
  <c r="E856" i="1"/>
  <c r="S856" i="1"/>
  <c r="S855" i="1"/>
  <c r="C855" i="1"/>
  <c r="B855" i="1" s="1"/>
  <c r="D855" i="1"/>
  <c r="E855" i="1"/>
  <c r="C854" i="1"/>
  <c r="B854" i="1" s="1"/>
  <c r="D854" i="1"/>
  <c r="E854" i="1"/>
  <c r="S854" i="1"/>
  <c r="C853" i="1"/>
  <c r="B853" i="1" s="1"/>
  <c r="D853" i="1"/>
  <c r="E853" i="1"/>
  <c r="S853" i="1"/>
  <c r="C852" i="1"/>
  <c r="B852" i="1" s="1"/>
  <c r="D852" i="1"/>
  <c r="E852" i="1"/>
  <c r="S852" i="1"/>
  <c r="C851" i="1"/>
  <c r="B851" i="1" s="1"/>
  <c r="D851" i="1"/>
  <c r="E851" i="1"/>
  <c r="S851" i="1"/>
  <c r="C850" i="1"/>
  <c r="B850" i="1" s="1"/>
  <c r="D850" i="1"/>
  <c r="E850" i="1"/>
  <c r="S850" i="1"/>
  <c r="C849" i="1"/>
  <c r="B849" i="1" s="1"/>
  <c r="D849" i="1"/>
  <c r="E849" i="1"/>
  <c r="S849" i="1"/>
  <c r="C848" i="1"/>
  <c r="B848" i="1" s="1"/>
  <c r="D848" i="1"/>
  <c r="E848" i="1"/>
  <c r="S848" i="1"/>
  <c r="C847" i="1"/>
  <c r="B847" i="1" s="1"/>
  <c r="D847" i="1"/>
  <c r="E847" i="1"/>
  <c r="S847" i="1"/>
  <c r="C846" i="1"/>
  <c r="B846" i="1" s="1"/>
  <c r="D846" i="1"/>
  <c r="E846" i="1"/>
  <c r="S846" i="1"/>
  <c r="C845" i="1"/>
  <c r="D845" i="1"/>
  <c r="E845" i="1"/>
  <c r="S845" i="1"/>
  <c r="C844" i="1"/>
  <c r="D844" i="1"/>
  <c r="E844" i="1"/>
  <c r="S844" i="1"/>
  <c r="C800" i="1"/>
  <c r="D800" i="1"/>
  <c r="E800" i="1"/>
  <c r="S800" i="1"/>
  <c r="C802" i="1"/>
  <c r="D802" i="1"/>
  <c r="E802" i="1"/>
  <c r="S802" i="1"/>
  <c r="C801" i="1"/>
  <c r="D801" i="1"/>
  <c r="E801" i="1"/>
  <c r="S801" i="1"/>
  <c r="C799" i="1"/>
  <c r="D799" i="1"/>
  <c r="E799" i="1"/>
  <c r="S799" i="1"/>
  <c r="C798" i="1"/>
  <c r="D798" i="1"/>
  <c r="E798" i="1"/>
  <c r="S798" i="1"/>
  <c r="C772" i="1"/>
  <c r="D772" i="1"/>
  <c r="E772" i="1"/>
  <c r="S772" i="1"/>
  <c r="C797" i="1"/>
  <c r="D797" i="1"/>
  <c r="E797" i="1"/>
  <c r="S797" i="1"/>
  <c r="C531" i="1"/>
  <c r="B531" i="1" s="1"/>
  <c r="D531" i="1"/>
  <c r="C559" i="1"/>
  <c r="B559" i="1" s="1"/>
  <c r="D559" i="1"/>
  <c r="C589" i="1"/>
  <c r="B589" i="1" s="1"/>
  <c r="D589" i="1"/>
  <c r="C667" i="1"/>
  <c r="B667" i="1" s="1"/>
  <c r="D667" i="1"/>
  <c r="C755" i="1"/>
  <c r="C791" i="1"/>
  <c r="C793" i="1"/>
  <c r="C795" i="1"/>
  <c r="C794" i="1"/>
  <c r="C796" i="1"/>
  <c r="D755" i="1"/>
  <c r="D791" i="1"/>
  <c r="D793" i="1"/>
  <c r="D795" i="1"/>
  <c r="D794" i="1"/>
  <c r="D796" i="1"/>
  <c r="E755" i="1"/>
  <c r="E791" i="1"/>
  <c r="E793" i="1"/>
  <c r="E795" i="1"/>
  <c r="E794" i="1"/>
  <c r="E796" i="1"/>
  <c r="S755" i="1"/>
  <c r="S791" i="1"/>
  <c r="S793" i="1"/>
  <c r="S795" i="1"/>
  <c r="S794" i="1"/>
  <c r="S796" i="1"/>
  <c r="C785" i="1"/>
  <c r="D785" i="1"/>
  <c r="E785" i="1"/>
  <c r="S785" i="1"/>
  <c r="C786" i="1"/>
  <c r="D786" i="1"/>
  <c r="E786" i="1"/>
  <c r="S786" i="1"/>
  <c r="C792" i="1"/>
  <c r="D792" i="1"/>
  <c r="E792" i="1"/>
  <c r="S792" i="1"/>
  <c r="C843" i="1"/>
  <c r="D843" i="1"/>
  <c r="E843" i="1"/>
  <c r="S843" i="1"/>
  <c r="C790" i="1"/>
  <c r="D790" i="1"/>
  <c r="E790" i="1"/>
  <c r="S790" i="1"/>
  <c r="C789" i="1"/>
  <c r="D789" i="1"/>
  <c r="E789" i="1"/>
  <c r="S789" i="1"/>
  <c r="B772" i="1"/>
  <c r="B787" i="1"/>
  <c r="S787" i="1"/>
  <c r="C788" i="1"/>
  <c r="D788" i="1"/>
  <c r="E788" i="1"/>
  <c r="S788" i="1"/>
  <c r="C821" i="1"/>
  <c r="D821" i="1"/>
  <c r="E821" i="1"/>
  <c r="S821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518" i="1"/>
  <c r="B585" i="1"/>
  <c r="B746" i="1"/>
  <c r="B774" i="1"/>
  <c r="B2" i="1"/>
  <c r="S813" i="1"/>
  <c r="C813" i="1"/>
  <c r="D813" i="1"/>
  <c r="E813" i="1"/>
  <c r="C783" i="1"/>
  <c r="D783" i="1"/>
  <c r="E783" i="1"/>
  <c r="S783" i="1"/>
  <c r="B2" i="12"/>
  <c r="B3" i="12"/>
  <c r="B4" i="12"/>
  <c r="E4" i="12"/>
  <c r="B5" i="12"/>
  <c r="D5" i="12"/>
  <c r="B6" i="12"/>
  <c r="B7" i="12"/>
  <c r="B8" i="12"/>
  <c r="B9" i="12"/>
  <c r="B10" i="12"/>
  <c r="B11" i="12"/>
  <c r="B12" i="12"/>
  <c r="B13" i="12"/>
  <c r="B14" i="12"/>
  <c r="C7" i="12"/>
  <c r="C8" i="12"/>
  <c r="C9" i="12"/>
  <c r="C10" i="12"/>
  <c r="C11" i="12"/>
  <c r="C12" i="12"/>
  <c r="C13" i="12"/>
  <c r="C14" i="12"/>
  <c r="C4" i="12"/>
  <c r="C5" i="12"/>
  <c r="C6" i="12"/>
  <c r="C784" i="1"/>
  <c r="D784" i="1"/>
  <c r="E784" i="1"/>
  <c r="S784" i="1"/>
  <c r="C2" i="12"/>
  <c r="C3" i="12"/>
  <c r="C677" i="1"/>
  <c r="D677" i="1"/>
  <c r="E677" i="1"/>
  <c r="S677" i="1"/>
  <c r="D4" i="12"/>
  <c r="E5" i="12"/>
  <c r="E12" i="12"/>
  <c r="D12" i="12"/>
  <c r="E13" i="12"/>
  <c r="D13" i="12"/>
  <c r="E9" i="12"/>
  <c r="D9" i="12"/>
  <c r="E8" i="12"/>
  <c r="D8" i="12"/>
  <c r="E10" i="12"/>
  <c r="D10" i="12"/>
  <c r="E11" i="12"/>
  <c r="D11" i="12"/>
  <c r="E14" i="12"/>
  <c r="D14" i="12"/>
  <c r="E7" i="12"/>
  <c r="D7" i="12"/>
  <c r="E6" i="12"/>
  <c r="D6" i="12"/>
  <c r="E3" i="12"/>
  <c r="D3" i="12"/>
  <c r="E2" i="12"/>
  <c r="D2" i="12"/>
  <c r="C764" i="1"/>
  <c r="D764" i="1"/>
  <c r="E764" i="1"/>
  <c r="S764" i="1"/>
  <c r="C782" i="1"/>
  <c r="D782" i="1"/>
  <c r="E782" i="1"/>
  <c r="S782" i="1"/>
  <c r="C773" i="1"/>
  <c r="D773" i="1"/>
  <c r="E773" i="1"/>
  <c r="S773" i="1"/>
  <c r="S774" i="1"/>
  <c r="C780" i="1"/>
  <c r="D780" i="1"/>
  <c r="E780" i="1"/>
  <c r="S780" i="1"/>
  <c r="C779" i="1"/>
  <c r="D779" i="1"/>
  <c r="E779" i="1"/>
  <c r="S779" i="1"/>
  <c r="C781" i="1"/>
  <c r="D781" i="1"/>
  <c r="E781" i="1"/>
  <c r="S781" i="1"/>
  <c r="C840" i="1"/>
  <c r="D840" i="1"/>
  <c r="E840" i="1"/>
  <c r="S840" i="1"/>
  <c r="C778" i="1"/>
  <c r="D778" i="1"/>
  <c r="E778" i="1"/>
  <c r="S778" i="1"/>
  <c r="C777" i="1"/>
  <c r="D777" i="1"/>
  <c r="E777" i="1"/>
  <c r="S777" i="1"/>
  <c r="C837" i="1"/>
  <c r="D837" i="1"/>
  <c r="E837" i="1"/>
  <c r="S837" i="1"/>
  <c r="C767" i="1"/>
  <c r="D767" i="1"/>
  <c r="E767" i="1"/>
  <c r="S767" i="1"/>
  <c r="C775" i="1"/>
  <c r="D775" i="1"/>
  <c r="E775" i="1"/>
  <c r="S775" i="1"/>
  <c r="C776" i="1"/>
  <c r="D776" i="1"/>
  <c r="E776" i="1"/>
  <c r="S776" i="1"/>
  <c r="C765" i="1"/>
  <c r="D765" i="1"/>
  <c r="E765" i="1"/>
  <c r="S765" i="1"/>
  <c r="C815" i="1"/>
  <c r="D815" i="1"/>
  <c r="E815" i="1"/>
  <c r="S815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31" i="1"/>
  <c r="D831" i="1"/>
  <c r="E831" i="1"/>
  <c r="C810" i="1"/>
  <c r="D810" i="1"/>
  <c r="E810" i="1"/>
  <c r="S810" i="1"/>
  <c r="C771" i="1"/>
  <c r="D771" i="1"/>
  <c r="E771" i="1"/>
  <c r="S771" i="1"/>
  <c r="C763" i="1"/>
  <c r="D763" i="1"/>
  <c r="E763" i="1"/>
  <c r="S763" i="1"/>
  <c r="C827" i="1"/>
  <c r="D827" i="1"/>
  <c r="E827" i="1"/>
  <c r="S827" i="1"/>
  <c r="C769" i="1"/>
  <c r="D769" i="1"/>
  <c r="E769" i="1"/>
  <c r="S769" i="1"/>
  <c r="C814" i="1"/>
  <c r="D814" i="1"/>
  <c r="E814" i="1"/>
  <c r="S814" i="1"/>
  <c r="C758" i="1"/>
  <c r="D758" i="1"/>
  <c r="E758" i="1"/>
  <c r="S758" i="1"/>
  <c r="C770" i="1"/>
  <c r="D770" i="1"/>
  <c r="E770" i="1"/>
  <c r="S770" i="1"/>
  <c r="C766" i="1"/>
  <c r="D766" i="1"/>
  <c r="E766" i="1"/>
  <c r="S766" i="1"/>
  <c r="C768" i="1"/>
  <c r="D768" i="1"/>
  <c r="E768" i="1"/>
  <c r="S768" i="1"/>
  <c r="C762" i="1"/>
  <c r="D762" i="1"/>
  <c r="E762" i="1"/>
  <c r="S762" i="1"/>
  <c r="C735" i="1"/>
  <c r="D735" i="1"/>
  <c r="E735" i="1"/>
  <c r="S735" i="1"/>
  <c r="C760" i="1"/>
  <c r="D760" i="1"/>
  <c r="E760" i="1"/>
  <c r="S760" i="1"/>
  <c r="C816" i="1"/>
  <c r="D816" i="1"/>
  <c r="E816" i="1"/>
  <c r="S816" i="1"/>
  <c r="C761" i="1"/>
  <c r="D761" i="1"/>
  <c r="E761" i="1"/>
  <c r="S761" i="1"/>
  <c r="C759" i="1"/>
  <c r="D759" i="1"/>
  <c r="E759" i="1"/>
  <c r="S759" i="1"/>
  <c r="C756" i="1"/>
  <c r="D756" i="1"/>
  <c r="E756" i="1"/>
  <c r="S756" i="1"/>
  <c r="C757" i="1"/>
  <c r="D757" i="1"/>
  <c r="E757" i="1"/>
  <c r="S757" i="1"/>
  <c r="C753" i="1"/>
  <c r="D753" i="1"/>
  <c r="E753" i="1"/>
  <c r="S753" i="1"/>
  <c r="C750" i="1"/>
  <c r="D750" i="1"/>
  <c r="E750" i="1"/>
  <c r="S750" i="1"/>
  <c r="C749" i="1"/>
  <c r="D749" i="1"/>
  <c r="E749" i="1"/>
  <c r="S749" i="1"/>
  <c r="C752" i="1"/>
  <c r="D752" i="1"/>
  <c r="E752" i="1"/>
  <c r="S752" i="1"/>
  <c r="C730" i="1"/>
  <c r="D730" i="1"/>
  <c r="E730" i="1"/>
  <c r="S730" i="1"/>
  <c r="C754" i="1"/>
  <c r="D754" i="1"/>
  <c r="E754" i="1"/>
  <c r="S754" i="1"/>
  <c r="C751" i="1"/>
  <c r="D751" i="1"/>
  <c r="E751" i="1"/>
  <c r="S751" i="1"/>
  <c r="C747" i="1"/>
  <c r="D747" i="1"/>
  <c r="E747" i="1"/>
  <c r="S747" i="1"/>
  <c r="S746" i="1"/>
  <c r="C745" i="1"/>
  <c r="D745" i="1"/>
  <c r="E745" i="1"/>
  <c r="S745" i="1"/>
  <c r="C748" i="1"/>
  <c r="D748" i="1"/>
  <c r="E748" i="1"/>
  <c r="S748" i="1"/>
  <c r="C738" i="1"/>
  <c r="D738" i="1"/>
  <c r="E738" i="1"/>
  <c r="S738" i="1"/>
  <c r="C734" i="1"/>
  <c r="D734" i="1"/>
  <c r="E734" i="1"/>
  <c r="S734" i="1"/>
  <c r="C744" i="1"/>
  <c r="D744" i="1"/>
  <c r="E744" i="1"/>
  <c r="S744" i="1"/>
  <c r="C728" i="1"/>
  <c r="D728" i="1"/>
  <c r="E728" i="1"/>
  <c r="S728" i="1"/>
  <c r="C741" i="1"/>
  <c r="D741" i="1"/>
  <c r="E741" i="1"/>
  <c r="S741" i="1"/>
  <c r="C825" i="1"/>
  <c r="D825" i="1"/>
  <c r="E825" i="1"/>
  <c r="S825" i="1"/>
  <c r="C723" i="1"/>
  <c r="D723" i="1"/>
  <c r="E723" i="1"/>
  <c r="S723" i="1"/>
  <c r="C742" i="1"/>
  <c r="D742" i="1"/>
  <c r="E742" i="1"/>
  <c r="S742" i="1"/>
  <c r="C809" i="1"/>
  <c r="D809" i="1"/>
  <c r="E809" i="1"/>
  <c r="S809" i="1"/>
  <c r="C743" i="1"/>
  <c r="D743" i="1"/>
  <c r="E743" i="1"/>
  <c r="S743" i="1"/>
  <c r="C839" i="1"/>
  <c r="D839" i="1"/>
  <c r="E839" i="1"/>
  <c r="S839" i="1"/>
  <c r="C739" i="1"/>
  <c r="D739" i="1"/>
  <c r="E739" i="1"/>
  <c r="S739" i="1"/>
  <c r="C737" i="1"/>
  <c r="D737" i="1"/>
  <c r="E737" i="1"/>
  <c r="S737" i="1"/>
  <c r="C736" i="1"/>
  <c r="D736" i="1"/>
  <c r="E736" i="1"/>
  <c r="S736" i="1"/>
  <c r="C740" i="1"/>
  <c r="D740" i="1"/>
  <c r="E740" i="1"/>
  <c r="S740" i="1"/>
  <c r="C732" i="1"/>
  <c r="D732" i="1"/>
  <c r="E732" i="1"/>
  <c r="S732" i="1"/>
  <c r="C818" i="1"/>
  <c r="D818" i="1"/>
  <c r="E818" i="1"/>
  <c r="S818" i="1"/>
  <c r="C731" i="1"/>
  <c r="D731" i="1"/>
  <c r="E731" i="1"/>
  <c r="S731" i="1"/>
  <c r="C714" i="1"/>
  <c r="D714" i="1"/>
  <c r="E714" i="1"/>
  <c r="S714" i="1"/>
  <c r="C725" i="1"/>
  <c r="D725" i="1"/>
  <c r="E725" i="1"/>
  <c r="S725" i="1"/>
  <c r="C733" i="1"/>
  <c r="D733" i="1"/>
  <c r="E733" i="1"/>
  <c r="S733" i="1"/>
  <c r="C722" i="1"/>
  <c r="D722" i="1"/>
  <c r="E722" i="1"/>
  <c r="S722" i="1"/>
  <c r="C729" i="1"/>
  <c r="D729" i="1"/>
  <c r="E729" i="1"/>
  <c r="S729" i="1"/>
  <c r="C726" i="1"/>
  <c r="D726" i="1"/>
  <c r="E726" i="1"/>
  <c r="S726" i="1"/>
  <c r="C721" i="1"/>
  <c r="D721" i="1"/>
  <c r="E721" i="1"/>
  <c r="S721" i="1"/>
  <c r="C724" i="1"/>
  <c r="D724" i="1"/>
  <c r="E724" i="1"/>
  <c r="S724" i="1"/>
  <c r="C727" i="1"/>
  <c r="D727" i="1"/>
  <c r="E727" i="1"/>
  <c r="S727" i="1"/>
  <c r="C807" i="1"/>
  <c r="D807" i="1"/>
  <c r="E807" i="1"/>
  <c r="S807" i="1"/>
  <c r="C711" i="1"/>
  <c r="D711" i="1"/>
  <c r="E711" i="1"/>
  <c r="S711" i="1"/>
  <c r="C664" i="1"/>
  <c r="D664" i="1"/>
  <c r="E664" i="1"/>
  <c r="S664" i="1"/>
  <c r="C717" i="1"/>
  <c r="D717" i="1"/>
  <c r="E717" i="1"/>
  <c r="S717" i="1"/>
  <c r="C720" i="1"/>
  <c r="D720" i="1"/>
  <c r="E720" i="1"/>
  <c r="S720" i="1"/>
  <c r="C697" i="1"/>
  <c r="D697" i="1"/>
  <c r="E697" i="1"/>
  <c r="S697" i="1"/>
  <c r="C719" i="1"/>
  <c r="D719" i="1"/>
  <c r="E719" i="1"/>
  <c r="S719" i="1"/>
  <c r="C718" i="1"/>
  <c r="D718" i="1"/>
  <c r="E718" i="1"/>
  <c r="S718" i="1"/>
  <c r="C707" i="1"/>
  <c r="D707" i="1"/>
  <c r="E707" i="1"/>
  <c r="S707" i="1"/>
  <c r="C716" i="1"/>
  <c r="D716" i="1"/>
  <c r="E716" i="1"/>
  <c r="S716" i="1"/>
  <c r="C715" i="1"/>
  <c r="D715" i="1"/>
  <c r="E715" i="1"/>
  <c r="S715" i="1"/>
  <c r="C522" i="1"/>
  <c r="D522" i="1"/>
  <c r="E522" i="1"/>
  <c r="S522" i="1"/>
  <c r="C820" i="1"/>
  <c r="D820" i="1"/>
  <c r="E820" i="1"/>
  <c r="S820" i="1"/>
  <c r="C712" i="1"/>
  <c r="D712" i="1"/>
  <c r="E712" i="1"/>
  <c r="S712" i="1"/>
  <c r="C713" i="1"/>
  <c r="D713" i="1"/>
  <c r="E713" i="1"/>
  <c r="S713" i="1"/>
  <c r="C698" i="1"/>
  <c r="D698" i="1"/>
  <c r="E698" i="1"/>
  <c r="S698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689" i="1"/>
  <c r="D689" i="1"/>
  <c r="E689" i="1"/>
  <c r="S689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02" i="1"/>
  <c r="D702" i="1"/>
  <c r="E702" i="1"/>
  <c r="S702" i="1"/>
  <c r="C708" i="1"/>
  <c r="D708" i="1"/>
  <c r="E708" i="1"/>
  <c r="S708" i="1"/>
  <c r="C709" i="1"/>
  <c r="D709" i="1"/>
  <c r="E709" i="1"/>
  <c r="S709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04" i="1"/>
  <c r="D704" i="1"/>
  <c r="E704" i="1"/>
  <c r="S704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10" i="1"/>
  <c r="D710" i="1"/>
  <c r="E710" i="1"/>
  <c r="S710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06" i="1"/>
  <c r="D706" i="1"/>
  <c r="E706" i="1"/>
  <c r="S706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705" i="1"/>
  <c r="D705" i="1"/>
  <c r="E705" i="1"/>
  <c r="S705" i="1"/>
  <c r="C703" i="1"/>
  <c r="D703" i="1"/>
  <c r="E703" i="1"/>
  <c r="S703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01" i="1"/>
  <c r="D701" i="1"/>
  <c r="E701" i="1"/>
  <c r="S701" i="1"/>
  <c r="C696" i="1"/>
  <c r="D696" i="1"/>
  <c r="E696" i="1"/>
  <c r="S696" i="1"/>
  <c r="S644" i="1"/>
  <c r="S534" i="1"/>
  <c r="S683" i="1"/>
  <c r="S523" i="1"/>
  <c r="S596" i="1"/>
  <c r="S656" i="1"/>
  <c r="S640" i="1"/>
  <c r="S554" i="1"/>
  <c r="S658" i="1"/>
  <c r="S573" i="1"/>
  <c r="S515" i="1"/>
  <c r="S552" i="1"/>
  <c r="S569" i="1"/>
  <c r="S591" i="1"/>
  <c r="S537" i="1"/>
  <c r="S624" i="1"/>
  <c r="S582" i="1"/>
  <c r="S599" i="1"/>
  <c r="S590" i="1"/>
  <c r="S560" i="1"/>
  <c r="S536" i="1"/>
  <c r="S530" i="1"/>
  <c r="S607" i="1"/>
  <c r="S533" i="1"/>
  <c r="S516" i="1"/>
  <c r="S635" i="1"/>
  <c r="S829" i="1"/>
  <c r="S833" i="1"/>
  <c r="S670" i="1"/>
  <c r="S836" i="1"/>
  <c r="S527" i="1"/>
  <c r="S619" i="1"/>
  <c r="S629" i="1"/>
  <c r="S575" i="1"/>
  <c r="S628" i="1"/>
  <c r="S539" i="1"/>
  <c r="S597" i="1"/>
  <c r="S532" i="1"/>
  <c r="S811" i="1"/>
  <c r="S657" i="1"/>
  <c r="S665" i="1"/>
  <c r="S574" i="1"/>
  <c r="S556" i="1"/>
  <c r="S609" i="1"/>
  <c r="S636" i="1"/>
  <c r="S835" i="1"/>
  <c r="S543" i="1"/>
  <c r="S824" i="1"/>
  <c r="S699" i="1"/>
  <c r="S637" i="1"/>
  <c r="S526" i="1"/>
  <c r="S542" i="1"/>
  <c r="S830" i="1"/>
  <c r="S613" i="1"/>
  <c r="S633" i="1"/>
  <c r="S803" i="1"/>
  <c r="S525" i="1"/>
  <c r="S584" i="1"/>
  <c r="S588" i="1"/>
  <c r="S828" i="1"/>
  <c r="S521" i="1"/>
  <c r="S514" i="1"/>
  <c r="S571" i="1"/>
  <c r="S647" i="1"/>
  <c r="S822" i="1"/>
  <c r="S649" i="1"/>
  <c r="S650" i="1"/>
  <c r="S535" i="1"/>
  <c r="S641" i="1"/>
  <c r="S819" i="1"/>
  <c r="S600" i="1"/>
  <c r="S567" i="1"/>
  <c r="S572" i="1"/>
  <c r="S538" i="1"/>
  <c r="S592" i="1"/>
  <c r="S558" i="1"/>
  <c r="S545" i="1"/>
  <c r="S559" i="1"/>
  <c r="S564" i="1"/>
  <c r="S550" i="1"/>
  <c r="S602" i="1"/>
  <c r="S549" i="1"/>
  <c r="S557" i="1"/>
  <c r="S817" i="1"/>
  <c r="S832" i="1"/>
  <c r="S823" i="1"/>
  <c r="S612" i="1"/>
  <c r="S601" i="1"/>
  <c r="S578" i="1"/>
  <c r="S834" i="1"/>
  <c r="S568" i="1"/>
  <c r="S610" i="1"/>
  <c r="S606" i="1"/>
  <c r="S655" i="1"/>
  <c r="S667" i="1"/>
  <c r="S666" i="1"/>
  <c r="S593" i="1"/>
  <c r="S631" i="1"/>
  <c r="S608" i="1"/>
  <c r="S627" i="1"/>
  <c r="S551" i="1"/>
  <c r="S603" i="1"/>
  <c r="S625" i="1"/>
  <c r="S653" i="1"/>
  <c r="S623" i="1"/>
  <c r="S617" i="1"/>
  <c r="S544" i="1"/>
  <c r="S594" i="1"/>
  <c r="S841" i="1"/>
  <c r="S548" i="1"/>
  <c r="S517" i="1"/>
  <c r="S634" i="1"/>
  <c r="S529" i="1"/>
  <c r="S520" i="1"/>
  <c r="S546" i="1"/>
  <c r="S553" i="1"/>
  <c r="S555" i="1"/>
  <c r="S805" i="1"/>
  <c r="S806" i="1"/>
  <c r="S616" i="1"/>
  <c r="S630" i="1"/>
  <c r="S638" i="1"/>
  <c r="S615" i="1"/>
  <c r="S632" i="1"/>
  <c r="S540" i="1"/>
  <c r="S642" i="1"/>
  <c r="S587" i="1"/>
  <c r="S680" i="1"/>
  <c r="S685" i="1"/>
  <c r="S645" i="1"/>
  <c r="S589" i="1"/>
  <c r="S646" i="1"/>
  <c r="S812" i="1"/>
  <c r="S659" i="1"/>
  <c r="S585" i="1"/>
  <c r="S643" i="1"/>
  <c r="S566" i="1"/>
  <c r="S519" i="1"/>
  <c r="S686" i="1"/>
  <c r="S547" i="1"/>
  <c r="S614" i="1"/>
  <c r="S648" i="1"/>
  <c r="S570" i="1"/>
  <c r="S651" i="1"/>
  <c r="S524" i="1"/>
  <c r="S672" i="1"/>
  <c r="S652" i="1"/>
  <c r="S528" i="1"/>
  <c r="S669" i="1"/>
  <c r="S604" i="1"/>
  <c r="S682" i="1"/>
  <c r="S676" i="1"/>
  <c r="S842" i="1"/>
  <c r="S586" i="1"/>
  <c r="S595" i="1"/>
  <c r="S668" i="1"/>
  <c r="S687" i="1"/>
  <c r="S565" i="1"/>
  <c r="S563" i="1"/>
  <c r="S639" i="1"/>
  <c r="S611" i="1"/>
  <c r="S654" i="1"/>
  <c r="S660" i="1"/>
  <c r="S662" i="1"/>
  <c r="S622" i="1"/>
  <c r="S580" i="1"/>
  <c r="S581" i="1"/>
  <c r="S620" i="1"/>
  <c r="S661" i="1"/>
  <c r="S531" i="1"/>
  <c r="S684" i="1"/>
  <c r="S671" i="1"/>
  <c r="S577" i="1"/>
  <c r="S562" i="1"/>
  <c r="S678" i="1"/>
  <c r="S621" i="1"/>
  <c r="S673" i="1"/>
  <c r="S598" i="1"/>
  <c r="S605" i="1"/>
  <c r="S674" i="1"/>
  <c r="S541" i="1"/>
  <c r="S808" i="1"/>
  <c r="S561" i="1"/>
  <c r="S579" i="1"/>
  <c r="S663" i="1"/>
  <c r="S583" i="1"/>
  <c r="S576" i="1"/>
  <c r="S626" i="1"/>
  <c r="S518" i="1"/>
  <c r="S675" i="1"/>
  <c r="S679" i="1"/>
  <c r="S690" i="1"/>
  <c r="S681" i="1"/>
  <c r="S691" i="1"/>
  <c r="S692" i="1"/>
  <c r="S838" i="1"/>
  <c r="S804" i="1"/>
  <c r="S618" i="1"/>
  <c r="S693" i="1"/>
  <c r="S695" i="1"/>
  <c r="S694" i="1"/>
  <c r="S700" i="1"/>
  <c r="S688" i="1"/>
  <c r="S826" i="1"/>
  <c r="C826" i="1"/>
  <c r="D826" i="1"/>
  <c r="E826" i="1"/>
  <c r="E688" i="1"/>
  <c r="D688" i="1"/>
  <c r="C688" i="1"/>
  <c r="E700" i="1"/>
  <c r="D700" i="1"/>
  <c r="C700" i="1"/>
  <c r="E694" i="1"/>
  <c r="D694" i="1"/>
  <c r="C694" i="1"/>
  <c r="C695" i="1"/>
  <c r="D695" i="1"/>
  <c r="E695" i="1"/>
  <c r="C693" i="1"/>
  <c r="D693" i="1"/>
  <c r="E693" i="1"/>
  <c r="C692" i="1"/>
  <c r="D692" i="1"/>
  <c r="E692" i="1"/>
  <c r="C691" i="1"/>
  <c r="D691" i="1"/>
  <c r="E691" i="1"/>
  <c r="C681" i="1"/>
  <c r="D681" i="1"/>
  <c r="E681" i="1"/>
  <c r="C690" i="1"/>
  <c r="D690" i="1"/>
  <c r="E690" i="1"/>
  <c r="C679" i="1"/>
  <c r="D679" i="1"/>
  <c r="E679" i="1"/>
  <c r="C675" i="1"/>
  <c r="D675" i="1"/>
  <c r="E675" i="1"/>
  <c r="C686" i="1"/>
  <c r="D686" i="1"/>
  <c r="E686" i="1"/>
  <c r="C676" i="1"/>
  <c r="D676" i="1"/>
  <c r="E676" i="1"/>
  <c r="C682" i="1"/>
  <c r="D682" i="1"/>
  <c r="E682" i="1"/>
  <c r="C806" i="1"/>
  <c r="D806" i="1"/>
  <c r="E806" i="1"/>
  <c r="E678" i="1"/>
  <c r="D678" i="1"/>
  <c r="C678" i="1"/>
  <c r="E673" i="1"/>
  <c r="D673" i="1"/>
  <c r="C673" i="1"/>
  <c r="E674" i="1"/>
  <c r="D674" i="1"/>
  <c r="C674" i="1"/>
  <c r="C671" i="1"/>
  <c r="D671" i="1"/>
  <c r="E671" i="1"/>
  <c r="C669" i="1"/>
  <c r="D669" i="1"/>
  <c r="E669" i="1"/>
  <c r="C655" i="1"/>
  <c r="D655" i="1"/>
  <c r="E655" i="1"/>
  <c r="C666" i="1"/>
  <c r="D666" i="1"/>
  <c r="E666" i="1"/>
  <c r="C659" i="1"/>
  <c r="D659" i="1"/>
  <c r="E659" i="1"/>
  <c r="E648" i="1"/>
  <c r="D648" i="1"/>
  <c r="C648" i="1"/>
  <c r="C645" i="1"/>
  <c r="D645" i="1"/>
  <c r="E645" i="1"/>
  <c r="C804" i="1"/>
  <c r="D804" i="1"/>
  <c r="E804" i="1"/>
  <c r="E646" i="1"/>
  <c r="D646" i="1"/>
  <c r="C646" i="1"/>
  <c r="C639" i="1"/>
  <c r="D639" i="1"/>
  <c r="E639" i="1"/>
  <c r="C641" i="1"/>
  <c r="D641" i="1"/>
  <c r="E641" i="1"/>
  <c r="E638" i="1"/>
  <c r="D638" i="1"/>
  <c r="C638" i="1"/>
  <c r="C622" i="1"/>
  <c r="D622" i="1"/>
  <c r="E622" i="1"/>
  <c r="C838" i="1"/>
  <c r="D838" i="1"/>
  <c r="E838" i="1"/>
  <c r="C621" i="1"/>
  <c r="D621" i="1"/>
  <c r="E621" i="1"/>
  <c r="C612" i="1"/>
  <c r="D612" i="1"/>
  <c r="E612" i="1"/>
  <c r="C550" i="1"/>
  <c r="D550" i="1"/>
  <c r="E550" i="1"/>
  <c r="C834" i="1"/>
  <c r="D834" i="1"/>
  <c r="E834" i="1"/>
  <c r="C618" i="1"/>
  <c r="D618" i="1"/>
  <c r="E618" i="1"/>
  <c r="C615" i="1"/>
  <c r="D615" i="1"/>
  <c r="E615" i="1"/>
  <c r="C601" i="1"/>
  <c r="D601" i="1"/>
  <c r="E601" i="1"/>
  <c r="C605" i="1"/>
  <c r="D605" i="1"/>
  <c r="E605" i="1"/>
  <c r="C614" i="1"/>
  <c r="D614" i="1"/>
  <c r="E614" i="1"/>
  <c r="C805" i="1"/>
  <c r="D805" i="1"/>
  <c r="E805" i="1"/>
  <c r="C586" i="1"/>
  <c r="D586" i="1"/>
  <c r="E586" i="1"/>
  <c r="C570" i="1"/>
  <c r="D570" i="1"/>
  <c r="E570" i="1"/>
  <c r="C561" i="1"/>
  <c r="D561" i="1"/>
  <c r="E561" i="1"/>
  <c r="C562" i="1"/>
  <c r="D562" i="1"/>
  <c r="E562" i="1"/>
  <c r="C555" i="1"/>
  <c r="D555" i="1"/>
  <c r="E555" i="1"/>
  <c r="C553" i="1"/>
  <c r="D553" i="1"/>
  <c r="E553" i="1"/>
  <c r="C549" i="1"/>
  <c r="D549" i="1"/>
  <c r="E549" i="1"/>
  <c r="C547" i="1"/>
  <c r="D547" i="1"/>
  <c r="E547" i="1"/>
  <c r="C540" i="1"/>
  <c r="D540" i="1"/>
  <c r="E540" i="1"/>
  <c r="C546" i="1"/>
  <c r="D546" i="1"/>
  <c r="E546" i="1"/>
  <c r="C541" i="1"/>
  <c r="D541" i="1"/>
  <c r="E541" i="1"/>
  <c r="C529" i="1"/>
  <c r="D529" i="1"/>
  <c r="E529" i="1"/>
  <c r="E534" i="1"/>
  <c r="E596" i="1"/>
  <c r="E583" i="1"/>
  <c r="E577" i="1"/>
  <c r="E523" i="1"/>
  <c r="E519" i="1"/>
  <c r="E683" i="1"/>
  <c r="E535" i="1"/>
  <c r="E611" i="1"/>
  <c r="E554" i="1"/>
  <c r="E580" i="1"/>
  <c r="E581" i="1"/>
  <c r="E658" i="1"/>
  <c r="E640" i="1"/>
  <c r="E565" i="1"/>
  <c r="E656" i="1"/>
  <c r="E515" i="1"/>
  <c r="E573" i="1"/>
  <c r="E552" i="1"/>
  <c r="E591" i="1"/>
  <c r="E537" i="1"/>
  <c r="E569" i="1"/>
  <c r="E811" i="1"/>
  <c r="E599" i="1"/>
  <c r="E560" i="1"/>
  <c r="E582" i="1"/>
  <c r="E590" i="1"/>
  <c r="E624" i="1"/>
  <c r="E657" i="1"/>
  <c r="E530" i="1"/>
  <c r="E628" i="1"/>
  <c r="E526" i="1"/>
  <c r="E619" i="1"/>
  <c r="E829" i="1"/>
  <c r="E532" i="1"/>
  <c r="E699" i="1"/>
  <c r="E629" i="1"/>
  <c r="E836" i="1"/>
  <c r="E563" i="1"/>
  <c r="E527" i="1"/>
  <c r="E833" i="1"/>
  <c r="E597" i="1"/>
  <c r="E607" i="1"/>
  <c r="E516" i="1"/>
  <c r="E662" i="1"/>
  <c r="E539" i="1"/>
  <c r="E533" i="1"/>
  <c r="E635" i="1"/>
  <c r="E575" i="1"/>
  <c r="E670" i="1"/>
  <c r="E536" i="1"/>
  <c r="E665" i="1"/>
  <c r="E524" i="1"/>
  <c r="E613" i="1"/>
  <c r="E649" i="1"/>
  <c r="E830" i="1"/>
  <c r="E574" i="1"/>
  <c r="E636" i="1"/>
  <c r="E517" i="1"/>
  <c r="E817" i="1"/>
  <c r="E521" i="1"/>
  <c r="E609" i="1"/>
  <c r="E525" i="1"/>
  <c r="E828" i="1"/>
  <c r="E600" i="1"/>
  <c r="E571" i="1"/>
  <c r="E556" i="1"/>
  <c r="E803" i="1"/>
  <c r="E588" i="1"/>
  <c r="E595" i="1"/>
  <c r="E514" i="1"/>
  <c r="E835" i="1"/>
  <c r="E650" i="1"/>
  <c r="E637" i="1"/>
  <c r="E542" i="1"/>
  <c r="E584" i="1"/>
  <c r="E819" i="1"/>
  <c r="E543" i="1"/>
  <c r="E824" i="1"/>
  <c r="E633" i="1"/>
  <c r="E822" i="1"/>
  <c r="E620" i="1"/>
  <c r="E661" i="1"/>
  <c r="E587" i="1"/>
  <c r="E608" i="1"/>
  <c r="E680" i="1"/>
  <c r="E685" i="1"/>
  <c r="E630" i="1"/>
  <c r="E647" i="1"/>
  <c r="E654" i="1"/>
  <c r="E604" i="1"/>
  <c r="E528" i="1"/>
  <c r="E643" i="1"/>
  <c r="E593" i="1"/>
  <c r="E812" i="1"/>
  <c r="E626" i="1"/>
  <c r="E572" i="1"/>
  <c r="E557" i="1"/>
  <c r="E598" i="1"/>
  <c r="E808" i="1"/>
  <c r="E551" i="1"/>
  <c r="E544" i="1"/>
  <c r="E841" i="1"/>
  <c r="E592" i="1"/>
  <c r="E653" i="1"/>
  <c r="E627" i="1"/>
  <c r="E564" i="1"/>
  <c r="E567" i="1"/>
  <c r="E672" i="1"/>
  <c r="E566" i="1"/>
  <c r="E545" i="1"/>
  <c r="E616" i="1"/>
  <c r="E602" i="1"/>
  <c r="E842" i="1"/>
  <c r="E642" i="1"/>
  <c r="E579" i="1"/>
  <c r="E668" i="1"/>
  <c r="E687" i="1"/>
  <c r="E603" i="1"/>
  <c r="E634" i="1"/>
  <c r="E610" i="1"/>
  <c r="E652" i="1"/>
  <c r="E558" i="1"/>
  <c r="E832" i="1"/>
  <c r="E576" i="1"/>
  <c r="E632" i="1"/>
  <c r="E568" i="1"/>
  <c r="E684" i="1"/>
  <c r="E625" i="1"/>
  <c r="E594" i="1"/>
  <c r="E538" i="1"/>
  <c r="E578" i="1"/>
  <c r="E660" i="1"/>
  <c r="E623" i="1"/>
  <c r="E617" i="1"/>
  <c r="E548" i="1"/>
  <c r="E606" i="1"/>
  <c r="E520" i="1"/>
  <c r="E663" i="1"/>
  <c r="E823" i="1"/>
  <c r="E651" i="1"/>
  <c r="E631" i="1"/>
  <c r="E644" i="1"/>
  <c r="C524" i="1"/>
  <c r="D524" i="1"/>
  <c r="C517" i="1"/>
  <c r="D517" i="1"/>
  <c r="C519" i="1"/>
  <c r="D519" i="1"/>
  <c r="C611" i="1"/>
  <c r="D611" i="1"/>
  <c r="C535" i="1"/>
  <c r="D535" i="1"/>
  <c r="C598" i="1"/>
  <c r="D598" i="1"/>
  <c r="C595" i="1"/>
  <c r="D595" i="1"/>
  <c r="C577" i="1"/>
  <c r="D577" i="1"/>
  <c r="C581" i="1"/>
  <c r="D581" i="1"/>
  <c r="C580" i="1"/>
  <c r="D580" i="1"/>
  <c r="C583" i="1"/>
  <c r="D583" i="1"/>
  <c r="C576" i="1"/>
  <c r="D576" i="1"/>
  <c r="C579" i="1"/>
  <c r="D579" i="1"/>
  <c r="C563" i="1"/>
  <c r="D563" i="1"/>
  <c r="C565" i="1"/>
  <c r="D565" i="1"/>
  <c r="D534" i="1"/>
  <c r="D523" i="1"/>
  <c r="D644" i="1"/>
  <c r="D620" i="1"/>
  <c r="D683" i="1"/>
  <c r="D554" i="1"/>
  <c r="D658" i="1"/>
  <c r="D640" i="1"/>
  <c r="D656" i="1"/>
  <c r="D515" i="1"/>
  <c r="D573" i="1"/>
  <c r="D552" i="1"/>
  <c r="D591" i="1"/>
  <c r="D537" i="1"/>
  <c r="D569" i="1"/>
  <c r="D811" i="1"/>
  <c r="D599" i="1"/>
  <c r="D560" i="1"/>
  <c r="D582" i="1"/>
  <c r="D590" i="1"/>
  <c r="D624" i="1"/>
  <c r="D657" i="1"/>
  <c r="D530" i="1"/>
  <c r="D628" i="1"/>
  <c r="D526" i="1"/>
  <c r="D619" i="1"/>
  <c r="D829" i="1"/>
  <c r="D532" i="1"/>
  <c r="D699" i="1"/>
  <c r="D629" i="1"/>
  <c r="D836" i="1"/>
  <c r="D527" i="1"/>
  <c r="D833" i="1"/>
  <c r="D597" i="1"/>
  <c r="D607" i="1"/>
  <c r="D516" i="1"/>
  <c r="D662" i="1"/>
  <c r="D539" i="1"/>
  <c r="D533" i="1"/>
  <c r="D635" i="1"/>
  <c r="D575" i="1"/>
  <c r="D670" i="1"/>
  <c r="D536" i="1"/>
  <c r="D665" i="1"/>
  <c r="D613" i="1"/>
  <c r="D649" i="1"/>
  <c r="D830" i="1"/>
  <c r="D574" i="1"/>
  <c r="D636" i="1"/>
  <c r="D817" i="1"/>
  <c r="D521" i="1"/>
  <c r="D609" i="1"/>
  <c r="D525" i="1"/>
  <c r="D828" i="1"/>
  <c r="D600" i="1"/>
  <c r="D571" i="1"/>
  <c r="D556" i="1"/>
  <c r="D803" i="1"/>
  <c r="D588" i="1"/>
  <c r="D514" i="1"/>
  <c r="D835" i="1"/>
  <c r="D650" i="1"/>
  <c r="D637" i="1"/>
  <c r="D542" i="1"/>
  <c r="D584" i="1"/>
  <c r="D819" i="1"/>
  <c r="D543" i="1"/>
  <c r="D824" i="1"/>
  <c r="D633" i="1"/>
  <c r="D822" i="1"/>
  <c r="D661" i="1"/>
  <c r="D587" i="1"/>
  <c r="D608" i="1"/>
  <c r="D680" i="1"/>
  <c r="D685" i="1"/>
  <c r="D630" i="1"/>
  <c r="D647" i="1"/>
  <c r="D654" i="1"/>
  <c r="D604" i="1"/>
  <c r="D528" i="1"/>
  <c r="D643" i="1"/>
  <c r="D593" i="1"/>
  <c r="D812" i="1"/>
  <c r="D626" i="1"/>
  <c r="D572" i="1"/>
  <c r="D557" i="1"/>
  <c r="D808" i="1"/>
  <c r="D551" i="1"/>
  <c r="D544" i="1"/>
  <c r="D841" i="1"/>
  <c r="D592" i="1"/>
  <c r="D653" i="1"/>
  <c r="D627" i="1"/>
  <c r="D564" i="1"/>
  <c r="D567" i="1"/>
  <c r="D672" i="1"/>
  <c r="D566" i="1"/>
  <c r="D545" i="1"/>
  <c r="D616" i="1"/>
  <c r="D602" i="1"/>
  <c r="D842" i="1"/>
  <c r="D642" i="1"/>
  <c r="D668" i="1"/>
  <c r="D687" i="1"/>
  <c r="D603" i="1"/>
  <c r="D634" i="1"/>
  <c r="D610" i="1"/>
  <c r="D652" i="1"/>
  <c r="D558" i="1"/>
  <c r="D832" i="1"/>
  <c r="D632" i="1"/>
  <c r="D568" i="1"/>
  <c r="D684" i="1"/>
  <c r="D625" i="1"/>
  <c r="D594" i="1"/>
  <c r="D538" i="1"/>
  <c r="D578" i="1"/>
  <c r="D660" i="1"/>
  <c r="D623" i="1"/>
  <c r="D617" i="1"/>
  <c r="D548" i="1"/>
  <c r="D606" i="1"/>
  <c r="D520" i="1"/>
  <c r="D663" i="1"/>
  <c r="D823" i="1"/>
  <c r="D651" i="1"/>
  <c r="D631" i="1"/>
  <c r="C534" i="1"/>
  <c r="C523" i="1"/>
  <c r="C644" i="1"/>
  <c r="C620" i="1"/>
  <c r="C683" i="1"/>
  <c r="C554" i="1"/>
  <c r="C658" i="1"/>
  <c r="C640" i="1"/>
  <c r="C656" i="1"/>
  <c r="C515" i="1"/>
  <c r="C573" i="1"/>
  <c r="C552" i="1"/>
  <c r="C591" i="1"/>
  <c r="C537" i="1"/>
  <c r="C569" i="1"/>
  <c r="C811" i="1"/>
  <c r="C599" i="1"/>
  <c r="C560" i="1"/>
  <c r="C582" i="1"/>
  <c r="C590" i="1"/>
  <c r="C624" i="1"/>
  <c r="C657" i="1"/>
  <c r="C530" i="1"/>
  <c r="C628" i="1"/>
  <c r="C526" i="1"/>
  <c r="C619" i="1"/>
  <c r="C829" i="1"/>
  <c r="C532" i="1"/>
  <c r="C699" i="1"/>
  <c r="C629" i="1"/>
  <c r="C836" i="1"/>
  <c r="C527" i="1"/>
  <c r="C833" i="1"/>
  <c r="C597" i="1"/>
  <c r="C607" i="1"/>
  <c r="C516" i="1"/>
  <c r="C662" i="1"/>
  <c r="C539" i="1"/>
  <c r="C533" i="1"/>
  <c r="C635" i="1"/>
  <c r="C575" i="1"/>
  <c r="C670" i="1"/>
  <c r="C536" i="1"/>
  <c r="C665" i="1"/>
  <c r="C613" i="1"/>
  <c r="C649" i="1"/>
  <c r="C830" i="1"/>
  <c r="C574" i="1"/>
  <c r="C636" i="1"/>
  <c r="C817" i="1"/>
  <c r="C521" i="1"/>
  <c r="C609" i="1"/>
  <c r="C525" i="1"/>
  <c r="C828" i="1"/>
  <c r="C600" i="1"/>
  <c r="C571" i="1"/>
  <c r="C556" i="1"/>
  <c r="C803" i="1"/>
  <c r="C588" i="1"/>
  <c r="C514" i="1"/>
  <c r="C835" i="1"/>
  <c r="C650" i="1"/>
  <c r="C637" i="1"/>
  <c r="C542" i="1"/>
  <c r="C584" i="1"/>
  <c r="C819" i="1"/>
  <c r="C543" i="1"/>
  <c r="C824" i="1"/>
  <c r="C633" i="1"/>
  <c r="C822" i="1"/>
  <c r="C661" i="1"/>
  <c r="C587" i="1"/>
  <c r="C608" i="1"/>
  <c r="C680" i="1"/>
  <c r="C685" i="1"/>
  <c r="C630" i="1"/>
  <c r="C647" i="1"/>
  <c r="C654" i="1"/>
  <c r="C604" i="1"/>
  <c r="C528" i="1"/>
  <c r="C643" i="1"/>
  <c r="C593" i="1"/>
  <c r="C812" i="1"/>
  <c r="C626" i="1"/>
  <c r="C572" i="1"/>
  <c r="C557" i="1"/>
  <c r="C808" i="1"/>
  <c r="C551" i="1"/>
  <c r="C544" i="1"/>
  <c r="C841" i="1"/>
  <c r="C592" i="1"/>
  <c r="C653" i="1"/>
  <c r="C627" i="1"/>
  <c r="C564" i="1"/>
  <c r="C567" i="1"/>
  <c r="C672" i="1"/>
  <c r="C566" i="1"/>
  <c r="C545" i="1"/>
  <c r="C616" i="1"/>
  <c r="C602" i="1"/>
  <c r="C842" i="1"/>
  <c r="C642" i="1"/>
  <c r="C668" i="1"/>
  <c r="C687" i="1"/>
  <c r="C603" i="1"/>
  <c r="C634" i="1"/>
  <c r="C610" i="1"/>
  <c r="B610" i="1" s="1"/>
  <c r="C652" i="1"/>
  <c r="C558" i="1"/>
  <c r="C832" i="1"/>
  <c r="C632" i="1"/>
  <c r="C568" i="1"/>
  <c r="C684" i="1"/>
  <c r="C625" i="1"/>
  <c r="C594" i="1"/>
  <c r="B594" i="1" s="1"/>
  <c r="C538" i="1"/>
  <c r="C578" i="1"/>
  <c r="C660" i="1"/>
  <c r="C623" i="1"/>
  <c r="C617" i="1"/>
  <c r="C548" i="1"/>
  <c r="C606" i="1"/>
  <c r="C520" i="1"/>
  <c r="B520" i="1" s="1"/>
  <c r="C663" i="1"/>
  <c r="C823" i="1"/>
  <c r="C651" i="1"/>
  <c r="C631" i="1"/>
  <c r="D596" i="1"/>
  <c r="C596" i="1"/>
  <c r="M42" i="11"/>
  <c r="M47" i="11"/>
  <c r="M49" i="11"/>
  <c r="M48" i="11"/>
  <c r="M46" i="11"/>
  <c r="M45" i="11"/>
  <c r="M44" i="11"/>
  <c r="M43" i="11"/>
  <c r="I42" i="11"/>
  <c r="I43" i="11"/>
  <c r="I48" i="11"/>
  <c r="I44" i="11"/>
  <c r="I49" i="11"/>
  <c r="I45" i="11"/>
  <c r="I47" i="11"/>
  <c r="I46" i="11"/>
  <c r="B823" i="1" l="1"/>
  <c r="B663" i="1"/>
  <c r="B538" i="1"/>
  <c r="B652" i="1"/>
  <c r="B3" i="1"/>
  <c r="B607" i="1"/>
  <c r="B766" i="1"/>
  <c r="B792" i="1"/>
  <c r="B840" i="1"/>
  <c r="B845" i="1"/>
  <c r="B119" i="10"/>
  <c r="B389" i="10"/>
  <c r="B252" i="1"/>
  <c r="B475" i="1"/>
  <c r="B27" i="1"/>
  <c r="B220" i="1"/>
  <c r="B472" i="1"/>
  <c r="B505" i="1"/>
  <c r="B709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779" i="1"/>
  <c r="B330" i="10"/>
  <c r="B190" i="1"/>
  <c r="B316" i="1"/>
  <c r="B494" i="1"/>
  <c r="B81" i="1"/>
  <c r="B372" i="1"/>
  <c r="B54" i="1"/>
  <c r="B438" i="1"/>
  <c r="B4" i="1"/>
  <c r="B118" i="1"/>
  <c r="B844" i="1"/>
  <c r="B800" i="1"/>
  <c r="B802" i="1"/>
  <c r="B444" i="1"/>
  <c r="B304" i="1"/>
  <c r="B798" i="1"/>
  <c r="B213" i="1"/>
  <c r="B781" i="1"/>
  <c r="B598" i="1"/>
  <c r="B68" i="1"/>
  <c r="B74" i="1"/>
  <c r="B417" i="1"/>
  <c r="B225" i="1"/>
  <c r="B706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55" i="1"/>
  <c r="B797" i="1"/>
  <c r="B801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773" i="1"/>
  <c r="B799" i="1"/>
  <c r="B111" i="1"/>
  <c r="B337" i="1"/>
  <c r="B172" i="1"/>
  <c r="B353" i="1"/>
  <c r="B712" i="1"/>
  <c r="B613" i="1"/>
  <c r="B659" i="1"/>
  <c r="B683" i="1"/>
  <c r="B549" i="1"/>
  <c r="B614" i="1"/>
  <c r="B633" i="1"/>
  <c r="B533" i="1"/>
  <c r="B618" i="1"/>
  <c r="B641" i="1"/>
  <c r="B674" i="1"/>
  <c r="B676" i="1"/>
  <c r="B362" i="10"/>
  <c r="B365" i="10"/>
  <c r="B305" i="10"/>
  <c r="B692" i="1"/>
  <c r="B694" i="1"/>
  <c r="B11" i="10"/>
  <c r="B19" i="10"/>
  <c r="B27" i="10"/>
  <c r="B35" i="10"/>
  <c r="B43" i="10"/>
  <c r="B51" i="10"/>
  <c r="B67" i="10"/>
  <c r="B75" i="10"/>
  <c r="B609" i="1"/>
  <c r="B665" i="1"/>
  <c r="B581" i="1"/>
  <c r="B603" i="1"/>
  <c r="B526" i="1"/>
  <c r="B47" i="10"/>
  <c r="B71" i="10"/>
  <c r="B87" i="10"/>
  <c r="B343" i="10"/>
  <c r="B367" i="10"/>
  <c r="B403" i="10"/>
  <c r="B320" i="1"/>
  <c r="B513" i="1"/>
  <c r="B424" i="1"/>
  <c r="B339" i="1"/>
  <c r="B702" i="1"/>
  <c r="B98" i="1"/>
  <c r="B135" i="1"/>
  <c r="B329" i="1"/>
  <c r="B387" i="1"/>
  <c r="B425" i="1"/>
  <c r="B192" i="1"/>
  <c r="B22" i="1"/>
  <c r="B161" i="1"/>
  <c r="B704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780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796" i="1"/>
  <c r="B6" i="10"/>
  <c r="B102" i="10"/>
  <c r="B298" i="10"/>
  <c r="B350" i="10"/>
  <c r="B394" i="10"/>
  <c r="B100" i="10"/>
  <c r="B304" i="10"/>
  <c r="B158" i="10"/>
  <c r="B338" i="10"/>
  <c r="B827" i="1"/>
  <c r="B764" i="1"/>
  <c r="B54" i="10"/>
  <c r="B86" i="10"/>
  <c r="B162" i="10"/>
  <c r="B282" i="10"/>
  <c r="B322" i="10"/>
  <c r="B68" i="10"/>
  <c r="B224" i="10"/>
  <c r="B328" i="10"/>
  <c r="B392" i="10"/>
  <c r="B552" i="1"/>
  <c r="B669" i="1"/>
  <c r="B686" i="1"/>
  <c r="B196" i="10"/>
  <c r="B244" i="10"/>
  <c r="B260" i="10"/>
  <c r="B308" i="10"/>
  <c r="B316" i="10"/>
  <c r="B360" i="10"/>
  <c r="B368" i="10"/>
  <c r="B374" i="10"/>
  <c r="B684" i="1"/>
  <c r="B584" i="1"/>
  <c r="B528" i="1"/>
  <c r="B623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791" i="1"/>
  <c r="B602" i="1"/>
  <c r="B536" i="1"/>
  <c r="B593" i="1"/>
  <c r="B575" i="1"/>
  <c r="B404" i="10"/>
  <c r="B705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822" i="1"/>
  <c r="B650" i="1"/>
  <c r="B828" i="1"/>
  <c r="B649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689" i="1"/>
  <c r="B713" i="1"/>
  <c r="B506" i="1"/>
  <c r="B626" i="1"/>
  <c r="B394" i="1"/>
  <c r="B455" i="1"/>
  <c r="B108" i="1"/>
  <c r="B725" i="1"/>
  <c r="B653" i="1"/>
  <c r="B94" i="1"/>
  <c r="B17" i="1"/>
  <c r="B423" i="1"/>
  <c r="B393" i="1"/>
  <c r="B209" i="1"/>
  <c r="B386" i="1"/>
  <c r="B254" i="1"/>
  <c r="B500" i="1"/>
  <c r="B815" i="1"/>
  <c r="B795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698" i="1"/>
  <c r="B685" i="1"/>
  <c r="B523" i="1"/>
  <c r="B839" i="1"/>
  <c r="B738" i="1"/>
  <c r="B785" i="1"/>
  <c r="B817" i="1"/>
  <c r="B177" i="10"/>
  <c r="B529" i="1"/>
  <c r="B690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03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36" i="1"/>
  <c r="B671" i="1"/>
  <c r="B496" i="1"/>
  <c r="B157" i="1"/>
  <c r="B466" i="1"/>
  <c r="B497" i="1"/>
  <c r="B468" i="1"/>
  <c r="B408" i="1"/>
  <c r="B260" i="1"/>
  <c r="B450" i="1"/>
  <c r="B384" i="1"/>
  <c r="B277" i="1"/>
  <c r="B640" i="1"/>
  <c r="B519" i="1"/>
  <c r="B240" i="1"/>
  <c r="B354" i="1"/>
  <c r="B128" i="1"/>
  <c r="B436" i="1"/>
  <c r="B87" i="1"/>
  <c r="B668" i="1"/>
  <c r="B583" i="1"/>
  <c r="B553" i="1"/>
  <c r="B616" i="1"/>
  <c r="B592" i="1"/>
  <c r="B812" i="1"/>
  <c r="B630" i="1"/>
  <c r="B832" i="1"/>
  <c r="B580" i="1"/>
  <c r="B547" i="1"/>
  <c r="B36" i="10"/>
  <c r="B84" i="10"/>
  <c r="B132" i="10"/>
  <c r="B168" i="10"/>
  <c r="B208" i="10"/>
  <c r="B240" i="10"/>
  <c r="B619" i="1"/>
  <c r="B811" i="1"/>
  <c r="B808" i="1"/>
  <c r="B565" i="1"/>
  <c r="B548" i="1"/>
  <c r="B634" i="1"/>
  <c r="B545" i="1"/>
  <c r="B841" i="1"/>
  <c r="B824" i="1"/>
  <c r="B514" i="1"/>
  <c r="B578" i="1"/>
  <c r="B558" i="1"/>
  <c r="B679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65" i="1"/>
  <c r="B597" i="1"/>
  <c r="B608" i="1"/>
  <c r="B576" i="1"/>
  <c r="B833" i="1"/>
  <c r="B635" i="1"/>
  <c r="B617" i="1"/>
  <c r="B560" i="1"/>
  <c r="B628" i="1"/>
  <c r="B595" i="1"/>
  <c r="B687" i="1"/>
  <c r="B672" i="1"/>
  <c r="B551" i="1"/>
  <c r="B680" i="1"/>
  <c r="B819" i="1"/>
  <c r="B803" i="1"/>
  <c r="B516" i="1"/>
  <c r="B532" i="1"/>
  <c r="B590" i="1"/>
  <c r="B582" i="1"/>
  <c r="B579" i="1"/>
  <c r="B535" i="1"/>
  <c r="B546" i="1"/>
  <c r="B691" i="1"/>
  <c r="B688" i="1"/>
  <c r="B701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710" i="1"/>
  <c r="B58" i="1"/>
  <c r="B751" i="1"/>
  <c r="B730" i="1"/>
  <c r="B753" i="1"/>
  <c r="B794" i="1"/>
  <c r="B793" i="1"/>
  <c r="B782" i="1"/>
  <c r="B788" i="1"/>
  <c r="B789" i="1"/>
  <c r="B843" i="1"/>
  <c r="B786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2" i="1"/>
  <c r="B716" i="1"/>
  <c r="B711" i="1"/>
  <c r="B727" i="1"/>
  <c r="B721" i="1"/>
  <c r="B729" i="1"/>
  <c r="B733" i="1"/>
  <c r="B714" i="1"/>
  <c r="B809" i="1"/>
  <c r="B723" i="1"/>
  <c r="B741" i="1"/>
  <c r="B744" i="1"/>
  <c r="B745" i="1"/>
  <c r="B776" i="1"/>
  <c r="B826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39" i="1"/>
  <c r="B517" i="1"/>
  <c r="B655" i="1"/>
  <c r="B247" i="1"/>
  <c r="B136" i="1"/>
  <c r="B428" i="1"/>
  <c r="B331" i="1"/>
  <c r="B296" i="1"/>
  <c r="B217" i="1"/>
  <c r="B73" i="1"/>
  <c r="B228" i="1"/>
  <c r="B23" i="1"/>
  <c r="B629" i="1"/>
  <c r="B596" i="1"/>
  <c r="B566" i="1"/>
  <c r="B544" i="1"/>
  <c r="B543" i="1"/>
  <c r="B588" i="1"/>
  <c r="B521" i="1"/>
  <c r="B699" i="1"/>
  <c r="B624" i="1"/>
  <c r="B591" i="1"/>
  <c r="B805" i="1"/>
  <c r="B612" i="1"/>
  <c r="B114" i="10"/>
  <c r="B47" i="1"/>
  <c r="B315" i="1"/>
  <c r="B399" i="1"/>
  <c r="B119" i="1"/>
  <c r="B32" i="1"/>
  <c r="B273" i="1"/>
  <c r="B43" i="1"/>
  <c r="B349" i="1"/>
  <c r="B502" i="1"/>
  <c r="B327" i="1"/>
  <c r="B830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0" i="1"/>
  <c r="B643" i="1"/>
  <c r="B651" i="1"/>
  <c r="B660" i="1"/>
  <c r="B829" i="1"/>
  <c r="B142" i="10"/>
  <c r="B352" i="10"/>
  <c r="B657" i="1"/>
  <c r="B647" i="1"/>
  <c r="B276" i="1"/>
  <c r="B258" i="1"/>
  <c r="B471" i="1"/>
  <c r="B397" i="1"/>
  <c r="B255" i="1"/>
  <c r="B490" i="1"/>
  <c r="B180" i="1"/>
  <c r="B501" i="1"/>
  <c r="B708" i="1"/>
  <c r="B11" i="1"/>
  <c r="B129" i="1"/>
  <c r="B182" i="1"/>
  <c r="B836" i="1"/>
  <c r="B842" i="1"/>
  <c r="B627" i="1"/>
  <c r="B572" i="1"/>
  <c r="B661" i="1"/>
  <c r="B637" i="1"/>
  <c r="B599" i="1"/>
  <c r="B656" i="1"/>
  <c r="B534" i="1"/>
  <c r="B615" i="1"/>
  <c r="B648" i="1"/>
  <c r="B682" i="1"/>
  <c r="B435" i="1"/>
  <c r="B470" i="1"/>
  <c r="B242" i="1"/>
  <c r="B317" i="1"/>
  <c r="B487" i="1"/>
  <c r="B291" i="1"/>
  <c r="B837" i="1"/>
  <c r="B18" i="1"/>
  <c r="B112" i="1"/>
  <c r="B169" i="1"/>
  <c r="B767" i="1"/>
  <c r="B783" i="1"/>
  <c r="B821" i="1"/>
  <c r="B790" i="1"/>
  <c r="B749" i="1"/>
  <c r="B756" i="1"/>
  <c r="B761" i="1"/>
  <c r="B760" i="1"/>
  <c r="B762" i="1"/>
  <c r="B758" i="1"/>
  <c r="B769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78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2" i="1"/>
  <c r="B564" i="1"/>
  <c r="B557" i="1"/>
  <c r="B587" i="1"/>
  <c r="B542" i="1"/>
  <c r="B571" i="1"/>
  <c r="B573" i="1"/>
  <c r="B644" i="1"/>
  <c r="B625" i="1"/>
  <c r="B515" i="1"/>
  <c r="B577" i="1"/>
  <c r="B611" i="1"/>
  <c r="B562" i="1"/>
  <c r="B621" i="1"/>
  <c r="B638" i="1"/>
  <c r="B30" i="10"/>
  <c r="B94" i="10"/>
  <c r="B110" i="10"/>
  <c r="B118" i="10"/>
  <c r="B186" i="10"/>
  <c r="B410" i="1"/>
  <c r="B292" i="1"/>
  <c r="B831" i="1"/>
  <c r="B604" i="1"/>
  <c r="B670" i="1"/>
  <c r="B601" i="1"/>
  <c r="B622" i="1"/>
  <c r="B804" i="1"/>
  <c r="B48" i="10"/>
  <c r="B104" i="10"/>
  <c r="B120" i="10"/>
  <c r="B188" i="10"/>
  <c r="B204" i="10"/>
  <c r="B606" i="1"/>
  <c r="B570" i="1"/>
  <c r="B834" i="1"/>
  <c r="B639" i="1"/>
  <c r="B835" i="1"/>
  <c r="B525" i="1"/>
  <c r="B568" i="1"/>
  <c r="B574" i="1"/>
  <c r="B527" i="1"/>
  <c r="B540" i="1"/>
  <c r="B646" i="1"/>
  <c r="B645" i="1"/>
  <c r="B632" i="1"/>
  <c r="B600" i="1"/>
  <c r="B631" i="1"/>
  <c r="B662" i="1"/>
  <c r="B569" i="1"/>
  <c r="B658" i="1"/>
  <c r="B654" i="1"/>
  <c r="B537" i="1"/>
  <c r="B554" i="1"/>
  <c r="B563" i="1"/>
  <c r="B541" i="1"/>
  <c r="B586" i="1"/>
  <c r="B550" i="1"/>
  <c r="B678" i="1"/>
  <c r="B20" i="1"/>
  <c r="B257" i="1"/>
  <c r="B300" i="1"/>
  <c r="B41" i="1"/>
  <c r="B272" i="1"/>
  <c r="B188" i="1"/>
  <c r="B224" i="1"/>
  <c r="B152" i="1"/>
  <c r="B290" i="1"/>
  <c r="B461" i="1"/>
  <c r="B806" i="1"/>
  <c r="B675" i="1"/>
  <c r="B681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605" i="1"/>
  <c r="B673" i="1"/>
  <c r="B700" i="1"/>
  <c r="B3" i="10"/>
  <c r="B12" i="10"/>
  <c r="B510" i="1"/>
  <c r="B256" i="1"/>
  <c r="B140" i="1"/>
  <c r="B481" i="1"/>
  <c r="B838" i="1"/>
  <c r="B693" i="1"/>
  <c r="B567" i="1"/>
  <c r="B556" i="1"/>
  <c r="B620" i="1"/>
  <c r="B524" i="1"/>
  <c r="B555" i="1"/>
  <c r="B561" i="1"/>
  <c r="B666" i="1"/>
  <c r="B262" i="1"/>
  <c r="B8" i="1"/>
  <c r="B359" i="1"/>
  <c r="B202" i="1"/>
  <c r="B295" i="1"/>
  <c r="B307" i="1"/>
  <c r="B69" i="1"/>
  <c r="B771" i="1"/>
  <c r="B775" i="1"/>
  <c r="B778" i="1"/>
  <c r="B813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18" i="1"/>
  <c r="B697" i="1"/>
  <c r="B717" i="1"/>
  <c r="B818" i="1"/>
  <c r="B740" i="1"/>
  <c r="B737" i="1"/>
  <c r="B677" i="1"/>
  <c r="B777" i="1"/>
  <c r="B391" i="1"/>
  <c r="B253" i="1"/>
  <c r="B763" i="1"/>
  <c r="B810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820" i="1"/>
  <c r="B715" i="1"/>
  <c r="B707" i="1"/>
  <c r="B719" i="1"/>
  <c r="B720" i="1"/>
  <c r="B664" i="1"/>
  <c r="B807" i="1"/>
  <c r="B724" i="1"/>
  <c r="B726" i="1"/>
  <c r="B722" i="1"/>
  <c r="B731" i="1"/>
  <c r="B732" i="1"/>
  <c r="B736" i="1"/>
  <c r="B739" i="1"/>
  <c r="B743" i="1"/>
  <c r="B742" i="1"/>
  <c r="B825" i="1"/>
  <c r="B728" i="1"/>
  <c r="B734" i="1"/>
  <c r="B748" i="1"/>
  <c r="B759" i="1"/>
  <c r="B816" i="1"/>
  <c r="B735" i="1"/>
  <c r="B695" i="1"/>
  <c r="B80" i="10"/>
  <c r="B88" i="10"/>
  <c r="B376" i="1"/>
  <c r="B139" i="1"/>
  <c r="B115" i="1"/>
  <c r="B452" i="1"/>
  <c r="B747" i="1"/>
  <c r="B754" i="1"/>
  <c r="B752" i="1"/>
  <c r="B750" i="1"/>
  <c r="B757" i="1"/>
  <c r="B768" i="1"/>
  <c r="B770" i="1"/>
  <c r="B814" i="1"/>
  <c r="B696" i="1"/>
  <c r="I50" i="11"/>
  <c r="M50" i="11"/>
</calcChain>
</file>

<file path=xl/sharedStrings.xml><?xml version="1.0" encoding="utf-8"?>
<sst xmlns="http://schemas.openxmlformats.org/spreadsheetml/2006/main" count="7375" uniqueCount="3541">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</sst>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2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NumberFormat="1" applyAlignment="1">
      <alignment horizontal="center"/>
    </xf>
    <xf numFmtId="0" fontId="6" fillId="0" borderId="0" xfId="0" applyFont="1" applyAlignment="1">
      <alignment horizontal="center"/>
    </xf>
    <xf numFmtId="0" fontId="0" fillId="0" borderId="0" xfId="0" applyNumberFormat="1"/>
  </cellXfs>
  <cellStyles count="2">
    <cellStyle name="Hyperlink" xfId="1" builtinId="8"/>
    <cellStyle name="Standaard" xfId="0" builtinId="0"/>
  </cellStyles>
  <dxfs count="65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680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12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11</v>
          </cell>
          <cell r="B5" t="str">
            <v>Els Vanhoe</v>
          </cell>
          <cell r="D5">
            <v>17</v>
          </cell>
        </row>
        <row r="6">
          <cell r="A6">
            <v>11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10</v>
          </cell>
          <cell r="B9" t="str">
            <v>Kenneth De Rick</v>
          </cell>
          <cell r="D9">
            <v>20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4">
      <pivotArea dataOnly="0" labelOnly="1" fieldPosition="0">
        <references count="1">
          <reference field="1" count="1">
            <x v="511"/>
          </reference>
        </references>
      </pivotArea>
    </format>
    <format dxfId="63">
      <pivotArea dataOnly="0" labelOnly="1" fieldPosition="0">
        <references count="1">
          <reference field="1" count="1">
            <x v="473"/>
          </reference>
        </references>
      </pivotArea>
    </format>
    <format dxfId="62">
      <pivotArea dataOnly="0" labelOnly="1" fieldPosition="0">
        <references count="1">
          <reference field="1" count="1">
            <x v="497"/>
          </reference>
        </references>
      </pivotArea>
    </format>
    <format dxfId="61">
      <pivotArea dataOnly="0" labelOnly="1" fieldPosition="0">
        <references count="1">
          <reference field="1" count="1">
            <x v="512"/>
          </reference>
        </references>
      </pivotArea>
    </format>
    <format dxfId="60">
      <pivotArea dataOnly="0" labelOnly="1" fieldPosition="0">
        <references count="1">
          <reference field="1" count="1">
            <x v="504"/>
          </reference>
        </references>
      </pivotArea>
    </format>
    <format dxfId="59">
      <pivotArea dataOnly="0" labelOnly="1" fieldPosition="0">
        <references count="1">
          <reference field="1" count="1">
            <x v="90"/>
          </reference>
        </references>
      </pivotArea>
    </format>
    <format dxfId="58">
      <pivotArea dataOnly="0" labelOnly="1" fieldPosition="0">
        <references count="1">
          <reference field="1" count="1">
            <x v="280"/>
          </reference>
        </references>
      </pivotArea>
    </format>
    <format dxfId="57">
      <pivotArea dataOnly="0" labelOnly="1" fieldPosition="0">
        <references count="1">
          <reference field="1" count="1">
            <x v="514"/>
          </reference>
        </references>
      </pivotArea>
    </format>
    <format dxfId="56">
      <pivotArea dataOnly="0" labelOnly="1" fieldPosition="0">
        <references count="1">
          <reference field="1" count="1">
            <x v="478"/>
          </reference>
        </references>
      </pivotArea>
    </format>
    <format dxfId="55">
      <pivotArea dataOnly="0" labelOnly="1" fieldPosition="0">
        <references count="1">
          <reference field="1" count="1">
            <x v="510"/>
          </reference>
        </references>
      </pivotArea>
    </format>
    <format dxfId="54">
      <pivotArea dataOnly="0" labelOnly="1" fieldPosition="0">
        <references count="1">
          <reference field="1" count="1">
            <x v="481"/>
          </reference>
        </references>
      </pivotArea>
    </format>
    <format dxfId="53">
      <pivotArea dataOnly="0" labelOnly="1" fieldPosition="0">
        <references count="1">
          <reference field="1" count="1">
            <x v="435"/>
          </reference>
        </references>
      </pivotArea>
    </format>
    <format dxfId="52">
      <pivotArea dataOnly="0" labelOnly="1" fieldPosition="0">
        <references count="1">
          <reference field="1" count="1">
            <x v="112"/>
          </reference>
        </references>
      </pivotArea>
    </format>
    <format dxfId="51">
      <pivotArea dataOnly="0" labelOnly="1" fieldPosition="0">
        <references count="1">
          <reference field="1" count="1">
            <x v="157"/>
          </reference>
        </references>
      </pivotArea>
    </format>
    <format dxfId="50">
      <pivotArea dataOnly="0" labelOnly="1" fieldPosition="0">
        <references count="1">
          <reference field="1" count="1">
            <x v="490"/>
          </reference>
        </references>
      </pivotArea>
    </format>
    <format dxfId="49">
      <pivotArea dataOnly="0" labelOnly="1" fieldPosition="0">
        <references count="1">
          <reference field="1" count="1">
            <x v="506"/>
          </reference>
        </references>
      </pivotArea>
    </format>
    <format dxfId="48">
      <pivotArea dataOnly="0" labelOnly="1" fieldPosition="0">
        <references count="1">
          <reference field="1" count="1">
            <x v="520"/>
          </reference>
        </references>
      </pivotArea>
    </format>
    <format dxfId="47">
      <pivotArea dataOnly="0" labelOnly="1" fieldPosition="0">
        <references count="1">
          <reference field="1" count="1">
            <x v="250"/>
          </reference>
        </references>
      </pivotArea>
    </format>
    <format dxfId="46">
      <pivotArea dataOnly="0" labelOnly="1" fieldPosition="0">
        <references count="1">
          <reference field="1" count="1">
            <x v="432"/>
          </reference>
        </references>
      </pivotArea>
    </format>
    <format dxfId="45">
      <pivotArea dataOnly="0" labelOnly="1" fieldPosition="0">
        <references count="1">
          <reference field="1" count="1">
            <x v="440"/>
          </reference>
        </references>
      </pivotArea>
    </format>
    <format dxfId="44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3">
      <pivotArea dataOnly="0" labelOnly="1" fieldPosition="0">
        <references count="1">
          <reference field="1" count="1">
            <x v="348"/>
          </reference>
        </references>
      </pivotArea>
    </format>
    <format dxfId="42">
      <pivotArea dataOnly="0" labelOnly="1" fieldPosition="0">
        <references count="1">
          <reference field="1" count="1">
            <x v="355"/>
          </reference>
        </references>
      </pivotArea>
    </format>
    <format dxfId="41">
      <pivotArea dataOnly="0" labelOnly="1" fieldPosition="0">
        <references count="1">
          <reference field="1" count="1">
            <x v="498"/>
          </reference>
        </references>
      </pivotArea>
    </format>
    <format dxfId="40">
      <pivotArea dataOnly="0" labelOnly="1" fieldPosition="0">
        <references count="1">
          <reference field="1" count="1">
            <x v="508"/>
          </reference>
        </references>
      </pivotArea>
    </format>
    <format dxfId="39">
      <pivotArea dataOnly="0" labelOnly="1" fieldPosition="0">
        <references count="1">
          <reference field="1" count="1">
            <x v="397"/>
          </reference>
        </references>
      </pivotArea>
    </format>
    <format dxfId="38">
      <pivotArea dataOnly="0" labelOnly="1" fieldPosition="0">
        <references count="1">
          <reference field="1" count="1">
            <x v="513"/>
          </reference>
        </references>
      </pivotArea>
    </format>
    <format dxfId="37">
      <pivotArea dataOnly="0" labelOnly="1" fieldPosition="0">
        <references count="1">
          <reference field="1" count="1">
            <x v="412"/>
          </reference>
        </references>
      </pivotArea>
    </format>
    <format dxfId="36">
      <pivotArea dataOnly="0" labelOnly="1" fieldPosition="0">
        <references count="1">
          <reference field="1" count="1">
            <x v="507"/>
          </reference>
        </references>
      </pivotArea>
    </format>
    <format dxfId="35">
      <pivotArea dataOnly="0" labelOnly="1" fieldPosition="0">
        <references count="1">
          <reference field="1" count="1">
            <x v="507"/>
          </reference>
        </references>
      </pivotArea>
    </format>
    <format dxfId="34">
      <pivotArea dataOnly="0" labelOnly="1" fieldPosition="0">
        <references count="1">
          <reference field="1" count="1">
            <x v="342"/>
          </reference>
        </references>
      </pivotArea>
    </format>
    <format dxfId="33">
      <pivotArea dataOnly="0" labelOnly="1" fieldPosition="0">
        <references count="1">
          <reference field="1" count="1">
            <x v="501"/>
          </reference>
        </references>
      </pivotArea>
    </format>
    <format dxfId="32">
      <pivotArea dataOnly="0" labelOnly="1" fieldPosition="0">
        <references count="1">
          <reference field="1" count="1">
            <x v="351"/>
          </reference>
        </references>
      </pivotArea>
    </format>
    <format dxfId="31">
      <pivotArea dataOnly="0" labelOnly="1" fieldPosition="0">
        <references count="1">
          <reference field="1" count="1">
            <x v="156"/>
          </reference>
        </references>
      </pivotArea>
    </format>
    <format dxfId="30">
      <pivotArea dataOnly="0" labelOnly="1" fieldPosition="0">
        <references count="1">
          <reference field="1" count="1">
            <x v="358"/>
          </reference>
        </references>
      </pivotArea>
    </format>
    <format dxfId="29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8">
      <pivotArea dataOnly="0" labelOnly="1" fieldPosition="0">
        <references count="1">
          <reference field="1" count="1">
            <x v="438"/>
          </reference>
        </references>
      </pivotArea>
    </format>
    <format dxfId="27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6">
      <pivotArea dataOnly="0" labelOnly="1" fieldPosition="0">
        <references count="1">
          <reference field="1" count="1">
            <x v="309"/>
          </reference>
        </references>
      </pivotArea>
    </format>
    <format dxfId="25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4">
      <pivotArea dataOnly="0" labelOnly="1" fieldPosition="0">
        <references count="1">
          <reference field="1" count="1">
            <x v="374"/>
          </reference>
        </references>
      </pivotArea>
    </format>
    <format dxfId="23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22">
      <pivotArea dataOnly="0" labelOnly="1" fieldPosition="0">
        <references count="1">
          <reference field="1" count="1">
            <x v="407"/>
          </reference>
        </references>
      </pivotArea>
    </format>
    <format dxfId="21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9"/>
    <tableColumn id="5" xr3:uid="{DF37AD45-FC5C-478A-989D-9143E744CEEA}" name="voornaam" dataDxfId="18">
      <calculatedColumnFormula>VLOOKUP(Tabel2[[#This Row],[nr]],'data hastus'!A:C,3,FALSE)</calculatedColumnFormula>
    </tableColumn>
    <tableColumn id="6" xr3:uid="{4098FAFB-9B09-4A81-8B22-18CC90B5F979}" name="achternaam" dataDxfId="17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Y857" totalsRowShown="0" headerRowDxfId="13">
  <autoFilter ref="A1:Y857" xr:uid="{2FDE3AF6-1CE1-4F38-BD72-1F03CD30F4FC}">
    <filterColumn colId="24">
      <filters>
        <filter val="De Pintelaan"/>
      </filters>
    </filterColumn>
  </autoFilter>
  <sortState xmlns:xlrd2="http://schemas.microsoft.com/office/spreadsheetml/2017/richdata2" ref="A2:Y853">
    <sortCondition ref="T1:T853"/>
  </sortState>
  <tableColumns count="25">
    <tableColumn id="1" xr3:uid="{A89FCEBD-EFF0-43A5-BEAC-9201FF09453E}" name="personeelsnr"/>
    <tableColumn id="23" xr3:uid="{3989647C-F1EB-4322-A586-1EC53B4E823E}" name="volledige naam" dataDxfId="12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11"/>
    <tableColumn id="11" xr3:uid="{97ECF1D5-48DC-4487-B3C2-17232CC8E19E}" name="Januari" dataDxfId="10"/>
    <tableColumn id="12" xr3:uid="{7B2FF520-A575-45C0-BB5A-19B87DDB4EA0}" name="Februari" dataDxfId="9"/>
    <tableColumn id="13" xr3:uid="{4E6C30D1-FB72-4AB2-900F-14A3D53F34DE}" name="Maart" dataDxfId="8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7">
      <calculatedColumnFormula>SUM(bron[[#This Row],[Januari]:[December]])</calculatedColumnFormula>
    </tableColumn>
    <tableColumn id="10" xr3:uid="{8D9646BD-38B6-4F4D-9859-B3933369346B}" name="Datum" dataDxfId="6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17" totalsRowShown="0">
  <autoFilter ref="A1:C1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drawing" Target="../drawings/drawing2.xm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printerSettings" Target="../printerSettings/printerSettings2.bin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table" Target="../tables/table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3" Type="http://schemas.openxmlformats.org/officeDocument/2006/relationships/hyperlink" Target="mailto:5579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2" Type="http://schemas.openxmlformats.org/officeDocument/2006/relationships/hyperlink" Target="mailto:10170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42578125" style="30" bestFit="1" customWidth="1"/>
    <col min="9" max="9" width="19.425781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5" t="s">
        <v>45</v>
      </c>
      <c r="D26">
        <v>3</v>
      </c>
      <c r="F26" s="2" t="s">
        <v>46</v>
      </c>
      <c r="G26">
        <v>5</v>
      </c>
    </row>
    <row r="27" spans="2:11" x14ac:dyDescent="0.25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5" t="s">
        <v>85</v>
      </c>
      <c r="D40">
        <v>2</v>
      </c>
      <c r="F40" s="2" t="s">
        <v>86</v>
      </c>
      <c r="G40">
        <v>2</v>
      </c>
    </row>
    <row r="41" spans="3:15" x14ac:dyDescent="0.25">
      <c r="C41" s="38" t="s">
        <v>87</v>
      </c>
      <c r="D41">
        <v>2</v>
      </c>
      <c r="F41" s="2" t="s">
        <v>88</v>
      </c>
      <c r="G41">
        <v>2</v>
      </c>
      <c r="I41" s="40" t="s">
        <v>89</v>
      </c>
      <c r="J41" s="40"/>
      <c r="K41" s="40"/>
      <c r="L41" s="25"/>
      <c r="M41" s="40" t="s">
        <v>90</v>
      </c>
      <c r="N41" s="40"/>
      <c r="O41" s="40"/>
    </row>
    <row r="42" spans="3:15" x14ac:dyDescent="0.25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12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11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11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25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25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10</v>
      </c>
      <c r="J49" s="13" t="str">
        <f>'[1]Ingeplande per TC'!$B$9</f>
        <v>Kenneth De Rick</v>
      </c>
      <c r="K49" s="13"/>
      <c r="L49" s="25"/>
      <c r="M49" s="13">
        <f>'[1]Ingeplande per TC'!$D$9</f>
        <v>20</v>
      </c>
      <c r="N49" s="13" t="str">
        <f>'[1]Ingeplande per TC'!$B$9</f>
        <v>Kenneth De Rick</v>
      </c>
      <c r="O49" s="13"/>
    </row>
    <row r="50" spans="3:15" x14ac:dyDescent="0.25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80</v>
      </c>
      <c r="J50" s="14" t="s">
        <v>109</v>
      </c>
      <c r="K50" s="14"/>
      <c r="L50" s="25"/>
      <c r="M50" s="14">
        <f>SUM(M42:M49)</f>
        <v>159</v>
      </c>
      <c r="N50" s="14" t="s">
        <v>109</v>
      </c>
      <c r="O50" s="14"/>
    </row>
    <row r="51" spans="3:15" x14ac:dyDescent="0.25">
      <c r="C51" s="35" t="s">
        <v>110</v>
      </c>
      <c r="D51">
        <v>2</v>
      </c>
      <c r="F51" s="2" t="s">
        <v>111</v>
      </c>
      <c r="G51">
        <v>2</v>
      </c>
    </row>
    <row r="52" spans="3:15" x14ac:dyDescent="0.25">
      <c r="C52" s="38" t="s">
        <v>112</v>
      </c>
      <c r="D52">
        <v>2</v>
      </c>
      <c r="F52" s="2" t="s">
        <v>113</v>
      </c>
      <c r="G52">
        <v>2</v>
      </c>
    </row>
    <row r="53" spans="3:15" x14ac:dyDescent="0.25">
      <c r="C53" s="35" t="s">
        <v>114</v>
      </c>
      <c r="D53">
        <v>2</v>
      </c>
      <c r="F53" s="2" t="s">
        <v>115</v>
      </c>
      <c r="G53">
        <v>2</v>
      </c>
    </row>
    <row r="54" spans="3:15" x14ac:dyDescent="0.25">
      <c r="C54" s="38" t="s">
        <v>116</v>
      </c>
      <c r="D54">
        <v>2</v>
      </c>
      <c r="F54" s="2" t="s">
        <v>117</v>
      </c>
      <c r="G54">
        <v>2</v>
      </c>
    </row>
    <row r="55" spans="3:15" x14ac:dyDescent="0.25">
      <c r="C55" s="38" t="s">
        <v>118</v>
      </c>
      <c r="D55">
        <v>2</v>
      </c>
      <c r="F55" s="2" t="s">
        <v>119</v>
      </c>
      <c r="G55">
        <v>2</v>
      </c>
    </row>
    <row r="56" spans="3:15" x14ac:dyDescent="0.25">
      <c r="C56" s="38" t="s">
        <v>120</v>
      </c>
      <c r="D56">
        <v>2</v>
      </c>
      <c r="F56" s="2" t="s">
        <v>121</v>
      </c>
      <c r="G56">
        <v>2</v>
      </c>
    </row>
    <row r="57" spans="3:15" x14ac:dyDescent="0.25">
      <c r="C57" s="35" t="s">
        <v>122</v>
      </c>
      <c r="D57">
        <v>2</v>
      </c>
      <c r="F57" s="2" t="s">
        <v>123</v>
      </c>
      <c r="G57">
        <v>2</v>
      </c>
    </row>
    <row r="58" spans="3:15" x14ac:dyDescent="0.25">
      <c r="C58" s="35" t="s">
        <v>124</v>
      </c>
      <c r="D58">
        <v>2</v>
      </c>
      <c r="F58" s="2" t="s">
        <v>125</v>
      </c>
      <c r="G58">
        <v>2</v>
      </c>
    </row>
    <row r="59" spans="3:15" x14ac:dyDescent="0.25">
      <c r="C59" s="38" t="s">
        <v>126</v>
      </c>
      <c r="D59">
        <v>2</v>
      </c>
      <c r="F59" s="2" t="s">
        <v>127</v>
      </c>
      <c r="G59">
        <v>2</v>
      </c>
    </row>
    <row r="60" spans="3:15" x14ac:dyDescent="0.25">
      <c r="C60" s="35" t="s">
        <v>128</v>
      </c>
      <c r="D60">
        <v>2</v>
      </c>
      <c r="F60" s="2" t="s">
        <v>129</v>
      </c>
      <c r="G60">
        <v>2</v>
      </c>
    </row>
    <row r="61" spans="3:15" x14ac:dyDescent="0.25">
      <c r="C61" s="35" t="s">
        <v>130</v>
      </c>
      <c r="D61">
        <v>2</v>
      </c>
      <c r="F61" s="2" t="s">
        <v>131</v>
      </c>
      <c r="G61">
        <v>2</v>
      </c>
    </row>
    <row r="62" spans="3:15" x14ac:dyDescent="0.25">
      <c r="C62" s="38" t="s">
        <v>132</v>
      </c>
      <c r="D62">
        <v>2</v>
      </c>
      <c r="F62" s="2" t="s">
        <v>133</v>
      </c>
      <c r="G62">
        <v>2</v>
      </c>
    </row>
    <row r="63" spans="3:15" x14ac:dyDescent="0.25">
      <c r="C63" s="38" t="s">
        <v>134</v>
      </c>
      <c r="D63">
        <v>2</v>
      </c>
      <c r="F63" s="2" t="s">
        <v>135</v>
      </c>
      <c r="G63">
        <v>2</v>
      </c>
    </row>
    <row r="64" spans="3:15" x14ac:dyDescent="0.25">
      <c r="C64" s="35" t="s">
        <v>136</v>
      </c>
      <c r="D64">
        <v>2</v>
      </c>
      <c r="F64" s="2" t="s">
        <v>137</v>
      </c>
      <c r="G64">
        <v>1</v>
      </c>
    </row>
    <row r="65" spans="3:7" x14ac:dyDescent="0.25">
      <c r="C65" s="38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20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7"/>
  <sheetViews>
    <sheetView tabSelected="1" zoomScale="85" zoomScaleNormal="85" workbookViewId="0">
      <pane ySplit="1" topLeftCell="A15" activePane="bottomLeft" state="frozen"/>
      <selection activeCell="F1" sqref="F1"/>
      <selection pane="bottomLeft" activeCell="A857" sqref="A857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19.570312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2" width="9.140625" style="5" hidden="1" customWidth="1"/>
    <col min="13" max="13" width="9.140625" style="5" customWidth="1"/>
    <col min="14" max="14" width="11.42578125" style="5" customWidth="1"/>
    <col min="15" max="15" width="13" style="5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106" style="5" customWidth="1"/>
    <col min="22" max="22" width="9.28515625" style="5" bestFit="1" customWidth="1"/>
    <col min="23" max="23" width="9.28515625" style="5" customWidth="1"/>
    <col min="25" max="25" width="31.5703125" bestFit="1" customWidth="1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</row>
    <row r="15" spans="1:28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</row>
    <row r="17" spans="1:25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hidden="1" x14ac:dyDescent="0.25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hidden="1" x14ac:dyDescent="0.25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hidden="1" x14ac:dyDescent="0.25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hidden="1" x14ac:dyDescent="0.25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hidden="1" x14ac:dyDescent="0.25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hidden="1" x14ac:dyDescent="0.25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hidden="1" x14ac:dyDescent="0.25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hidden="1" x14ac:dyDescent="0.25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hidden="1" x14ac:dyDescent="0.25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hidden="1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hidden="1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hidden="1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hidden="1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hidden="1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hidden="1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hidden="1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hidden="1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hidden="1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hidden="1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hidden="1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hidden="1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hidden="1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hidden="1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hidden="1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hidden="1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hidden="1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hidden="1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hidden="1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hidden="1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hidden="1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hidden="1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hidden="1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hidden="1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hidden="1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hidden="1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hidden="1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hidden="1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hidden="1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5" hidden="1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</row>
    <row r="514" spans="1:25" hidden="1" x14ac:dyDescent="0.25">
      <c r="A514">
        <v>39014</v>
      </c>
      <c r="B514" t="str">
        <f>_xlfn.CONCAT(bron[[#This Row],[personeelsnr]]," ",bron[[#This Row],[achternaam]]," ",bron[[#This Row],[voornaam]])</f>
        <v>39014 Genbrugge Kyllian</v>
      </c>
      <c r="C514" t="str">
        <f>VLOOKUP(bron[[#This Row],[personeelsnr]],'data hastus'!$A:$C,2,0)</f>
        <v>Genbrugge</v>
      </c>
      <c r="D514" t="str">
        <f>VLOOKUP(bron[[#This Row],[personeelsnr]],'data hastus'!$A:$C,3,0)</f>
        <v>Kyllian</v>
      </c>
      <c r="E514" t="str">
        <f>VLOOKUP(bron[[#This Row],[personeelsnr]],'data hastus'!A:K,11,FALSE)</f>
        <v>Bart Van Der Beken</v>
      </c>
      <c r="F514" s="10"/>
      <c r="G514" s="6">
        <v>1</v>
      </c>
      <c r="H514" s="6"/>
      <c r="I514" s="6"/>
      <c r="J514"/>
      <c r="K514"/>
      <c r="L514"/>
      <c r="M514"/>
      <c r="N514"/>
      <c r="O514"/>
      <c r="P514"/>
      <c r="Q514"/>
      <c r="R514"/>
      <c r="S514">
        <f>SUM(bron[[#This Row],[Januari]:[December]])</f>
        <v>1</v>
      </c>
      <c r="T514" s="3">
        <v>45660</v>
      </c>
      <c r="U514" s="8" t="s">
        <v>996</v>
      </c>
      <c r="V514" s="8">
        <v>1</v>
      </c>
      <c r="W514" s="8"/>
      <c r="X514" t="s">
        <v>7</v>
      </c>
      <c r="Y514" t="s">
        <v>263</v>
      </c>
    </row>
    <row r="515" spans="1:25" hidden="1" x14ac:dyDescent="0.25">
      <c r="A515">
        <v>39358</v>
      </c>
      <c r="B515" t="str">
        <f>_xlfn.CONCAT(bron[[#This Row],[personeelsnr]]," ",bron[[#This Row],[achternaam]]," ",bron[[#This Row],[voornaam]])</f>
        <v>39358 Weeks Aracena Jimmy Alexander</v>
      </c>
      <c r="C515" t="str">
        <f>VLOOKUP(bron[[#This Row],[personeelsnr]],'data hastus'!$A:$C,2,0)</f>
        <v>Weeks Aracena</v>
      </c>
      <c r="D515" t="str">
        <f>VLOOKUP(bron[[#This Row],[personeelsnr]],'data hastus'!$A:$C,3,0)</f>
        <v>Jimmy Alexander</v>
      </c>
      <c r="E515" t="str">
        <f>VLOOKUP(bron[[#This Row],[personeelsnr]],'data hastus'!A:K,11,FALSE)</f>
        <v>Christoff Rotty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997</v>
      </c>
      <c r="V515" s="8">
        <v>1</v>
      </c>
      <c r="W515" s="8"/>
      <c r="X515" t="s">
        <v>7</v>
      </c>
      <c r="Y515" t="s">
        <v>13</v>
      </c>
    </row>
    <row r="516" spans="1:25" hidden="1" x14ac:dyDescent="0.25">
      <c r="A516">
        <v>31231</v>
      </c>
      <c r="B516" t="str">
        <f>_xlfn.CONCAT(bron[[#This Row],[personeelsnr]]," ",bron[[#This Row],[achternaam]]," ",bron[[#This Row],[voornaam]])</f>
        <v>31231 Colaes Dylan</v>
      </c>
      <c r="C516" t="str">
        <f>VLOOKUP(bron[[#This Row],[personeelsnr]],'data hastus'!$A:$C,2,0)</f>
        <v>Colaes</v>
      </c>
      <c r="D516" t="str">
        <f>VLOOKUP(bron[[#This Row],[personeelsnr]],'data hastus'!$A:$C,3,0)</f>
        <v>Dylan</v>
      </c>
      <c r="E516" t="str">
        <f>VLOOKUP(bron[[#This Row],[personeelsnr]],'data hastus'!A:K,11,FALSE)</f>
        <v>Els Vanhoe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998</v>
      </c>
      <c r="V516" s="8">
        <v>1</v>
      </c>
      <c r="W516" s="8"/>
      <c r="X516" t="s">
        <v>7</v>
      </c>
      <c r="Y516" t="s">
        <v>169</v>
      </c>
    </row>
    <row r="517" spans="1:25" hidden="1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999</v>
      </c>
      <c r="V517" s="8">
        <v>1</v>
      </c>
      <c r="W517" s="8"/>
      <c r="X517" t="s">
        <v>7</v>
      </c>
      <c r="Y517" t="s">
        <v>19</v>
      </c>
    </row>
    <row r="518" spans="1:25" hidden="1" x14ac:dyDescent="0.25">
      <c r="A518">
        <v>31490</v>
      </c>
      <c r="B518" t="str">
        <f>_xlfn.CONCAT(bron[[#This Row],[personeelsnr]]," ",bron[[#This Row],[achternaam]]," ",bron[[#This Row],[voornaam]])</f>
        <v>31490 De Weirdt Steph</v>
      </c>
      <c r="C518" t="s">
        <v>1000</v>
      </c>
      <c r="D518" t="s">
        <v>1001</v>
      </c>
      <c r="E518" t="s">
        <v>76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1002</v>
      </c>
      <c r="V518" s="8">
        <v>1</v>
      </c>
      <c r="W518" s="8"/>
      <c r="X518" t="s">
        <v>7</v>
      </c>
      <c r="Y518" t="s">
        <v>16</v>
      </c>
    </row>
    <row r="519" spans="1:25" hidden="1" x14ac:dyDescent="0.25">
      <c r="A519">
        <v>40138</v>
      </c>
      <c r="B519" t="str">
        <f>_xlfn.CONCAT(bron[[#This Row],[personeelsnr]]," ",bron[[#This Row],[achternaam]]," ",bron[[#This Row],[voornaam]])</f>
        <v>40138 Moerman Tjimmy</v>
      </c>
      <c r="C519" t="str">
        <f>VLOOKUP(bron[[#This Row],[personeelsnr]],'data hastus'!$A:$C,2,0)</f>
        <v>Moerman</v>
      </c>
      <c r="D519" t="str">
        <f>VLOOKUP(bron[[#This Row],[personeelsnr]],'data hastus'!$A:$C,3,0)</f>
        <v>Tjimmy</v>
      </c>
      <c r="E519" t="str">
        <f>VLOOKUP(bron[[#This Row],[personeelsnr]],'data hastus'!A:K,11,FALSE)</f>
        <v>Christoff Rotty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45661</v>
      </c>
      <c r="U519" s="8" t="s">
        <v>1003</v>
      </c>
      <c r="V519" s="8">
        <v>1</v>
      </c>
      <c r="W519" s="8"/>
      <c r="X519" t="s">
        <v>7</v>
      </c>
      <c r="Y519" t="s">
        <v>257</v>
      </c>
    </row>
    <row r="520" spans="1:25" hidden="1" x14ac:dyDescent="0.25">
      <c r="A520">
        <v>36663</v>
      </c>
      <c r="B520" t="str">
        <f>_xlfn.CONCAT(bron[[#This Row],[personeelsnr]]," ",bron[[#This Row],[achternaam]]," ",bron[[#This Row],[voornaam]])</f>
        <v>36663 Cesmeli Achraf</v>
      </c>
      <c r="C520" t="str">
        <f>VLOOKUP(bron[[#This Row],[personeelsnr]],'data hastus'!$A:$C,2,0)</f>
        <v>Cesmeli</v>
      </c>
      <c r="D520" t="str">
        <f>VLOOKUP(bron[[#This Row],[personeelsnr]],'data hastus'!$A:$C,3,0)</f>
        <v>Achraf</v>
      </c>
      <c r="E520" t="str">
        <f>VLOOKUP(bron[[#This Row],[personeelsnr]],'data hastus'!A:K,11,FALSE)</f>
        <v>Dominique De Clercq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45661</v>
      </c>
      <c r="U520" t="s">
        <v>1004</v>
      </c>
      <c r="V520" s="8">
        <v>1</v>
      </c>
      <c r="W520"/>
      <c r="X520" t="s">
        <v>7</v>
      </c>
    </row>
    <row r="521" spans="1:25" hidden="1" x14ac:dyDescent="0.25">
      <c r="A521">
        <v>37950</v>
      </c>
      <c r="B521" t="str">
        <f>_xlfn.CONCAT(bron[[#This Row],[personeelsnr]]," ",bron[[#This Row],[achternaam]]," ",bron[[#This Row],[voornaam]])</f>
        <v>37950 De Naegel Bruno</v>
      </c>
      <c r="C521" t="str">
        <f>VLOOKUP(bron[[#This Row],[personeelsnr]],'data hastus'!$A:$C,2,0)</f>
        <v>De Naegel</v>
      </c>
      <c r="D521" t="str">
        <f>VLOOKUP(bron[[#This Row],[personeelsnr]],'data hastus'!$A:$C,3,0)</f>
        <v>Bruno</v>
      </c>
      <c r="E521" t="str">
        <f>VLOOKUP(bron[[#This Row],[personeelsnr]],'data hastus'!A:K,11,FALSE)</f>
        <v>Dominique De Clercq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1</v>
      </c>
      <c r="T521" s="3">
        <v>45665</v>
      </c>
      <c r="U521" s="8" t="s">
        <v>1005</v>
      </c>
      <c r="V521" s="8">
        <v>1</v>
      </c>
      <c r="W521" s="8"/>
      <c r="X521" t="s">
        <v>7</v>
      </c>
      <c r="Y521" t="s">
        <v>117</v>
      </c>
    </row>
    <row r="522" spans="1:25" hidden="1" x14ac:dyDescent="0.25">
      <c r="A522">
        <v>41032</v>
      </c>
      <c r="B522" t="str">
        <f>_xlfn.CONCAT(bron[[#This Row],[personeelsnr]]," ",bron[[#This Row],[achternaam]]," ",bron[[#This Row],[voornaam]])</f>
        <v>41032 Rocabado Hinojosa Lukas</v>
      </c>
      <c r="C522" t="str">
        <f>VLOOKUP(bron[[#This Row],[personeelsnr]],'data hastus'!$A:$C,2,0)</f>
        <v>Rocabado Hinojosa</v>
      </c>
      <c r="D522" t="str">
        <f>VLOOKUP(bron[[#This Row],[personeelsnr]],'data hastus'!$A:$C,3,0)</f>
        <v>Lukas</v>
      </c>
      <c r="E522" t="str">
        <f>VLOOKUP(bron[[#This Row],[personeelsnr]],'data hastus'!A:K,11,FALSE)</f>
        <v>Els Vanhoe</v>
      </c>
      <c r="F522" s="10"/>
      <c r="G522" s="7">
        <v>1</v>
      </c>
      <c r="H522" s="7"/>
      <c r="I522" s="7"/>
      <c r="S522" s="5">
        <f>SUM(bron[[#This Row],[Januari]:[December]])</f>
        <v>1</v>
      </c>
      <c r="T522" s="9">
        <v>45666</v>
      </c>
      <c r="U522" s="8" t="s">
        <v>1006</v>
      </c>
      <c r="V522" s="24">
        <v>1</v>
      </c>
      <c r="W522" s="24"/>
      <c r="X522" t="s">
        <v>7</v>
      </c>
      <c r="Y522" t="s">
        <v>31</v>
      </c>
    </row>
    <row r="523" spans="1:25" hidden="1" x14ac:dyDescent="0.25">
      <c r="A523">
        <v>19917</v>
      </c>
      <c r="B523" t="str">
        <f>_xlfn.CONCAT(bron[[#This Row],[personeelsnr]]," ",bron[[#This Row],[achternaam]]," ",bron[[#This Row],[voornaam]])</f>
        <v>19917 Vandevyvere Frank</v>
      </c>
      <c r="C523" t="str">
        <f>VLOOKUP(bron[[#This Row],[personeelsnr]],'data hastus'!$A:$C,2,0)</f>
        <v>Vandevyvere</v>
      </c>
      <c r="D523" t="str">
        <f>VLOOKUP(bron[[#This Row],[personeelsnr]],'data hastus'!$A:$C,3,0)</f>
        <v>Frank</v>
      </c>
      <c r="E523" t="str">
        <f>VLOOKUP(bron[[#This Row],[personeelsnr]],'data hastus'!A:K,11,FALSE)</f>
        <v>Bart Van Der Beken</v>
      </c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45667</v>
      </c>
      <c r="U523" s="8" t="s">
        <v>1007</v>
      </c>
      <c r="V523" s="8">
        <v>1</v>
      </c>
      <c r="W523" s="8"/>
      <c r="X523" t="s">
        <v>7</v>
      </c>
      <c r="Y523" t="s">
        <v>28</v>
      </c>
    </row>
    <row r="524" spans="1:25" hidden="1" x14ac:dyDescent="0.25">
      <c r="A524">
        <v>40266</v>
      </c>
      <c r="B524" t="str">
        <f>_xlfn.CONCAT(bron[[#This Row],[personeelsnr]]," ",bron[[#This Row],[achternaam]]," ",bron[[#This Row],[voornaam]])</f>
        <v>40266 Taibi Yassine</v>
      </c>
      <c r="C524" t="str">
        <f>VLOOKUP(bron[[#This Row],[personeelsnr]],'data hastus'!$A:$C,2,0)</f>
        <v>Taibi</v>
      </c>
      <c r="D524" t="str">
        <f>VLOOKUP(bron[[#This Row],[personeelsnr]],'data hastus'!$A:$C,3,0)</f>
        <v>Yassine</v>
      </c>
      <c r="E524" t="str">
        <f>VLOOKUP(bron[[#This Row],[personeelsnr]],'data hastus'!A:K,11,FALSE)</f>
        <v>Christoff Rotty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45667</v>
      </c>
      <c r="U524" s="8" t="s">
        <v>1008</v>
      </c>
      <c r="V524" s="8">
        <v>1</v>
      </c>
      <c r="W524" s="8"/>
      <c r="X524" t="s">
        <v>7</v>
      </c>
      <c r="Y524" t="s">
        <v>102</v>
      </c>
    </row>
    <row r="525" spans="1:25" hidden="1" x14ac:dyDescent="0.25">
      <c r="A525">
        <v>36559</v>
      </c>
      <c r="B525" t="str">
        <f>_xlfn.CONCAT(bron[[#This Row],[personeelsnr]]," ",bron[[#This Row],[achternaam]]," ",bron[[#This Row],[voornaam]])</f>
        <v>36559 De Staercke Sandra</v>
      </c>
      <c r="C525" t="str">
        <f>VLOOKUP(bron[[#This Row],[personeelsnr]],'data hastus'!$A:$C,2,0)</f>
        <v>De Staercke</v>
      </c>
      <c r="D525" t="str">
        <f>VLOOKUP(bron[[#This Row],[personeelsnr]],'data hastus'!$A:$C,3,0)</f>
        <v>Sandra</v>
      </c>
      <c r="E525" t="str">
        <f>VLOOKUP(bron[[#This Row],[personeelsnr]],'data hastus'!A:K,11,FALSE)</f>
        <v>Kenneth De Rick</v>
      </c>
      <c r="F525" s="10"/>
      <c r="G525" s="6">
        <v>1</v>
      </c>
      <c r="H525" s="6"/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45667</v>
      </c>
      <c r="U525" s="8" t="s">
        <v>1009</v>
      </c>
      <c r="V525" s="8"/>
      <c r="W525" s="8">
        <v>1</v>
      </c>
      <c r="X525" t="s">
        <v>8</v>
      </c>
      <c r="Y525" t="s">
        <v>297</v>
      </c>
    </row>
    <row r="526" spans="1:25" hidden="1" x14ac:dyDescent="0.25">
      <c r="A526">
        <v>33986</v>
      </c>
      <c r="B526" t="str">
        <f>_xlfn.CONCAT(bron[[#This Row],[personeelsnr]]," ",bron[[#This Row],[achternaam]]," ",bron[[#This Row],[voornaam]])</f>
        <v>33986 Göktas Muharrem</v>
      </c>
      <c r="C526" t="str">
        <f>VLOOKUP(bron[[#This Row],[personeelsnr]],'data hastus'!$A:$C,2,0)</f>
        <v>Göktas</v>
      </c>
      <c r="D526" t="str">
        <f>VLOOKUP(bron[[#This Row],[personeelsnr]],'data hastus'!$A:$C,3,0)</f>
        <v>Muharrem</v>
      </c>
      <c r="E526" t="str">
        <f>VLOOKUP(bron[[#This Row],[personeelsnr]],'data hastus'!A:K,11,FALSE)</f>
        <v>Kenneth De Rick</v>
      </c>
      <c r="F526" s="10"/>
      <c r="G526" s="6"/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0</v>
      </c>
      <c r="T526" s="3">
        <v>45669</v>
      </c>
      <c r="U526" s="8" t="s">
        <v>1010</v>
      </c>
      <c r="V526" s="8">
        <v>1</v>
      </c>
      <c r="W526" s="8"/>
      <c r="X526" t="s">
        <v>7</v>
      </c>
      <c r="Y526" t="s">
        <v>249</v>
      </c>
    </row>
    <row r="527" spans="1:25" hidden="1" x14ac:dyDescent="0.25">
      <c r="A527">
        <v>36428</v>
      </c>
      <c r="B527" t="str">
        <f>_xlfn.CONCAT(bron[[#This Row],[personeelsnr]]," ",bron[[#This Row],[achternaam]]," ",bron[[#This Row],[voornaam]])</f>
        <v>36428 Abdi Shaiye Rashid</v>
      </c>
      <c r="C527" t="str">
        <f>VLOOKUP(bron[[#This Row],[personeelsnr]],'data hastus'!$A:$C,2,0)</f>
        <v>Abdi Shaiye</v>
      </c>
      <c r="D527" t="str">
        <f>VLOOKUP(bron[[#This Row],[personeelsnr]],'data hastus'!$A:$C,3,0)</f>
        <v>Rashid</v>
      </c>
      <c r="E527" t="str">
        <f>VLOOKUP(bron[[#This Row],[personeelsnr]],'data hastus'!A:K,11,FALSE)</f>
        <v>Lucie Vande Velde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45669</v>
      </c>
      <c r="U527" s="8" t="s">
        <v>1011</v>
      </c>
      <c r="V527" s="8">
        <v>1</v>
      </c>
      <c r="W527" s="8"/>
      <c r="X527" t="s">
        <v>7</v>
      </c>
      <c r="Y527" t="s">
        <v>13</v>
      </c>
    </row>
    <row r="528" spans="1:25" hidden="1" x14ac:dyDescent="0.25">
      <c r="A528">
        <v>40444</v>
      </c>
      <c r="B528" t="str">
        <f>_xlfn.CONCAT(bron[[#This Row],[personeelsnr]]," ",bron[[#This Row],[achternaam]]," ",bron[[#This Row],[voornaam]])</f>
        <v>40444 Van Damme Glenn</v>
      </c>
      <c r="C528" t="str">
        <f>VLOOKUP(bron[[#This Row],[personeelsnr]],'data hastus'!$A:$C,2,0)</f>
        <v>Van Damme</v>
      </c>
      <c r="D528" t="str">
        <f>VLOOKUP(bron[[#This Row],[personeelsnr]],'data hastus'!$A:$C,3,0)</f>
        <v>Glenn</v>
      </c>
      <c r="E528" t="str">
        <f>VLOOKUP(bron[[#This Row],[personeelsnr]],'data hastus'!A:K,11,FALSE)</f>
        <v>Els Dewulf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45670</v>
      </c>
      <c r="U528" s="8" t="s">
        <v>1012</v>
      </c>
      <c r="V528" s="8">
        <v>1</v>
      </c>
      <c r="W528" s="8"/>
      <c r="X528" t="s">
        <v>7</v>
      </c>
      <c r="Y528" t="s">
        <v>100</v>
      </c>
    </row>
    <row r="529" spans="1:25" hidden="1" x14ac:dyDescent="0.25">
      <c r="A529">
        <v>36626</v>
      </c>
      <c r="B529" t="str">
        <f>_xlfn.CONCAT(bron[[#This Row],[personeelsnr]]," ",bron[[#This Row],[achternaam]]," ",bron[[#This Row],[voornaam]])</f>
        <v>36626 Kartal Kadir</v>
      </c>
      <c r="C529" t="str">
        <f>VLOOKUP(bron[[#This Row],[personeelsnr]],'data hastus'!$A:$C,2,0)</f>
        <v>Kartal</v>
      </c>
      <c r="D529" t="str">
        <f>VLOOKUP(bron[[#This Row],[personeelsnr]],'data hastus'!$A:$C,3,0)</f>
        <v>Kadir</v>
      </c>
      <c r="E529" t="str">
        <f>VLOOKUP(bron[[#This Row],[personeelsnr]],'data hastus'!A:K,11,FALSE)</f>
        <v>Els Dewulf</v>
      </c>
      <c r="F529" s="10"/>
      <c r="G529" s="6">
        <v>1</v>
      </c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1</v>
      </c>
      <c r="T529" s="3">
        <v>45671</v>
      </c>
      <c r="U529" s="8" t="s">
        <v>1013</v>
      </c>
      <c r="V529" s="8">
        <v>1</v>
      </c>
      <c r="W529" s="8"/>
      <c r="X529" t="s">
        <v>7</v>
      </c>
      <c r="Y529" t="s">
        <v>22</v>
      </c>
    </row>
    <row r="530" spans="1:25" hidden="1" x14ac:dyDescent="0.25">
      <c r="A530">
        <v>25487</v>
      </c>
      <c r="B530" t="str">
        <f>_xlfn.CONCAT(bron[[#This Row],[personeelsnr]]," ",bron[[#This Row],[achternaam]]," ",bron[[#This Row],[voornaam]])</f>
        <v>25487 Devos Stefaan</v>
      </c>
      <c r="C530" t="str">
        <f>VLOOKUP(bron[[#This Row],[personeelsnr]],'data hastus'!$A:$C,2,0)</f>
        <v>Devos</v>
      </c>
      <c r="D530" t="str">
        <f>VLOOKUP(bron[[#This Row],[personeelsnr]],'data hastus'!$A:$C,3,0)</f>
        <v>Stefaan</v>
      </c>
      <c r="E530" t="str">
        <f>VLOOKUP(bron[[#This Row],[personeelsnr]],'data hastus'!A:K,11,FALSE)</f>
        <v>Steven Storm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45671</v>
      </c>
      <c r="U530" s="8" t="s">
        <v>1014</v>
      </c>
      <c r="V530" s="8">
        <v>1</v>
      </c>
      <c r="W530" s="8"/>
      <c r="X530" t="s">
        <v>7</v>
      </c>
      <c r="Y530" t="s">
        <v>92</v>
      </c>
    </row>
    <row r="531" spans="1:25" hidden="1" x14ac:dyDescent="0.25">
      <c r="A531">
        <v>41090</v>
      </c>
      <c r="B531" t="e">
        <f>_xlfn.CONCAT(bron[[#This Row],[personeelsnr]]," ",bron[[#This Row],[achternaam]]," ",bron[[#This Row],[voornaam]])</f>
        <v>#N/A</v>
      </c>
      <c r="C531" t="e">
        <f>VLOOKUP(bron[[#This Row],[personeelsnr]],'data hastus'!$A:$C,2,0)</f>
        <v>#N/A</v>
      </c>
      <c r="D531" t="e">
        <f>VLOOKUP(bron[[#This Row],[personeelsnr]],'data hastus'!$A:$C,3,0)</f>
        <v>#N/A</v>
      </c>
      <c r="E531" t="s">
        <v>79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45671</v>
      </c>
      <c r="U531" s="8" t="s">
        <v>1015</v>
      </c>
      <c r="V531" s="8">
        <v>1</v>
      </c>
      <c r="W531" s="8"/>
      <c r="X531" t="s">
        <v>7</v>
      </c>
      <c r="Y531" t="s">
        <v>16</v>
      </c>
    </row>
    <row r="532" spans="1:25" x14ac:dyDescent="0.25">
      <c r="A532">
        <v>40005</v>
      </c>
      <c r="B532" t="str">
        <f>_xlfn.CONCAT(bron[[#This Row],[personeelsnr]]," ",bron[[#This Row],[achternaam]]," ",bron[[#This Row],[voornaam]])</f>
        <v>40005 Bernaerts Philip</v>
      </c>
      <c r="C532" t="str">
        <f>VLOOKUP(bron[[#This Row],[personeelsnr]],'data hastus'!$A:$C,2,0)</f>
        <v>Bernaerts</v>
      </c>
      <c r="D532" t="str">
        <f>VLOOKUP(bron[[#This Row],[personeelsnr]],'data hastus'!$A:$C,3,0)</f>
        <v>Philip</v>
      </c>
      <c r="E532" t="str">
        <f>VLOOKUP(bron[[#This Row],[personeelsnr]],'data hastus'!A:K,11,FALSE)</f>
        <v>Christoff Rotty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45672</v>
      </c>
      <c r="U532" s="8" t="s">
        <v>1016</v>
      </c>
      <c r="V532" s="8">
        <v>1</v>
      </c>
      <c r="W532" s="8"/>
      <c r="X532" t="s">
        <v>7</v>
      </c>
      <c r="Y532" t="s">
        <v>185</v>
      </c>
    </row>
    <row r="533" spans="1:25" hidden="1" x14ac:dyDescent="0.25">
      <c r="A533">
        <v>30967</v>
      </c>
      <c r="B533" t="str">
        <f>_xlfn.CONCAT(bron[[#This Row],[personeelsnr]]," ",bron[[#This Row],[achternaam]]," ",bron[[#This Row],[voornaam]])</f>
        <v>30967 Taser Fatih</v>
      </c>
      <c r="C533" t="str">
        <f>VLOOKUP(bron[[#This Row],[personeelsnr]],'data hastus'!$A:$C,2,0)</f>
        <v>Taser</v>
      </c>
      <c r="D533" t="str">
        <f>VLOOKUP(bron[[#This Row],[personeelsnr]],'data hastus'!$A:$C,3,0)</f>
        <v>Fatih</v>
      </c>
      <c r="E533" t="str">
        <f>VLOOKUP(bron[[#This Row],[personeelsnr]],'data hastus'!A:K,11,FALSE)</f>
        <v>Dominique De Clercq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45672</v>
      </c>
      <c r="U533" s="8" t="s">
        <v>1017</v>
      </c>
      <c r="V533" s="8"/>
      <c r="W533" s="8">
        <v>1</v>
      </c>
      <c r="X533" t="s">
        <v>8</v>
      </c>
      <c r="Y533" t="s">
        <v>63</v>
      </c>
    </row>
    <row r="534" spans="1:25" hidden="1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45673</v>
      </c>
      <c r="U534" s="8" t="s">
        <v>1018</v>
      </c>
      <c r="V534" s="8"/>
      <c r="W534" s="8">
        <v>1</v>
      </c>
      <c r="X534" t="s">
        <v>8</v>
      </c>
      <c r="Y534" t="s">
        <v>5</v>
      </c>
    </row>
    <row r="535" spans="1:25" hidden="1" x14ac:dyDescent="0.25">
      <c r="A535">
        <v>40969</v>
      </c>
      <c r="B535" t="str">
        <f>_xlfn.CONCAT(bron[[#This Row],[personeelsnr]]," ",bron[[#This Row],[achternaam]]," ",bron[[#This Row],[voornaam]])</f>
        <v>40969 Kerman Melisa</v>
      </c>
      <c r="C535" t="str">
        <f>VLOOKUP(bron[[#This Row],[personeelsnr]],'data hastus'!$A:$C,2,0)</f>
        <v>Kerman</v>
      </c>
      <c r="D535" t="str">
        <f>VLOOKUP(bron[[#This Row],[personeelsnr]],'data hastus'!$A:$C,3,0)</f>
        <v>Melisa</v>
      </c>
      <c r="E535" t="str">
        <f>VLOOKUP(bron[[#This Row],[personeelsnr]],'data hastus'!A:K,11,FALSE)</f>
        <v>Steven Storm</v>
      </c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45673</v>
      </c>
      <c r="U535" s="8" t="s">
        <v>1019</v>
      </c>
      <c r="V535" s="8">
        <v>1</v>
      </c>
      <c r="W535" s="8"/>
      <c r="X535" t="s">
        <v>7</v>
      </c>
      <c r="Y535" t="s">
        <v>28</v>
      </c>
    </row>
    <row r="536" spans="1:25" hidden="1" x14ac:dyDescent="0.25">
      <c r="A536">
        <v>22240</v>
      </c>
      <c r="B536" t="str">
        <f>_xlfn.CONCAT(bron[[#This Row],[personeelsnr]]," ",bron[[#This Row],[achternaam]]," ",bron[[#This Row],[voornaam]])</f>
        <v>22240 Delahaye Karina</v>
      </c>
      <c r="C536" t="str">
        <f>VLOOKUP(bron[[#This Row],[personeelsnr]],'data hastus'!$A:$C,2,0)</f>
        <v>Delahaye</v>
      </c>
      <c r="D536" t="str">
        <f>VLOOKUP(bron[[#This Row],[personeelsnr]],'data hastus'!$A:$C,3,0)</f>
        <v>Karina</v>
      </c>
      <c r="E536" t="str">
        <f>VLOOKUP(bron[[#This Row],[personeelsnr]],'data hastus'!A:K,11,FALSE)</f>
        <v>Els Dewulf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45674</v>
      </c>
      <c r="U536" s="8" t="s">
        <v>1020</v>
      </c>
      <c r="V536" s="8"/>
      <c r="W536" s="8">
        <v>1</v>
      </c>
      <c r="X536" t="s">
        <v>8</v>
      </c>
      <c r="Y536" t="s">
        <v>187</v>
      </c>
    </row>
    <row r="537" spans="1:25" hidden="1" x14ac:dyDescent="0.25">
      <c r="A537">
        <v>33965</v>
      </c>
      <c r="B537" t="str">
        <f>_xlfn.CONCAT(bron[[#This Row],[personeelsnr]]," ",bron[[#This Row],[achternaam]]," ",bron[[#This Row],[voornaam]])</f>
        <v>33965 Van de Gehuchte Gilles</v>
      </c>
      <c r="C537" t="str">
        <f>VLOOKUP(bron[[#This Row],[personeelsnr]],'data hastus'!$A:$C,2,0)</f>
        <v>Van de Gehuchte</v>
      </c>
      <c r="D537" t="str">
        <f>VLOOKUP(bron[[#This Row],[personeelsnr]],'data hastus'!$A:$C,3,0)</f>
        <v>Gilles</v>
      </c>
      <c r="E537" t="str">
        <f>VLOOKUP(bron[[#This Row],[personeelsnr]],'data hastus'!A:K,11,FALSE)</f>
        <v>Kenneth De Rick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45677</v>
      </c>
      <c r="U537" s="8" t="s">
        <v>1021</v>
      </c>
      <c r="V537" s="8"/>
      <c r="W537" s="8">
        <v>1</v>
      </c>
      <c r="X537" t="s">
        <v>8</v>
      </c>
      <c r="Y537" t="s">
        <v>31</v>
      </c>
    </row>
    <row r="538" spans="1:25" hidden="1" x14ac:dyDescent="0.25">
      <c r="A538">
        <v>8394</v>
      </c>
      <c r="B538" t="str">
        <f>_xlfn.CONCAT(bron[[#This Row],[personeelsnr]]," ",bron[[#This Row],[achternaam]]," ",bron[[#This Row],[voornaam]])</f>
        <v>8394 Smet Antoon</v>
      </c>
      <c r="C538" t="str">
        <f>VLOOKUP(bron[[#This Row],[personeelsnr]],'data hastus'!$A:$C,2,0)</f>
        <v>Smet</v>
      </c>
      <c r="D538" t="str">
        <f>VLOOKUP(bron[[#This Row],[personeelsnr]],'data hastus'!$A:$C,3,0)</f>
        <v>Antoon</v>
      </c>
      <c r="E538" t="str">
        <f>VLOOKUP(bron[[#This Row],[personeelsnr]],'data hastus'!A:K,11,FALSE)</f>
        <v>Lucie Vande Velde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45677</v>
      </c>
      <c r="U538" s="8" t="s">
        <v>1022</v>
      </c>
      <c r="V538" s="8">
        <v>1</v>
      </c>
      <c r="W538" s="8"/>
      <c r="X538" t="s">
        <v>7</v>
      </c>
      <c r="Y538" t="s">
        <v>285</v>
      </c>
    </row>
    <row r="539" spans="1:25" hidden="1" x14ac:dyDescent="0.25">
      <c r="A539">
        <v>39673</v>
      </c>
      <c r="B539" t="str">
        <f>_xlfn.CONCAT(bron[[#This Row],[personeelsnr]]," ",bron[[#This Row],[achternaam]]," ",bron[[#This Row],[voornaam]])</f>
        <v>39673 Steurbaut Henri</v>
      </c>
      <c r="C539" t="str">
        <f>VLOOKUP(bron[[#This Row],[personeelsnr]],'data hastus'!$A:$C,2,0)</f>
        <v>Steurbaut</v>
      </c>
      <c r="D539" t="str">
        <f>VLOOKUP(bron[[#This Row],[personeelsnr]],'data hastus'!$A:$C,3,0)</f>
        <v>Henri</v>
      </c>
      <c r="E539" t="str">
        <f>VLOOKUP(bron[[#This Row],[personeelsnr]],'data hastus'!A:K,11,FALSE)</f>
        <v>Els Vanhoe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45678</v>
      </c>
      <c r="U539" s="8" t="s">
        <v>1023</v>
      </c>
      <c r="V539" s="8">
        <v>1</v>
      </c>
      <c r="W539" s="8"/>
      <c r="X539" t="s">
        <v>7</v>
      </c>
      <c r="Y539" t="s">
        <v>92</v>
      </c>
    </row>
    <row r="540" spans="1:25" hidden="1" x14ac:dyDescent="0.25">
      <c r="A540">
        <v>39660</v>
      </c>
      <c r="B540" t="str">
        <f>_xlfn.CONCAT(bron[[#This Row],[personeelsnr]]," ",bron[[#This Row],[achternaam]]," ",bron[[#This Row],[voornaam]])</f>
        <v>39660 Lloyd Glenn</v>
      </c>
      <c r="C540" t="str">
        <f>VLOOKUP(bron[[#This Row],[personeelsnr]],'data hastus'!$A:$C,2,0)</f>
        <v>Lloyd</v>
      </c>
      <c r="D540" t="str">
        <f>VLOOKUP(bron[[#This Row],[personeelsnr]],'data hastus'!$A:$C,3,0)</f>
        <v>Glenn</v>
      </c>
      <c r="E540" t="str">
        <f>VLOOKUP(bron[[#This Row],[personeelsnr]],'data hastus'!A:K,11,FALSE)</f>
        <v>Bart Van Der Beken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45679</v>
      </c>
      <c r="U540" s="8" t="s">
        <v>1024</v>
      </c>
      <c r="V540" s="8">
        <v>1</v>
      </c>
      <c r="W540" s="8"/>
      <c r="X540" t="s">
        <v>7</v>
      </c>
      <c r="Y540" t="s">
        <v>48</v>
      </c>
    </row>
    <row r="541" spans="1:25" hidden="1" x14ac:dyDescent="0.25">
      <c r="A541">
        <v>41162</v>
      </c>
      <c r="B541" t="str">
        <f>_xlfn.CONCAT(bron[[#This Row],[personeelsnr]]," ",bron[[#This Row],[achternaam]]," ",bron[[#This Row],[voornaam]])</f>
        <v>41162 Hoeckman Jeroen</v>
      </c>
      <c r="C541" t="str">
        <f>VLOOKUP(bron[[#This Row],[personeelsnr]],'data hastus'!$A:$C,2,0)</f>
        <v>Hoeckman</v>
      </c>
      <c r="D541" t="str">
        <f>VLOOKUP(bron[[#This Row],[personeelsnr]],'data hastus'!$A:$C,3,0)</f>
        <v>Jeroen</v>
      </c>
      <c r="E541" t="str">
        <f>VLOOKUP(bron[[#This Row],[personeelsnr]],'data hastus'!A:K,11,FALSE)</f>
        <v>Dominique De Clercq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45679</v>
      </c>
      <c r="U541" s="8" t="s">
        <v>1025</v>
      </c>
      <c r="V541" s="8">
        <v>1</v>
      </c>
      <c r="W541" s="8"/>
      <c r="X541" t="s">
        <v>7</v>
      </c>
      <c r="Y541" t="s">
        <v>127</v>
      </c>
    </row>
    <row r="542" spans="1:25" hidden="1" x14ac:dyDescent="0.25">
      <c r="A542">
        <v>34351</v>
      </c>
      <c r="B542" t="str">
        <f>_xlfn.CONCAT(bron[[#This Row],[personeelsnr]]," ",bron[[#This Row],[achternaam]]," ",bron[[#This Row],[voornaam]])</f>
        <v>34351 Callant Dieter</v>
      </c>
      <c r="C542" t="str">
        <f>VLOOKUP(bron[[#This Row],[personeelsnr]],'data hastus'!$A:$C,2,0)</f>
        <v>Callant</v>
      </c>
      <c r="D542" t="str">
        <f>VLOOKUP(bron[[#This Row],[personeelsnr]],'data hastus'!$A:$C,3,0)</f>
        <v>Dieter</v>
      </c>
      <c r="E542" t="str">
        <f>VLOOKUP(bron[[#This Row],[personeelsnr]],'data hastus'!A:K,11,FALSE)</f>
        <v>Els Vanhoe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45679</v>
      </c>
      <c r="U542" s="8" t="s">
        <v>1026</v>
      </c>
      <c r="V542" s="8"/>
      <c r="W542" s="8">
        <v>1</v>
      </c>
      <c r="X542" t="s">
        <v>8</v>
      </c>
      <c r="Y542" t="s">
        <v>159</v>
      </c>
    </row>
    <row r="543" spans="1:25" hidden="1" x14ac:dyDescent="0.25">
      <c r="A543">
        <v>31360</v>
      </c>
      <c r="B543" t="str">
        <f>_xlfn.CONCAT(bron[[#This Row],[personeelsnr]]," ",bron[[#This Row],[achternaam]]," ",bron[[#This Row],[voornaam]])</f>
        <v>31360 Simsek Fatih</v>
      </c>
      <c r="C543" t="str">
        <f>VLOOKUP(bron[[#This Row],[personeelsnr]],'data hastus'!$A:$C,2,0)</f>
        <v>Simsek</v>
      </c>
      <c r="D543" t="str">
        <f>VLOOKUP(bron[[#This Row],[personeelsnr]],'data hastus'!$A:$C,3,0)</f>
        <v>Fatih</v>
      </c>
      <c r="E543" t="str">
        <f>VLOOKUP(bron[[#This Row],[personeelsnr]],'data hastus'!A:K,11,FALSE)</f>
        <v>Dominique De Clercq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45680</v>
      </c>
      <c r="U543" s="8" t="s">
        <v>1027</v>
      </c>
      <c r="V543" s="8"/>
      <c r="W543" s="8">
        <v>1</v>
      </c>
      <c r="X543" t="s">
        <v>8</v>
      </c>
      <c r="Y543" t="s">
        <v>75</v>
      </c>
    </row>
    <row r="544" spans="1:25" hidden="1" x14ac:dyDescent="0.25">
      <c r="A544">
        <v>35395</v>
      </c>
      <c r="B544" t="str">
        <f>_xlfn.CONCAT(bron[[#This Row],[personeelsnr]]," ",bron[[#This Row],[achternaam]]," ",bron[[#This Row],[voornaam]])</f>
        <v>35395 Limbourg Heidi</v>
      </c>
      <c r="C544" t="str">
        <f>VLOOKUP(bron[[#This Row],[personeelsnr]],'data hastus'!$A:$C,2,0)</f>
        <v>Limbourg</v>
      </c>
      <c r="D544" t="str">
        <f>VLOOKUP(bron[[#This Row],[personeelsnr]],'data hastus'!$A:$C,3,0)</f>
        <v>Heidi</v>
      </c>
      <c r="E544" t="str">
        <f>VLOOKUP(bron[[#This Row],[personeelsnr]],'data hastus'!A:K,11,FALSE)</f>
        <v>Steven Storm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45680</v>
      </c>
      <c r="U544" s="8" t="s">
        <v>1028</v>
      </c>
      <c r="V544" s="8"/>
      <c r="W544" s="8">
        <v>1</v>
      </c>
      <c r="X544" t="s">
        <v>8</v>
      </c>
      <c r="Y544" t="s">
        <v>171</v>
      </c>
    </row>
    <row r="545" spans="1:25" hidden="1" x14ac:dyDescent="0.25">
      <c r="A545">
        <v>13398</v>
      </c>
      <c r="B545" t="str">
        <f>_xlfn.CONCAT(bron[[#This Row],[personeelsnr]]," ",bron[[#This Row],[achternaam]]," ",bron[[#This Row],[voornaam]])</f>
        <v>13398 Kirdas Ramazan</v>
      </c>
      <c r="C545" t="str">
        <f>VLOOKUP(bron[[#This Row],[personeelsnr]],'data hastus'!$A:$C,2,0)</f>
        <v>Kirdas</v>
      </c>
      <c r="D545" t="str">
        <f>VLOOKUP(bron[[#This Row],[personeelsnr]],'data hastus'!$A:$C,3,0)</f>
        <v>Ramazan</v>
      </c>
      <c r="E545" t="str">
        <f>VLOOKUP(bron[[#This Row],[personeelsnr]],'data hastus'!A:K,11,FALSE)</f>
        <v>Dominique De Clercq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45681</v>
      </c>
      <c r="U545" s="8" t="s">
        <v>1029</v>
      </c>
      <c r="V545" s="8"/>
      <c r="W545" s="8">
        <v>1</v>
      </c>
      <c r="X545" t="s">
        <v>8</v>
      </c>
      <c r="Y545" t="s">
        <v>129</v>
      </c>
    </row>
    <row r="546" spans="1:25" hidden="1" x14ac:dyDescent="0.25">
      <c r="A546">
        <v>36663</v>
      </c>
      <c r="B546" t="str">
        <f>_xlfn.CONCAT(bron[[#This Row],[personeelsnr]]," ",bron[[#This Row],[achternaam]]," ",bron[[#This Row],[voornaam]])</f>
        <v>36663 Cesmeli Achraf</v>
      </c>
      <c r="C546" t="str">
        <f>VLOOKUP(bron[[#This Row],[personeelsnr]],'data hastus'!$A:$C,2,0)</f>
        <v>Cesmeli</v>
      </c>
      <c r="D546" t="str">
        <f>VLOOKUP(bron[[#This Row],[personeelsnr]],'data hastus'!$A:$C,3,0)</f>
        <v>Achraf</v>
      </c>
      <c r="E546" t="str">
        <f>VLOOKUP(bron[[#This Row],[personeelsnr]],'data hastus'!A:K,11,FALSE)</f>
        <v>Dominique De Clercq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45684</v>
      </c>
      <c r="U546" s="8" t="s">
        <v>1030</v>
      </c>
      <c r="V546" s="8">
        <v>1</v>
      </c>
      <c r="W546" s="8"/>
      <c r="X546" t="s">
        <v>7</v>
      </c>
      <c r="Y546" t="s">
        <v>81</v>
      </c>
    </row>
    <row r="547" spans="1:25" hidden="1" x14ac:dyDescent="0.25">
      <c r="A547">
        <v>40138</v>
      </c>
      <c r="B547" t="str">
        <f>_xlfn.CONCAT(bron[[#This Row],[personeelsnr]]," ",bron[[#This Row],[achternaam]]," ",bron[[#This Row],[voornaam]])</f>
        <v>40138 Moerman Tjimmy</v>
      </c>
      <c r="C547" t="str">
        <f>VLOOKUP(bron[[#This Row],[personeelsnr]],'data hastus'!$A:$C,2,0)</f>
        <v>Moerman</v>
      </c>
      <c r="D547" t="str">
        <f>VLOOKUP(bron[[#This Row],[personeelsnr]],'data hastus'!$A:$C,3,0)</f>
        <v>Tjimmy</v>
      </c>
      <c r="E547" t="str">
        <f>VLOOKUP(bron[[#This Row],[personeelsnr]],'data hastus'!A:K,11,FALSE)</f>
        <v>Christoff Rotty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45685</v>
      </c>
      <c r="U547" s="8" t="s">
        <v>1031</v>
      </c>
      <c r="V547" s="8">
        <v>1</v>
      </c>
      <c r="W547" s="8"/>
      <c r="X547" t="s">
        <v>7</v>
      </c>
      <c r="Y547" t="s">
        <v>54</v>
      </c>
    </row>
    <row r="548" spans="1:25" hidden="1" x14ac:dyDescent="0.25">
      <c r="A548">
        <v>35491</v>
      </c>
      <c r="B548" t="str">
        <f>_xlfn.CONCAT(bron[[#This Row],[personeelsnr]]," ",bron[[#This Row],[achternaam]]," ",bron[[#This Row],[voornaam]])</f>
        <v>35491 Toubadie Zakaria</v>
      </c>
      <c r="C548" t="str">
        <f>VLOOKUP(bron[[#This Row],[personeelsnr]],'data hastus'!$A:$C,2,0)</f>
        <v>Toubadie</v>
      </c>
      <c r="D548" t="str">
        <f>VLOOKUP(bron[[#This Row],[personeelsnr]],'data hastus'!$A:$C,3,0)</f>
        <v>Zakaria</v>
      </c>
      <c r="E548" t="str">
        <f>VLOOKUP(bron[[#This Row],[personeelsnr]],'data hastus'!A:K,11,FALSE)</f>
        <v>Els Vanhoe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45685</v>
      </c>
      <c r="U548" s="8" t="s">
        <v>1032</v>
      </c>
      <c r="V548" s="8">
        <v>1</v>
      </c>
      <c r="W548" s="8"/>
      <c r="X548" t="s">
        <v>7</v>
      </c>
      <c r="Y548" t="s">
        <v>22</v>
      </c>
    </row>
    <row r="549" spans="1:25" hidden="1" x14ac:dyDescent="0.25">
      <c r="A549">
        <v>21424</v>
      </c>
      <c r="B549" t="str">
        <f>_xlfn.CONCAT(bron[[#This Row],[personeelsnr]]," ",bron[[#This Row],[achternaam]]," ",bron[[#This Row],[voornaam]])</f>
        <v>21424 Verstichel Jethro</v>
      </c>
      <c r="C549" t="str">
        <f>VLOOKUP(bron[[#This Row],[personeelsnr]],'data hastus'!$A:$C,2,0)</f>
        <v>Verstichel</v>
      </c>
      <c r="D549" t="str">
        <f>VLOOKUP(bron[[#This Row],[personeelsnr]],'data hastus'!$A:$C,3,0)</f>
        <v>Jethro</v>
      </c>
      <c r="E549" t="str">
        <f>VLOOKUP(bron[[#This Row],[personeelsnr]],'data hastus'!A:K,11,FALSE)</f>
        <v>Els Dewulf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45686</v>
      </c>
      <c r="U549" s="8" t="s">
        <v>1033</v>
      </c>
      <c r="V549" s="8"/>
      <c r="W549" s="8">
        <v>1</v>
      </c>
      <c r="X549" t="s">
        <v>8</v>
      </c>
      <c r="Y549" t="s">
        <v>31</v>
      </c>
    </row>
    <row r="550" spans="1:25" hidden="1" x14ac:dyDescent="0.25">
      <c r="A550">
        <v>19249</v>
      </c>
      <c r="B550" t="str">
        <f>_xlfn.CONCAT(bron[[#This Row],[personeelsnr]]," ",bron[[#This Row],[achternaam]]," ",bron[[#This Row],[voornaam]])</f>
        <v>19249 Odaci Kadir</v>
      </c>
      <c r="C550" t="str">
        <f>VLOOKUP(bron[[#This Row],[personeelsnr]],'data hastus'!$A:$C,2,0)</f>
        <v>Odaci</v>
      </c>
      <c r="D550" t="str">
        <f>VLOOKUP(bron[[#This Row],[personeelsnr]],'data hastus'!$A:$C,3,0)</f>
        <v>Kadir</v>
      </c>
      <c r="E550" t="str">
        <f>VLOOKUP(bron[[#This Row],[personeelsnr]],'data hastus'!A:K,11,FALSE)</f>
        <v>Lucie Vande Velde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45686</v>
      </c>
      <c r="U550" s="8" t="s">
        <v>1034</v>
      </c>
      <c r="V550" s="8"/>
      <c r="W550" s="8">
        <v>1</v>
      </c>
      <c r="X550" t="s">
        <v>8</v>
      </c>
      <c r="Y550" t="s">
        <v>75</v>
      </c>
    </row>
    <row r="551" spans="1:25" hidden="1" x14ac:dyDescent="0.25">
      <c r="A551">
        <v>33640</v>
      </c>
      <c r="B551" t="str">
        <f>_xlfn.CONCAT(bron[[#This Row],[personeelsnr]]," ",bron[[#This Row],[achternaam]]," ",bron[[#This Row],[voornaam]])</f>
        <v>33640 Verschraegen Patrick</v>
      </c>
      <c r="C551" t="str">
        <f>VLOOKUP(bron[[#This Row],[personeelsnr]],'data hastus'!$A:$C,2,0)</f>
        <v>Verschraegen</v>
      </c>
      <c r="D551" t="str">
        <f>VLOOKUP(bron[[#This Row],[personeelsnr]],'data hastus'!$A:$C,3,0)</f>
        <v>Patrick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45686</v>
      </c>
      <c r="U551" s="8" t="s">
        <v>1035</v>
      </c>
      <c r="V551" s="8">
        <v>1</v>
      </c>
      <c r="W551" s="8"/>
      <c r="X551" t="s">
        <v>7</v>
      </c>
      <c r="Y551" t="s">
        <v>215</v>
      </c>
    </row>
    <row r="552" spans="1:25" hidden="1" x14ac:dyDescent="0.25">
      <c r="A552">
        <v>40652</v>
      </c>
      <c r="B552" t="str">
        <f>_xlfn.CONCAT(bron[[#This Row],[personeelsnr]]," ",bron[[#This Row],[achternaam]]," ",bron[[#This Row],[voornaam]])</f>
        <v>40652 Van Damme Gilyann</v>
      </c>
      <c r="C552" t="str">
        <f>VLOOKUP(bron[[#This Row],[personeelsnr]],'data hastus'!$A:$C,2,0)</f>
        <v>Van Damme</v>
      </c>
      <c r="D552" t="str">
        <f>VLOOKUP(bron[[#This Row],[personeelsnr]],'data hastus'!$A:$C,3,0)</f>
        <v>Gilyann</v>
      </c>
      <c r="E552" t="str">
        <f>VLOOKUP(bron[[#This Row],[personeelsnr]],'data hastus'!A:K,11,FALSE)</f>
        <v>Els Vanhoe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45687</v>
      </c>
      <c r="U552" s="8" t="s">
        <v>1036</v>
      </c>
      <c r="V552" s="8">
        <v>1</v>
      </c>
      <c r="W552" s="8"/>
      <c r="X552" t="s">
        <v>7</v>
      </c>
      <c r="Y552" t="s">
        <v>241</v>
      </c>
    </row>
    <row r="553" spans="1:25" hidden="1" x14ac:dyDescent="0.25">
      <c r="A553">
        <v>36663</v>
      </c>
      <c r="B553" t="str">
        <f>_xlfn.CONCAT(bron[[#This Row],[personeelsnr]]," ",bron[[#This Row],[achternaam]]," ",bron[[#This Row],[voornaam]])</f>
        <v>36663 Cesmeli Achraf</v>
      </c>
      <c r="C553" t="str">
        <f>VLOOKUP(bron[[#This Row],[personeelsnr]],'data hastus'!$A:$C,2,0)</f>
        <v>Cesmeli</v>
      </c>
      <c r="D553" t="str">
        <f>VLOOKUP(bron[[#This Row],[personeelsnr]],'data hastus'!$A:$C,3,0)</f>
        <v>Achraf</v>
      </c>
      <c r="E553" t="str">
        <f>VLOOKUP(bron[[#This Row],[personeelsnr]],'data hastus'!A:K,11,FALSE)</f>
        <v>Dominique De Clercq</v>
      </c>
      <c r="F553" s="10"/>
      <c r="G553" s="6">
        <v>1</v>
      </c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1</v>
      </c>
      <c r="T553" s="3">
        <v>45688</v>
      </c>
      <c r="U553" s="8" t="s">
        <v>1037</v>
      </c>
      <c r="V553" s="8">
        <v>1</v>
      </c>
      <c r="W553" s="8"/>
      <c r="X553" t="s">
        <v>7</v>
      </c>
      <c r="Y553" t="s">
        <v>13</v>
      </c>
    </row>
    <row r="554" spans="1:25" hidden="1" x14ac:dyDescent="0.25">
      <c r="A554">
        <v>39532</v>
      </c>
      <c r="B554" t="str">
        <f>_xlfn.CONCAT(bron[[#This Row],[personeelsnr]]," ",bron[[#This Row],[achternaam]]," ",bron[[#This Row],[voornaam]])</f>
        <v>39532 Sahin Orhan</v>
      </c>
      <c r="C554" t="str">
        <f>VLOOKUP(bron[[#This Row],[personeelsnr]],'data hastus'!$A:$C,2,0)</f>
        <v>Sahin</v>
      </c>
      <c r="D554" t="str">
        <f>VLOOKUP(bron[[#This Row],[personeelsnr]],'data hastus'!$A:$C,3,0)</f>
        <v>Orhan</v>
      </c>
      <c r="E554" t="str">
        <f>VLOOKUP(bron[[#This Row],[personeelsnr]],'data hastus'!A:K,11,FALSE)</f>
        <v>Christoff Rotty</v>
      </c>
      <c r="G554" s="6"/>
      <c r="H554" s="6">
        <v>1</v>
      </c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45689</v>
      </c>
      <c r="U554" s="8" t="s">
        <v>1038</v>
      </c>
      <c r="V554" s="8">
        <v>1</v>
      </c>
      <c r="W554" s="8"/>
      <c r="X554" t="s">
        <v>7</v>
      </c>
      <c r="Y554" t="s">
        <v>13</v>
      </c>
    </row>
    <row r="555" spans="1:25" hidden="1" x14ac:dyDescent="0.25">
      <c r="A555">
        <v>37496</v>
      </c>
      <c r="B555" t="str">
        <f>_xlfn.CONCAT(bron[[#This Row],[personeelsnr]]," ",bron[[#This Row],[achternaam]]," ",bron[[#This Row],[voornaam]])</f>
        <v>37496 Oosterlinck Willy</v>
      </c>
      <c r="C555" t="str">
        <f>VLOOKUP(bron[[#This Row],[personeelsnr]],'data hastus'!$A:$C,2,0)</f>
        <v>Oosterlinck</v>
      </c>
      <c r="D555" t="str">
        <f>VLOOKUP(bron[[#This Row],[personeelsnr]],'data hastus'!$A:$C,3,0)</f>
        <v>Willy</v>
      </c>
      <c r="E555" t="str">
        <f>VLOOKUP(bron[[#This Row],[personeelsnr]],'data hastus'!A:K,11,FALSE)</f>
        <v>Dominique De Clercq</v>
      </c>
      <c r="F555" s="10"/>
      <c r="G555" s="6"/>
      <c r="H555" s="6">
        <v>1</v>
      </c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45690</v>
      </c>
      <c r="U555" s="8" t="s">
        <v>1039</v>
      </c>
      <c r="V555" s="8"/>
      <c r="W555" s="8">
        <v>1</v>
      </c>
      <c r="X555" t="s">
        <v>8</v>
      </c>
      <c r="Y555" t="s">
        <v>5</v>
      </c>
    </row>
    <row r="556" spans="1:25" hidden="1" x14ac:dyDescent="0.25">
      <c r="A556">
        <v>16545</v>
      </c>
      <c r="B556" t="str">
        <f>_xlfn.CONCAT(bron[[#This Row],[personeelsnr]]," ",bron[[#This Row],[achternaam]]," ",bron[[#This Row],[voornaam]])</f>
        <v>16545 Toch Erwin</v>
      </c>
      <c r="C556" t="str">
        <f>VLOOKUP(bron[[#This Row],[personeelsnr]],'data hastus'!$A:$C,2,0)</f>
        <v>Toch</v>
      </c>
      <c r="D556" t="str">
        <f>VLOOKUP(bron[[#This Row],[personeelsnr]],'data hastus'!$A:$C,3,0)</f>
        <v>Erwin</v>
      </c>
      <c r="E556" t="str">
        <f>VLOOKUP(bron[[#This Row],[personeelsnr]],'data hastus'!A:K,11,FALSE)</f>
        <v>Bart Van Der Beken</v>
      </c>
      <c r="F556" s="10"/>
      <c r="G556" s="6"/>
      <c r="H556" s="6">
        <v>1</v>
      </c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45691</v>
      </c>
      <c r="U556" s="8" t="s">
        <v>1040</v>
      </c>
      <c r="V556" s="8">
        <v>1</v>
      </c>
      <c r="W556" s="8"/>
      <c r="X556" t="s">
        <v>7</v>
      </c>
      <c r="Y556" t="s">
        <v>19</v>
      </c>
    </row>
    <row r="557" spans="1:25" hidden="1" x14ac:dyDescent="0.25">
      <c r="A557">
        <v>21424</v>
      </c>
      <c r="B557" t="str">
        <f>_xlfn.CONCAT(bron[[#This Row],[personeelsnr]]," ",bron[[#This Row],[achternaam]]," ",bron[[#This Row],[voornaam]])</f>
        <v>21424 Verstichel Jethro</v>
      </c>
      <c r="C557" t="str">
        <f>VLOOKUP(bron[[#This Row],[personeelsnr]],'data hastus'!$A:$C,2,0)</f>
        <v>Verstichel</v>
      </c>
      <c r="D557" t="str">
        <f>VLOOKUP(bron[[#This Row],[personeelsnr]],'data hastus'!$A:$C,3,0)</f>
        <v>Jethro</v>
      </c>
      <c r="E557" t="str">
        <f>VLOOKUP(bron[[#This Row],[personeelsnr]],'data hastus'!A:K,11,FALSE)</f>
        <v>Els Dewulf</v>
      </c>
      <c r="F557" s="10"/>
      <c r="G557" s="6"/>
      <c r="H557" s="6">
        <v>1</v>
      </c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45691</v>
      </c>
      <c r="U557" s="8" t="s">
        <v>1041</v>
      </c>
      <c r="V557" s="8">
        <v>1</v>
      </c>
      <c r="W557" s="8"/>
      <c r="X557" t="s">
        <v>7</v>
      </c>
      <c r="Y557" t="s">
        <v>78</v>
      </c>
    </row>
    <row r="558" spans="1:25" hidden="1" x14ac:dyDescent="0.25">
      <c r="A558">
        <v>12514</v>
      </c>
      <c r="B558" t="str">
        <f>_xlfn.CONCAT(bron[[#This Row],[personeelsnr]]," ",bron[[#This Row],[achternaam]]," ",bron[[#This Row],[voornaam]])</f>
        <v>12514 De Smet Kenneth</v>
      </c>
      <c r="C558" t="str">
        <f>VLOOKUP(bron[[#This Row],[personeelsnr]],'data hastus'!$A:$C,2,0)</f>
        <v>De Smet</v>
      </c>
      <c r="D558" t="str">
        <f>VLOOKUP(bron[[#This Row],[personeelsnr]],'data hastus'!$A:$C,3,0)</f>
        <v>Kenneth</v>
      </c>
      <c r="E558" t="str">
        <f>VLOOKUP(bron[[#This Row],[personeelsnr]],'data hastus'!A:K,11,FALSE)</f>
        <v>Lucie Vande Velde</v>
      </c>
      <c r="F558" s="10"/>
      <c r="G558" s="6"/>
      <c r="H558" s="6">
        <v>1</v>
      </c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45691</v>
      </c>
      <c r="U558" s="8" t="s">
        <v>1042</v>
      </c>
      <c r="V558" s="8"/>
      <c r="W558" s="8">
        <v>1</v>
      </c>
      <c r="X558" t="s">
        <v>8</v>
      </c>
      <c r="Y558" t="s">
        <v>147</v>
      </c>
    </row>
    <row r="559" spans="1:25" hidden="1" x14ac:dyDescent="0.25">
      <c r="A559">
        <v>13568</v>
      </c>
      <c r="B559" t="e">
        <f>_xlfn.CONCAT(bron[[#This Row],[personeelsnr]]," ",bron[[#This Row],[achternaam]]," ",bron[[#This Row],[voornaam]])</f>
        <v>#N/A</v>
      </c>
      <c r="C559" t="e">
        <f>VLOOKUP(bron[[#This Row],[personeelsnr]],'data hastus'!$A:$C,2,0)</f>
        <v>#N/A</v>
      </c>
      <c r="D559" t="e">
        <f>VLOOKUP(bron[[#This Row],[personeelsnr]],'data hastus'!$A:$C,3,0)</f>
        <v>#N/A</v>
      </c>
      <c r="E559" t="s">
        <v>79</v>
      </c>
      <c r="F559" s="10"/>
      <c r="G559" s="6"/>
      <c r="H559" s="6">
        <v>1</v>
      </c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45691</v>
      </c>
      <c r="U559" s="8" t="s">
        <v>1043</v>
      </c>
      <c r="V559" s="8">
        <v>1</v>
      </c>
      <c r="W559" s="8"/>
      <c r="X559" t="s">
        <v>7</v>
      </c>
      <c r="Y559" t="s">
        <v>149</v>
      </c>
    </row>
    <row r="560" spans="1:25" hidden="1" x14ac:dyDescent="0.25">
      <c r="A560">
        <v>40266</v>
      </c>
      <c r="B560" t="str">
        <f>_xlfn.CONCAT(bron[[#This Row],[personeelsnr]]," ",bron[[#This Row],[achternaam]]," ",bron[[#This Row],[voornaam]])</f>
        <v>40266 Taibi Yassine</v>
      </c>
      <c r="C560" t="str">
        <f>VLOOKUP(bron[[#This Row],[personeelsnr]],'data hastus'!$A:$C,2,0)</f>
        <v>Taibi</v>
      </c>
      <c r="D560" t="str">
        <f>VLOOKUP(bron[[#This Row],[personeelsnr]],'data hastus'!$A:$C,3,0)</f>
        <v>Yassine</v>
      </c>
      <c r="E560" t="str">
        <f>VLOOKUP(bron[[#This Row],[personeelsnr]],'data hastus'!A:K,11,FALSE)</f>
        <v>Christoff Rotty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45693</v>
      </c>
      <c r="U560" s="8" t="s">
        <v>1044</v>
      </c>
      <c r="V560" s="8">
        <v>1</v>
      </c>
      <c r="W560" s="8"/>
      <c r="X560" t="s">
        <v>7</v>
      </c>
      <c r="Y560" t="s">
        <v>43</v>
      </c>
    </row>
    <row r="561" spans="1:25" hidden="1" x14ac:dyDescent="0.25">
      <c r="A561">
        <v>41162</v>
      </c>
      <c r="B561" t="str">
        <f>_xlfn.CONCAT(bron[[#This Row],[personeelsnr]]," ",bron[[#This Row],[achternaam]]," ",bron[[#This Row],[voornaam]])</f>
        <v>41162 Hoeckman Jeroen</v>
      </c>
      <c r="C561" t="str">
        <f>VLOOKUP(bron[[#This Row],[personeelsnr]],'data hastus'!$A:$C,2,0)</f>
        <v>Hoeckman</v>
      </c>
      <c r="D561" t="str">
        <f>VLOOKUP(bron[[#This Row],[personeelsnr]],'data hastus'!$A:$C,3,0)</f>
        <v>Jeroen</v>
      </c>
      <c r="E561" t="str">
        <f>VLOOKUP(bron[[#This Row],[personeelsnr]],'data hastus'!A:K,11,FALSE)</f>
        <v>Dominique De Clercq</v>
      </c>
      <c r="F561" s="10"/>
      <c r="G561" s="6"/>
      <c r="H561" s="6">
        <v>1</v>
      </c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45693</v>
      </c>
      <c r="U561" s="8" t="s">
        <v>1045</v>
      </c>
      <c r="V561" s="8">
        <v>1</v>
      </c>
      <c r="W561" s="8"/>
      <c r="X561" t="s">
        <v>7</v>
      </c>
      <c r="Y561" t="s">
        <v>261</v>
      </c>
    </row>
    <row r="562" spans="1:25" hidden="1" x14ac:dyDescent="0.25">
      <c r="A562">
        <v>41092</v>
      </c>
      <c r="B562" t="str">
        <f>_xlfn.CONCAT(bron[[#This Row],[personeelsnr]]," ",bron[[#This Row],[achternaam]]," ",bron[[#This Row],[voornaam]])</f>
        <v>41092 De Keyser Dorien</v>
      </c>
      <c r="C562" t="str">
        <f>VLOOKUP(bron[[#This Row],[personeelsnr]],'data hastus'!$A:$C,2,0)</f>
        <v>De Keyser</v>
      </c>
      <c r="D562" t="str">
        <f>VLOOKUP(bron[[#This Row],[personeelsnr]],'data hastus'!$A:$C,3,0)</f>
        <v>Dorien</v>
      </c>
      <c r="E562" t="str">
        <f>VLOOKUP(bron[[#This Row],[personeelsnr]],'data hastus'!A:K,11,FALSE)</f>
        <v>Dominique De Clercq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45693</v>
      </c>
      <c r="U562" s="8" t="s">
        <v>1046</v>
      </c>
      <c r="V562" s="8">
        <v>1</v>
      </c>
      <c r="W562" s="8"/>
      <c r="X562" t="s">
        <v>7</v>
      </c>
      <c r="Y562" t="s">
        <v>57</v>
      </c>
    </row>
    <row r="563" spans="1:25" hidden="1" x14ac:dyDescent="0.25">
      <c r="A563">
        <v>40859</v>
      </c>
      <c r="B563" t="str">
        <f>_xlfn.CONCAT(bron[[#This Row],[personeelsnr]]," ",bron[[#This Row],[achternaam]]," ",bron[[#This Row],[voornaam]])</f>
        <v>40859 Yagoub Abdelali</v>
      </c>
      <c r="C563" t="str">
        <f>VLOOKUP(bron[[#This Row],[personeelsnr]],'data hastus'!$A:$C,2,0)</f>
        <v>Yagoub</v>
      </c>
      <c r="D563" t="str">
        <f>VLOOKUP(bron[[#This Row],[personeelsnr]],'data hastus'!$A:$C,3,0)</f>
        <v>Abdelali</v>
      </c>
      <c r="E563" t="str">
        <f>VLOOKUP(bron[[#This Row],[personeelsnr]],'data hastus'!A:K,11,FALSE)</f>
        <v>Els Vanhoe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45693</v>
      </c>
      <c r="U563" s="8" t="s">
        <v>1047</v>
      </c>
      <c r="V563" s="8">
        <v>1</v>
      </c>
      <c r="W563" s="8"/>
      <c r="X563" t="s">
        <v>7</v>
      </c>
      <c r="Y563" t="s">
        <v>273</v>
      </c>
    </row>
    <row r="564" spans="1:25" hidden="1" x14ac:dyDescent="0.25">
      <c r="A564">
        <v>17951</v>
      </c>
      <c r="B564" t="str">
        <f>_xlfn.CONCAT(bron[[#This Row],[personeelsnr]]," ",bron[[#This Row],[achternaam]]," ",bron[[#This Row],[voornaam]])</f>
        <v>17951 Lega Claude</v>
      </c>
      <c r="C564" t="str">
        <f>VLOOKUP(bron[[#This Row],[personeelsnr]],'data hastus'!$A:$C,2,0)</f>
        <v>Lega</v>
      </c>
      <c r="D564" t="str">
        <f>VLOOKUP(bron[[#This Row],[personeelsnr]],'data hastus'!$A:$C,3,0)</f>
        <v>Claude</v>
      </c>
      <c r="E564" t="str">
        <f>VLOOKUP(bron[[#This Row],[personeelsnr]],'data hastus'!A:K,11,FALSE)</f>
        <v>Bart Van Der Beken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45694</v>
      </c>
      <c r="U564" s="8" t="s">
        <v>1048</v>
      </c>
      <c r="V564" s="8"/>
      <c r="W564" s="8">
        <v>1</v>
      </c>
      <c r="X564" t="s">
        <v>8</v>
      </c>
      <c r="Y564" t="s">
        <v>121</v>
      </c>
    </row>
    <row r="565" spans="1:25" hidden="1" x14ac:dyDescent="0.25">
      <c r="A565">
        <v>40856</v>
      </c>
      <c r="B565" t="str">
        <f>_xlfn.CONCAT(bron[[#This Row],[personeelsnr]]," ",bron[[#This Row],[achternaam]]," ",bron[[#This Row],[voornaam]])</f>
        <v>40856 Neissi Sadegh</v>
      </c>
      <c r="C565" t="str">
        <f>VLOOKUP(bron[[#This Row],[personeelsnr]],'data hastus'!$A:$C,2,0)</f>
        <v>Neissi</v>
      </c>
      <c r="D565" t="str">
        <f>VLOOKUP(bron[[#This Row],[personeelsnr]],'data hastus'!$A:$C,3,0)</f>
        <v>Sadegh</v>
      </c>
      <c r="E565" t="str">
        <f>VLOOKUP(bron[[#This Row],[personeelsnr]],'data hastus'!A:K,11,FALSE)</f>
        <v>Kenneth De Rick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45694</v>
      </c>
      <c r="U565" s="8" t="s">
        <v>1049</v>
      </c>
      <c r="V565" s="8">
        <v>1</v>
      </c>
      <c r="W565" s="8"/>
      <c r="X565" t="s">
        <v>7</v>
      </c>
      <c r="Y565" t="s">
        <v>211</v>
      </c>
    </row>
    <row r="566" spans="1:25" hidden="1" x14ac:dyDescent="0.25">
      <c r="A566">
        <v>40055</v>
      </c>
      <c r="B566" t="str">
        <f>_xlfn.CONCAT(bron[[#This Row],[personeelsnr]]," ",bron[[#This Row],[achternaam]]," ",bron[[#This Row],[voornaam]])</f>
        <v>40055 Afara Ammar</v>
      </c>
      <c r="C566" t="str">
        <f>VLOOKUP(bron[[#This Row],[personeelsnr]],'data hastus'!$A:$C,2,0)</f>
        <v>Afara</v>
      </c>
      <c r="D566" t="str">
        <f>VLOOKUP(bron[[#This Row],[personeelsnr]],'data hastus'!$A:$C,3,0)</f>
        <v>Ammar</v>
      </c>
      <c r="E566" t="str">
        <f>VLOOKUP(bron[[#This Row],[personeelsnr]],'data hastus'!A:K,11,FALSE)</f>
        <v>Els Vanhoe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45695</v>
      </c>
      <c r="U566" s="8" t="s">
        <v>1050</v>
      </c>
      <c r="V566" s="8">
        <v>1</v>
      </c>
      <c r="W566" s="8"/>
      <c r="X566" t="s">
        <v>7</v>
      </c>
      <c r="Y566" t="s">
        <v>19</v>
      </c>
    </row>
    <row r="567" spans="1:25" hidden="1" x14ac:dyDescent="0.25">
      <c r="A567">
        <v>4419</v>
      </c>
      <c r="B567" t="str">
        <f>_xlfn.CONCAT(bron[[#This Row],[personeelsnr]]," ",bron[[#This Row],[achternaam]]," ",bron[[#This Row],[voornaam]])</f>
        <v>4419 Maelbrancke Eddy</v>
      </c>
      <c r="C567" t="str">
        <f>VLOOKUP(bron[[#This Row],[personeelsnr]],'data hastus'!$A:$C,2,0)</f>
        <v>Maelbrancke</v>
      </c>
      <c r="D567" t="str">
        <f>VLOOKUP(bron[[#This Row],[personeelsnr]],'data hastus'!$A:$C,3,0)</f>
        <v>Eddy</v>
      </c>
      <c r="E567" t="str">
        <f>VLOOKUP(bron[[#This Row],[personeelsnr]],'data hastus'!A:K,11,FALSE)</f>
        <v>Lucie Vande Velde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45695</v>
      </c>
      <c r="U567" s="8" t="s">
        <v>1051</v>
      </c>
      <c r="V567" s="8">
        <v>1</v>
      </c>
      <c r="W567" s="8"/>
      <c r="X567" t="s">
        <v>7</v>
      </c>
      <c r="Y567" t="s">
        <v>10</v>
      </c>
    </row>
    <row r="568" spans="1:25" hidden="1" x14ac:dyDescent="0.25">
      <c r="A568">
        <v>28737</v>
      </c>
      <c r="B568" t="str">
        <f>_xlfn.CONCAT(bron[[#This Row],[personeelsnr]]," ",bron[[#This Row],[achternaam]]," ",bron[[#This Row],[voornaam]])</f>
        <v>28737 El-Mohamed Mohamed</v>
      </c>
      <c r="C568" t="str">
        <f>VLOOKUP(bron[[#This Row],[personeelsnr]],'data hastus'!$A:$C,2,0)</f>
        <v>El-Mohamed</v>
      </c>
      <c r="D568" t="str">
        <f>VLOOKUP(bron[[#This Row],[personeelsnr]],'data hastus'!$A:$C,3,0)</f>
        <v>Mohamed</v>
      </c>
      <c r="E568" t="str">
        <f>VLOOKUP(bron[[#This Row],[personeelsnr]],'data hastus'!A:K,11,FALSE)</f>
        <v>Lucie Vande Velde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45698</v>
      </c>
      <c r="U568" s="8" t="s">
        <v>1052</v>
      </c>
      <c r="V568" s="8"/>
      <c r="W568" s="8">
        <v>1</v>
      </c>
      <c r="X568" t="s">
        <v>8</v>
      </c>
      <c r="Y568" t="s">
        <v>221</v>
      </c>
    </row>
    <row r="569" spans="1:25" hidden="1" x14ac:dyDescent="0.25">
      <c r="A569">
        <v>25679</v>
      </c>
      <c r="B569" t="str">
        <f>_xlfn.CONCAT(bron[[#This Row],[personeelsnr]]," ",bron[[#This Row],[achternaam]]," ",bron[[#This Row],[voornaam]])</f>
        <v>25679 Vanrenterghem Serge</v>
      </c>
      <c r="C569" t="str">
        <f>VLOOKUP(bron[[#This Row],[personeelsnr]],'data hastus'!$A:$C,2,0)</f>
        <v>Vanrenterghem</v>
      </c>
      <c r="D569" t="str">
        <f>VLOOKUP(bron[[#This Row],[personeelsnr]],'data hastus'!$A:$C,3,0)</f>
        <v>Serge</v>
      </c>
      <c r="E569" t="str">
        <f>VLOOKUP(bron[[#This Row],[personeelsnr]],'data hastus'!A:K,11,FALSE)</f>
        <v>Christoff Rotty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45699</v>
      </c>
      <c r="U569" s="8" t="s">
        <v>1053</v>
      </c>
      <c r="V569" s="8">
        <v>1</v>
      </c>
      <c r="W569" s="8"/>
      <c r="X569" t="s">
        <v>7</v>
      </c>
      <c r="Y569" t="s">
        <v>10</v>
      </c>
    </row>
    <row r="570" spans="1:25" hidden="1" x14ac:dyDescent="0.25">
      <c r="A570">
        <v>40223</v>
      </c>
      <c r="B570" t="str">
        <f>_xlfn.CONCAT(bron[[#This Row],[personeelsnr]]," ",bron[[#This Row],[achternaam]]," ",bron[[#This Row],[voornaam]])</f>
        <v>40223 Teetaert Billy</v>
      </c>
      <c r="C570" t="str">
        <f>VLOOKUP(bron[[#This Row],[personeelsnr]],'data hastus'!$A:$C,2,0)</f>
        <v>Teetaert</v>
      </c>
      <c r="D570" t="str">
        <f>VLOOKUP(bron[[#This Row],[personeelsnr]],'data hastus'!$A:$C,3,0)</f>
        <v>Billy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45699</v>
      </c>
      <c r="U570" s="8" t="s">
        <v>1054</v>
      </c>
      <c r="V570" s="8">
        <v>1</v>
      </c>
      <c r="W570" s="8"/>
      <c r="X570" t="s">
        <v>7</v>
      </c>
      <c r="Y570" t="s">
        <v>299</v>
      </c>
    </row>
    <row r="571" spans="1:25" hidden="1" x14ac:dyDescent="0.25">
      <c r="A571">
        <v>39267</v>
      </c>
      <c r="B571" t="str">
        <f>_xlfn.CONCAT(bron[[#This Row],[personeelsnr]]," ",bron[[#This Row],[achternaam]]," ",bron[[#This Row],[voornaam]])</f>
        <v>39267 Van Holsbeeck Jens</v>
      </c>
      <c r="C571" t="str">
        <f>VLOOKUP(bron[[#This Row],[personeelsnr]],'data hastus'!$A:$C,2,0)</f>
        <v>Van Holsbeeck</v>
      </c>
      <c r="D571" t="str">
        <f>VLOOKUP(bron[[#This Row],[personeelsnr]],'data hastus'!$A:$C,3,0)</f>
        <v>Jens</v>
      </c>
      <c r="E571" t="str">
        <f>VLOOKUP(bron[[#This Row],[personeelsnr]],'data hastus'!A:K,11,FALSE)</f>
        <v>Christoff Rotty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45700</v>
      </c>
      <c r="U571" s="8" t="s">
        <v>1055</v>
      </c>
      <c r="V571" s="8"/>
      <c r="W571" s="8">
        <v>1</v>
      </c>
      <c r="X571" t="s">
        <v>8</v>
      </c>
      <c r="Y571" t="s">
        <v>81</v>
      </c>
    </row>
    <row r="572" spans="1:25" hidden="1" x14ac:dyDescent="0.25">
      <c r="A572">
        <v>6229</v>
      </c>
      <c r="B572" t="str">
        <f>_xlfn.CONCAT(bron[[#This Row],[personeelsnr]]," ",bron[[#This Row],[achternaam]]," ",bron[[#This Row],[voornaam]])</f>
        <v>6229 De Meyer Antoon</v>
      </c>
      <c r="C572" t="str">
        <f>VLOOKUP(bron[[#This Row],[personeelsnr]],'data hastus'!$A:$C,2,0)</f>
        <v>De Meyer</v>
      </c>
      <c r="D572" t="str">
        <f>VLOOKUP(bron[[#This Row],[personeelsnr]],'data hastus'!$A:$C,3,0)</f>
        <v>Antoon</v>
      </c>
      <c r="E572" t="str">
        <f>VLOOKUP(bron[[#This Row],[personeelsnr]],'data hastus'!A:K,11,FALSE)</f>
        <v>Els Vanhoe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45701</v>
      </c>
      <c r="U572" s="8" t="s">
        <v>1056</v>
      </c>
      <c r="V572" s="8">
        <v>1</v>
      </c>
      <c r="W572" s="8"/>
      <c r="X572" t="s">
        <v>7</v>
      </c>
      <c r="Y572" t="s">
        <v>193</v>
      </c>
    </row>
    <row r="573" spans="1:25" hidden="1" x14ac:dyDescent="0.25">
      <c r="A573">
        <v>37662</v>
      </c>
      <c r="B573" t="str">
        <f>_xlfn.CONCAT(bron[[#This Row],[personeelsnr]]," ",bron[[#This Row],[achternaam]]," ",bron[[#This Row],[voornaam]])</f>
        <v>37662 Van den Meerssche Steven</v>
      </c>
      <c r="C573" t="str">
        <f>VLOOKUP(bron[[#This Row],[personeelsnr]],'data hastus'!$A:$C,2,0)</f>
        <v>Van den Meerssche</v>
      </c>
      <c r="D573" t="str">
        <f>VLOOKUP(bron[[#This Row],[personeelsnr]],'data hastus'!$A:$C,3,0)</f>
        <v>Steven</v>
      </c>
      <c r="E573" t="str">
        <f>VLOOKUP(bron[[#This Row],[personeelsnr]],'data hastus'!A:K,11,FALSE)</f>
        <v>Bart Van Der Beken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45702</v>
      </c>
      <c r="U573" s="8" t="s">
        <v>1057</v>
      </c>
      <c r="V573" s="8">
        <v>1</v>
      </c>
      <c r="W573" s="8"/>
      <c r="X573" t="s">
        <v>7</v>
      </c>
      <c r="Y573" t="s">
        <v>217</v>
      </c>
    </row>
    <row r="574" spans="1:25" hidden="1" x14ac:dyDescent="0.25">
      <c r="A574">
        <v>11236</v>
      </c>
      <c r="B574" t="str">
        <f>_xlfn.CONCAT(bron[[#This Row],[personeelsnr]]," ",bron[[#This Row],[achternaam]]," ",bron[[#This Row],[voornaam]])</f>
        <v>11236 Baert Freddy</v>
      </c>
      <c r="C574" t="str">
        <f>VLOOKUP(bron[[#This Row],[personeelsnr]],'data hastus'!$A:$C,2,0)</f>
        <v>Baert</v>
      </c>
      <c r="D574" t="str">
        <f>VLOOKUP(bron[[#This Row],[personeelsnr]],'data hastus'!$A:$C,3,0)</f>
        <v>Freddy</v>
      </c>
      <c r="E574" t="str">
        <f>VLOOKUP(bron[[#This Row],[personeelsnr]],'data hastus'!A:K,11,FALSE)</f>
        <v>Bart Van Der Beken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45702</v>
      </c>
      <c r="U574" s="8" t="s">
        <v>1058</v>
      </c>
      <c r="V574" s="8">
        <v>1</v>
      </c>
      <c r="W574" s="8"/>
      <c r="X574" t="s">
        <v>7</v>
      </c>
      <c r="Y574" t="s">
        <v>66</v>
      </c>
    </row>
    <row r="575" spans="1:25" hidden="1" x14ac:dyDescent="0.25">
      <c r="A575">
        <v>37496</v>
      </c>
      <c r="B575" t="str">
        <f>_xlfn.CONCAT(bron[[#This Row],[personeelsnr]]," ",bron[[#This Row],[achternaam]]," ",bron[[#This Row],[voornaam]])</f>
        <v>37496 Oosterlinck Willy</v>
      </c>
      <c r="C575" t="str">
        <f>VLOOKUP(bron[[#This Row],[personeelsnr]],'data hastus'!$A:$C,2,0)</f>
        <v>Oosterlinck</v>
      </c>
      <c r="D575" t="str">
        <f>VLOOKUP(bron[[#This Row],[personeelsnr]],'data hastus'!$A:$C,3,0)</f>
        <v>Willy</v>
      </c>
      <c r="E575" t="str">
        <f>VLOOKUP(bron[[#This Row],[personeelsnr]],'data hastus'!A:K,11,FALSE)</f>
        <v>Dominique De Clercq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45702</v>
      </c>
      <c r="U575" s="8" t="s">
        <v>1059</v>
      </c>
      <c r="V575" s="8"/>
      <c r="W575" s="8">
        <v>1</v>
      </c>
      <c r="X575" t="s">
        <v>8</v>
      </c>
      <c r="Y575" t="s">
        <v>88</v>
      </c>
    </row>
    <row r="576" spans="1:25" hidden="1" x14ac:dyDescent="0.25">
      <c r="A576">
        <v>41383</v>
      </c>
      <c r="B576" t="str">
        <f>_xlfn.CONCAT(bron[[#This Row],[personeelsnr]]," ",bron[[#This Row],[achternaam]]," ",bron[[#This Row],[voornaam]])</f>
        <v>41383 De Pauw Tony</v>
      </c>
      <c r="C576" t="str">
        <f>VLOOKUP(bron[[#This Row],[personeelsnr]],'data hastus'!$A:$C,2,0)</f>
        <v>De Pauw</v>
      </c>
      <c r="D576" t="str">
        <f>VLOOKUP(bron[[#This Row],[personeelsnr]],'data hastus'!$A:$C,3,0)</f>
        <v>Tony</v>
      </c>
      <c r="E576" t="str">
        <f>VLOOKUP(bron[[#This Row],[personeelsnr]],'data hastus'!A:K,11,FALSE)</f>
        <v>Els Vanhoe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45702</v>
      </c>
      <c r="U576" s="8" t="s">
        <v>1060</v>
      </c>
      <c r="V576" s="8">
        <v>1</v>
      </c>
      <c r="W576" s="8"/>
      <c r="X576" t="s">
        <v>7</v>
      </c>
      <c r="Y576" t="s">
        <v>60</v>
      </c>
    </row>
    <row r="577" spans="1:25" hidden="1" x14ac:dyDescent="0.25">
      <c r="A577">
        <v>41091</v>
      </c>
      <c r="B577" t="str">
        <f>_xlfn.CONCAT(bron[[#This Row],[personeelsnr]]," ",bron[[#This Row],[achternaam]]," ",bron[[#This Row],[voornaam]])</f>
        <v>41091 Yavas Talha</v>
      </c>
      <c r="C577" t="str">
        <f>VLOOKUP(bron[[#This Row],[personeelsnr]],'data hastus'!$A:$C,2,0)</f>
        <v>Yavas</v>
      </c>
      <c r="D577" t="str">
        <f>VLOOKUP(bron[[#This Row],[personeelsnr]],'data hastus'!$A:$C,3,0)</f>
        <v>Talha</v>
      </c>
      <c r="E577" t="str">
        <f>VLOOKUP(bron[[#This Row],[personeelsnr]],'data hastus'!A:K,11,FALSE)</f>
        <v>Dominique De Clercq</v>
      </c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45703</v>
      </c>
      <c r="U577" s="8" t="s">
        <v>1061</v>
      </c>
      <c r="V577" s="8">
        <v>1</v>
      </c>
      <c r="W577" s="8"/>
      <c r="X577" t="s">
        <v>7</v>
      </c>
      <c r="Y577" t="s">
        <v>111</v>
      </c>
    </row>
    <row r="578" spans="1:25" hidden="1" x14ac:dyDescent="0.25">
      <c r="A578">
        <v>26199</v>
      </c>
      <c r="B578" t="str">
        <f>_xlfn.CONCAT(bron[[#This Row],[personeelsnr]]," ",bron[[#This Row],[achternaam]]," ",bron[[#This Row],[voornaam]])</f>
        <v>26199 Wauters Franky</v>
      </c>
      <c r="C578" t="str">
        <f>VLOOKUP(bron[[#This Row],[personeelsnr]],'data hastus'!$A:$C,2,0)</f>
        <v>Wauters</v>
      </c>
      <c r="D578" t="str">
        <f>VLOOKUP(bron[[#This Row],[personeelsnr]],'data hastus'!$A:$C,3,0)</f>
        <v>Franky</v>
      </c>
      <c r="E578" t="str">
        <f>VLOOKUP(bron[[#This Row],[personeelsnr]],'data hastus'!A:K,11,FALSE)</f>
        <v>Els Vanhoe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45703</v>
      </c>
      <c r="U578" s="8" t="s">
        <v>1062</v>
      </c>
      <c r="V578" s="8"/>
      <c r="W578" s="8">
        <v>1</v>
      </c>
      <c r="X578" t="s">
        <v>8</v>
      </c>
      <c r="Y578" t="s">
        <v>163</v>
      </c>
    </row>
    <row r="579" spans="1:25" hidden="1" x14ac:dyDescent="0.25">
      <c r="A579">
        <v>41162</v>
      </c>
      <c r="B579" t="str">
        <f>_xlfn.CONCAT(bron[[#This Row],[personeelsnr]]," ",bron[[#This Row],[achternaam]]," ",bron[[#This Row],[voornaam]])</f>
        <v>41162 Hoeckman Jeroen</v>
      </c>
      <c r="C579" t="str">
        <f>VLOOKUP(bron[[#This Row],[personeelsnr]],'data hastus'!$A:$C,2,0)</f>
        <v>Hoeckman</v>
      </c>
      <c r="D579" t="str">
        <f>VLOOKUP(bron[[#This Row],[personeelsnr]],'data hastus'!$A:$C,3,0)</f>
        <v>Jeroen</v>
      </c>
      <c r="E579" t="str">
        <f>VLOOKUP(bron[[#This Row],[personeelsnr]],'data hastus'!A:K,11,FALSE)</f>
        <v>Dominique De Clercq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45706</v>
      </c>
      <c r="U579" s="8" t="s">
        <v>1063</v>
      </c>
      <c r="V579" s="8">
        <v>1</v>
      </c>
      <c r="W579" s="8"/>
      <c r="X579" t="s">
        <v>7</v>
      </c>
      <c r="Y579" t="s">
        <v>213</v>
      </c>
    </row>
    <row r="580" spans="1:25" hidden="1" x14ac:dyDescent="0.25">
      <c r="A580">
        <v>41012</v>
      </c>
      <c r="B580" t="str">
        <f>_xlfn.CONCAT(bron[[#This Row],[personeelsnr]]," ",bron[[#This Row],[achternaam]]," ",bron[[#This Row],[voornaam]])</f>
        <v>41012 Natad Younes</v>
      </c>
      <c r="C580" t="str">
        <f>VLOOKUP(bron[[#This Row],[personeelsnr]],'data hastus'!$A:$C,2,0)</f>
        <v>Natad</v>
      </c>
      <c r="D580" t="str">
        <f>VLOOKUP(bron[[#This Row],[personeelsnr]],'data hastus'!$A:$C,3,0)</f>
        <v>Younes</v>
      </c>
      <c r="E580" t="str">
        <f>VLOOKUP(bron[[#This Row],[personeelsnr]],'data hastus'!A:K,11,FALSE)</f>
        <v>Els Vanhoe</v>
      </c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45706</v>
      </c>
      <c r="U580" s="8" t="s">
        <v>1064</v>
      </c>
      <c r="V580" s="8">
        <v>1</v>
      </c>
      <c r="W580" s="8"/>
      <c r="X580" t="s">
        <v>7</v>
      </c>
      <c r="Y580" t="s">
        <v>514</v>
      </c>
    </row>
    <row r="581" spans="1:25" hidden="1" x14ac:dyDescent="0.25">
      <c r="A581">
        <v>41032</v>
      </c>
      <c r="B581" t="str">
        <f>_xlfn.CONCAT(bron[[#This Row],[personeelsnr]]," ",bron[[#This Row],[achternaam]]," ",bron[[#This Row],[voornaam]])</f>
        <v>41032 Rocabado Hinojosa Lukas</v>
      </c>
      <c r="C581" t="str">
        <f>VLOOKUP(bron[[#This Row],[personeelsnr]],'data hastus'!$A:$C,2,0)</f>
        <v>Rocabado Hinojosa</v>
      </c>
      <c r="D581" t="str">
        <f>VLOOKUP(bron[[#This Row],[personeelsnr]],'data hastus'!$A:$C,3,0)</f>
        <v>Lukas</v>
      </c>
      <c r="E581" t="str">
        <f>VLOOKUP(bron[[#This Row],[personeelsnr]],'data hastus'!A:K,11,FALSE)</f>
        <v>Els Vanhoe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45706</v>
      </c>
      <c r="U581" s="8" t="s">
        <v>1065</v>
      </c>
      <c r="V581" s="8">
        <v>1</v>
      </c>
      <c r="W581" s="8"/>
      <c r="X581" t="s">
        <v>7</v>
      </c>
      <c r="Y581" t="s">
        <v>219</v>
      </c>
    </row>
    <row r="582" spans="1:25" hidden="1" x14ac:dyDescent="0.25">
      <c r="A582">
        <v>39660</v>
      </c>
      <c r="B582" t="str">
        <f>_xlfn.CONCAT(bron[[#This Row],[personeelsnr]]," ",bron[[#This Row],[achternaam]]," ",bron[[#This Row],[voornaam]])</f>
        <v>39660 Lloyd Glenn</v>
      </c>
      <c r="C582" t="str">
        <f>VLOOKUP(bron[[#This Row],[personeelsnr]],'data hastus'!$A:$C,2,0)</f>
        <v>Lloyd</v>
      </c>
      <c r="D582" t="str">
        <f>VLOOKUP(bron[[#This Row],[personeelsnr]],'data hastus'!$A:$C,3,0)</f>
        <v>Glenn</v>
      </c>
      <c r="E582" t="str">
        <f>VLOOKUP(bron[[#This Row],[personeelsnr]],'data hastus'!A:K,11,FALSE)</f>
        <v>Bart Van Der Beken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45707</v>
      </c>
      <c r="U582" s="8" t="s">
        <v>1066</v>
      </c>
      <c r="V582" s="8">
        <v>1</v>
      </c>
      <c r="W582" s="8"/>
      <c r="X582" t="s">
        <v>7</v>
      </c>
      <c r="Y582" t="s">
        <v>43</v>
      </c>
    </row>
    <row r="583" spans="1:25" hidden="1" x14ac:dyDescent="0.25">
      <c r="A583">
        <v>41246</v>
      </c>
      <c r="B583" t="str">
        <f>_xlfn.CONCAT(bron[[#This Row],[personeelsnr]]," ",bron[[#This Row],[achternaam]]," ",bron[[#This Row],[voornaam]])</f>
        <v>41246 Van Holsbeeck Yana</v>
      </c>
      <c r="C583" t="str">
        <f>VLOOKUP(bron[[#This Row],[personeelsnr]],'data hastus'!$A:$C,2,0)</f>
        <v>Van Holsbeeck</v>
      </c>
      <c r="D583" t="str">
        <f>VLOOKUP(bron[[#This Row],[personeelsnr]],'data hastus'!$A:$C,3,0)</f>
        <v>Yana</v>
      </c>
      <c r="E583" t="str">
        <f>VLOOKUP(bron[[#This Row],[personeelsnr]],'data hastus'!A:K,11,FALSE)</f>
        <v>Dominique De Clercq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45708</v>
      </c>
      <c r="U583" s="8" t="s">
        <v>1067</v>
      </c>
      <c r="V583" s="8">
        <v>1</v>
      </c>
      <c r="W583" s="8"/>
      <c r="X583" t="s">
        <v>7</v>
      </c>
      <c r="Y583" t="s">
        <v>131</v>
      </c>
    </row>
    <row r="584" spans="1:25" hidden="1" x14ac:dyDescent="0.25">
      <c r="A584">
        <v>36569</v>
      </c>
      <c r="B584" t="str">
        <f>_xlfn.CONCAT(bron[[#This Row],[personeelsnr]]," ",bron[[#This Row],[achternaam]]," ",bron[[#This Row],[voornaam]])</f>
        <v>36569 Stroobandt Jonas</v>
      </c>
      <c r="C584" t="str">
        <f>VLOOKUP(bron[[#This Row],[personeelsnr]],'data hastus'!$A:$C,2,0)</f>
        <v>Stroobandt</v>
      </c>
      <c r="D584" t="str">
        <f>VLOOKUP(bron[[#This Row],[personeelsnr]],'data hastus'!$A:$C,3,0)</f>
        <v>Jonas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45708</v>
      </c>
      <c r="U584" s="8" t="s">
        <v>1068</v>
      </c>
      <c r="V584" s="8">
        <v>1</v>
      </c>
      <c r="W584" s="8"/>
      <c r="X584" t="s">
        <v>7</v>
      </c>
      <c r="Y584" t="s">
        <v>5</v>
      </c>
    </row>
    <row r="585" spans="1:25" hidden="1" x14ac:dyDescent="0.25">
      <c r="A585">
        <v>39972</v>
      </c>
      <c r="B585" t="str">
        <f>_xlfn.CONCAT(bron[[#This Row],[personeelsnr]]," ",bron[[#This Row],[achternaam]]," ",bron[[#This Row],[voornaam]])</f>
        <v>39972 Repaj Ramazav</v>
      </c>
      <c r="C585" t="s">
        <v>1069</v>
      </c>
      <c r="D585" t="s">
        <v>1070</v>
      </c>
      <c r="E585" t="s">
        <v>55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45709</v>
      </c>
      <c r="U585" s="8" t="s">
        <v>1071</v>
      </c>
      <c r="V585" s="8">
        <v>1</v>
      </c>
      <c r="W585" s="8"/>
      <c r="X585" t="s">
        <v>7</v>
      </c>
      <c r="Y585" t="s">
        <v>25</v>
      </c>
    </row>
    <row r="586" spans="1:25" hidden="1" x14ac:dyDescent="0.25">
      <c r="A586">
        <v>40744</v>
      </c>
      <c r="B586" t="str">
        <f>_xlfn.CONCAT(bron[[#This Row],[personeelsnr]]," ",bron[[#This Row],[achternaam]]," ",bron[[#This Row],[voornaam]])</f>
        <v>40744 Gözüküçük Ugur</v>
      </c>
      <c r="C586" t="str">
        <f>VLOOKUP(bron[[#This Row],[personeelsnr]],'data hastus'!$A:$C,2,0)</f>
        <v>Gözüküçük</v>
      </c>
      <c r="D586" t="str">
        <f>VLOOKUP(bron[[#This Row],[personeelsnr]],'data hastus'!$A:$C,3,0)</f>
        <v>Ugur</v>
      </c>
      <c r="E586" t="str">
        <f>VLOOKUP(bron[[#This Row],[personeelsnr]],'data hastus'!A:K,11,FALSE)</f>
        <v>Bart Van Der Beken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45709</v>
      </c>
      <c r="U586" s="8" t="s">
        <v>1072</v>
      </c>
      <c r="V586" s="8">
        <v>1</v>
      </c>
      <c r="W586" s="8"/>
      <c r="X586" t="s">
        <v>7</v>
      </c>
      <c r="Y586" t="s">
        <v>16</v>
      </c>
    </row>
    <row r="587" spans="1:25" hidden="1" x14ac:dyDescent="0.25">
      <c r="A587">
        <v>39712</v>
      </c>
      <c r="B587" t="str">
        <f>_xlfn.CONCAT(bron[[#This Row],[personeelsnr]]," ",bron[[#This Row],[achternaam]]," ",bron[[#This Row],[voornaam]])</f>
        <v>39712 Repaj Ramazan</v>
      </c>
      <c r="C587" t="str">
        <f>VLOOKUP(bron[[#This Row],[personeelsnr]],'data hastus'!$A:$C,2,0)</f>
        <v>Repaj</v>
      </c>
      <c r="D587" t="str">
        <f>VLOOKUP(bron[[#This Row],[personeelsnr]],'data hastus'!$A:$C,3,0)</f>
        <v>Ramazan</v>
      </c>
      <c r="E587" t="str">
        <f>VLOOKUP(bron[[#This Row],[personeelsnr]],'data hastus'!A:K,11,FALSE)</f>
        <v>Bart Van Der Beken</v>
      </c>
      <c r="F587" s="10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45709</v>
      </c>
      <c r="U587"/>
      <c r="V587" s="8">
        <v>1</v>
      </c>
      <c r="W587"/>
      <c r="X587" t="s">
        <v>7</v>
      </c>
    </row>
    <row r="588" spans="1:25" hidden="1" x14ac:dyDescent="0.25">
      <c r="A588">
        <v>37509</v>
      </c>
      <c r="B588" t="str">
        <f>_xlfn.CONCAT(bron[[#This Row],[personeelsnr]]," ",bron[[#This Row],[achternaam]]," ",bron[[#This Row],[voornaam]])</f>
        <v>37509 Abdulkader Sabah</v>
      </c>
      <c r="C588" t="str">
        <f>VLOOKUP(bron[[#This Row],[personeelsnr]],'data hastus'!$A:$C,2,0)</f>
        <v>Abdulkader</v>
      </c>
      <c r="D588" t="str">
        <f>VLOOKUP(bron[[#This Row],[personeelsnr]],'data hastus'!$A:$C,3,0)</f>
        <v>Sabah</v>
      </c>
      <c r="E588" t="str">
        <f>VLOOKUP(bron[[#This Row],[personeelsnr]],'data hastus'!A:K,11,FALSE)</f>
        <v>Bart Van Der Beken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45710</v>
      </c>
      <c r="U588" s="8" t="s">
        <v>1073</v>
      </c>
      <c r="V588" s="8">
        <v>1</v>
      </c>
      <c r="W588" s="8"/>
      <c r="X588" t="s">
        <v>7</v>
      </c>
      <c r="Y588" t="s">
        <v>514</v>
      </c>
    </row>
    <row r="589" spans="1:25" hidden="1" x14ac:dyDescent="0.25">
      <c r="A589">
        <v>39818</v>
      </c>
      <c r="B589" t="e">
        <f>_xlfn.CONCAT(bron[[#This Row],[personeelsnr]]," ",bron[[#This Row],[achternaam]]," ",bron[[#This Row],[voornaam]])</f>
        <v>#N/A</v>
      </c>
      <c r="C589" t="e">
        <f>VLOOKUP(bron[[#This Row],[personeelsnr]],'data hastus'!$A:$C,2,0)</f>
        <v>#N/A</v>
      </c>
      <c r="D589" t="e">
        <f>VLOOKUP(bron[[#This Row],[personeelsnr]],'data hastus'!$A:$C,3,0)</f>
        <v>#N/A</v>
      </c>
      <c r="E589" t="s">
        <v>79</v>
      </c>
      <c r="G589" s="7"/>
      <c r="H589" s="7">
        <v>1</v>
      </c>
      <c r="I589" s="7"/>
      <c r="S589" s="5">
        <f>SUM(bron[[#This Row],[Januari]:[December]])</f>
        <v>1</v>
      </c>
      <c r="T589" s="9">
        <v>45710</v>
      </c>
      <c r="U589" s="8" t="s">
        <v>1074</v>
      </c>
      <c r="V589" s="8">
        <v>1</v>
      </c>
      <c r="W589" s="8"/>
      <c r="X589" t="s">
        <v>7</v>
      </c>
      <c r="Y589" t="s">
        <v>1075</v>
      </c>
    </row>
    <row r="590" spans="1:25" hidden="1" x14ac:dyDescent="0.25">
      <c r="A590">
        <v>40223</v>
      </c>
      <c r="B590" t="str">
        <f>_xlfn.CONCAT(bron[[#This Row],[personeelsnr]]," ",bron[[#This Row],[achternaam]]," ",bron[[#This Row],[voornaam]])</f>
        <v>40223 Teetaert Billy</v>
      </c>
      <c r="C590" t="str">
        <f>VLOOKUP(bron[[#This Row],[personeelsnr]],'data hastus'!$A:$C,2,0)</f>
        <v>Teetaert</v>
      </c>
      <c r="D590" t="str">
        <f>VLOOKUP(bron[[#This Row],[personeelsnr]],'data hastus'!$A:$C,3,0)</f>
        <v>Billy</v>
      </c>
      <c r="E590" t="str">
        <f>VLOOKUP(bron[[#This Row],[personeelsnr]],'data hastus'!A:K,11,FALSE)</f>
        <v>Dominique De Clercq</v>
      </c>
      <c r="F590" s="10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45711</v>
      </c>
      <c r="U590" s="8" t="s">
        <v>1076</v>
      </c>
      <c r="V590" s="8">
        <v>1</v>
      </c>
      <c r="W590" s="8"/>
      <c r="X590" t="s">
        <v>7</v>
      </c>
      <c r="Y590" t="s">
        <v>25</v>
      </c>
    </row>
    <row r="591" spans="1:25" hidden="1" x14ac:dyDescent="0.25">
      <c r="A591">
        <v>32387</v>
      </c>
      <c r="B591" t="str">
        <f>_xlfn.CONCAT(bron[[#This Row],[personeelsnr]]," ",bron[[#This Row],[achternaam]]," ",bron[[#This Row],[voornaam]])</f>
        <v>32387 Meersman Herman</v>
      </c>
      <c r="C591" t="str">
        <f>VLOOKUP(bron[[#This Row],[personeelsnr]],'data hastus'!$A:$C,2,0)</f>
        <v>Meersman</v>
      </c>
      <c r="D591" t="str">
        <f>VLOOKUP(bron[[#This Row],[personeelsnr]],'data hastus'!$A:$C,3,0)</f>
        <v>Herman</v>
      </c>
      <c r="E591" t="str">
        <f>VLOOKUP(bron[[#This Row],[personeelsnr]],'data hastus'!A:K,11,FALSE)</f>
        <v>Steven Storm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45711</v>
      </c>
      <c r="U591" s="8" t="s">
        <v>1077</v>
      </c>
      <c r="V591" s="8">
        <v>1</v>
      </c>
      <c r="W591" s="8"/>
      <c r="X591" t="s">
        <v>7</v>
      </c>
      <c r="Y591" t="s">
        <v>28</v>
      </c>
    </row>
    <row r="592" spans="1:25" hidden="1" x14ac:dyDescent="0.25">
      <c r="A592">
        <v>9824</v>
      </c>
      <c r="B592" t="str">
        <f>_xlfn.CONCAT(bron[[#This Row],[personeelsnr]]," ",bron[[#This Row],[achternaam]]," ",bron[[#This Row],[voornaam]])</f>
        <v>9824 De Meulenaere Eric</v>
      </c>
      <c r="C592" t="str">
        <f>VLOOKUP(bron[[#This Row],[personeelsnr]],'data hastus'!$A:$C,2,0)</f>
        <v>De Meulenaere</v>
      </c>
      <c r="D592" t="str">
        <f>VLOOKUP(bron[[#This Row],[personeelsnr]],'data hastus'!$A:$C,3,0)</f>
        <v>Eric</v>
      </c>
      <c r="E592" t="str">
        <f>VLOOKUP(bron[[#This Row],[personeelsnr]],'data hastus'!A:K,11,FALSE)</f>
        <v>Steven Storm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45711</v>
      </c>
      <c r="U592" s="8" t="s">
        <v>1078</v>
      </c>
      <c r="V592" s="8"/>
      <c r="W592" s="8">
        <v>1</v>
      </c>
      <c r="X592" t="s">
        <v>8</v>
      </c>
      <c r="Y592" t="s">
        <v>5</v>
      </c>
    </row>
    <row r="593" spans="1:25" hidden="1" x14ac:dyDescent="0.25">
      <c r="A593">
        <v>30121</v>
      </c>
      <c r="B593" t="str">
        <f>_xlfn.CONCAT(bron[[#This Row],[personeelsnr]]," ",bron[[#This Row],[achternaam]]," ",bron[[#This Row],[voornaam]])</f>
        <v>30121 Simons Andreas</v>
      </c>
      <c r="C593" t="str">
        <f>VLOOKUP(bron[[#This Row],[personeelsnr]],'data hastus'!$A:$C,2,0)</f>
        <v>Simons</v>
      </c>
      <c r="D593" t="str">
        <f>VLOOKUP(bron[[#This Row],[personeelsnr]],'data hastus'!$A:$C,3,0)</f>
        <v>Andreas</v>
      </c>
      <c r="E593" t="str">
        <f>VLOOKUP(bron[[#This Row],[personeelsnr]],'data hastus'!A:K,11,FALSE)</f>
        <v>Christoff Rotty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45712</v>
      </c>
      <c r="U593" s="8" t="s">
        <v>1079</v>
      </c>
      <c r="V593" s="8">
        <v>1</v>
      </c>
      <c r="W593" s="8"/>
      <c r="X593" t="s">
        <v>7</v>
      </c>
      <c r="Y593" t="s">
        <v>189</v>
      </c>
    </row>
    <row r="594" spans="1:25" hidden="1" x14ac:dyDescent="0.25">
      <c r="A594">
        <v>35397</v>
      </c>
      <c r="B594" t="str">
        <f>_xlfn.CONCAT(bron[[#This Row],[personeelsnr]]," ",bron[[#This Row],[achternaam]]," ",bron[[#This Row],[voornaam]])</f>
        <v>35397 Minbari Ako</v>
      </c>
      <c r="C594" t="str">
        <f>VLOOKUP(bron[[#This Row],[personeelsnr]],'data hastus'!$A:$C,2,0)</f>
        <v>Minbari</v>
      </c>
      <c r="D594" t="str">
        <f>VLOOKUP(bron[[#This Row],[personeelsnr]],'data hastus'!$A:$C,3,0)</f>
        <v>Ako</v>
      </c>
      <c r="E594" t="str">
        <f>VLOOKUP(bron[[#This Row],[personeelsnr]],'data hastus'!A:K,11,FALSE)</f>
        <v>Lucie Vande Velde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45713</v>
      </c>
      <c r="U594" s="8" t="s">
        <v>1080</v>
      </c>
      <c r="V594" s="8">
        <v>1</v>
      </c>
      <c r="W594" s="8"/>
      <c r="X594" t="s">
        <v>7</v>
      </c>
      <c r="Y594" t="s">
        <v>108</v>
      </c>
    </row>
    <row r="595" spans="1:25" hidden="1" x14ac:dyDescent="0.25">
      <c r="A595">
        <v>40744</v>
      </c>
      <c r="B595" t="str">
        <f>_xlfn.CONCAT(bron[[#This Row],[personeelsnr]]," ",bron[[#This Row],[achternaam]]," ",bron[[#This Row],[voornaam]])</f>
        <v>40744 Gözüküçük Ugur</v>
      </c>
      <c r="C595" t="str">
        <f>VLOOKUP(bron[[#This Row],[personeelsnr]],'data hastus'!$A:$C,2,0)</f>
        <v>Gözüküçük</v>
      </c>
      <c r="D595" t="str">
        <f>VLOOKUP(bron[[#This Row],[personeelsnr]],'data hastus'!$A:$C,3,0)</f>
        <v>Ugur</v>
      </c>
      <c r="E595" t="str">
        <f>VLOOKUP(bron[[#This Row],[personeelsnr]],'data hastus'!A:K,11,FALSE)</f>
        <v>Bart Van Der Beken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45715</v>
      </c>
      <c r="U595" s="8" t="s">
        <v>1081</v>
      </c>
      <c r="V595" s="8">
        <v>1</v>
      </c>
      <c r="W595" s="8"/>
      <c r="X595" t="s">
        <v>7</v>
      </c>
      <c r="Y595" t="s">
        <v>207</v>
      </c>
    </row>
    <row r="596" spans="1:25" hidden="1" x14ac:dyDescent="0.25">
      <c r="A596">
        <v>39779</v>
      </c>
      <c r="B596" t="str">
        <f>_xlfn.CONCAT(bron[[#This Row],[personeelsnr]]," ",bron[[#This Row],[achternaam]]," ",bron[[#This Row],[voornaam]])</f>
        <v>39779 Avci Muhammet Abdullah</v>
      </c>
      <c r="C596" t="str">
        <f>VLOOKUP(bron[[#This Row],[personeelsnr]],'data hastus'!$A:$C,2,0)</f>
        <v>Avci</v>
      </c>
      <c r="D596" t="str">
        <f>VLOOKUP(bron[[#This Row],[personeelsnr]],'data hastus'!$A:$C,3,0)</f>
        <v>Muhammet Abdullah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45715</v>
      </c>
      <c r="U596" s="8" t="s">
        <v>1082</v>
      </c>
      <c r="V596" s="8">
        <v>1</v>
      </c>
      <c r="W596" s="8"/>
      <c r="X596" t="s">
        <v>7</v>
      </c>
      <c r="Y596" t="s">
        <v>277</v>
      </c>
    </row>
    <row r="597" spans="1:25" hidden="1" x14ac:dyDescent="0.25">
      <c r="A597">
        <v>39829</v>
      </c>
      <c r="B597" t="str">
        <f>_xlfn.CONCAT(bron[[#This Row],[personeelsnr]]," ",bron[[#This Row],[achternaam]]," ",bron[[#This Row],[voornaam]])</f>
        <v>39829 Demirkaya Serkan</v>
      </c>
      <c r="C597" t="str">
        <f>VLOOKUP(bron[[#This Row],[personeelsnr]],'data hastus'!$A:$C,2,0)</f>
        <v>Demirkaya</v>
      </c>
      <c r="D597" t="str">
        <f>VLOOKUP(bron[[#This Row],[personeelsnr]],'data hastus'!$A:$C,3,0)</f>
        <v>Serkan</v>
      </c>
      <c r="E597" t="str">
        <f>VLOOKUP(bron[[#This Row],[personeelsnr]],'data hastus'!A:K,11,FALSE)</f>
        <v>Lucie Vande Velde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45715</v>
      </c>
      <c r="U597" s="8" t="s">
        <v>1083</v>
      </c>
      <c r="V597" s="8">
        <v>1</v>
      </c>
      <c r="W597" s="8"/>
      <c r="X597" t="s">
        <v>7</v>
      </c>
      <c r="Y597" t="s">
        <v>5</v>
      </c>
    </row>
    <row r="598" spans="1:25" hidden="1" x14ac:dyDescent="0.25">
      <c r="A598">
        <v>41092</v>
      </c>
      <c r="B598" t="str">
        <f>_xlfn.CONCAT(bron[[#This Row],[personeelsnr]]," ",bron[[#This Row],[achternaam]]," ",bron[[#This Row],[voornaam]])</f>
        <v>41092 De Keyser Dorien</v>
      </c>
      <c r="C598" t="str">
        <f>VLOOKUP(bron[[#This Row],[personeelsnr]],'data hastus'!$A:$C,2,0)</f>
        <v>De Keyser</v>
      </c>
      <c r="D598" t="str">
        <f>VLOOKUP(bron[[#This Row],[personeelsnr]],'data hastus'!$A:$C,3,0)</f>
        <v>Dorien</v>
      </c>
      <c r="E598" t="str">
        <f>VLOOKUP(bron[[#This Row],[personeelsnr]],'data hastus'!A:K,11,FALSE)</f>
        <v>Dominique De Clercq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45716</v>
      </c>
      <c r="U598" s="8" t="s">
        <v>1084</v>
      </c>
      <c r="V598" s="8">
        <v>1</v>
      </c>
      <c r="W598" s="8"/>
      <c r="X598" t="s">
        <v>7</v>
      </c>
      <c r="Y598" t="s">
        <v>34</v>
      </c>
    </row>
    <row r="599" spans="1:25" hidden="1" x14ac:dyDescent="0.25">
      <c r="A599" s="15">
        <v>40138</v>
      </c>
      <c r="B599" t="str">
        <f>_xlfn.CONCAT(bron[[#This Row],[personeelsnr]]," ",bron[[#This Row],[achternaam]]," ",bron[[#This Row],[voornaam]])</f>
        <v>40138 Moerman Tjimmy</v>
      </c>
      <c r="C599" s="15" t="str">
        <f>VLOOKUP(bron[[#This Row],[personeelsnr]],'data hastus'!$A:$C,2,0)</f>
        <v>Moerman</v>
      </c>
      <c r="D599" s="15" t="str">
        <f>VLOOKUP(bron[[#This Row],[personeelsnr]],'data hastus'!$A:$C,3,0)</f>
        <v>Tjimmy</v>
      </c>
      <c r="E599" s="15" t="str">
        <f>VLOOKUP(bron[[#This Row],[personeelsnr]],'data hastus'!A:K,11,FALSE)</f>
        <v>Christoff Rotty</v>
      </c>
      <c r="F599" s="16"/>
      <c r="G599" s="21"/>
      <c r="H599" s="21"/>
      <c r="I599" s="21">
        <v>1</v>
      </c>
      <c r="J599" s="15"/>
      <c r="K599" s="15"/>
      <c r="L599" s="15"/>
      <c r="M599" s="15"/>
      <c r="N599" s="15"/>
      <c r="O599" s="15"/>
      <c r="P599" s="15"/>
      <c r="Q599" s="15"/>
      <c r="R599" s="15"/>
      <c r="S599" s="15">
        <f>SUM(bron[[#This Row],[Januari]:[December]])</f>
        <v>1</v>
      </c>
      <c r="T599" s="22">
        <v>45717</v>
      </c>
      <c r="U599" s="20" t="s">
        <v>1085</v>
      </c>
      <c r="V599" s="8">
        <v>1</v>
      </c>
      <c r="W599" s="20"/>
      <c r="X599" t="s">
        <v>7</v>
      </c>
      <c r="Y599" s="15" t="s">
        <v>287</v>
      </c>
    </row>
    <row r="600" spans="1:25" hidden="1" x14ac:dyDescent="0.25">
      <c r="A600">
        <v>38807</v>
      </c>
      <c r="B600" t="str">
        <f>_xlfn.CONCAT(bron[[#This Row],[personeelsnr]]," ",bron[[#This Row],[achternaam]]," ",bron[[#This Row],[voornaam]])</f>
        <v>38807 Dossche Caroline</v>
      </c>
      <c r="C600" t="str">
        <f>VLOOKUP(bron[[#This Row],[personeelsnr]],'data hastus'!$A:$C,2,0)</f>
        <v>Dossche</v>
      </c>
      <c r="D600" t="str">
        <f>VLOOKUP(bron[[#This Row],[personeelsnr]],'data hastus'!$A:$C,3,0)</f>
        <v>Caroline</v>
      </c>
      <c r="E600" t="str">
        <f>VLOOKUP(bron[[#This Row],[personeelsnr]],'data hastus'!A:K,11,FALSE)</f>
        <v>Christoff Rotty</v>
      </c>
      <c r="F600" s="10"/>
      <c r="G600" s="6"/>
      <c r="H600" s="6"/>
      <c r="I600" s="6">
        <v>1</v>
      </c>
      <c r="J600"/>
      <c r="K600"/>
      <c r="L600"/>
      <c r="M600"/>
      <c r="N600"/>
      <c r="O600"/>
      <c r="P600"/>
      <c r="Q600"/>
      <c r="R600"/>
      <c r="S600">
        <f>SUM(bron[[#This Row],[Januari]:[December]])</f>
        <v>1</v>
      </c>
      <c r="T600" s="3">
        <v>45718</v>
      </c>
      <c r="U600" s="8" t="s">
        <v>1086</v>
      </c>
      <c r="V600" s="8">
        <v>1</v>
      </c>
      <c r="W600" s="8"/>
      <c r="X600" t="s">
        <v>7</v>
      </c>
      <c r="Y600" t="s">
        <v>78</v>
      </c>
    </row>
    <row r="601" spans="1:25" hidden="1" x14ac:dyDescent="0.25">
      <c r="A601">
        <v>26137</v>
      </c>
      <c r="B601" t="str">
        <f>_xlfn.CONCAT(bron[[#This Row],[personeelsnr]]," ",bron[[#This Row],[achternaam]]," ",bron[[#This Row],[voornaam]])</f>
        <v>26137 Hublau Roland</v>
      </c>
      <c r="C601" t="str">
        <f>VLOOKUP(bron[[#This Row],[personeelsnr]],'data hastus'!$A:$C,2,0)</f>
        <v>Hublau</v>
      </c>
      <c r="D601" t="str">
        <f>VLOOKUP(bron[[#This Row],[personeelsnr]],'data hastus'!$A:$C,3,0)</f>
        <v>Roland</v>
      </c>
      <c r="E601" t="str">
        <f>VLOOKUP(bron[[#This Row],[personeelsnr]],'data hastus'!A:K,11,FALSE)</f>
        <v>Steven Storm</v>
      </c>
      <c r="F601" s="10"/>
      <c r="G601" s="7"/>
      <c r="H601" s="7"/>
      <c r="I601" s="7">
        <v>1</v>
      </c>
      <c r="S601" s="5">
        <f>SUM(bron[[#This Row],[Januari]:[December]])</f>
        <v>1</v>
      </c>
      <c r="T601" s="9">
        <v>45719</v>
      </c>
      <c r="U601" s="8" t="s">
        <v>1087</v>
      </c>
      <c r="V601" s="8">
        <v>1</v>
      </c>
      <c r="W601" s="8"/>
      <c r="X601" t="s">
        <v>7</v>
      </c>
      <c r="Y601" t="s">
        <v>10</v>
      </c>
    </row>
    <row r="602" spans="1:25" hidden="1" x14ac:dyDescent="0.25">
      <c r="A602">
        <v>19520</v>
      </c>
      <c r="B602" t="str">
        <f>_xlfn.CONCAT(bron[[#This Row],[personeelsnr]]," ",bron[[#This Row],[achternaam]]," ",bron[[#This Row],[voornaam]])</f>
        <v>19520 Van Steenbergen Kris</v>
      </c>
      <c r="C602" t="str">
        <f>VLOOKUP(bron[[#This Row],[personeelsnr]],'data hastus'!$A:$C,2,0)</f>
        <v>Van Steenbergen</v>
      </c>
      <c r="D602" t="str">
        <f>VLOOKUP(bron[[#This Row],[personeelsnr]],'data hastus'!$A:$C,3,0)</f>
        <v>Kris</v>
      </c>
      <c r="E602" t="str">
        <f>VLOOKUP(bron[[#This Row],[personeelsnr]],'data hastus'!A:K,11,FALSE)</f>
        <v>Els Dewulf</v>
      </c>
      <c r="F602" s="10"/>
      <c r="G602" s="6"/>
      <c r="H602" s="6"/>
      <c r="I602" s="6">
        <v>1</v>
      </c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45720</v>
      </c>
      <c r="U602" s="8" t="s">
        <v>1088</v>
      </c>
      <c r="V602" s="8">
        <v>1</v>
      </c>
      <c r="W602" s="8"/>
      <c r="X602" t="s">
        <v>7</v>
      </c>
      <c r="Y602" t="s">
        <v>40</v>
      </c>
    </row>
    <row r="603" spans="1:25" hidden="1" x14ac:dyDescent="0.25">
      <c r="A603">
        <v>34019</v>
      </c>
      <c r="B603" t="str">
        <f>_xlfn.CONCAT(bron[[#This Row],[personeelsnr]]," ",bron[[#This Row],[achternaam]]," ",bron[[#This Row],[voornaam]])</f>
        <v>34019 Hoste Tom</v>
      </c>
      <c r="C603" t="str">
        <f>VLOOKUP(bron[[#This Row],[personeelsnr]],'data hastus'!$A:$C,2,0)</f>
        <v>Hoste</v>
      </c>
      <c r="D603" t="str">
        <f>VLOOKUP(bron[[#This Row],[personeelsnr]],'data hastus'!$A:$C,3,0)</f>
        <v>Tom</v>
      </c>
      <c r="E603" t="str">
        <f>VLOOKUP(bron[[#This Row],[personeelsnr]],'data hastus'!A:K,11,FALSE)</f>
        <v>Christoff Rotty</v>
      </c>
      <c r="F603" s="10"/>
      <c r="G603" s="6"/>
      <c r="H603" s="6"/>
      <c r="I603" s="6">
        <v>1</v>
      </c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45721</v>
      </c>
      <c r="U603" s="8" t="s">
        <v>1089</v>
      </c>
      <c r="V603" s="8">
        <v>1</v>
      </c>
      <c r="W603" s="8"/>
      <c r="X603" t="s">
        <v>7</v>
      </c>
      <c r="Y603" t="s">
        <v>127</v>
      </c>
    </row>
    <row r="604" spans="1:25" hidden="1" x14ac:dyDescent="0.25">
      <c r="A604">
        <v>40591</v>
      </c>
      <c r="B604" t="str">
        <f>_xlfn.CONCAT(bron[[#This Row],[personeelsnr]]," ",bron[[#This Row],[achternaam]]," ",bron[[#This Row],[voornaam]])</f>
        <v>40591 Hiloui Mahmoud</v>
      </c>
      <c r="C604" t="str">
        <f>VLOOKUP(bron[[#This Row],[personeelsnr]],'data hastus'!$A:$C,2,0)</f>
        <v>Hiloui</v>
      </c>
      <c r="D604" t="str">
        <f>VLOOKUP(bron[[#This Row],[personeelsnr]],'data hastus'!$A:$C,3,0)</f>
        <v>Mahmoud</v>
      </c>
      <c r="E604" t="str">
        <f>VLOOKUP(bron[[#This Row],[personeelsnr]],'data hastus'!A:K,11,FALSE)</f>
        <v>Dominique De Clercq</v>
      </c>
      <c r="F604" s="10"/>
      <c r="G604" s="6"/>
      <c r="H604" s="6"/>
      <c r="I604" s="6">
        <v>1</v>
      </c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45721</v>
      </c>
      <c r="U604" s="8" t="s">
        <v>1090</v>
      </c>
      <c r="V604" s="8">
        <v>1</v>
      </c>
      <c r="W604" s="8"/>
      <c r="X604" t="s">
        <v>7</v>
      </c>
      <c r="Y604" t="s">
        <v>22</v>
      </c>
    </row>
    <row r="605" spans="1:25" hidden="1" x14ac:dyDescent="0.25">
      <c r="A605">
        <v>41092</v>
      </c>
      <c r="B605" t="str">
        <f>_xlfn.CONCAT(bron[[#This Row],[personeelsnr]]," ",bron[[#This Row],[achternaam]]," ",bron[[#This Row],[voornaam]])</f>
        <v>41092 De Keyser Dorien</v>
      </c>
      <c r="C605" t="str">
        <f>VLOOKUP(bron[[#This Row],[personeelsnr]],'data hastus'!$A:$C,2,0)</f>
        <v>De Keyser</v>
      </c>
      <c r="D605" t="str">
        <f>VLOOKUP(bron[[#This Row],[personeelsnr]],'data hastus'!$A:$C,3,0)</f>
        <v>Dorien</v>
      </c>
      <c r="E605" t="str">
        <f>VLOOKUP(bron[[#This Row],[personeelsnr]],'data hastus'!A:K,11,FALSE)</f>
        <v>Dominique De Clercq</v>
      </c>
      <c r="F605" s="10"/>
      <c r="G605" s="6"/>
      <c r="H605" s="6"/>
      <c r="I605" s="6">
        <v>1</v>
      </c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45722</v>
      </c>
      <c r="U605" s="8" t="s">
        <v>1091</v>
      </c>
      <c r="V605" s="8">
        <v>1</v>
      </c>
      <c r="W605" s="8"/>
      <c r="X605" t="s">
        <v>7</v>
      </c>
      <c r="Y605" t="s">
        <v>225</v>
      </c>
    </row>
    <row r="606" spans="1:25" hidden="1" x14ac:dyDescent="0.25">
      <c r="A606">
        <v>29674</v>
      </c>
      <c r="B606" t="str">
        <f>_xlfn.CONCAT(bron[[#This Row],[personeelsnr]]," ",bron[[#This Row],[achternaam]]," ",bron[[#This Row],[voornaam]])</f>
        <v>29674 Martens Geoffrey</v>
      </c>
      <c r="C606" t="str">
        <f>VLOOKUP(bron[[#This Row],[personeelsnr]],'data hastus'!$A:$C,2,0)</f>
        <v>Martens</v>
      </c>
      <c r="D606" t="str">
        <f>VLOOKUP(bron[[#This Row],[personeelsnr]],'data hastus'!$A:$C,3,0)</f>
        <v>Geoffrey</v>
      </c>
      <c r="E606" t="str">
        <f>VLOOKUP(bron[[#This Row],[personeelsnr]],'data hastus'!A:K,11,FALSE)</f>
        <v>Dominique De Clercq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45722</v>
      </c>
      <c r="U606" s="8" t="s">
        <v>1092</v>
      </c>
      <c r="V606" s="8"/>
      <c r="W606" s="8">
        <v>1</v>
      </c>
      <c r="X606" t="s">
        <v>8</v>
      </c>
      <c r="Y606" t="s">
        <v>5</v>
      </c>
    </row>
    <row r="607" spans="1:25" hidden="1" x14ac:dyDescent="0.25">
      <c r="A607">
        <v>26960</v>
      </c>
      <c r="B607" t="str">
        <f>_xlfn.CONCAT(bron[[#This Row],[personeelsnr]]," ",bron[[#This Row],[achternaam]]," ",bron[[#This Row],[voornaam]])</f>
        <v>26960 Toubadie Mossa</v>
      </c>
      <c r="C607" t="str">
        <f>VLOOKUP(bron[[#This Row],[personeelsnr]],'data hastus'!$A:$C,2,0)</f>
        <v>Toubadie</v>
      </c>
      <c r="D607" t="str">
        <f>VLOOKUP(bron[[#This Row],[personeelsnr]],'data hastus'!$A:$C,3,0)</f>
        <v>Mossa</v>
      </c>
      <c r="E607" t="str">
        <f>VLOOKUP(bron[[#This Row],[personeelsnr]],'data hastus'!A:K,11,FALSE)</f>
        <v>Els Vanhoe</v>
      </c>
      <c r="F607" s="10"/>
      <c r="G607" s="6"/>
      <c r="H607" s="6"/>
      <c r="I607" s="6">
        <v>1</v>
      </c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45722</v>
      </c>
      <c r="U607" s="8" t="s">
        <v>1093</v>
      </c>
      <c r="V607" s="8">
        <v>1</v>
      </c>
      <c r="W607" s="8"/>
      <c r="X607" t="s">
        <v>7</v>
      </c>
      <c r="Y607" t="s">
        <v>63</v>
      </c>
    </row>
    <row r="608" spans="1:25" hidden="1" x14ac:dyDescent="0.25">
      <c r="A608">
        <v>32091</v>
      </c>
      <c r="B608" t="str">
        <f>_xlfn.CONCAT(bron[[#This Row],[personeelsnr]]," ",bron[[#This Row],[achternaam]]," ",bron[[#This Row],[voornaam]])</f>
        <v>32091 Köroglu Ercan</v>
      </c>
      <c r="C608" t="str">
        <f>VLOOKUP(bron[[#This Row],[personeelsnr]],'data hastus'!$A:$C,2,0)</f>
        <v>Köroglu</v>
      </c>
      <c r="D608" t="str">
        <f>VLOOKUP(bron[[#This Row],[personeelsnr]],'data hastus'!$A:$C,3,0)</f>
        <v>Ercan</v>
      </c>
      <c r="E608" t="str">
        <f>VLOOKUP(bron[[#This Row],[personeelsnr]],'data hastus'!A:K,11,FALSE)</f>
        <v>Kenneth De Rick</v>
      </c>
      <c r="F608" s="10"/>
      <c r="G608" s="6"/>
      <c r="H608" s="6"/>
      <c r="I608" s="6">
        <v>1</v>
      </c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45722</v>
      </c>
      <c r="U608" s="8" t="s">
        <v>1094</v>
      </c>
      <c r="V608" s="8">
        <v>1</v>
      </c>
      <c r="W608" s="8"/>
      <c r="X608" t="s">
        <v>7</v>
      </c>
      <c r="Y608" t="s">
        <v>10</v>
      </c>
    </row>
    <row r="609" spans="1:25" hidden="1" x14ac:dyDescent="0.25">
      <c r="A609">
        <v>16897</v>
      </c>
      <c r="B609" t="str">
        <f>_xlfn.CONCAT(bron[[#This Row],[personeelsnr]]," ",bron[[#This Row],[achternaam]]," ",bron[[#This Row],[voornaam]])</f>
        <v>16897 VandenDaele Andy</v>
      </c>
      <c r="C609" t="str">
        <f>VLOOKUP(bron[[#This Row],[personeelsnr]],'data hastus'!$A:$C,2,0)</f>
        <v>VandenDaele</v>
      </c>
      <c r="D609" t="str">
        <f>VLOOKUP(bron[[#This Row],[personeelsnr]],'data hastus'!$A:$C,3,0)</f>
        <v>Andy</v>
      </c>
      <c r="E609" t="str">
        <f>VLOOKUP(bron[[#This Row],[personeelsnr]],'data hastus'!A:K,11,FALSE)</f>
        <v>Steven Storm</v>
      </c>
      <c r="F609" s="10"/>
      <c r="G609" s="6"/>
      <c r="H609" s="6"/>
      <c r="I609" s="6">
        <v>1</v>
      </c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45722</v>
      </c>
      <c r="U609" s="8" t="s">
        <v>1095</v>
      </c>
      <c r="V609" s="8">
        <v>1</v>
      </c>
      <c r="W609" s="8"/>
      <c r="X609" t="s">
        <v>7</v>
      </c>
      <c r="Y609" t="s">
        <v>72</v>
      </c>
    </row>
    <row r="610" spans="1:25" hidden="1" x14ac:dyDescent="0.25">
      <c r="A610">
        <v>28910</v>
      </c>
      <c r="B610" t="str">
        <f>_xlfn.CONCAT(bron[[#This Row],[personeelsnr]]," ",bron[[#This Row],[achternaam]]," ",bron[[#This Row],[voornaam]])</f>
        <v>28910 Gassa Osmane</v>
      </c>
      <c r="C610" t="str">
        <f>VLOOKUP(bron[[#This Row],[personeelsnr]],'data hastus'!$A:$C,2,0)</f>
        <v>Gassa</v>
      </c>
      <c r="D610" t="str">
        <f>VLOOKUP(bron[[#This Row],[personeelsnr]],'data hastus'!$A:$C,3,0)</f>
        <v>Osmane</v>
      </c>
      <c r="E610" t="str">
        <f>VLOOKUP(bron[[#This Row],[personeelsnr]],'data hastus'!A:K,11,FALSE)</f>
        <v>Bart Van Der Beken</v>
      </c>
      <c r="F610" s="10"/>
      <c r="G610" s="6"/>
      <c r="H610" s="6"/>
      <c r="I610" s="6">
        <v>1</v>
      </c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45725</v>
      </c>
      <c r="U610" s="8" t="s">
        <v>1096</v>
      </c>
      <c r="V610" s="8">
        <v>1</v>
      </c>
      <c r="W610" s="8"/>
      <c r="X610" t="s">
        <v>7</v>
      </c>
      <c r="Y610" t="s">
        <v>151</v>
      </c>
    </row>
    <row r="611" spans="1:25" hidden="1" x14ac:dyDescent="0.25">
      <c r="A611">
        <v>40939</v>
      </c>
      <c r="B611" t="str">
        <f>_xlfn.CONCAT(bron[[#This Row],[personeelsnr]]," ",bron[[#This Row],[achternaam]]," ",bron[[#This Row],[voornaam]])</f>
        <v>40939 Cisse Sayon</v>
      </c>
      <c r="C611" t="str">
        <f>VLOOKUP(bron[[#This Row],[personeelsnr]],'data hastus'!$A:$C,2,0)</f>
        <v>Cisse</v>
      </c>
      <c r="D611" t="str">
        <f>VLOOKUP(bron[[#This Row],[personeelsnr]],'data hastus'!$A:$C,3,0)</f>
        <v>Sayon</v>
      </c>
      <c r="E611" t="str">
        <f>VLOOKUP(bron[[#This Row],[personeelsnr]],'data hastus'!A:K,11,FALSE)</f>
        <v>Kenneth De Rick</v>
      </c>
      <c r="F611" s="10"/>
      <c r="G611" s="6"/>
      <c r="H611" s="6"/>
      <c r="I611" s="6">
        <v>1</v>
      </c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45725</v>
      </c>
      <c r="U611" s="8" t="s">
        <v>1097</v>
      </c>
      <c r="V611" s="8">
        <v>1</v>
      </c>
      <c r="W611" s="8"/>
      <c r="X611" t="s">
        <v>7</v>
      </c>
      <c r="Y611" t="s">
        <v>13</v>
      </c>
    </row>
    <row r="612" spans="1:25" hidden="1" x14ac:dyDescent="0.25">
      <c r="A612">
        <v>25487</v>
      </c>
      <c r="B612" t="str">
        <f>_xlfn.CONCAT(bron[[#This Row],[personeelsnr]]," ",bron[[#This Row],[achternaam]]," ",bron[[#This Row],[voornaam]])</f>
        <v>25487 Devos Stefaan</v>
      </c>
      <c r="C612" t="str">
        <f>VLOOKUP(bron[[#This Row],[personeelsnr]],'data hastus'!$A:$C,2,0)</f>
        <v>Devos</v>
      </c>
      <c r="D612" t="str">
        <f>VLOOKUP(bron[[#This Row],[personeelsnr]],'data hastus'!$A:$C,3,0)</f>
        <v>Stefaan</v>
      </c>
      <c r="E612" t="str">
        <f>VLOOKUP(bron[[#This Row],[personeelsnr]],'data hastus'!A:K,11,FALSE)</f>
        <v>Steven Storm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45725</v>
      </c>
      <c r="U612" s="8" t="s">
        <v>1098</v>
      </c>
      <c r="V612" s="8"/>
      <c r="W612" s="8">
        <v>1</v>
      </c>
      <c r="X612" t="s">
        <v>8</v>
      </c>
      <c r="Y612" t="s">
        <v>137</v>
      </c>
    </row>
    <row r="613" spans="1:25" hidden="1" x14ac:dyDescent="0.25">
      <c r="A613">
        <v>35645</v>
      </c>
      <c r="B613" t="str">
        <f>_xlfn.CONCAT(bron[[#This Row],[personeelsnr]]," ",bron[[#This Row],[achternaam]]," ",bron[[#This Row],[voornaam]])</f>
        <v>35645 Jalili Yaseeb</v>
      </c>
      <c r="C613" t="str">
        <f>VLOOKUP(bron[[#This Row],[personeelsnr]],'data hastus'!$A:$C,2,0)</f>
        <v>Jalili</v>
      </c>
      <c r="D613" t="str">
        <f>VLOOKUP(bron[[#This Row],[personeelsnr]],'data hastus'!$A:$C,3,0)</f>
        <v>Yaseeb</v>
      </c>
      <c r="E613" t="str">
        <f>VLOOKUP(bron[[#This Row],[personeelsnr]],'data hastus'!A:K,11,FALSE)</f>
        <v>Steven Storm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45726</v>
      </c>
      <c r="U613" s="8" t="s">
        <v>1099</v>
      </c>
      <c r="V613" s="8">
        <v>1</v>
      </c>
      <c r="W613" s="8"/>
      <c r="X613" t="s">
        <v>7</v>
      </c>
      <c r="Y613" t="s">
        <v>46</v>
      </c>
    </row>
    <row r="614" spans="1:25" hidden="1" x14ac:dyDescent="0.25">
      <c r="A614">
        <v>40138</v>
      </c>
      <c r="B614" t="str">
        <f>_xlfn.CONCAT(bron[[#This Row],[personeelsnr]]," ",bron[[#This Row],[achternaam]]," ",bron[[#This Row],[voornaam]])</f>
        <v>40138 Moerman Tjimmy</v>
      </c>
      <c r="C614" t="str">
        <f>VLOOKUP(bron[[#This Row],[personeelsnr]],'data hastus'!$A:$C,2,0)</f>
        <v>Moerman</v>
      </c>
      <c r="D614" t="str">
        <f>VLOOKUP(bron[[#This Row],[personeelsnr]],'data hastus'!$A:$C,3,0)</f>
        <v>Tjimmy</v>
      </c>
      <c r="E614" t="str">
        <f>VLOOKUP(bron[[#This Row],[personeelsnr]],'data hastus'!A:K,11,FALSE)</f>
        <v>Christoff Rotty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45727</v>
      </c>
      <c r="U614" s="8" t="s">
        <v>1100</v>
      </c>
      <c r="V614" s="8">
        <v>1</v>
      </c>
      <c r="W614" s="8"/>
      <c r="X614" t="s">
        <v>7</v>
      </c>
      <c r="Y614" t="s">
        <v>40</v>
      </c>
    </row>
    <row r="615" spans="1:25" hidden="1" x14ac:dyDescent="0.25">
      <c r="A615">
        <v>39532</v>
      </c>
      <c r="B615" t="str">
        <f>_xlfn.CONCAT(bron[[#This Row],[personeelsnr]]," ",bron[[#This Row],[achternaam]]," ",bron[[#This Row],[voornaam]])</f>
        <v>39532 Sahin Orhan</v>
      </c>
      <c r="C615" t="str">
        <f>VLOOKUP(bron[[#This Row],[personeelsnr]],'data hastus'!$A:$C,2,0)</f>
        <v>Sahin</v>
      </c>
      <c r="D615" t="str">
        <f>VLOOKUP(bron[[#This Row],[personeelsnr]],'data hastus'!$A:$C,3,0)</f>
        <v>Orhan</v>
      </c>
      <c r="E615" t="str">
        <f>VLOOKUP(bron[[#This Row],[personeelsnr]],'data hastus'!A:K,11,FALSE)</f>
        <v>Christoff Rotty</v>
      </c>
      <c r="F615" s="10"/>
      <c r="G615" s="7"/>
      <c r="H615" s="7"/>
      <c r="I615" s="7">
        <v>1</v>
      </c>
      <c r="S615" s="5">
        <f>SUM(bron[[#This Row],[Januari]:[December]])</f>
        <v>1</v>
      </c>
      <c r="T615" s="9">
        <v>45728</v>
      </c>
      <c r="U615" s="8" t="s">
        <v>1101</v>
      </c>
      <c r="V615" s="8">
        <v>1</v>
      </c>
      <c r="W615" s="8"/>
      <c r="X615" t="s">
        <v>7</v>
      </c>
      <c r="Y615" t="s">
        <v>100</v>
      </c>
    </row>
    <row r="616" spans="1:25" hidden="1" x14ac:dyDescent="0.25">
      <c r="A616">
        <v>37662</v>
      </c>
      <c r="B616" t="str">
        <f>_xlfn.CONCAT(bron[[#This Row],[personeelsnr]]," ",bron[[#This Row],[achternaam]]," ",bron[[#This Row],[voornaam]])</f>
        <v>37662 Van den Meerssche Steven</v>
      </c>
      <c r="C616" t="str">
        <f>VLOOKUP(bron[[#This Row],[personeelsnr]],'data hastus'!$A:$C,2,0)</f>
        <v>Van den Meerssche</v>
      </c>
      <c r="D616" t="str">
        <f>VLOOKUP(bron[[#This Row],[personeelsnr]],'data hastus'!$A:$C,3,0)</f>
        <v>Steven</v>
      </c>
      <c r="E616" t="str">
        <f>VLOOKUP(bron[[#This Row],[personeelsnr]],'data hastus'!A:K,11,FALSE)</f>
        <v>Bart Van Der Beken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45729</v>
      </c>
      <c r="U616" s="8" t="s">
        <v>1102</v>
      </c>
      <c r="V616" s="8">
        <v>1</v>
      </c>
      <c r="W616" s="8"/>
      <c r="X616" t="s">
        <v>7</v>
      </c>
      <c r="Y616" t="s">
        <v>123</v>
      </c>
    </row>
    <row r="617" spans="1:25" hidden="1" x14ac:dyDescent="0.25">
      <c r="A617">
        <v>35379</v>
      </c>
      <c r="B617" t="str">
        <f>_xlfn.CONCAT(bron[[#This Row],[personeelsnr]]," ",bron[[#This Row],[achternaam]]," ",bron[[#This Row],[voornaam]])</f>
        <v>35379 Engels Sam</v>
      </c>
      <c r="C617" t="str">
        <f>VLOOKUP(bron[[#This Row],[personeelsnr]],'data hastus'!$A:$C,2,0)</f>
        <v>Engels</v>
      </c>
      <c r="D617" t="str">
        <f>VLOOKUP(bron[[#This Row],[personeelsnr]],'data hastus'!$A:$C,3,0)</f>
        <v>Sam</v>
      </c>
      <c r="E617" t="str">
        <f>VLOOKUP(bron[[#This Row],[personeelsnr]],'data hastus'!A:K,11,FALSE)</f>
        <v>Els Vanhoe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45729</v>
      </c>
      <c r="U617" s="8" t="s">
        <v>1103</v>
      </c>
      <c r="V617" s="8">
        <v>1</v>
      </c>
      <c r="W617" s="8"/>
      <c r="X617" t="s">
        <v>7</v>
      </c>
      <c r="Y617" t="s">
        <v>115</v>
      </c>
    </row>
    <row r="618" spans="1:25" hidden="1" x14ac:dyDescent="0.25">
      <c r="A618" s="15">
        <v>41246</v>
      </c>
      <c r="B618" t="str">
        <f>_xlfn.CONCAT(bron[[#This Row],[personeelsnr]]," ",bron[[#This Row],[achternaam]]," ",bron[[#This Row],[voornaam]])</f>
        <v>41246 Van Holsbeeck Yana</v>
      </c>
      <c r="C618" s="15" t="str">
        <f>VLOOKUP(bron[[#This Row],[personeelsnr]],'data hastus'!$A:$C,2,0)</f>
        <v>Van Holsbeeck</v>
      </c>
      <c r="D618" s="15" t="str">
        <f>VLOOKUP(bron[[#This Row],[personeelsnr]],'data hastus'!$A:$C,3,0)</f>
        <v>Yana</v>
      </c>
      <c r="E618" s="15" t="str">
        <f>VLOOKUP(bron[[#This Row],[personeelsnr]],'data hastus'!A:K,11,FALSE)</f>
        <v>Dominique De Clercq</v>
      </c>
      <c r="F618" s="16"/>
      <c r="G618" s="17"/>
      <c r="H618" s="17"/>
      <c r="I618" s="17">
        <v>1</v>
      </c>
      <c r="J618" s="18"/>
      <c r="K618" s="18"/>
      <c r="L618" s="18"/>
      <c r="M618" s="18"/>
      <c r="N618" s="18"/>
      <c r="O618" s="18"/>
      <c r="P618" s="18"/>
      <c r="Q618" s="18"/>
      <c r="R618" s="18"/>
      <c r="S618" s="18">
        <f>SUM(bron[[#This Row],[Januari]:[December]])</f>
        <v>1</v>
      </c>
      <c r="T618" s="19">
        <v>45732</v>
      </c>
      <c r="U618" s="20" t="s">
        <v>1104</v>
      </c>
      <c r="V618" s="8">
        <v>1</v>
      </c>
      <c r="W618" s="20"/>
      <c r="X618" t="s">
        <v>7</v>
      </c>
      <c r="Y618" s="15" t="s">
        <v>121</v>
      </c>
    </row>
    <row r="619" spans="1:25" hidden="1" x14ac:dyDescent="0.25">
      <c r="A619">
        <v>36635</v>
      </c>
      <c r="B619" t="str">
        <f>_xlfn.CONCAT(bron[[#This Row],[personeelsnr]]," ",bron[[#This Row],[achternaam]]," ",bron[[#This Row],[voornaam]])</f>
        <v>36635 Fadel Husam</v>
      </c>
      <c r="C619" t="str">
        <f>VLOOKUP(bron[[#This Row],[personeelsnr]],'data hastus'!$A:$C,2,0)</f>
        <v>Fadel</v>
      </c>
      <c r="D619" t="str">
        <f>VLOOKUP(bron[[#This Row],[personeelsnr]],'data hastus'!$A:$C,3,0)</f>
        <v>Husam</v>
      </c>
      <c r="E619" t="str">
        <f>VLOOKUP(bron[[#This Row],[personeelsnr]],'data hastus'!A:K,11,FALSE)</f>
        <v>Kenneth De Rick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45733</v>
      </c>
      <c r="U619" s="8" t="s">
        <v>1105</v>
      </c>
      <c r="V619" s="8"/>
      <c r="W619" s="8">
        <v>1</v>
      </c>
      <c r="X619" t="s">
        <v>8</v>
      </c>
      <c r="Y619" t="s">
        <v>104</v>
      </c>
    </row>
    <row r="620" spans="1:25" hidden="1" x14ac:dyDescent="0.25">
      <c r="A620">
        <v>41064</v>
      </c>
      <c r="B620" t="str">
        <f>_xlfn.CONCAT(bron[[#This Row],[personeelsnr]]," ",bron[[#This Row],[achternaam]]," ",bron[[#This Row],[voornaam]])</f>
        <v>41064 Ardic Atilla</v>
      </c>
      <c r="C620" t="str">
        <f>VLOOKUP(bron[[#This Row],[personeelsnr]],'data hastus'!$A:$C,2,0)</f>
        <v>Ardic</v>
      </c>
      <c r="D620" t="str">
        <f>VLOOKUP(bron[[#This Row],[personeelsnr]],'data hastus'!$A:$C,3,0)</f>
        <v>Atilla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45734</v>
      </c>
      <c r="U620" s="8" t="s">
        <v>1106</v>
      </c>
      <c r="V620" s="8">
        <v>1</v>
      </c>
      <c r="W620" s="8"/>
      <c r="X620" t="s">
        <v>7</v>
      </c>
      <c r="Y620" t="s">
        <v>10</v>
      </c>
    </row>
    <row r="621" spans="1:25" hidden="1" x14ac:dyDescent="0.25">
      <c r="A621">
        <v>41092</v>
      </c>
      <c r="B621" t="str">
        <f>_xlfn.CONCAT(bron[[#This Row],[personeelsnr]]," ",bron[[#This Row],[achternaam]]," ",bron[[#This Row],[voornaam]])</f>
        <v>41092 De Keyser Dorien</v>
      </c>
      <c r="C621" t="str">
        <f>VLOOKUP(bron[[#This Row],[personeelsnr]],'data hastus'!$A:$C,2,0)</f>
        <v>De Keyser</v>
      </c>
      <c r="D621" t="str">
        <f>VLOOKUP(bron[[#This Row],[personeelsnr]],'data hastus'!$A:$C,3,0)</f>
        <v>Dorien</v>
      </c>
      <c r="E621" t="str">
        <f>VLOOKUP(bron[[#This Row],[personeelsnr]],'data hastus'!A:K,11,FALSE)</f>
        <v>Dominique De Clercq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45734</v>
      </c>
      <c r="U621" s="8" t="s">
        <v>1107</v>
      </c>
      <c r="V621" s="8">
        <v>1</v>
      </c>
      <c r="W621" s="8"/>
      <c r="X621" t="s">
        <v>7</v>
      </c>
      <c r="Y621" t="s">
        <v>102</v>
      </c>
    </row>
    <row r="622" spans="1:25" hidden="1" x14ac:dyDescent="0.25">
      <c r="A622">
        <v>41012</v>
      </c>
      <c r="B622" t="str">
        <f>_xlfn.CONCAT(bron[[#This Row],[personeelsnr]]," ",bron[[#This Row],[achternaam]]," ",bron[[#This Row],[voornaam]])</f>
        <v>41012 Natad Younes</v>
      </c>
      <c r="C622" t="str">
        <f>VLOOKUP(bron[[#This Row],[personeelsnr]],'data hastus'!$A:$C,2,0)</f>
        <v>Natad</v>
      </c>
      <c r="D622" t="str">
        <f>VLOOKUP(bron[[#This Row],[personeelsnr]],'data hastus'!$A:$C,3,0)</f>
        <v>Younes</v>
      </c>
      <c r="E622" t="str">
        <f>VLOOKUP(bron[[#This Row],[personeelsnr]],'data hastus'!A:K,11,FALSE)</f>
        <v>Els Vanhoe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45734</v>
      </c>
      <c r="U622" s="8" t="s">
        <v>1108</v>
      </c>
      <c r="V622" s="8">
        <v>1</v>
      </c>
      <c r="W622" s="8"/>
      <c r="X622" t="s">
        <v>7</v>
      </c>
      <c r="Y622" t="s">
        <v>25</v>
      </c>
    </row>
    <row r="623" spans="1:25" hidden="1" x14ac:dyDescent="0.25">
      <c r="A623">
        <v>35246</v>
      </c>
      <c r="B623" t="str">
        <f>_xlfn.CONCAT(bron[[#This Row],[personeelsnr]]," ",bron[[#This Row],[achternaam]]," ",bron[[#This Row],[voornaam]])</f>
        <v>35246 De Meyer Karel</v>
      </c>
      <c r="C623" t="str">
        <f>VLOOKUP(bron[[#This Row],[personeelsnr]],'data hastus'!$A:$C,2,0)</f>
        <v>De Meyer</v>
      </c>
      <c r="D623" t="str">
        <f>VLOOKUP(bron[[#This Row],[personeelsnr]],'data hastus'!$A:$C,3,0)</f>
        <v>Karel</v>
      </c>
      <c r="E623" t="str">
        <f>VLOOKUP(bron[[#This Row],[personeelsnr]],'data hastus'!A:K,11,FALSE)</f>
        <v>Els Vanhoe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45734</v>
      </c>
      <c r="U623" s="8" t="s">
        <v>1109</v>
      </c>
      <c r="V623" s="8">
        <v>1</v>
      </c>
      <c r="W623" s="8"/>
      <c r="X623" t="s">
        <v>7</v>
      </c>
      <c r="Y623" t="s">
        <v>78</v>
      </c>
    </row>
    <row r="624" spans="1:25" hidden="1" x14ac:dyDescent="0.25">
      <c r="A624">
        <v>35450</v>
      </c>
      <c r="B624" t="str">
        <f>_xlfn.CONCAT(bron[[#This Row],[personeelsnr]]," ",bron[[#This Row],[achternaam]]," ",bron[[#This Row],[voornaam]])</f>
        <v>35450 Roos Hugo</v>
      </c>
      <c r="C624" t="str">
        <f>VLOOKUP(bron[[#This Row],[personeelsnr]],'data hastus'!$A:$C,2,0)</f>
        <v>Roos</v>
      </c>
      <c r="D624" t="str">
        <f>VLOOKUP(bron[[#This Row],[personeelsnr]],'data hastus'!$A:$C,3,0)</f>
        <v>Hugo</v>
      </c>
      <c r="E624" t="str">
        <f>VLOOKUP(bron[[#This Row],[personeelsnr]],'data hastus'!A:K,11,FALSE)</f>
        <v>Els Dewulf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45735</v>
      </c>
      <c r="U624" s="8" t="s">
        <v>1110</v>
      </c>
      <c r="V624" s="8">
        <v>1</v>
      </c>
      <c r="W624" s="8"/>
      <c r="X624" t="s">
        <v>7</v>
      </c>
      <c r="Y624" t="s">
        <v>255</v>
      </c>
    </row>
    <row r="625" spans="1:25" hidden="1" x14ac:dyDescent="0.25">
      <c r="A625">
        <v>35216</v>
      </c>
      <c r="B625" t="str">
        <f>_xlfn.CONCAT(bron[[#This Row],[personeelsnr]]," ",bron[[#This Row],[achternaam]]," ",bron[[#This Row],[voornaam]])</f>
        <v>35216 Coban Mehmet</v>
      </c>
      <c r="C625" t="str">
        <f>VLOOKUP(bron[[#This Row],[personeelsnr]],'data hastus'!$A:$C,2,0)</f>
        <v>Coban</v>
      </c>
      <c r="D625" t="str">
        <f>VLOOKUP(bron[[#This Row],[personeelsnr]],'data hastus'!$A:$C,3,0)</f>
        <v>Mehmet</v>
      </c>
      <c r="E625" t="str">
        <f>VLOOKUP(bron[[#This Row],[personeelsnr]],'data hastus'!A:K,11,FALSE)</f>
        <v>Lucie Vande Velde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45735</v>
      </c>
      <c r="U625" s="8" t="s">
        <v>1111</v>
      </c>
      <c r="V625" s="8">
        <v>1</v>
      </c>
      <c r="W625" s="8"/>
      <c r="X625" t="s">
        <v>7</v>
      </c>
      <c r="Y625" t="s">
        <v>153</v>
      </c>
    </row>
    <row r="626" spans="1:25" hidden="1" x14ac:dyDescent="0.25">
      <c r="A626">
        <v>41520</v>
      </c>
      <c r="B626" t="str">
        <f>_xlfn.CONCAT(bron[[#This Row],[personeelsnr]]," ",bron[[#This Row],[achternaam]]," ",bron[[#This Row],[voornaam]])</f>
        <v>41520 Smets Avery</v>
      </c>
      <c r="C626" t="str">
        <f>VLOOKUP(bron[[#This Row],[personeelsnr]],'data hastus'!$A:$C,2,0)</f>
        <v>Smets</v>
      </c>
      <c r="D626" t="str">
        <f>VLOOKUP(bron[[#This Row],[personeelsnr]],'data hastus'!$A:$C,3,0)</f>
        <v>Avery</v>
      </c>
      <c r="E626" t="str">
        <f>VLOOKUP(bron[[#This Row],[personeelsnr]],'data hastus'!A:K,11,FALSE)</f>
        <v>Christoff Rotty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45736</v>
      </c>
      <c r="U626" s="8" t="s">
        <v>1112</v>
      </c>
      <c r="V626" s="8">
        <v>1</v>
      </c>
      <c r="W626" s="8"/>
      <c r="X626" t="s">
        <v>7</v>
      </c>
      <c r="Y626" t="s">
        <v>145</v>
      </c>
    </row>
    <row r="627" spans="1:25" hidden="1" x14ac:dyDescent="0.25">
      <c r="A627">
        <v>32611</v>
      </c>
      <c r="B627" t="str">
        <f>_xlfn.CONCAT(bron[[#This Row],[personeelsnr]]," ",bron[[#This Row],[achternaam]]," ",bron[[#This Row],[voornaam]])</f>
        <v>32611 Özer Özgur</v>
      </c>
      <c r="C627" t="str">
        <f>VLOOKUP(bron[[#This Row],[personeelsnr]],'data hastus'!$A:$C,2,0)</f>
        <v>Özer</v>
      </c>
      <c r="D627" t="str">
        <f>VLOOKUP(bron[[#This Row],[personeelsnr]],'data hastus'!$A:$C,3,0)</f>
        <v>Özgur</v>
      </c>
      <c r="E627" t="str">
        <f>VLOOKUP(bron[[#This Row],[personeelsnr]],'data hastus'!A:K,11,FALSE)</f>
        <v>Kenneth De Rick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45737</v>
      </c>
      <c r="U627" s="8" t="s">
        <v>1113</v>
      </c>
      <c r="V627" s="8">
        <v>1</v>
      </c>
      <c r="W627" s="8"/>
      <c r="X627" t="s">
        <v>7</v>
      </c>
      <c r="Y627" t="s">
        <v>60</v>
      </c>
    </row>
    <row r="628" spans="1:25" hidden="1" x14ac:dyDescent="0.25">
      <c r="A628">
        <v>37809</v>
      </c>
      <c r="B628" t="str">
        <f>_xlfn.CONCAT(bron[[#This Row],[personeelsnr]]," ",bron[[#This Row],[achternaam]]," ",bron[[#This Row],[voornaam]])</f>
        <v>37809 Sturtewagen Kenny</v>
      </c>
      <c r="C628" t="str">
        <f>VLOOKUP(bron[[#This Row],[personeelsnr]],'data hastus'!$A:$C,2,0)</f>
        <v>Sturtewagen</v>
      </c>
      <c r="D628" t="str">
        <f>VLOOKUP(bron[[#This Row],[personeelsnr]],'data hastus'!$A:$C,3,0)</f>
        <v>Kenny</v>
      </c>
      <c r="E628" t="str">
        <f>VLOOKUP(bron[[#This Row],[personeelsnr]],'data hastus'!A:K,11,FALSE)</f>
        <v>Steven Storm</v>
      </c>
      <c r="F628" s="10"/>
      <c r="G628" s="6"/>
      <c r="H628" s="6"/>
      <c r="I628" s="6">
        <v>1</v>
      </c>
      <c r="J628"/>
      <c r="K628"/>
      <c r="L628"/>
      <c r="M628"/>
      <c r="N628"/>
      <c r="O628"/>
      <c r="P628"/>
      <c r="Q628"/>
      <c r="R628"/>
      <c r="S628">
        <f>SUM(bron[[#This Row],[Januari]:[December]])</f>
        <v>1</v>
      </c>
      <c r="T628" s="3">
        <v>45740</v>
      </c>
      <c r="U628" s="8" t="s">
        <v>1114</v>
      </c>
      <c r="V628" s="8">
        <v>1</v>
      </c>
      <c r="W628" s="8"/>
      <c r="X628" t="s">
        <v>7</v>
      </c>
      <c r="Y628" t="s">
        <v>22</v>
      </c>
    </row>
    <row r="629" spans="1:25" hidden="1" x14ac:dyDescent="0.25">
      <c r="A629">
        <v>37179</v>
      </c>
      <c r="B629" t="str">
        <f>_xlfn.CONCAT(bron[[#This Row],[personeelsnr]]," ",bron[[#This Row],[achternaam]]," ",bron[[#This Row],[voornaam]])</f>
        <v>37179 Bashir Muhammad Salman</v>
      </c>
      <c r="C629" t="str">
        <f>VLOOKUP(bron[[#This Row],[personeelsnr]],'data hastus'!$A:$C,2,0)</f>
        <v>Bashir</v>
      </c>
      <c r="D629" t="str">
        <f>VLOOKUP(bron[[#This Row],[personeelsnr]],'data hastus'!$A:$C,3,0)</f>
        <v>Muhammad Salman</v>
      </c>
      <c r="E629" t="str">
        <f>VLOOKUP(bron[[#This Row],[personeelsnr]],'data hastus'!A:K,11,FALSE)</f>
        <v>Bart Van Der Beken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45742</v>
      </c>
      <c r="U629" s="8" t="s">
        <v>1115</v>
      </c>
      <c r="V629" s="8">
        <v>1</v>
      </c>
      <c r="W629" s="8"/>
      <c r="X629" t="s">
        <v>7</v>
      </c>
      <c r="Y629" t="s">
        <v>48</v>
      </c>
    </row>
    <row r="630" spans="1:25" hidden="1" x14ac:dyDescent="0.25">
      <c r="A630">
        <v>38580</v>
      </c>
      <c r="B630" t="str">
        <f>_xlfn.CONCAT(bron[[#This Row],[personeelsnr]]," ",bron[[#This Row],[achternaam]]," ",bron[[#This Row],[voornaam]])</f>
        <v>38580 Smajla Samet</v>
      </c>
      <c r="C630" t="str">
        <f>VLOOKUP(bron[[#This Row],[personeelsnr]],'data hastus'!$A:$C,2,0)</f>
        <v>Smajla</v>
      </c>
      <c r="D630" t="str">
        <f>VLOOKUP(bron[[#This Row],[personeelsnr]],'data hastus'!$A:$C,3,0)</f>
        <v>Samet</v>
      </c>
      <c r="E630" t="str">
        <f>VLOOKUP(bron[[#This Row],[personeelsnr]],'data hastus'!A:K,11,FALSE)</f>
        <v>Els Dewulf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45742</v>
      </c>
      <c r="U630" s="8" t="s">
        <v>1116</v>
      </c>
      <c r="V630" s="8">
        <v>1</v>
      </c>
      <c r="W630" s="8"/>
      <c r="X630" t="s">
        <v>7</v>
      </c>
      <c r="Y630" t="s">
        <v>106</v>
      </c>
    </row>
    <row r="631" spans="1:25" hidden="1" x14ac:dyDescent="0.25">
      <c r="A631">
        <v>31118</v>
      </c>
      <c r="B631" t="str">
        <f>_xlfn.CONCAT(bron[[#This Row],[personeelsnr]]," ",bron[[#This Row],[achternaam]]," ",bron[[#This Row],[voornaam]])</f>
        <v>31118 De Sutter Michiel</v>
      </c>
      <c r="C631" t="str">
        <f>VLOOKUP(bron[[#This Row],[personeelsnr]],'data hastus'!$A:$C,2,0)</f>
        <v>De Sutter</v>
      </c>
      <c r="D631" t="str">
        <f>VLOOKUP(bron[[#This Row],[personeelsnr]],'data hastus'!$A:$C,3,0)</f>
        <v>Michiel</v>
      </c>
      <c r="E631" t="str">
        <f>VLOOKUP(bron[[#This Row],[personeelsnr]],'data hastus'!A:K,11,FALSE)</f>
        <v>Els Dewulf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45743</v>
      </c>
      <c r="U631" s="8" t="s">
        <v>1117</v>
      </c>
      <c r="V631" s="8">
        <v>1</v>
      </c>
      <c r="W631" s="8"/>
      <c r="X631" t="s">
        <v>7</v>
      </c>
      <c r="Y631" t="s">
        <v>514</v>
      </c>
    </row>
    <row r="632" spans="1:25" hidden="1" x14ac:dyDescent="0.25">
      <c r="A632">
        <v>39581</v>
      </c>
      <c r="B632" t="str">
        <f>_xlfn.CONCAT(bron[[#This Row],[personeelsnr]]," ",bron[[#This Row],[achternaam]]," ",bron[[#This Row],[voornaam]])</f>
        <v>39581 Vandenhaute Linus</v>
      </c>
      <c r="C632" t="str">
        <f>VLOOKUP(bron[[#This Row],[personeelsnr]],'data hastus'!$A:$C,2,0)</f>
        <v>Vandenhaute</v>
      </c>
      <c r="D632" t="str">
        <f>VLOOKUP(bron[[#This Row],[personeelsnr]],'data hastus'!$A:$C,3,0)</f>
        <v>Linus</v>
      </c>
      <c r="E632" t="str">
        <f>VLOOKUP(bron[[#This Row],[personeelsnr]],'data hastus'!A:K,11,FALSE)</f>
        <v>Els Dewulf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45744</v>
      </c>
      <c r="U632" s="8" t="s">
        <v>1118</v>
      </c>
      <c r="V632" s="8">
        <v>1</v>
      </c>
      <c r="W632" s="8"/>
      <c r="X632" t="s">
        <v>7</v>
      </c>
      <c r="Y632" t="s">
        <v>48</v>
      </c>
    </row>
    <row r="633" spans="1:25" hidden="1" x14ac:dyDescent="0.25">
      <c r="A633">
        <v>36358</v>
      </c>
      <c r="B633" t="str">
        <f>_xlfn.CONCAT(bron[[#This Row],[personeelsnr]]," ",bron[[#This Row],[achternaam]]," ",bron[[#This Row],[voornaam]])</f>
        <v>36358 De Nys Elise</v>
      </c>
      <c r="C633" t="str">
        <f>VLOOKUP(bron[[#This Row],[personeelsnr]],'data hastus'!$A:$C,2,0)</f>
        <v>De Nys</v>
      </c>
      <c r="D633" t="str">
        <f>VLOOKUP(bron[[#This Row],[personeelsnr]],'data hastus'!$A:$C,3,0)</f>
        <v>Elise</v>
      </c>
      <c r="E633" t="str">
        <f>VLOOKUP(bron[[#This Row],[personeelsnr]],'data hastus'!A:K,11,FALSE)</f>
        <v>Els Dewulf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45744</v>
      </c>
      <c r="U633" s="8" t="s">
        <v>1119</v>
      </c>
      <c r="V633" s="8"/>
      <c r="W633" s="8">
        <v>1</v>
      </c>
      <c r="X633" t="s">
        <v>8</v>
      </c>
      <c r="Y633" t="s">
        <v>63</v>
      </c>
    </row>
    <row r="634" spans="1:25" hidden="1" x14ac:dyDescent="0.25">
      <c r="A634">
        <v>36569</v>
      </c>
      <c r="B634" t="str">
        <f>_xlfn.CONCAT(bron[[#This Row],[personeelsnr]]," ",bron[[#This Row],[achternaam]]," ",bron[[#This Row],[voornaam]])</f>
        <v>36569 Stroobandt Jonas</v>
      </c>
      <c r="C634" t="str">
        <f>VLOOKUP(bron[[#This Row],[personeelsnr]],'data hastus'!$A:$C,2,0)</f>
        <v>Stroobandt</v>
      </c>
      <c r="D634" t="str">
        <f>VLOOKUP(bron[[#This Row],[personeelsnr]],'data hastus'!$A:$C,3,0)</f>
        <v>Jonas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45744</v>
      </c>
      <c r="U634" s="8" t="s">
        <v>1120</v>
      </c>
      <c r="V634" s="8">
        <v>1</v>
      </c>
      <c r="W634" s="8"/>
      <c r="X634" t="s">
        <v>7</v>
      </c>
      <c r="Y634" t="s">
        <v>167</v>
      </c>
    </row>
    <row r="635" spans="1:25" hidden="1" x14ac:dyDescent="0.25">
      <c r="A635">
        <v>31668</v>
      </c>
      <c r="B635" t="str">
        <f>_xlfn.CONCAT(bron[[#This Row],[personeelsnr]]," ",bron[[#This Row],[achternaam]]," ",bron[[#This Row],[voornaam]])</f>
        <v>31668 Weemhof Maurice</v>
      </c>
      <c r="C635" t="str">
        <f>VLOOKUP(bron[[#This Row],[personeelsnr]],'data hastus'!$A:$C,2,0)</f>
        <v>Weemhof</v>
      </c>
      <c r="D635" t="str">
        <f>VLOOKUP(bron[[#This Row],[personeelsnr]],'data hastus'!$A:$C,3,0)</f>
        <v>Maurice</v>
      </c>
      <c r="E635" t="str">
        <f>VLOOKUP(bron[[#This Row],[personeelsnr]],'data hastus'!A:K,11,FALSE)</f>
        <v>Dominique De Clercq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45745</v>
      </c>
      <c r="U635" s="8" t="s">
        <v>1121</v>
      </c>
      <c r="V635" s="8">
        <v>1</v>
      </c>
      <c r="W635" s="8"/>
      <c r="X635" t="s">
        <v>7</v>
      </c>
      <c r="Y635" t="s">
        <v>10</v>
      </c>
    </row>
    <row r="636" spans="1:25" hidden="1" x14ac:dyDescent="0.25">
      <c r="A636">
        <v>17566</v>
      </c>
      <c r="B636" t="str">
        <f>_xlfn.CONCAT(bron[[#This Row],[personeelsnr]]," ",bron[[#This Row],[achternaam]]," ",bron[[#This Row],[voornaam]])</f>
        <v>17566 Praet Reginald</v>
      </c>
      <c r="C636" t="str">
        <f>VLOOKUP(bron[[#This Row],[personeelsnr]],'data hastus'!$A:$C,2,0)</f>
        <v>Praet</v>
      </c>
      <c r="D636" t="str">
        <f>VLOOKUP(bron[[#This Row],[personeelsnr]],'data hastus'!$A:$C,3,0)</f>
        <v>Reginald</v>
      </c>
      <c r="E636" t="str">
        <f>VLOOKUP(bron[[#This Row],[personeelsnr]],'data hastus'!A:K,11,FALSE)</f>
        <v>Bart Van Der Beken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45749</v>
      </c>
      <c r="U636" s="8" t="s">
        <v>1122</v>
      </c>
      <c r="V636" s="8"/>
      <c r="W636" s="8">
        <v>1</v>
      </c>
      <c r="X636" t="s">
        <v>8</v>
      </c>
      <c r="Y636" t="s">
        <v>31</v>
      </c>
    </row>
    <row r="637" spans="1:25" hidden="1" x14ac:dyDescent="0.25">
      <c r="A637">
        <v>32620</v>
      </c>
      <c r="B637" t="str">
        <f>_xlfn.CONCAT(bron[[#This Row],[personeelsnr]]," ",bron[[#This Row],[achternaam]]," ",bron[[#This Row],[voornaam]])</f>
        <v>32620 Saey Elias</v>
      </c>
      <c r="C637" t="str">
        <f>VLOOKUP(bron[[#This Row],[personeelsnr]],'data hastus'!$A:$C,2,0)</f>
        <v>Saey</v>
      </c>
      <c r="D637" t="str">
        <f>VLOOKUP(bron[[#This Row],[personeelsnr]],'data hastus'!$A:$C,3,0)</f>
        <v>Elias</v>
      </c>
      <c r="E637" t="str">
        <f>VLOOKUP(bron[[#This Row],[personeelsnr]],'data hastus'!A:K,11,FALSE)</f>
        <v>Els Vanhoe</v>
      </c>
      <c r="F637" s="10"/>
      <c r="G637" s="6"/>
      <c r="H637" s="6"/>
      <c r="I637" s="6"/>
      <c r="J637">
        <v>1</v>
      </c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45749</v>
      </c>
      <c r="U637" s="8" t="s">
        <v>1123</v>
      </c>
      <c r="V637" s="8"/>
      <c r="W637" s="8">
        <v>1</v>
      </c>
      <c r="X637" t="s">
        <v>8</v>
      </c>
      <c r="Y637" t="s">
        <v>46</v>
      </c>
    </row>
    <row r="638" spans="1:25" hidden="1" x14ac:dyDescent="0.25">
      <c r="A638">
        <v>38807</v>
      </c>
      <c r="B638" t="str">
        <f>_xlfn.CONCAT(bron[[#This Row],[personeelsnr]]," ",bron[[#This Row],[achternaam]]," ",bron[[#This Row],[voornaam]])</f>
        <v>38807 Dossche Caroline</v>
      </c>
      <c r="C638" t="str">
        <f>VLOOKUP(bron[[#This Row],[personeelsnr]],'data hastus'!$A:$C,2,0)</f>
        <v>Dossche</v>
      </c>
      <c r="D638" t="str">
        <f>VLOOKUP(bron[[#This Row],[personeelsnr]],'data hastus'!$A:$C,3,0)</f>
        <v>Caroline</v>
      </c>
      <c r="E638" t="str">
        <f>VLOOKUP(bron[[#This Row],[personeelsnr]],'data hastus'!A:K,11,FALSE)</f>
        <v>Christoff Rotty</v>
      </c>
      <c r="F638" s="10"/>
      <c r="G638" s="6"/>
      <c r="H638" s="6"/>
      <c r="I638" s="6"/>
      <c r="J638">
        <v>1</v>
      </c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45750</v>
      </c>
      <c r="U638" s="8" t="s">
        <v>1124</v>
      </c>
      <c r="V638" s="8">
        <v>1</v>
      </c>
      <c r="W638" s="8"/>
      <c r="X638" t="s">
        <v>7</v>
      </c>
      <c r="Y638" t="s">
        <v>40</v>
      </c>
    </row>
    <row r="639" spans="1:25" hidden="1" x14ac:dyDescent="0.25">
      <c r="A639">
        <v>40939</v>
      </c>
      <c r="B639" t="str">
        <f>_xlfn.CONCAT(bron[[#This Row],[personeelsnr]]," ",bron[[#This Row],[achternaam]]," ",bron[[#This Row],[voornaam]])</f>
        <v>40939 Cisse Sayon</v>
      </c>
      <c r="C639" t="str">
        <f>VLOOKUP(bron[[#This Row],[personeelsnr]],'data hastus'!$A:$C,2,0)</f>
        <v>Cisse</v>
      </c>
      <c r="D639" t="str">
        <f>VLOOKUP(bron[[#This Row],[personeelsnr]],'data hastus'!$A:$C,3,0)</f>
        <v>Sayon</v>
      </c>
      <c r="E639" t="str">
        <f>VLOOKUP(bron[[#This Row],[personeelsnr]],'data hastus'!A:K,11,FALSE)</f>
        <v>Kenneth De Rick</v>
      </c>
      <c r="F639" s="10"/>
      <c r="G639" s="6"/>
      <c r="H639" s="6"/>
      <c r="I639" s="6"/>
      <c r="J639">
        <v>1</v>
      </c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45751</v>
      </c>
      <c r="U639" s="8" t="s">
        <v>1125</v>
      </c>
      <c r="V639" s="8">
        <v>1</v>
      </c>
      <c r="W639" s="8"/>
      <c r="X639" t="s">
        <v>7</v>
      </c>
      <c r="Y639" t="s">
        <v>43</v>
      </c>
    </row>
    <row r="640" spans="1:25" hidden="1" x14ac:dyDescent="0.25">
      <c r="A640">
        <v>32951</v>
      </c>
      <c r="B640" t="str">
        <f>_xlfn.CONCAT(bron[[#This Row],[personeelsnr]]," ",bron[[#This Row],[achternaam]]," ",bron[[#This Row],[voornaam]])</f>
        <v>32951 De Bruyne Sonia</v>
      </c>
      <c r="C640" t="str">
        <f>VLOOKUP(bron[[#This Row],[personeelsnr]],'data hastus'!$A:$C,2,0)</f>
        <v>De Bruyne</v>
      </c>
      <c r="D640" t="str">
        <f>VLOOKUP(bron[[#This Row],[personeelsnr]],'data hastus'!$A:$C,3,0)</f>
        <v>Sonia</v>
      </c>
      <c r="E640" t="str">
        <f>VLOOKUP(bron[[#This Row],[personeelsnr]],'data hastus'!A:K,11,FALSE)</f>
        <v>Lucie Vande Velde</v>
      </c>
      <c r="F640" s="10"/>
      <c r="G640" s="6"/>
      <c r="H640" s="6"/>
      <c r="I640" s="6"/>
      <c r="J640">
        <v>1</v>
      </c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45751</v>
      </c>
      <c r="U640" s="8" t="s">
        <v>1126</v>
      </c>
      <c r="V640" s="8">
        <v>1</v>
      </c>
      <c r="W640" s="8"/>
      <c r="X640" t="s">
        <v>7</v>
      </c>
      <c r="Y640" t="s">
        <v>43</v>
      </c>
    </row>
    <row r="641" spans="1:25" hidden="1" x14ac:dyDescent="0.25">
      <c r="A641">
        <v>41092</v>
      </c>
      <c r="B641" t="str">
        <f>_xlfn.CONCAT(bron[[#This Row],[personeelsnr]]," ",bron[[#This Row],[achternaam]]," ",bron[[#This Row],[voornaam]])</f>
        <v>41092 De Keyser Dorien</v>
      </c>
      <c r="C641" t="str">
        <f>VLOOKUP(bron[[#This Row],[personeelsnr]],'data hastus'!$A:$C,2,0)</f>
        <v>De Keyser</v>
      </c>
      <c r="D641" t="str">
        <f>VLOOKUP(bron[[#This Row],[personeelsnr]],'data hastus'!$A:$C,3,0)</f>
        <v>Dorien</v>
      </c>
      <c r="E641" t="str">
        <f>VLOOKUP(bron[[#This Row],[personeelsnr]],'data hastus'!A:K,11,FALSE)</f>
        <v>Dominique De Clercq</v>
      </c>
      <c r="F641" s="10"/>
      <c r="G641" s="6"/>
      <c r="H641" s="6"/>
      <c r="I641" s="6"/>
      <c r="J641">
        <v>1</v>
      </c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45754</v>
      </c>
      <c r="U641" s="8" t="s">
        <v>1127</v>
      </c>
      <c r="V641" s="8">
        <v>1</v>
      </c>
      <c r="W641" s="8"/>
      <c r="X641" t="s">
        <v>7</v>
      </c>
      <c r="Y641" t="s">
        <v>119</v>
      </c>
    </row>
    <row r="642" spans="1:25" hidden="1" x14ac:dyDescent="0.25">
      <c r="A642">
        <v>35619</v>
      </c>
      <c r="B642" t="str">
        <f>_xlfn.CONCAT(bron[[#This Row],[personeelsnr]]," ",bron[[#This Row],[achternaam]]," ",bron[[#This Row],[voornaam]])</f>
        <v>35619 El Mezroui Zouheir</v>
      </c>
      <c r="C642" t="str">
        <f>VLOOKUP(bron[[#This Row],[personeelsnr]],'data hastus'!$A:$C,2,0)</f>
        <v>El Mezroui</v>
      </c>
      <c r="D642" t="str">
        <f>VLOOKUP(bron[[#This Row],[personeelsnr]],'data hastus'!$A:$C,3,0)</f>
        <v>Zouheir</v>
      </c>
      <c r="E642" t="str">
        <f>VLOOKUP(bron[[#This Row],[personeelsnr]],'data hastus'!A:K,11,FALSE)</f>
        <v>Steven Storm</v>
      </c>
      <c r="F642" s="10"/>
      <c r="G642" s="6"/>
      <c r="H642" s="6"/>
      <c r="I642" s="6"/>
      <c r="J642">
        <v>1</v>
      </c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45755</v>
      </c>
      <c r="U642" s="8" t="s">
        <v>1128</v>
      </c>
      <c r="V642" s="8"/>
      <c r="W642" s="8">
        <v>1</v>
      </c>
      <c r="X642" t="s">
        <v>8</v>
      </c>
      <c r="Y642" t="s">
        <v>69</v>
      </c>
    </row>
    <row r="643" spans="1:25" hidden="1" x14ac:dyDescent="0.25">
      <c r="A643">
        <v>38035</v>
      </c>
      <c r="B643" t="str">
        <f>_xlfn.CONCAT(bron[[#This Row],[personeelsnr]]," ",bron[[#This Row],[achternaam]]," ",bron[[#This Row],[voornaam]])</f>
        <v>38035 Simsek Isa</v>
      </c>
      <c r="C643" t="str">
        <f>VLOOKUP(bron[[#This Row],[personeelsnr]],'data hastus'!$A:$C,2,0)</f>
        <v>Simsek</v>
      </c>
      <c r="D643" t="str">
        <f>VLOOKUP(bron[[#This Row],[personeelsnr]],'data hastus'!$A:$C,3,0)</f>
        <v>Isa</v>
      </c>
      <c r="E643" t="str">
        <f>VLOOKUP(bron[[#This Row],[personeelsnr]],'data hastus'!A:K,11,FALSE)</f>
        <v>Bart Van Der Beken</v>
      </c>
      <c r="F643" s="10"/>
      <c r="G643" s="6"/>
      <c r="H643" s="6"/>
      <c r="I643" s="6"/>
      <c r="J643">
        <v>1</v>
      </c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45756</v>
      </c>
      <c r="U643" s="8" t="s">
        <v>1129</v>
      </c>
      <c r="V643" s="8">
        <v>1</v>
      </c>
      <c r="W643" s="8"/>
      <c r="X643" t="s">
        <v>7</v>
      </c>
      <c r="Y643" t="s">
        <v>22</v>
      </c>
    </row>
    <row r="644" spans="1:25" hidden="1" x14ac:dyDescent="0.25">
      <c r="A644">
        <v>39929</v>
      </c>
      <c r="B644" t="str">
        <f>_xlfn.CONCAT(bron[[#This Row],[personeelsnr]]," ",bron[[#This Row],[achternaam]]," ",bron[[#This Row],[voornaam]])</f>
        <v>39929 Staneva Mariyana</v>
      </c>
      <c r="C644" t="str">
        <f>VLOOKUP(bron[[#This Row],[personeelsnr]],'data hastus'!$A:$C,2,0)</f>
        <v>Staneva</v>
      </c>
      <c r="D644" t="str">
        <f>VLOOKUP(bron[[#This Row],[personeelsnr]],'data hastus'!$A:$C,3,0)</f>
        <v>Mariyana</v>
      </c>
      <c r="E644" t="str">
        <f>VLOOKUP(bron[[#This Row],[personeelsnr]],'data hastus'!A:K,11,FALSE)</f>
        <v>Christoff Rotty</v>
      </c>
      <c r="F644" s="10"/>
      <c r="G644" s="6"/>
      <c r="H644" s="6"/>
      <c r="I644" s="6"/>
      <c r="J644">
        <v>1</v>
      </c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45756</v>
      </c>
      <c r="U644" s="8" t="s">
        <v>1130</v>
      </c>
      <c r="V644" s="8">
        <v>1</v>
      </c>
      <c r="W644" s="8"/>
      <c r="X644" t="s">
        <v>7</v>
      </c>
      <c r="Y644" t="s">
        <v>253</v>
      </c>
    </row>
    <row r="645" spans="1:25" hidden="1" x14ac:dyDescent="0.25">
      <c r="A645">
        <v>39358</v>
      </c>
      <c r="B645" t="str">
        <f>_xlfn.CONCAT(bron[[#This Row],[personeelsnr]]," ",bron[[#This Row],[achternaam]]," ",bron[[#This Row],[voornaam]])</f>
        <v>39358 Weeks Aracena Jimmy Alexander</v>
      </c>
      <c r="C645" t="str">
        <f>VLOOKUP(bron[[#This Row],[personeelsnr]],'data hastus'!$A:$C,2,0)</f>
        <v>Weeks Aracena</v>
      </c>
      <c r="D645" t="str">
        <f>VLOOKUP(bron[[#This Row],[personeelsnr]],'data hastus'!$A:$C,3,0)</f>
        <v>Jimmy Alexander</v>
      </c>
      <c r="E645" t="str">
        <f>VLOOKUP(bron[[#This Row],[personeelsnr]],'data hastus'!A:K,11,FALSE)</f>
        <v>Christoff Rotty</v>
      </c>
      <c r="F645" s="10"/>
      <c r="G645" s="6"/>
      <c r="H645" s="6"/>
      <c r="I645" s="6"/>
      <c r="J645">
        <v>1</v>
      </c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45756</v>
      </c>
      <c r="U645" s="8" t="s">
        <v>1131</v>
      </c>
      <c r="V645" s="8">
        <v>1</v>
      </c>
      <c r="W645" s="8"/>
      <c r="X645" t="s">
        <v>7</v>
      </c>
      <c r="Y645" t="s">
        <v>25</v>
      </c>
    </row>
    <row r="646" spans="1:25" hidden="1" x14ac:dyDescent="0.25">
      <c r="A646">
        <v>25679</v>
      </c>
      <c r="B646" t="str">
        <f>_xlfn.CONCAT(bron[[#This Row],[personeelsnr]]," ",bron[[#This Row],[achternaam]]," ",bron[[#This Row],[voornaam]])</f>
        <v>25679 Vanrenterghem Serge</v>
      </c>
      <c r="C646" t="str">
        <f>VLOOKUP(bron[[#This Row],[personeelsnr]],'data hastus'!$A:$C,2,0)</f>
        <v>Vanrenterghem</v>
      </c>
      <c r="D646" t="str">
        <f>VLOOKUP(bron[[#This Row],[personeelsnr]],'data hastus'!$A:$C,3,0)</f>
        <v>Serge</v>
      </c>
      <c r="E646" t="str">
        <f>VLOOKUP(bron[[#This Row],[personeelsnr]],'data hastus'!A:K,11,FALSE)</f>
        <v>Christoff Rotty</v>
      </c>
      <c r="F646" s="10"/>
      <c r="G646" s="6"/>
      <c r="H646" s="6"/>
      <c r="I646" s="6"/>
      <c r="J646">
        <v>1</v>
      </c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45756</v>
      </c>
      <c r="U646" s="8" t="s">
        <v>1132</v>
      </c>
      <c r="V646" s="8"/>
      <c r="W646" s="8">
        <v>1</v>
      </c>
      <c r="X646" t="s">
        <v>8</v>
      </c>
      <c r="Y646" t="s">
        <v>5</v>
      </c>
    </row>
    <row r="647" spans="1:25" hidden="1" x14ac:dyDescent="0.25">
      <c r="A647">
        <v>34325</v>
      </c>
      <c r="B647" t="str">
        <f>_xlfn.CONCAT(bron[[#This Row],[personeelsnr]]," ",bron[[#This Row],[achternaam]]," ",bron[[#This Row],[voornaam]])</f>
        <v>34325 Eid Mathyn</v>
      </c>
      <c r="C647" t="str">
        <f>VLOOKUP(bron[[#This Row],[personeelsnr]],'data hastus'!$A:$C,2,0)</f>
        <v>Eid</v>
      </c>
      <c r="D647" t="str">
        <f>VLOOKUP(bron[[#This Row],[personeelsnr]],'data hastus'!$A:$C,3,0)</f>
        <v>Mathyn</v>
      </c>
      <c r="E647" t="str">
        <f>VLOOKUP(bron[[#This Row],[personeelsnr]],'data hastus'!A:K,11,FALSE)</f>
        <v>Steven Storm</v>
      </c>
      <c r="F647" s="10"/>
      <c r="G647" s="6"/>
      <c r="H647" s="6"/>
      <c r="I647" s="6"/>
      <c r="J647">
        <v>1</v>
      </c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45757</v>
      </c>
      <c r="U647" s="8" t="s">
        <v>1133</v>
      </c>
      <c r="V647" s="8"/>
      <c r="W647" s="8">
        <v>1</v>
      </c>
      <c r="X647" t="s">
        <v>8</v>
      </c>
      <c r="Y647" t="s">
        <v>275</v>
      </c>
    </row>
    <row r="648" spans="1:25" hidden="1" x14ac:dyDescent="0.25">
      <c r="A648">
        <v>35645</v>
      </c>
      <c r="B648" t="str">
        <f>_xlfn.CONCAT(bron[[#This Row],[personeelsnr]]," ",bron[[#This Row],[achternaam]]," ",bron[[#This Row],[voornaam]])</f>
        <v>35645 Jalili Yaseeb</v>
      </c>
      <c r="C648" t="str">
        <f>VLOOKUP(bron[[#This Row],[personeelsnr]],'data hastus'!$A:$C,2,0)</f>
        <v>Jalili</v>
      </c>
      <c r="D648" t="str">
        <f>VLOOKUP(bron[[#This Row],[personeelsnr]],'data hastus'!$A:$C,3,0)</f>
        <v>Yaseeb</v>
      </c>
      <c r="E648" t="str">
        <f>VLOOKUP(bron[[#This Row],[personeelsnr]],'data hastus'!A:K,11,FALSE)</f>
        <v>Steven Storm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45758</v>
      </c>
      <c r="U648" s="8" t="s">
        <v>1134</v>
      </c>
      <c r="V648" s="8">
        <v>1</v>
      </c>
      <c r="W648" s="8"/>
      <c r="X648" t="s">
        <v>7</v>
      </c>
      <c r="Y648" t="s">
        <v>13</v>
      </c>
    </row>
    <row r="649" spans="1:25" hidden="1" x14ac:dyDescent="0.25">
      <c r="A649">
        <v>9158</v>
      </c>
      <c r="B649" t="str">
        <f>_xlfn.CONCAT(bron[[#This Row],[personeelsnr]]," ",bron[[#This Row],[achternaam]]," ",bron[[#This Row],[voornaam]])</f>
        <v>9158 De Weirdt Ronny</v>
      </c>
      <c r="C649" t="str">
        <f>VLOOKUP(bron[[#This Row],[personeelsnr]],'data hastus'!$A:$C,2,0)</f>
        <v>De Weirdt</v>
      </c>
      <c r="D649" t="str">
        <f>VLOOKUP(bron[[#This Row],[personeelsnr]],'data hastus'!$A:$C,3,0)</f>
        <v>Ronny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45758</v>
      </c>
      <c r="U649" s="8" t="s">
        <v>1135</v>
      </c>
      <c r="V649" s="8"/>
      <c r="W649" s="8">
        <v>1</v>
      </c>
      <c r="X649" t="s">
        <v>8</v>
      </c>
      <c r="Y649" t="s">
        <v>5</v>
      </c>
    </row>
    <row r="650" spans="1:25" hidden="1" x14ac:dyDescent="0.25">
      <c r="A650">
        <v>25733</v>
      </c>
      <c r="B650" t="str">
        <f>_xlfn.CONCAT(bron[[#This Row],[personeelsnr]]," ",bron[[#This Row],[achternaam]]," ",bron[[#This Row],[voornaam]])</f>
        <v>25733 Simsek Abdullah</v>
      </c>
      <c r="C650" t="str">
        <f>VLOOKUP(bron[[#This Row],[personeelsnr]],'data hastus'!$A:$C,2,0)</f>
        <v>Simsek</v>
      </c>
      <c r="D650" t="str">
        <f>VLOOKUP(bron[[#This Row],[personeelsnr]],'data hastus'!$A:$C,3,0)</f>
        <v>Abdullah</v>
      </c>
      <c r="E650" t="str">
        <f>VLOOKUP(bron[[#This Row],[personeelsnr]],'data hastus'!A:K,11,FALSE)</f>
        <v>Els Vanhoe</v>
      </c>
      <c r="F650" s="10"/>
      <c r="G650" s="6"/>
      <c r="H650" s="6"/>
      <c r="I650" s="6"/>
      <c r="J650">
        <v>1</v>
      </c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45759</v>
      </c>
      <c r="U650" s="8" t="s">
        <v>1136</v>
      </c>
      <c r="V650" s="8"/>
      <c r="W650" s="8">
        <v>1</v>
      </c>
      <c r="X650" t="s">
        <v>8</v>
      </c>
      <c r="Y650" t="s">
        <v>133</v>
      </c>
    </row>
    <row r="651" spans="1:25" hidden="1" x14ac:dyDescent="0.25">
      <c r="A651">
        <v>36820</v>
      </c>
      <c r="B651" t="str">
        <f>_xlfn.CONCAT(bron[[#This Row],[personeelsnr]]," ",bron[[#This Row],[achternaam]]," ",bron[[#This Row],[voornaam]])</f>
        <v>36820 Haché Philip</v>
      </c>
      <c r="C651" t="str">
        <f>VLOOKUP(bron[[#This Row],[personeelsnr]],'data hastus'!$A:$C,2,0)</f>
        <v>Haché</v>
      </c>
      <c r="D651" t="str">
        <f>VLOOKUP(bron[[#This Row],[personeelsnr]],'data hastus'!$A:$C,3,0)</f>
        <v>Philip</v>
      </c>
      <c r="E651" t="str">
        <f>VLOOKUP(bron[[#This Row],[personeelsnr]],'data hastus'!A:K,11,FALSE)</f>
        <v>Steven Storm</v>
      </c>
      <c r="F651" s="10"/>
      <c r="G651" s="6"/>
      <c r="H651" s="6"/>
      <c r="I651" s="6"/>
      <c r="J651">
        <v>1</v>
      </c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45759</v>
      </c>
      <c r="U651" s="8" t="s">
        <v>1137</v>
      </c>
      <c r="V651" s="8">
        <v>1</v>
      </c>
      <c r="W651" s="8"/>
      <c r="X651" t="s">
        <v>7</v>
      </c>
      <c r="Y651" t="s">
        <v>514</v>
      </c>
    </row>
    <row r="652" spans="1:25" hidden="1" x14ac:dyDescent="0.25">
      <c r="A652">
        <v>40443</v>
      </c>
      <c r="B652" t="str">
        <f>_xlfn.CONCAT(bron[[#This Row],[personeelsnr]]," ",bron[[#This Row],[achternaam]]," ",bron[[#This Row],[voornaam]])</f>
        <v>40443 Fakash Mahmoud</v>
      </c>
      <c r="C652" t="str">
        <f>VLOOKUP(bron[[#This Row],[personeelsnr]],'data hastus'!$A:$C,2,0)</f>
        <v>Fakash</v>
      </c>
      <c r="D652" t="str">
        <f>VLOOKUP(bron[[#This Row],[personeelsnr]],'data hastus'!$A:$C,3,0)</f>
        <v>Mahmoud</v>
      </c>
      <c r="E652" t="str">
        <f>VLOOKUP(bron[[#This Row],[personeelsnr]],'data hastus'!A:K,11,FALSE)</f>
        <v>Bart Van Der Beken</v>
      </c>
      <c r="F652" s="10"/>
      <c r="G652" s="6"/>
      <c r="H652" s="6"/>
      <c r="I652" s="6"/>
      <c r="J652">
        <v>1</v>
      </c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45762</v>
      </c>
      <c r="U652" s="8" t="s">
        <v>1138</v>
      </c>
      <c r="V652" s="8">
        <v>1</v>
      </c>
      <c r="W652" s="8"/>
      <c r="X652" t="s">
        <v>7</v>
      </c>
      <c r="Y652" t="s">
        <v>51</v>
      </c>
    </row>
    <row r="653" spans="1:25" hidden="1" x14ac:dyDescent="0.25">
      <c r="A653">
        <v>34445</v>
      </c>
      <c r="B653" t="str">
        <f>_xlfn.CONCAT(bron[[#This Row],[personeelsnr]]," ",bron[[#This Row],[achternaam]]," ",bron[[#This Row],[voornaam]])</f>
        <v>34445 Wulleput Illya</v>
      </c>
      <c r="C653" t="str">
        <f>VLOOKUP(bron[[#This Row],[personeelsnr]],'data hastus'!$A:$C,2,0)</f>
        <v>Wulleput</v>
      </c>
      <c r="D653" t="str">
        <f>VLOOKUP(bron[[#This Row],[personeelsnr]],'data hastus'!$A:$C,3,0)</f>
        <v>Illya</v>
      </c>
      <c r="E653" t="str">
        <f>VLOOKUP(bron[[#This Row],[personeelsnr]],'data hastus'!A:K,11,FALSE)</f>
        <v>Dominique De Clercq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45763</v>
      </c>
      <c r="U653" s="8" t="s">
        <v>1139</v>
      </c>
      <c r="V653" s="8"/>
      <c r="W653" s="8">
        <v>1</v>
      </c>
      <c r="X653" t="s">
        <v>8</v>
      </c>
      <c r="Y653" t="s">
        <v>46</v>
      </c>
    </row>
    <row r="654" spans="1:25" hidden="1" x14ac:dyDescent="0.25">
      <c r="A654">
        <v>37744</v>
      </c>
      <c r="B654" t="str">
        <f>_xlfn.CONCAT(bron[[#This Row],[personeelsnr]]," ",bron[[#This Row],[achternaam]]," ",bron[[#This Row],[voornaam]])</f>
        <v>37744 De Lange Frank</v>
      </c>
      <c r="C654" t="str">
        <f>VLOOKUP(bron[[#This Row],[personeelsnr]],'data hastus'!$A:$C,2,0)</f>
        <v>De Lange</v>
      </c>
      <c r="D654" t="str">
        <f>VLOOKUP(bron[[#This Row],[personeelsnr]],'data hastus'!$A:$C,3,0)</f>
        <v>Frank</v>
      </c>
      <c r="E654" t="str">
        <f>VLOOKUP(bron[[#This Row],[personeelsnr]],'data hastus'!A:K,11,FALSE)</f>
        <v>Dominique De Clercq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45765</v>
      </c>
      <c r="U654" s="8" t="s">
        <v>1140</v>
      </c>
      <c r="V654" s="8">
        <v>1</v>
      </c>
      <c r="W654" s="8"/>
      <c r="X654" t="s">
        <v>7</v>
      </c>
      <c r="Y654" t="s">
        <v>86</v>
      </c>
    </row>
    <row r="655" spans="1:25" hidden="1" x14ac:dyDescent="0.25">
      <c r="A655">
        <v>41230</v>
      </c>
      <c r="B655" t="str">
        <f>_xlfn.CONCAT(bron[[#This Row],[personeelsnr]]," ",bron[[#This Row],[achternaam]]," ",bron[[#This Row],[voornaam]])</f>
        <v>41230 De Witte Bart</v>
      </c>
      <c r="C655" t="str">
        <f>VLOOKUP(bron[[#This Row],[personeelsnr]],'data hastus'!$A:$C,2,0)</f>
        <v>De Witte</v>
      </c>
      <c r="D655" t="str">
        <f>VLOOKUP(bron[[#This Row],[personeelsnr]],'data hastus'!$A:$C,3,0)</f>
        <v>Bart</v>
      </c>
      <c r="E655" t="str">
        <f>VLOOKUP(bron[[#This Row],[personeelsnr]],'data hastus'!A:K,11,FALSE)</f>
        <v>Dominique De Clercq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45765</v>
      </c>
      <c r="U655" s="8" t="s">
        <v>1141</v>
      </c>
      <c r="V655" s="8">
        <v>1</v>
      </c>
      <c r="W655" s="8"/>
      <c r="X655" t="s">
        <v>7</v>
      </c>
      <c r="Y655" t="s">
        <v>131</v>
      </c>
    </row>
    <row r="656" spans="1:25" hidden="1" x14ac:dyDescent="0.25">
      <c r="A656">
        <v>38938</v>
      </c>
      <c r="B656" t="str">
        <f>_xlfn.CONCAT(bron[[#This Row],[personeelsnr]]," ",bron[[#This Row],[achternaam]]," ",bron[[#This Row],[voornaam]])</f>
        <v>38938 Sedighi Hamid</v>
      </c>
      <c r="C656" t="str">
        <f>VLOOKUP(bron[[#This Row],[personeelsnr]],'data hastus'!$A:$C,2,0)</f>
        <v>Sedighi</v>
      </c>
      <c r="D656" t="str">
        <f>VLOOKUP(bron[[#This Row],[personeelsnr]],'data hastus'!$A:$C,3,0)</f>
        <v>Hamid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45765</v>
      </c>
      <c r="U656" s="8" t="s">
        <v>1142</v>
      </c>
      <c r="V656" s="8"/>
      <c r="W656" s="8">
        <v>1</v>
      </c>
      <c r="X656" t="s">
        <v>8</v>
      </c>
      <c r="Y656" t="s">
        <v>88</v>
      </c>
    </row>
    <row r="657" spans="1:25" hidden="1" x14ac:dyDescent="0.25">
      <c r="A657">
        <v>21582</v>
      </c>
      <c r="B657" t="str">
        <f>_xlfn.CONCAT(bron[[#This Row],[personeelsnr]]," ",bron[[#This Row],[achternaam]]," ",bron[[#This Row],[voornaam]])</f>
        <v>21582 De Grom Patrick</v>
      </c>
      <c r="C657" t="str">
        <f>VLOOKUP(bron[[#This Row],[personeelsnr]],'data hastus'!$A:$C,2,0)</f>
        <v>De Grom</v>
      </c>
      <c r="D657" t="str">
        <f>VLOOKUP(bron[[#This Row],[personeelsnr]],'data hastus'!$A:$C,3,0)</f>
        <v>Patrick</v>
      </c>
      <c r="E657" t="str">
        <f>VLOOKUP(bron[[#This Row],[personeelsnr]],'data hastus'!A:K,11,FALSE)</f>
        <v>Steven Storm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45765</v>
      </c>
      <c r="U657" s="8" t="s">
        <v>1143</v>
      </c>
      <c r="V657" s="8"/>
      <c r="W657" s="8">
        <v>1</v>
      </c>
      <c r="X657" t="s">
        <v>8</v>
      </c>
      <c r="Y657" t="s">
        <v>10</v>
      </c>
    </row>
    <row r="658" spans="1:25" hidden="1" x14ac:dyDescent="0.25">
      <c r="A658">
        <v>40110</v>
      </c>
      <c r="B658" t="str">
        <f>_xlfn.CONCAT(bron[[#This Row],[personeelsnr]]," ",bron[[#This Row],[achternaam]]," ",bron[[#This Row],[voornaam]])</f>
        <v>40110 Vanlerberghe Sandra</v>
      </c>
      <c r="C658" t="str">
        <f>VLOOKUP(bron[[#This Row],[personeelsnr]],'data hastus'!$A:$C,2,0)</f>
        <v>Vanlerberghe</v>
      </c>
      <c r="D658" t="str">
        <f>VLOOKUP(bron[[#This Row],[personeelsnr]],'data hastus'!$A:$C,3,0)</f>
        <v>Sandra</v>
      </c>
      <c r="E658" t="str">
        <f>VLOOKUP(bron[[#This Row],[personeelsnr]],'data hastus'!A:K,11,FALSE)</f>
        <v>Christoff Rotty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45766</v>
      </c>
      <c r="U658" s="8" t="s">
        <v>1144</v>
      </c>
      <c r="V658" s="8">
        <v>1</v>
      </c>
      <c r="W658" s="8"/>
      <c r="X658" t="s">
        <v>7</v>
      </c>
      <c r="Y658" t="s">
        <v>177</v>
      </c>
    </row>
    <row r="659" spans="1:25" hidden="1" x14ac:dyDescent="0.25">
      <c r="A659">
        <v>41520</v>
      </c>
      <c r="B659" t="str">
        <f>_xlfn.CONCAT(bron[[#This Row],[personeelsnr]]," ",bron[[#This Row],[achternaam]]," ",bron[[#This Row],[voornaam]])</f>
        <v>41520 Smets Avery</v>
      </c>
      <c r="C659" t="str">
        <f>VLOOKUP(bron[[#This Row],[personeelsnr]],'data hastus'!$A:$C,2,0)</f>
        <v>Smets</v>
      </c>
      <c r="D659" t="str">
        <f>VLOOKUP(bron[[#This Row],[personeelsnr]],'data hastus'!$A:$C,3,0)</f>
        <v>Avery</v>
      </c>
      <c r="E659" t="str">
        <f>VLOOKUP(bron[[#This Row],[personeelsnr]],'data hastus'!A:K,11,FALSE)</f>
        <v>Christoff Rotty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45766</v>
      </c>
      <c r="U659" s="8" t="s">
        <v>1145</v>
      </c>
      <c r="V659" s="8">
        <v>1</v>
      </c>
      <c r="W659" s="8"/>
      <c r="X659" t="s">
        <v>7</v>
      </c>
      <c r="Y659" t="s">
        <v>269</v>
      </c>
    </row>
    <row r="660" spans="1:25" hidden="1" x14ac:dyDescent="0.25">
      <c r="A660">
        <v>32245</v>
      </c>
      <c r="B660" t="str">
        <f>_xlfn.CONCAT(bron[[#This Row],[personeelsnr]]," ",bron[[#This Row],[achternaam]]," ",bron[[#This Row],[voornaam]])</f>
        <v>32245 Verlinden Bianca</v>
      </c>
      <c r="C660" t="str">
        <f>VLOOKUP(bron[[#This Row],[personeelsnr]],'data hastus'!$A:$C,2,0)</f>
        <v>Verlinden</v>
      </c>
      <c r="D660" t="str">
        <f>VLOOKUP(bron[[#This Row],[personeelsnr]],'data hastus'!$A:$C,3,0)</f>
        <v>Bianca</v>
      </c>
      <c r="E660" t="str">
        <f>VLOOKUP(bron[[#This Row],[personeelsnr]],'data hastus'!A:K,11,FALSE)</f>
        <v>Els Vanhoe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45766</v>
      </c>
      <c r="U660" s="8" t="s">
        <v>1146</v>
      </c>
      <c r="V660" s="8">
        <v>1</v>
      </c>
      <c r="W660" s="8"/>
      <c r="X660" t="s">
        <v>7</v>
      </c>
      <c r="Y660" t="s">
        <v>13</v>
      </c>
    </row>
    <row r="661" spans="1:25" hidden="1" x14ac:dyDescent="0.25">
      <c r="A661">
        <v>40478</v>
      </c>
      <c r="B661" t="str">
        <f>_xlfn.CONCAT(bron[[#This Row],[personeelsnr]]," ",bron[[#This Row],[achternaam]]," ",bron[[#This Row],[voornaam]])</f>
        <v>40478 Hashimi Ali Mir</v>
      </c>
      <c r="C661" t="str">
        <f>VLOOKUP(bron[[#This Row],[personeelsnr]],'data hastus'!$A:$C,2,0)</f>
        <v>Hashimi</v>
      </c>
      <c r="D661" t="str">
        <f>VLOOKUP(bron[[#This Row],[personeelsnr]],'data hastus'!$A:$C,3,0)</f>
        <v>Ali Mir</v>
      </c>
      <c r="E661" t="str">
        <f>VLOOKUP(bron[[#This Row],[personeelsnr]],'data hastus'!A:K,11,FALSE)</f>
        <v>Bart Van Der Beken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45769</v>
      </c>
      <c r="U661" s="8" t="s">
        <v>1147</v>
      </c>
      <c r="V661" s="8">
        <v>1</v>
      </c>
      <c r="W661" s="8"/>
      <c r="X661" t="s">
        <v>7</v>
      </c>
      <c r="Y661" t="s">
        <v>245</v>
      </c>
    </row>
    <row r="662" spans="1:25" hidden="1" x14ac:dyDescent="0.25">
      <c r="A662">
        <v>41588</v>
      </c>
      <c r="B662" t="str">
        <f>_xlfn.CONCAT(bron[[#This Row],[personeelsnr]]," ",bron[[#This Row],[achternaam]]," ",bron[[#This Row],[voornaam]])</f>
        <v>41588 Naessens Yves</v>
      </c>
      <c r="C662" t="str">
        <f>VLOOKUP(bron[[#This Row],[personeelsnr]],'data hastus'!$A:$C,2,0)</f>
        <v>Naessens</v>
      </c>
      <c r="D662" t="str">
        <f>VLOOKUP(bron[[#This Row],[personeelsnr]],'data hastus'!$A:$C,3,0)</f>
        <v>Yves</v>
      </c>
      <c r="E662" t="str">
        <f>VLOOKUP(bron[[#This Row],[personeelsnr]],'data hastus'!A:K,11,FALSE)</f>
        <v>Kenneth De Rick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45769</v>
      </c>
      <c r="U662" s="8" t="s">
        <v>1148</v>
      </c>
      <c r="V662" s="8">
        <v>1</v>
      </c>
      <c r="W662" s="8"/>
      <c r="X662" t="s">
        <v>7</v>
      </c>
      <c r="Y662" t="s">
        <v>183</v>
      </c>
    </row>
    <row r="663" spans="1:25" hidden="1" x14ac:dyDescent="0.25">
      <c r="A663">
        <v>37132</v>
      </c>
      <c r="B663" t="str">
        <f>_xlfn.CONCAT(bron[[#This Row],[personeelsnr]]," ",bron[[#This Row],[achternaam]]," ",bron[[#This Row],[voornaam]])</f>
        <v>37132 Dacic Esmir</v>
      </c>
      <c r="C663" t="str">
        <f>VLOOKUP(bron[[#This Row],[personeelsnr]],'data hastus'!$A:$C,2,0)</f>
        <v>Dacic</v>
      </c>
      <c r="D663" t="str">
        <f>VLOOKUP(bron[[#This Row],[personeelsnr]],'data hastus'!$A:$C,3,0)</f>
        <v>Esmir</v>
      </c>
      <c r="E663" t="str">
        <f>VLOOKUP(bron[[#This Row],[personeelsnr]],'data hastus'!A:K,11,FALSE)</f>
        <v>Dominique De Clercq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45770</v>
      </c>
      <c r="U663" s="8" t="s">
        <v>1149</v>
      </c>
      <c r="V663" s="8"/>
      <c r="W663" s="8">
        <v>1</v>
      </c>
      <c r="X663" t="s">
        <v>8</v>
      </c>
      <c r="Y663" t="s">
        <v>279</v>
      </c>
    </row>
    <row r="664" spans="1:25" hidden="1" x14ac:dyDescent="0.25">
      <c r="A664">
        <v>36512</v>
      </c>
      <c r="B664" t="str">
        <f>_xlfn.CONCAT(bron[[#This Row],[personeelsnr]]," ",bron[[#This Row],[achternaam]]," ",bron[[#This Row],[voornaam]])</f>
        <v>36512 Van Herreweghe Branco</v>
      </c>
      <c r="C664" t="str">
        <f>VLOOKUP(bron[[#This Row],[personeelsnr]],'data hastus'!$A:$C,2,0)</f>
        <v>Van Herreweghe</v>
      </c>
      <c r="D664" t="str">
        <f>VLOOKUP(bron[[#This Row],[personeelsnr]],'data hastus'!$A:$C,3,0)</f>
        <v>Branco</v>
      </c>
      <c r="E664" t="str">
        <f>VLOOKUP(bron[[#This Row],[personeelsnr]],'data hastus'!A:K,11,FALSE)</f>
        <v>Steven Storm</v>
      </c>
      <c r="F664" s="10"/>
      <c r="G664" s="7"/>
      <c r="H664" s="7"/>
      <c r="I664" s="7"/>
      <c r="J664" s="5">
        <v>1</v>
      </c>
      <c r="S664" s="5">
        <f>SUM(bron[[#This Row],[Januari]:[December]])</f>
        <v>1</v>
      </c>
      <c r="T664" s="9">
        <v>45770</v>
      </c>
      <c r="U664" s="8" t="s">
        <v>1150</v>
      </c>
      <c r="V664" s="24"/>
      <c r="W664" s="24">
        <v>1</v>
      </c>
      <c r="X664" t="s">
        <v>8</v>
      </c>
      <c r="Y664" t="s">
        <v>31</v>
      </c>
    </row>
    <row r="665" spans="1:25" hidden="1" x14ac:dyDescent="0.25">
      <c r="A665">
        <v>38475</v>
      </c>
      <c r="B665" t="str">
        <f>_xlfn.CONCAT(bron[[#This Row],[personeelsnr]]," ",bron[[#This Row],[achternaam]]," ",bron[[#This Row],[voornaam]])</f>
        <v>38475 Verschraegen Katleen</v>
      </c>
      <c r="C665" t="str">
        <f>VLOOKUP(bron[[#This Row],[personeelsnr]],'data hastus'!$A:$C,2,0)</f>
        <v>Verschraegen</v>
      </c>
      <c r="D665" t="str">
        <f>VLOOKUP(bron[[#This Row],[personeelsnr]],'data hastus'!$A:$C,3,0)</f>
        <v>Katleen</v>
      </c>
      <c r="E665" t="str">
        <f>VLOOKUP(bron[[#This Row],[personeelsnr]],'data hastus'!A:K,11,FALSE)</f>
        <v>Els Dewulf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45771</v>
      </c>
      <c r="U665" s="8" t="s">
        <v>1151</v>
      </c>
      <c r="V665" s="8">
        <v>1</v>
      </c>
      <c r="W665" s="8"/>
      <c r="X665" t="s">
        <v>7</v>
      </c>
      <c r="Y665" t="s">
        <v>197</v>
      </c>
    </row>
    <row r="666" spans="1:25" hidden="1" x14ac:dyDescent="0.25">
      <c r="A666">
        <v>33965</v>
      </c>
      <c r="B666" t="str">
        <f>_xlfn.CONCAT(bron[[#This Row],[personeelsnr]]," ",bron[[#This Row],[achternaam]]," ",bron[[#This Row],[voornaam]])</f>
        <v>33965 Van de Gehuchte Gilles</v>
      </c>
      <c r="C666" t="str">
        <f>VLOOKUP(bron[[#This Row],[personeelsnr]],'data hastus'!$A:$C,2,0)</f>
        <v>Van de Gehuchte</v>
      </c>
      <c r="D666" t="str">
        <f>VLOOKUP(bron[[#This Row],[personeelsnr]],'data hastus'!$A:$C,3,0)</f>
        <v>Gilles</v>
      </c>
      <c r="E666" t="str">
        <f>VLOOKUP(bron[[#This Row],[personeelsnr]],'data hastus'!A:K,11,FALSE)</f>
        <v>Kenneth De Rick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45771</v>
      </c>
      <c r="U666" s="8" t="s">
        <v>1152</v>
      </c>
      <c r="V666" s="8">
        <v>1</v>
      </c>
      <c r="W666" s="8"/>
      <c r="X666" t="s">
        <v>7</v>
      </c>
      <c r="Y666" t="s">
        <v>66</v>
      </c>
    </row>
    <row r="667" spans="1:25" hidden="1" x14ac:dyDescent="0.25">
      <c r="A667">
        <v>9999</v>
      </c>
      <c r="B667" t="e">
        <f>_xlfn.CONCAT(bron[[#This Row],[personeelsnr]]," ",bron[[#This Row],[achternaam]]," ",bron[[#This Row],[voornaam]])</f>
        <v>#N/A</v>
      </c>
      <c r="C667" t="e">
        <f>VLOOKUP(bron[[#This Row],[personeelsnr]],'data hastus'!$A:$C,2,0)</f>
        <v>#N/A</v>
      </c>
      <c r="D667" t="e">
        <f>VLOOKUP(bron[[#This Row],[personeelsnr]],'data hastus'!$A:$C,3,0)</f>
        <v>#N/A</v>
      </c>
      <c r="E667" t="s">
        <v>79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45771</v>
      </c>
      <c r="U667" s="8" t="s">
        <v>1153</v>
      </c>
      <c r="V667" s="8">
        <v>1</v>
      </c>
      <c r="W667" s="8"/>
      <c r="X667" t="s">
        <v>7</v>
      </c>
      <c r="Y667" t="s">
        <v>5</v>
      </c>
    </row>
    <row r="668" spans="1:25" hidden="1" x14ac:dyDescent="0.25">
      <c r="A668">
        <v>33085</v>
      </c>
      <c r="B668" t="str">
        <f>_xlfn.CONCAT(bron[[#This Row],[personeelsnr]]," ",bron[[#This Row],[achternaam]]," ",bron[[#This Row],[voornaam]])</f>
        <v>33085 Van Hoe Ivo</v>
      </c>
      <c r="C668" t="str">
        <f>VLOOKUP(bron[[#This Row],[personeelsnr]],'data hastus'!$A:$C,2,0)</f>
        <v>Van Hoe</v>
      </c>
      <c r="D668" t="str">
        <f>VLOOKUP(bron[[#This Row],[personeelsnr]],'data hastus'!$A:$C,3,0)</f>
        <v>Ivo</v>
      </c>
      <c r="E668" t="str">
        <f>VLOOKUP(bron[[#This Row],[personeelsnr]],'data hastus'!A:K,11,FALSE)</f>
        <v>Kenneth De Rick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45773</v>
      </c>
      <c r="U668" s="8" t="s">
        <v>1154</v>
      </c>
      <c r="V668" s="8">
        <v>1</v>
      </c>
      <c r="W668" s="8"/>
      <c r="X668" t="s">
        <v>7</v>
      </c>
      <c r="Y668" t="s">
        <v>139</v>
      </c>
    </row>
    <row r="669" spans="1:25" hidden="1" x14ac:dyDescent="0.25">
      <c r="A669">
        <v>40591</v>
      </c>
      <c r="B669" t="str">
        <f>_xlfn.CONCAT(bron[[#This Row],[personeelsnr]]," ",bron[[#This Row],[achternaam]]," ",bron[[#This Row],[voornaam]])</f>
        <v>40591 Hiloui Mahmoud</v>
      </c>
      <c r="C669" t="str">
        <f>VLOOKUP(bron[[#This Row],[personeelsnr]],'data hastus'!$A:$C,2,0)</f>
        <v>Hiloui</v>
      </c>
      <c r="D669" t="str">
        <f>VLOOKUP(bron[[#This Row],[personeelsnr]],'data hastus'!$A:$C,3,0)</f>
        <v>Mahmoud</v>
      </c>
      <c r="E669" t="str">
        <f>VLOOKUP(bron[[#This Row],[personeelsnr]],'data hastus'!A:K,11,FALSE)</f>
        <v>Dominique De Clercq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45775</v>
      </c>
      <c r="U669" s="8" t="s">
        <v>1155</v>
      </c>
      <c r="V669" s="8">
        <v>1</v>
      </c>
      <c r="W669" s="8"/>
      <c r="X669" t="s">
        <v>7</v>
      </c>
      <c r="Y669" t="s">
        <v>157</v>
      </c>
    </row>
    <row r="670" spans="1:25" hidden="1" x14ac:dyDescent="0.25">
      <c r="A670">
        <v>40134</v>
      </c>
      <c r="B670" t="str">
        <f>_xlfn.CONCAT(bron[[#This Row],[personeelsnr]]," ",bron[[#This Row],[achternaam]]," ",bron[[#This Row],[voornaam]])</f>
        <v>40134 Cardon Sharon</v>
      </c>
      <c r="C670" t="str">
        <f>VLOOKUP(bron[[#This Row],[personeelsnr]],'data hastus'!$A:$C,2,0)</f>
        <v>Cardon</v>
      </c>
      <c r="D670" t="str">
        <f>VLOOKUP(bron[[#This Row],[personeelsnr]],'data hastus'!$A:$C,3,0)</f>
        <v>Sharon</v>
      </c>
      <c r="E670" t="str">
        <f>VLOOKUP(bron[[#This Row],[personeelsnr]],'data hastus'!A:K,11,FALSE)</f>
        <v>Dominique De Clercq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45775</v>
      </c>
      <c r="U670" s="8" t="s">
        <v>1156</v>
      </c>
      <c r="V670" s="8">
        <v>1</v>
      </c>
      <c r="W670" s="8"/>
      <c r="X670" t="s">
        <v>7</v>
      </c>
      <c r="Y670" t="s">
        <v>179</v>
      </c>
    </row>
    <row r="671" spans="1:25" hidden="1" x14ac:dyDescent="0.25">
      <c r="A671">
        <v>38475</v>
      </c>
      <c r="B671" t="str">
        <f>_xlfn.CONCAT(bron[[#This Row],[personeelsnr]]," ",bron[[#This Row],[achternaam]]," ",bron[[#This Row],[voornaam]])</f>
        <v>38475 Verschraegen Katleen</v>
      </c>
      <c r="C671" t="str">
        <f>VLOOKUP(bron[[#This Row],[personeelsnr]],'data hastus'!$A:$C,2,0)</f>
        <v>Verschraegen</v>
      </c>
      <c r="D671" t="str">
        <f>VLOOKUP(bron[[#This Row],[personeelsnr]],'data hastus'!$A:$C,3,0)</f>
        <v>Katleen</v>
      </c>
      <c r="E671" t="str">
        <f>VLOOKUP(bron[[#This Row],[personeelsnr]],'data hastus'!A:K,11,FALSE)</f>
        <v>Els Dewulf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45775</v>
      </c>
      <c r="U671" s="8" t="s">
        <v>1157</v>
      </c>
      <c r="V671" s="8">
        <v>1</v>
      </c>
      <c r="W671" s="8"/>
      <c r="X671" t="s">
        <v>7</v>
      </c>
      <c r="Y671" t="s">
        <v>84</v>
      </c>
    </row>
    <row r="672" spans="1:25" hidden="1" x14ac:dyDescent="0.25">
      <c r="A672">
        <v>24155</v>
      </c>
      <c r="B672" t="str">
        <f>_xlfn.CONCAT(bron[[#This Row],[personeelsnr]]," ",bron[[#This Row],[achternaam]]," ",bron[[#This Row],[voornaam]])</f>
        <v>24155 Luttens Koen</v>
      </c>
      <c r="C672" t="str">
        <f>VLOOKUP(bron[[#This Row],[personeelsnr]],'data hastus'!$A:$C,2,0)</f>
        <v>Luttens</v>
      </c>
      <c r="D672" t="str">
        <f>VLOOKUP(bron[[#This Row],[personeelsnr]],'data hastus'!$A:$C,3,0)</f>
        <v>Koen</v>
      </c>
      <c r="E672" t="str">
        <f>VLOOKUP(bron[[#This Row],[personeelsnr]],'data hastus'!A:K,11,FALSE)</f>
        <v>Els Vanhoe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45776</v>
      </c>
      <c r="U672" s="8" t="s">
        <v>1158</v>
      </c>
      <c r="V672" s="8">
        <v>1</v>
      </c>
      <c r="W672" s="8"/>
      <c r="X672" t="s">
        <v>7</v>
      </c>
      <c r="Y672" t="s">
        <v>223</v>
      </c>
    </row>
    <row r="673" spans="1:25" hidden="1" x14ac:dyDescent="0.25">
      <c r="A673">
        <v>41092</v>
      </c>
      <c r="B673" t="str">
        <f>_xlfn.CONCAT(bron[[#This Row],[personeelsnr]]," ",bron[[#This Row],[achternaam]]," ",bron[[#This Row],[voornaam]])</f>
        <v>41092 De Keyser Dorien</v>
      </c>
      <c r="C673" t="str">
        <f>VLOOKUP(bron[[#This Row],[personeelsnr]],'data hastus'!$A:$C,2,0)</f>
        <v>De Keyser</v>
      </c>
      <c r="D673" t="str">
        <f>VLOOKUP(bron[[#This Row],[personeelsnr]],'data hastus'!$A:$C,3,0)</f>
        <v>Dorien</v>
      </c>
      <c r="E673" t="str">
        <f>VLOOKUP(bron[[#This Row],[personeelsnr]],'data hastus'!A:K,11,FALSE)</f>
        <v>Dominique De Clercq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45777</v>
      </c>
      <c r="U673" s="8" t="s">
        <v>1159</v>
      </c>
      <c r="V673" s="8">
        <v>1</v>
      </c>
      <c r="W673" s="8"/>
      <c r="X673" t="s">
        <v>7</v>
      </c>
      <c r="Y673" t="s">
        <v>133</v>
      </c>
    </row>
    <row r="674" spans="1:25" hidden="1" x14ac:dyDescent="0.25">
      <c r="A674">
        <v>37908</v>
      </c>
      <c r="B674" t="str">
        <f>_xlfn.CONCAT(bron[[#This Row],[personeelsnr]]," ",bron[[#This Row],[achternaam]]," ",bron[[#This Row],[voornaam]])</f>
        <v>37908 Vandenberghe Michael</v>
      </c>
      <c r="C674" t="str">
        <f>VLOOKUP(bron[[#This Row],[personeelsnr]],'data hastus'!$A:$C,2,0)</f>
        <v>Vandenberghe</v>
      </c>
      <c r="D674" t="str">
        <f>VLOOKUP(bron[[#This Row],[personeelsnr]],'data hastus'!$A:$C,3,0)</f>
        <v>Michael</v>
      </c>
      <c r="E674" t="str">
        <f>VLOOKUP(bron[[#This Row],[personeelsnr]],'data hastus'!A:K,11,FALSE)</f>
        <v>Steven Storm</v>
      </c>
      <c r="F674" s="10"/>
      <c r="G674" s="6"/>
      <c r="H674" s="6"/>
      <c r="I674" s="6"/>
      <c r="J674" s="11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45777</v>
      </c>
      <c r="U674" s="8" t="s">
        <v>1160</v>
      </c>
      <c r="V674" s="8">
        <v>1</v>
      </c>
      <c r="W674" s="8"/>
      <c r="X674" t="s">
        <v>7</v>
      </c>
      <c r="Y674" t="s">
        <v>25</v>
      </c>
    </row>
    <row r="675" spans="1:25" hidden="1" x14ac:dyDescent="0.25">
      <c r="A675">
        <v>30967</v>
      </c>
      <c r="B675" t="str">
        <f>_xlfn.CONCAT(bron[[#This Row],[personeelsnr]]," ",bron[[#This Row],[achternaam]]," ",bron[[#This Row],[voornaam]])</f>
        <v>30967 Taser Fatih</v>
      </c>
      <c r="C675" t="str">
        <f>VLOOKUP(bron[[#This Row],[personeelsnr]],'data hastus'!$A:$C,2,0)</f>
        <v>Taser</v>
      </c>
      <c r="D675" t="str">
        <f>VLOOKUP(bron[[#This Row],[personeelsnr]],'data hastus'!$A:$C,3,0)</f>
        <v>Fatih</v>
      </c>
      <c r="E675" t="str">
        <f>VLOOKUP(bron[[#This Row],[personeelsnr]],'data hastus'!A:K,11,FALSE)</f>
        <v>Dominique De Clercq</v>
      </c>
      <c r="F675" s="10"/>
      <c r="G675" s="7"/>
      <c r="H675" s="7"/>
      <c r="I675" s="7"/>
      <c r="K675" s="12">
        <v>1</v>
      </c>
      <c r="S675" s="5">
        <f>SUM(bron[[#This Row],[Januari]:[December]])</f>
        <v>1</v>
      </c>
      <c r="T675" s="9">
        <v>45778</v>
      </c>
      <c r="U675" s="8" t="s">
        <v>1161</v>
      </c>
      <c r="V675" s="8">
        <v>1</v>
      </c>
      <c r="W675" s="8"/>
      <c r="X675" t="s">
        <v>7</v>
      </c>
      <c r="Y675" t="s">
        <v>19</v>
      </c>
    </row>
    <row r="676" spans="1:25" hidden="1" x14ac:dyDescent="0.25">
      <c r="A676">
        <v>40652</v>
      </c>
      <c r="B676" t="str">
        <f>_xlfn.CONCAT(bron[[#This Row],[personeelsnr]]," ",bron[[#This Row],[achternaam]]," ",bron[[#This Row],[voornaam]])</f>
        <v>40652 Van Damme Gilyann</v>
      </c>
      <c r="C676" t="str">
        <f>VLOOKUP(bron[[#This Row],[personeelsnr]],'data hastus'!$A:$C,2,0)</f>
        <v>Van Damme</v>
      </c>
      <c r="D676" t="str">
        <f>VLOOKUP(bron[[#This Row],[personeelsnr]],'data hastus'!$A:$C,3,0)</f>
        <v>Gilyann</v>
      </c>
      <c r="E676" t="str">
        <f>VLOOKUP(bron[[#This Row],[personeelsnr]],'data hastus'!A:K,11,FALSE)</f>
        <v>Els Vanhoe</v>
      </c>
      <c r="F676" s="10"/>
      <c r="G676" s="6"/>
      <c r="H676" s="6"/>
      <c r="I676" s="6"/>
      <c r="J676"/>
      <c r="K676">
        <v>1</v>
      </c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45779</v>
      </c>
      <c r="U676" s="8" t="s">
        <v>1022</v>
      </c>
      <c r="V676" s="8">
        <v>1</v>
      </c>
      <c r="W676" s="8"/>
      <c r="X676" t="s">
        <v>7</v>
      </c>
      <c r="Y676" t="s">
        <v>40</v>
      </c>
    </row>
    <row r="677" spans="1:25" hidden="1" x14ac:dyDescent="0.25">
      <c r="A677">
        <v>40652</v>
      </c>
      <c r="B677" t="str">
        <f>_xlfn.CONCAT(bron[[#This Row],[personeelsnr]]," ",bron[[#This Row],[achternaam]]," ",bron[[#This Row],[voornaam]])</f>
        <v>40652 Van Damme Gilyann</v>
      </c>
      <c r="C677" t="str">
        <f>VLOOKUP(bron[[#This Row],[personeelsnr]],'data hastus'!$A:$C,2,0)</f>
        <v>Van Damme</v>
      </c>
      <c r="D677" t="str">
        <f>VLOOKUP(bron[[#This Row],[personeelsnr]],'data hastus'!$A:$C,3,0)</f>
        <v>Gilyann</v>
      </c>
      <c r="E677" t="str">
        <f>VLOOKUP(bron[[#This Row],[personeelsnr]],'data hastus'!A:K,11,FALSE)</f>
        <v>Els Vanhoe</v>
      </c>
      <c r="F677" s="10"/>
      <c r="G677" s="7"/>
      <c r="H677" s="7"/>
      <c r="I677" s="7"/>
      <c r="K677" s="5">
        <v>1</v>
      </c>
      <c r="S677" s="5">
        <f>SUM(bron[[#This Row],[Januari]:[December]])</f>
        <v>1</v>
      </c>
      <c r="T677" s="9">
        <v>45779</v>
      </c>
      <c r="U677" s="8" t="s">
        <v>1162</v>
      </c>
      <c r="V677" s="24">
        <v>1</v>
      </c>
      <c r="W677" s="24"/>
      <c r="X677" t="s">
        <v>7</v>
      </c>
      <c r="Y677" t="s">
        <v>40</v>
      </c>
    </row>
    <row r="678" spans="1:25" hidden="1" x14ac:dyDescent="0.25">
      <c r="A678">
        <v>4608</v>
      </c>
      <c r="B678" t="str">
        <f>_xlfn.CONCAT(bron[[#This Row],[personeelsnr]]," ",bron[[#This Row],[achternaam]]," ",bron[[#This Row],[voornaam]])</f>
        <v>4608 Steenbrugge Johan</v>
      </c>
      <c r="C678" t="str">
        <f>VLOOKUP(bron[[#This Row],[personeelsnr]],'data hastus'!$A:$C,2,0)</f>
        <v>Steenbrugge</v>
      </c>
      <c r="D678" t="str">
        <f>VLOOKUP(bron[[#This Row],[personeelsnr]],'data hastus'!$A:$C,3,0)</f>
        <v>Johan</v>
      </c>
      <c r="E678" t="str">
        <f>VLOOKUP(bron[[#This Row],[personeelsnr]],'data hastus'!A:K,11,FALSE)</f>
        <v>Lucie Vande Velde</v>
      </c>
      <c r="F678" s="10"/>
      <c r="G678" s="6"/>
      <c r="H678" s="6"/>
      <c r="I678" s="6"/>
      <c r="J678"/>
      <c r="K678">
        <v>1</v>
      </c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45780</v>
      </c>
      <c r="U678" s="8" t="s">
        <v>1163</v>
      </c>
      <c r="V678" s="8">
        <v>1</v>
      </c>
      <c r="W678" s="8"/>
      <c r="X678" t="s">
        <v>7</v>
      </c>
      <c r="Y678" t="s">
        <v>34</v>
      </c>
    </row>
    <row r="679" spans="1:25" hidden="1" x14ac:dyDescent="0.25">
      <c r="A679">
        <v>33965</v>
      </c>
      <c r="B679" t="str">
        <f>_xlfn.CONCAT(bron[[#This Row],[personeelsnr]]," ",bron[[#This Row],[achternaam]]," ",bron[[#This Row],[voornaam]])</f>
        <v>33965 Van de Gehuchte Gilles</v>
      </c>
      <c r="C679" t="str">
        <f>VLOOKUP(bron[[#This Row],[personeelsnr]],'data hastus'!$A:$C,2,0)</f>
        <v>Van de Gehuchte</v>
      </c>
      <c r="D679" t="str">
        <f>VLOOKUP(bron[[#This Row],[personeelsnr]],'data hastus'!$A:$C,3,0)</f>
        <v>Gilles</v>
      </c>
      <c r="E679" t="str">
        <f>VLOOKUP(bron[[#This Row],[personeelsnr]],'data hastus'!A:K,11,FALSE)</f>
        <v>Kenneth De Rick</v>
      </c>
      <c r="F679" s="10"/>
      <c r="G679" s="7"/>
      <c r="H679" s="7"/>
      <c r="I679" s="7"/>
      <c r="K679" s="12">
        <v>1</v>
      </c>
      <c r="S679" s="5">
        <f>SUM(bron[[#This Row],[Januari]:[December]])</f>
        <v>1</v>
      </c>
      <c r="T679" s="9">
        <v>45781</v>
      </c>
      <c r="U679" s="8" t="s">
        <v>1164</v>
      </c>
      <c r="V679" s="8"/>
      <c r="W679" s="8">
        <v>1</v>
      </c>
      <c r="X679" t="s">
        <v>8</v>
      </c>
      <c r="Y679" t="s">
        <v>5</v>
      </c>
    </row>
    <row r="680" spans="1:25" hidden="1" x14ac:dyDescent="0.25">
      <c r="A680">
        <v>38731</v>
      </c>
      <c r="B680" t="str">
        <f>_xlfn.CONCAT(bron[[#This Row],[personeelsnr]]," ",bron[[#This Row],[achternaam]]," ",bron[[#This Row],[voornaam]])</f>
        <v>38731 Ben Sidhom Samir</v>
      </c>
      <c r="C680" t="str">
        <f>VLOOKUP(bron[[#This Row],[personeelsnr]],'data hastus'!$A:$C,2,0)</f>
        <v>Ben Sidhom</v>
      </c>
      <c r="D680" t="str">
        <f>VLOOKUP(bron[[#This Row],[personeelsnr]],'data hastus'!$A:$C,3,0)</f>
        <v>Samir</v>
      </c>
      <c r="E680" t="str">
        <f>VLOOKUP(bron[[#This Row],[personeelsnr]],'data hastus'!A:K,11,FALSE)</f>
        <v>Christoff Rotty</v>
      </c>
      <c r="F680" s="10"/>
      <c r="G680" s="6"/>
      <c r="H680" s="6"/>
      <c r="I680" s="6"/>
      <c r="J680"/>
      <c r="K680">
        <v>1</v>
      </c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45782</v>
      </c>
      <c r="U680" s="8" t="s">
        <v>1165</v>
      </c>
      <c r="V680" s="8">
        <v>1</v>
      </c>
      <c r="W680" s="8"/>
      <c r="X680" t="s">
        <v>7</v>
      </c>
      <c r="Y680" t="s">
        <v>13</v>
      </c>
    </row>
    <row r="681" spans="1:25" hidden="1" x14ac:dyDescent="0.25">
      <c r="A681">
        <v>40938</v>
      </c>
      <c r="B681" t="str">
        <f>_xlfn.CONCAT(bron[[#This Row],[personeelsnr]]," ",bron[[#This Row],[achternaam]]," ",bron[[#This Row],[voornaam]])</f>
        <v>40938 Hasnaoui Nejmeddine</v>
      </c>
      <c r="C681" t="str">
        <f>VLOOKUP(bron[[#This Row],[personeelsnr]],'data hastus'!$A:$C,2,0)</f>
        <v>Hasnaoui</v>
      </c>
      <c r="D681" t="str">
        <f>VLOOKUP(bron[[#This Row],[personeelsnr]],'data hastus'!$A:$C,3,0)</f>
        <v>Nejmeddine</v>
      </c>
      <c r="E681" t="str">
        <f>VLOOKUP(bron[[#This Row],[personeelsnr]],'data hastus'!A:K,11,FALSE)</f>
        <v>Dominique De Clercq</v>
      </c>
      <c r="F681" s="10"/>
      <c r="G681" s="7"/>
      <c r="H681" s="7"/>
      <c r="I681" s="7"/>
      <c r="K681" s="5">
        <v>1</v>
      </c>
      <c r="S681" s="5">
        <f>SUM(bron[[#This Row],[Januari]:[December]])</f>
        <v>1</v>
      </c>
      <c r="T681" s="9">
        <v>45783</v>
      </c>
      <c r="U681" s="8" t="s">
        <v>1166</v>
      </c>
      <c r="V681" s="8">
        <v>1</v>
      </c>
      <c r="W681" s="8"/>
      <c r="X681" t="s">
        <v>7</v>
      </c>
      <c r="Y681" t="s">
        <v>43</v>
      </c>
    </row>
    <row r="682" spans="1:25" hidden="1" x14ac:dyDescent="0.25">
      <c r="A682">
        <v>40652</v>
      </c>
      <c r="B682" t="str">
        <f>_xlfn.CONCAT(bron[[#This Row],[personeelsnr]]," ",bron[[#This Row],[achternaam]]," ",bron[[#This Row],[voornaam]])</f>
        <v>40652 Van Damme Gilyann</v>
      </c>
      <c r="C682" t="str">
        <f>VLOOKUP(bron[[#This Row],[personeelsnr]],'data hastus'!$A:$C,2,0)</f>
        <v>Van Damme</v>
      </c>
      <c r="D682" t="str">
        <f>VLOOKUP(bron[[#This Row],[personeelsnr]],'data hastus'!$A:$C,3,0)</f>
        <v>Gilyann</v>
      </c>
      <c r="E682" t="str">
        <f>VLOOKUP(bron[[#This Row],[personeelsnr]],'data hastus'!A:K,11,FALSE)</f>
        <v>Els Vanhoe</v>
      </c>
      <c r="F682" s="10"/>
      <c r="G682" s="6"/>
      <c r="H682" s="6"/>
      <c r="I682" s="6"/>
      <c r="J682"/>
      <c r="K682">
        <v>1</v>
      </c>
      <c r="L682"/>
      <c r="M682"/>
      <c r="N682"/>
      <c r="O682"/>
      <c r="P682"/>
      <c r="Q682"/>
      <c r="R682"/>
      <c r="S682">
        <f>SUM(bron[[#This Row],[Januari]:[December]])</f>
        <v>1</v>
      </c>
      <c r="T682" s="3">
        <v>45784</v>
      </c>
      <c r="U682" s="8" t="s">
        <v>1167</v>
      </c>
      <c r="V682" s="8">
        <v>1</v>
      </c>
      <c r="W682" s="8"/>
      <c r="X682" t="s">
        <v>7</v>
      </c>
      <c r="Y682" t="s">
        <v>295</v>
      </c>
    </row>
    <row r="683" spans="1:25" hidden="1" x14ac:dyDescent="0.25">
      <c r="A683">
        <v>38931</v>
      </c>
      <c r="B683" t="str">
        <f>_xlfn.CONCAT(bron[[#This Row],[personeelsnr]]," ",bron[[#This Row],[achternaam]]," ",bron[[#This Row],[voornaam]])</f>
        <v>38931 Sancak Eyuphan</v>
      </c>
      <c r="C683" t="str">
        <f>VLOOKUP(bron[[#This Row],[personeelsnr]],'data hastus'!$A:$C,2,0)</f>
        <v>Sancak</v>
      </c>
      <c r="D683" t="str">
        <f>VLOOKUP(bron[[#This Row],[personeelsnr]],'data hastus'!$A:$C,3,0)</f>
        <v>Eyuphan</v>
      </c>
      <c r="E683" t="str">
        <f>VLOOKUP(bron[[#This Row],[personeelsnr]],'data hastus'!A:K,11,FALSE)</f>
        <v>Bart Van Der Beken</v>
      </c>
      <c r="G683" s="6"/>
      <c r="H683" s="6"/>
      <c r="I683" s="6"/>
      <c r="J683"/>
      <c r="K683">
        <v>1</v>
      </c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45786</v>
      </c>
      <c r="U683" s="8" t="s">
        <v>1168</v>
      </c>
      <c r="V683" s="8">
        <v>1</v>
      </c>
      <c r="W683" s="8"/>
      <c r="X683" t="s">
        <v>7</v>
      </c>
      <c r="Y683" t="s">
        <v>165</v>
      </c>
    </row>
    <row r="684" spans="1:25" hidden="1" x14ac:dyDescent="0.25">
      <c r="A684">
        <v>31165</v>
      </c>
      <c r="B684" t="str">
        <f>_xlfn.CONCAT(bron[[#This Row],[personeelsnr]]," ",bron[[#This Row],[achternaam]]," ",bron[[#This Row],[voornaam]])</f>
        <v>31165 Govaerts Sandro</v>
      </c>
      <c r="C684" t="str">
        <f>VLOOKUP(bron[[#This Row],[personeelsnr]],'data hastus'!$A:$C,2,0)</f>
        <v>Govaerts</v>
      </c>
      <c r="D684" t="str">
        <f>VLOOKUP(bron[[#This Row],[personeelsnr]],'data hastus'!$A:$C,3,0)</f>
        <v>Sandro</v>
      </c>
      <c r="E684" t="str">
        <f>VLOOKUP(bron[[#This Row],[personeelsnr]],'data hastus'!A:K,11,FALSE)</f>
        <v>Lucie Vande Velde</v>
      </c>
      <c r="F684" s="10"/>
      <c r="G684" s="6"/>
      <c r="H684" s="6"/>
      <c r="I684" s="6"/>
      <c r="J684"/>
      <c r="K684">
        <v>1</v>
      </c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45787</v>
      </c>
      <c r="U684" s="8" t="s">
        <v>1169</v>
      </c>
      <c r="V684" s="8">
        <v>1</v>
      </c>
      <c r="W684" s="8"/>
      <c r="X684" t="s">
        <v>7</v>
      </c>
      <c r="Y684" t="s">
        <v>135</v>
      </c>
    </row>
    <row r="685" spans="1:25" hidden="1" x14ac:dyDescent="0.25">
      <c r="A685">
        <v>27672</v>
      </c>
      <c r="B685" t="str">
        <f>_xlfn.CONCAT(bron[[#This Row],[personeelsnr]]," ",bron[[#This Row],[achternaam]]," ",bron[[#This Row],[voornaam]])</f>
        <v>27672 Criel Veronique</v>
      </c>
      <c r="C685" t="str">
        <f>VLOOKUP(bron[[#This Row],[personeelsnr]],'data hastus'!$A:$C,2,0)</f>
        <v>Criel</v>
      </c>
      <c r="D685" t="str">
        <f>VLOOKUP(bron[[#This Row],[personeelsnr]],'data hastus'!$A:$C,3,0)</f>
        <v>Veronique</v>
      </c>
      <c r="E685" t="str">
        <f>VLOOKUP(bron[[#This Row],[personeelsnr]],'data hastus'!A:K,11,FALSE)</f>
        <v>Steven Storm</v>
      </c>
      <c r="F685" s="10"/>
      <c r="G685" s="6"/>
      <c r="H685" s="6"/>
      <c r="I685" s="6"/>
      <c r="J685"/>
      <c r="K685">
        <v>1</v>
      </c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45787</v>
      </c>
      <c r="U685" s="8" t="s">
        <v>1170</v>
      </c>
      <c r="V685" s="8"/>
      <c r="W685" s="8">
        <v>1</v>
      </c>
      <c r="X685" t="s">
        <v>8</v>
      </c>
      <c r="Y685" t="s">
        <v>72</v>
      </c>
    </row>
    <row r="686" spans="1:25" hidden="1" x14ac:dyDescent="0.25">
      <c r="A686">
        <v>40138</v>
      </c>
      <c r="B686" t="str">
        <f>_xlfn.CONCAT(bron[[#This Row],[personeelsnr]]," ",bron[[#This Row],[achternaam]]," ",bron[[#This Row],[voornaam]])</f>
        <v>40138 Moerman Tjimmy</v>
      </c>
      <c r="C686" t="str">
        <f>VLOOKUP(bron[[#This Row],[personeelsnr]],'data hastus'!$A:$C,2,0)</f>
        <v>Moerman</v>
      </c>
      <c r="D686" t="str">
        <f>VLOOKUP(bron[[#This Row],[personeelsnr]],'data hastus'!$A:$C,3,0)</f>
        <v>Tjimmy</v>
      </c>
      <c r="E686" t="str">
        <f>VLOOKUP(bron[[#This Row],[personeelsnr]],'data hastus'!A:K,11,FALSE)</f>
        <v>Christoff Rotty</v>
      </c>
      <c r="F686" s="10"/>
      <c r="G686" s="6"/>
      <c r="H686" s="6"/>
      <c r="I686" s="6"/>
      <c r="J686"/>
      <c r="K686">
        <v>1</v>
      </c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45788</v>
      </c>
      <c r="U686" s="8" t="s">
        <v>1171</v>
      </c>
      <c r="V686" s="8">
        <v>1</v>
      </c>
      <c r="W686" s="8"/>
      <c r="X686" t="s">
        <v>7</v>
      </c>
      <c r="Y686" t="s">
        <v>25</v>
      </c>
    </row>
    <row r="687" spans="1:25" hidden="1" x14ac:dyDescent="0.25">
      <c r="A687">
        <v>39856</v>
      </c>
      <c r="B687" t="str">
        <f>_xlfn.CONCAT(bron[[#This Row],[personeelsnr]]," ",bron[[#This Row],[achternaam]]," ",bron[[#This Row],[voornaam]])</f>
        <v>39856 Curukcu Bayram</v>
      </c>
      <c r="C687" t="str">
        <f>VLOOKUP(bron[[#This Row],[personeelsnr]],'data hastus'!$A:$C,2,0)</f>
        <v>Curukcu</v>
      </c>
      <c r="D687" t="str">
        <f>VLOOKUP(bron[[#This Row],[personeelsnr]],'data hastus'!$A:$C,3,0)</f>
        <v>Bayram</v>
      </c>
      <c r="E687" t="str">
        <f>VLOOKUP(bron[[#This Row],[personeelsnr]],'data hastus'!A:K,11,FALSE)</f>
        <v>Kenneth De Rick</v>
      </c>
      <c r="F687" s="10"/>
      <c r="G687" s="6"/>
      <c r="H687" s="6"/>
      <c r="I687" s="6"/>
      <c r="J687"/>
      <c r="K687">
        <v>1</v>
      </c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45790</v>
      </c>
      <c r="U687" s="8" t="s">
        <v>1172</v>
      </c>
      <c r="V687" s="8">
        <v>1</v>
      </c>
      <c r="W687" s="8"/>
      <c r="X687" t="s">
        <v>7</v>
      </c>
      <c r="Y687" t="s">
        <v>161</v>
      </c>
    </row>
    <row r="688" spans="1:25" hidden="1" x14ac:dyDescent="0.25">
      <c r="A688">
        <v>29746</v>
      </c>
      <c r="B688" t="str">
        <f>_xlfn.CONCAT(bron[[#This Row],[personeelsnr]]," ",bron[[#This Row],[achternaam]]," ",bron[[#This Row],[voornaam]])</f>
        <v>29746 Huyse Annicke</v>
      </c>
      <c r="C688" t="str">
        <f>VLOOKUP(bron[[#This Row],[personeelsnr]],'data hastus'!$A:$C,2,0)</f>
        <v>Huyse</v>
      </c>
      <c r="D688" t="str">
        <f>VLOOKUP(bron[[#This Row],[personeelsnr]],'data hastus'!$A:$C,3,0)</f>
        <v>Annicke</v>
      </c>
      <c r="E688" t="str">
        <f>VLOOKUP(bron[[#This Row],[personeelsnr]],'data hastus'!A:K,11,FALSE)</f>
        <v>Bart Van Der Beken</v>
      </c>
      <c r="F688" s="10"/>
      <c r="G688" s="7"/>
      <c r="H688" s="7"/>
      <c r="I688" s="7"/>
      <c r="K688" s="5">
        <v>1</v>
      </c>
      <c r="S688" s="5">
        <f>SUM(bron[[#This Row],[Januari]:[December]])</f>
        <v>1</v>
      </c>
      <c r="T688" s="9">
        <v>45791</v>
      </c>
      <c r="U688" s="8" t="s">
        <v>1173</v>
      </c>
      <c r="V688" s="8">
        <v>1</v>
      </c>
      <c r="W688" s="8"/>
      <c r="X688" t="s">
        <v>7</v>
      </c>
      <c r="Y688" t="s">
        <v>13</v>
      </c>
    </row>
    <row r="689" spans="1:25" hidden="1" x14ac:dyDescent="0.25">
      <c r="A689">
        <v>40393</v>
      </c>
      <c r="B689" t="str">
        <f>_xlfn.CONCAT(bron[[#This Row],[personeelsnr]]," ",bron[[#This Row],[achternaam]]," ",bron[[#This Row],[voornaam]])</f>
        <v>40393 Salimova Eydzhan</v>
      </c>
      <c r="C689" t="str">
        <f>VLOOKUP(bron[[#This Row],[personeelsnr]],'data hastus'!$A:$C,2,0)</f>
        <v>Salimova</v>
      </c>
      <c r="D689" t="str">
        <f>VLOOKUP(bron[[#This Row],[personeelsnr]],'data hastus'!$A:$C,3,0)</f>
        <v>Eydzhan</v>
      </c>
      <c r="E689" t="str">
        <f>VLOOKUP(bron[[#This Row],[personeelsnr]],'data hastus'!A:K,11,FALSE)</f>
        <v>Dominique De Clercq</v>
      </c>
      <c r="F689" s="10"/>
      <c r="G689" s="7"/>
      <c r="H689" s="7"/>
      <c r="I689" s="7"/>
      <c r="S689" s="5">
        <f>SUM(bron[[#This Row],[Januari]:[December]])</f>
        <v>0</v>
      </c>
      <c r="T689" s="9">
        <v>45792</v>
      </c>
      <c r="U689" s="8" t="s">
        <v>1174</v>
      </c>
      <c r="V689" s="8">
        <v>1</v>
      </c>
      <c r="W689" s="8"/>
      <c r="X689" t="s">
        <v>7</v>
      </c>
      <c r="Y689" t="s">
        <v>175</v>
      </c>
    </row>
    <row r="690" spans="1:25" hidden="1" x14ac:dyDescent="0.25">
      <c r="A690">
        <v>36428</v>
      </c>
      <c r="B690" t="str">
        <f>_xlfn.CONCAT(bron[[#This Row],[personeelsnr]]," ",bron[[#This Row],[achternaam]]," ",bron[[#This Row],[voornaam]])</f>
        <v>36428 Abdi Shaiye Rashid</v>
      </c>
      <c r="C690" t="str">
        <f>VLOOKUP(bron[[#This Row],[personeelsnr]],'data hastus'!$A:$C,2,0)</f>
        <v>Abdi Shaiye</v>
      </c>
      <c r="D690" t="str">
        <f>VLOOKUP(bron[[#This Row],[personeelsnr]],'data hastus'!$A:$C,3,0)</f>
        <v>Rashid</v>
      </c>
      <c r="E690" t="str">
        <f>VLOOKUP(bron[[#This Row],[personeelsnr]],'data hastus'!A:K,11,FALSE)</f>
        <v>Lucie Vande Velde</v>
      </c>
      <c r="F690" s="10"/>
      <c r="G690" s="7"/>
      <c r="H690" s="7"/>
      <c r="I690" s="7"/>
      <c r="K690" s="5">
        <v>1</v>
      </c>
      <c r="S690" s="5">
        <f>SUM(bron[[#This Row],[Januari]:[December]])</f>
        <v>1</v>
      </c>
      <c r="T690" s="9">
        <v>45792</v>
      </c>
      <c r="U690" s="8" t="s">
        <v>1175</v>
      </c>
      <c r="V690" s="8"/>
      <c r="W690" s="8">
        <v>1</v>
      </c>
      <c r="X690" t="s">
        <v>8</v>
      </c>
      <c r="Y690" t="s">
        <v>10</v>
      </c>
    </row>
    <row r="691" spans="1:25" hidden="1" x14ac:dyDescent="0.25">
      <c r="A691">
        <v>41230</v>
      </c>
      <c r="B691" t="str">
        <f>_xlfn.CONCAT(bron[[#This Row],[personeelsnr]]," ",bron[[#This Row],[achternaam]]," ",bron[[#This Row],[voornaam]])</f>
        <v>41230 De Witte Bart</v>
      </c>
      <c r="C691" t="str">
        <f>VLOOKUP(bron[[#This Row],[personeelsnr]],'data hastus'!$A:$C,2,0)</f>
        <v>De Witte</v>
      </c>
      <c r="D691" t="str">
        <f>VLOOKUP(bron[[#This Row],[personeelsnr]],'data hastus'!$A:$C,3,0)</f>
        <v>Bart</v>
      </c>
      <c r="E691" t="str">
        <f>VLOOKUP(bron[[#This Row],[personeelsnr]],'data hastus'!A:K,11,FALSE)</f>
        <v>Dominique De Clercq</v>
      </c>
      <c r="F691" s="10"/>
      <c r="G691" s="7"/>
      <c r="H691" s="7"/>
      <c r="I691" s="7"/>
      <c r="K691" s="5">
        <v>1</v>
      </c>
      <c r="S691" s="5">
        <f>SUM(bron[[#This Row],[Januari]:[December]])</f>
        <v>1</v>
      </c>
      <c r="T691" s="9">
        <v>45794</v>
      </c>
      <c r="U691" s="8" t="s">
        <v>1176</v>
      </c>
      <c r="V691" s="8">
        <v>1</v>
      </c>
      <c r="W691" s="8"/>
      <c r="X691" t="s">
        <v>7</v>
      </c>
      <c r="Y691" t="s">
        <v>281</v>
      </c>
    </row>
    <row r="692" spans="1:25" hidden="1" x14ac:dyDescent="0.25">
      <c r="A692">
        <v>41710</v>
      </c>
      <c r="B692" t="str">
        <f>_xlfn.CONCAT(bron[[#This Row],[personeelsnr]]," ",bron[[#This Row],[achternaam]]," ",bron[[#This Row],[voornaam]])</f>
        <v>41710 Ghani Fazal</v>
      </c>
      <c r="C692" t="str">
        <f>VLOOKUP(bron[[#This Row],[personeelsnr]],'data hastus'!$A:$C,2,0)</f>
        <v>Ghani</v>
      </c>
      <c r="D692" t="str">
        <f>VLOOKUP(bron[[#This Row],[personeelsnr]],'data hastus'!$A:$C,3,0)</f>
        <v>Fazal</v>
      </c>
      <c r="E692" t="str">
        <f>VLOOKUP(bron[[#This Row],[personeelsnr]],'data hastus'!A:K,11,FALSE)</f>
        <v>Els Vanhoe</v>
      </c>
      <c r="F692" s="10"/>
      <c r="G692" s="7"/>
      <c r="H692" s="7"/>
      <c r="I692" s="7"/>
      <c r="K692" s="5">
        <v>1</v>
      </c>
      <c r="S692" s="5">
        <f>SUM(bron[[#This Row],[Januari]:[December]])</f>
        <v>1</v>
      </c>
      <c r="T692" s="9">
        <v>45798</v>
      </c>
      <c r="U692" s="8" t="s">
        <v>1177</v>
      </c>
      <c r="V692" s="8">
        <v>1</v>
      </c>
      <c r="W692" s="8"/>
      <c r="X692" t="s">
        <v>7</v>
      </c>
      <c r="Y692" t="s">
        <v>108</v>
      </c>
    </row>
    <row r="693" spans="1:25" hidden="1" x14ac:dyDescent="0.25">
      <c r="A693">
        <v>38648</v>
      </c>
      <c r="B693" t="str">
        <f>_xlfn.CONCAT(bron[[#This Row],[personeelsnr]]," ",bron[[#This Row],[achternaam]]," ",bron[[#This Row],[voornaam]])</f>
        <v>38648 Uckuyulu Muhammet Emin</v>
      </c>
      <c r="C693" t="str">
        <f>VLOOKUP(bron[[#This Row],[personeelsnr]],'data hastus'!$A:$C,2,0)</f>
        <v>Uckuyulu</v>
      </c>
      <c r="D693" t="str">
        <f>VLOOKUP(bron[[#This Row],[personeelsnr]],'data hastus'!$A:$C,3,0)</f>
        <v>Muhammet Emin</v>
      </c>
      <c r="E693" t="str">
        <f>VLOOKUP(bron[[#This Row],[personeelsnr]],'data hastus'!A:K,11,FALSE)</f>
        <v>Lucie Vande Velde</v>
      </c>
      <c r="F693" s="10"/>
      <c r="G693" s="7"/>
      <c r="H693" s="7"/>
      <c r="I693" s="7"/>
      <c r="K693" s="5">
        <v>1</v>
      </c>
      <c r="S693" s="5">
        <f>SUM(bron[[#This Row],[Januari]:[December]])</f>
        <v>1</v>
      </c>
      <c r="T693" s="9">
        <v>45798</v>
      </c>
      <c r="U693" s="8" t="s">
        <v>1178</v>
      </c>
      <c r="V693" s="8"/>
      <c r="W693" s="8">
        <v>1</v>
      </c>
      <c r="X693" t="s">
        <v>8</v>
      </c>
      <c r="Y693" t="s">
        <v>173</v>
      </c>
    </row>
    <row r="694" spans="1:25" hidden="1" x14ac:dyDescent="0.25">
      <c r="A694">
        <v>41671</v>
      </c>
      <c r="B694" t="str">
        <f>_xlfn.CONCAT(bron[[#This Row],[personeelsnr]]," ",bron[[#This Row],[achternaam]]," ",bron[[#This Row],[voornaam]])</f>
        <v>41671 Hasan Salem</v>
      </c>
      <c r="C694" t="str">
        <f>VLOOKUP(bron[[#This Row],[personeelsnr]],'data hastus'!$A:$C,2,0)</f>
        <v>Hasan</v>
      </c>
      <c r="D694" t="str">
        <f>VLOOKUP(bron[[#This Row],[personeelsnr]],'data hastus'!$A:$C,3,0)</f>
        <v>Salem</v>
      </c>
      <c r="E694" t="str">
        <f>VLOOKUP(bron[[#This Row],[personeelsnr]],'data hastus'!A:K,11,FALSE)</f>
        <v>Bart Van Der Beken</v>
      </c>
      <c r="F694" s="10"/>
      <c r="G694" s="7"/>
      <c r="H694" s="7"/>
      <c r="I694" s="7"/>
      <c r="K694" s="5">
        <v>1</v>
      </c>
      <c r="S694" s="5">
        <f>SUM(bron[[#This Row],[Januari]:[December]])</f>
        <v>1</v>
      </c>
      <c r="T694" s="9">
        <v>45799</v>
      </c>
      <c r="U694" s="8" t="s">
        <v>1179</v>
      </c>
      <c r="V694" s="8">
        <v>1</v>
      </c>
      <c r="W694" s="8"/>
      <c r="X694" t="s">
        <v>7</v>
      </c>
      <c r="Y694" t="s">
        <v>46</v>
      </c>
    </row>
    <row r="695" spans="1:25" hidden="1" x14ac:dyDescent="0.25">
      <c r="A695">
        <v>41482</v>
      </c>
      <c r="B695" t="str">
        <f>_xlfn.CONCAT(bron[[#This Row],[personeelsnr]]," ",bron[[#This Row],[achternaam]]," ",bron[[#This Row],[voornaam]])</f>
        <v>41482 Özdemir Osman</v>
      </c>
      <c r="C695" t="str">
        <f>VLOOKUP(bron[[#This Row],[personeelsnr]],'data hastus'!$A:$C,2,0)</f>
        <v>Özdemir</v>
      </c>
      <c r="D695" t="str">
        <f>VLOOKUP(bron[[#This Row],[personeelsnr]],'data hastus'!$A:$C,3,0)</f>
        <v>Osman</v>
      </c>
      <c r="E695" t="str">
        <f>VLOOKUP(bron[[#This Row],[personeelsnr]],'data hastus'!A:K,11,FALSE)</f>
        <v>Bart Van Der Beken</v>
      </c>
      <c r="F695" s="10"/>
      <c r="G695" s="7"/>
      <c r="H695" s="7"/>
      <c r="I695" s="7"/>
      <c r="K695" s="5">
        <v>1</v>
      </c>
      <c r="S695" s="5">
        <f>SUM(bron[[#This Row],[Januari]:[December]])</f>
        <v>1</v>
      </c>
      <c r="T695" s="9">
        <v>45800</v>
      </c>
      <c r="U695" s="8" t="s">
        <v>1180</v>
      </c>
      <c r="V695" s="8">
        <v>1</v>
      </c>
      <c r="W695" s="8"/>
      <c r="X695" t="s">
        <v>7</v>
      </c>
      <c r="Y695" t="s">
        <v>34</v>
      </c>
    </row>
    <row r="696" spans="1:25" hidden="1" x14ac:dyDescent="0.25">
      <c r="A696">
        <v>40278</v>
      </c>
      <c r="B696" t="str">
        <f>_xlfn.CONCAT(bron[[#This Row],[personeelsnr]]," ",bron[[#This Row],[achternaam]]," ",bron[[#This Row],[voornaam]])</f>
        <v>40278 Ates Firat</v>
      </c>
      <c r="C696" t="str">
        <f>VLOOKUP(bron[[#This Row],[personeelsnr]],'data hastus'!$A:$C,2,0)</f>
        <v>Ates</v>
      </c>
      <c r="D696" t="str">
        <f>VLOOKUP(bron[[#This Row],[personeelsnr]],'data hastus'!$A:$C,3,0)</f>
        <v>Firat</v>
      </c>
      <c r="E696" t="str">
        <f>VLOOKUP(bron[[#This Row],[personeelsnr]],'data hastus'!A:K,11,FALSE)</f>
        <v>Christoff Rotty</v>
      </c>
      <c r="F696" s="10"/>
      <c r="G696" s="7"/>
      <c r="H696" s="7"/>
      <c r="I696" s="7"/>
      <c r="K696" s="5">
        <v>1</v>
      </c>
      <c r="S696" s="5">
        <f>SUM(bron[[#This Row],[Januari]:[December]])</f>
        <v>1</v>
      </c>
      <c r="T696" s="9">
        <v>45800</v>
      </c>
      <c r="U696" s="5" t="s">
        <v>1181</v>
      </c>
      <c r="V696" s="8">
        <v>1</v>
      </c>
      <c r="X696" t="s">
        <v>7</v>
      </c>
      <c r="Y696" t="s">
        <v>37</v>
      </c>
    </row>
    <row r="697" spans="1:25" hidden="1" x14ac:dyDescent="0.25">
      <c r="A697">
        <v>39651</v>
      </c>
      <c r="B697" t="str">
        <f>_xlfn.CONCAT(bron[[#This Row],[personeelsnr]]," ",bron[[#This Row],[achternaam]]," ",bron[[#This Row],[voornaam]])</f>
        <v>39651 Kallenbach Sunny</v>
      </c>
      <c r="C697" t="str">
        <f>VLOOKUP(bron[[#This Row],[personeelsnr]],'data hastus'!$A:$C,2,0)</f>
        <v>Kallenbach</v>
      </c>
      <c r="D697" t="str">
        <f>VLOOKUP(bron[[#This Row],[personeelsnr]],'data hastus'!$A:$C,3,0)</f>
        <v>Sunny</v>
      </c>
      <c r="E697" t="str">
        <f>VLOOKUP(bron[[#This Row],[personeelsnr]],'data hastus'!A:K,11,FALSE)</f>
        <v>Kenneth De Rick</v>
      </c>
      <c r="F697" s="10">
        <v>45800</v>
      </c>
      <c r="G697" s="7"/>
      <c r="H697" s="7"/>
      <c r="I697" s="7"/>
      <c r="K697" s="5">
        <v>1</v>
      </c>
      <c r="S697" s="5">
        <f>SUM(bron[[#This Row],[Januari]:[December]])</f>
        <v>1</v>
      </c>
      <c r="T697" s="9">
        <v>45800</v>
      </c>
      <c r="U697" s="8" t="s">
        <v>1182</v>
      </c>
      <c r="V697" s="24">
        <v>1</v>
      </c>
      <c r="W697" s="24"/>
      <c r="X697" t="s">
        <v>7</v>
      </c>
      <c r="Y697" t="s">
        <v>10</v>
      </c>
    </row>
    <row r="698" spans="1:25" hidden="1" x14ac:dyDescent="0.25">
      <c r="A698">
        <v>15412</v>
      </c>
      <c r="B698" t="str">
        <f>_xlfn.CONCAT(bron[[#This Row],[personeelsnr]]," ",bron[[#This Row],[achternaam]]," ",bron[[#This Row],[voornaam]])</f>
        <v>15412 Dhondt Frank</v>
      </c>
      <c r="C698" t="str">
        <f>VLOOKUP(bron[[#This Row],[personeelsnr]],'data hastus'!$A:$C,2,0)</f>
        <v>Dhondt</v>
      </c>
      <c r="D698" t="str">
        <f>VLOOKUP(bron[[#This Row],[personeelsnr]],'data hastus'!$A:$C,3,0)</f>
        <v>Frank</v>
      </c>
      <c r="E698" t="str">
        <f>VLOOKUP(bron[[#This Row],[personeelsnr]],'data hastus'!A:K,11,FALSE)</f>
        <v>Bart Van Der Beken</v>
      </c>
      <c r="F698" s="10"/>
      <c r="G698" s="7"/>
      <c r="H698" s="7"/>
      <c r="I698" s="7"/>
      <c r="L698" s="5">
        <v>1</v>
      </c>
      <c r="S698" s="5">
        <f>SUM(bron[[#This Row],[Januari]:[December]])</f>
        <v>1</v>
      </c>
      <c r="T698" s="9">
        <v>45803</v>
      </c>
      <c r="U698" s="8" t="s">
        <v>1183</v>
      </c>
      <c r="V698" s="8">
        <v>1</v>
      </c>
      <c r="W698" s="8"/>
      <c r="X698" t="s">
        <v>7</v>
      </c>
      <c r="Y698" t="s">
        <v>115</v>
      </c>
    </row>
    <row r="699" spans="1:25" hidden="1" x14ac:dyDescent="0.25">
      <c r="A699">
        <v>36438</v>
      </c>
      <c r="B699" t="str">
        <f>_xlfn.CONCAT(bron[[#This Row],[personeelsnr]]," ",bron[[#This Row],[achternaam]]," ",bron[[#This Row],[voornaam]])</f>
        <v>36438 Agil Birol</v>
      </c>
      <c r="C699" t="str">
        <f>VLOOKUP(bron[[#This Row],[personeelsnr]],'data hastus'!$A:$C,2,0)</f>
        <v>Agil</v>
      </c>
      <c r="D699" t="str">
        <f>VLOOKUP(bron[[#This Row],[personeelsnr]],'data hastus'!$A:$C,3,0)</f>
        <v>Birol</v>
      </c>
      <c r="E699" t="str">
        <f>VLOOKUP(bron[[#This Row],[personeelsnr]],'data hastus'!A:K,11,FALSE)</f>
        <v>Bart Van Der Beken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45803</v>
      </c>
      <c r="U699" s="8" t="s">
        <v>1184</v>
      </c>
      <c r="V699" s="8"/>
      <c r="W699" s="8">
        <v>1</v>
      </c>
      <c r="X699" t="s">
        <v>8</v>
      </c>
      <c r="Y699" t="s">
        <v>75</v>
      </c>
    </row>
    <row r="700" spans="1:25" hidden="1" x14ac:dyDescent="0.25">
      <c r="A700">
        <v>15282</v>
      </c>
      <c r="B700" t="str">
        <f>_xlfn.CONCAT(bron[[#This Row],[personeelsnr]]," ",bron[[#This Row],[achternaam]]," ",bron[[#This Row],[voornaam]])</f>
        <v>15282 Marinx Kristoff</v>
      </c>
      <c r="C700" t="str">
        <f>VLOOKUP(bron[[#This Row],[personeelsnr]],'data hastus'!$A:$C,2,0)</f>
        <v>Marinx</v>
      </c>
      <c r="D700" t="str">
        <f>VLOOKUP(bron[[#This Row],[personeelsnr]],'data hastus'!$A:$C,3,0)</f>
        <v>Kristoff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K700" s="5">
        <v>1</v>
      </c>
      <c r="S700" s="5">
        <f>SUM(bron[[#This Row],[Januari]:[December]])</f>
        <v>1</v>
      </c>
      <c r="T700" s="9">
        <v>45803</v>
      </c>
      <c r="U700" s="8" t="s">
        <v>1185</v>
      </c>
      <c r="V700" s="8"/>
      <c r="W700" s="8">
        <v>1</v>
      </c>
      <c r="X700" t="s">
        <v>8</v>
      </c>
      <c r="Y700" t="s">
        <v>129</v>
      </c>
    </row>
    <row r="701" spans="1:25" hidden="1" x14ac:dyDescent="0.25">
      <c r="A701">
        <v>40856</v>
      </c>
      <c r="B701" t="str">
        <f>_xlfn.CONCAT(bron[[#This Row],[personeelsnr]]," ",bron[[#This Row],[achternaam]]," ",bron[[#This Row],[voornaam]])</f>
        <v>40856 Neissi Sadegh</v>
      </c>
      <c r="C701" t="str">
        <f>VLOOKUP(bron[[#This Row],[personeelsnr]],'data hastus'!$A:$C,2,0)</f>
        <v>Neissi</v>
      </c>
      <c r="D701" t="str">
        <f>VLOOKUP(bron[[#This Row],[personeelsnr]],'data hastus'!$A:$C,3,0)</f>
        <v>Sadegh</v>
      </c>
      <c r="E701" t="str">
        <f>VLOOKUP(bron[[#This Row],[personeelsnr]],'data hastus'!A:K,11,FALSE)</f>
        <v>Kenneth De Rick</v>
      </c>
      <c r="F701" s="10"/>
      <c r="G701" s="7"/>
      <c r="H701" s="7"/>
      <c r="I701" s="7"/>
      <c r="K701" s="5">
        <v>1</v>
      </c>
      <c r="S701" s="5">
        <f>SUM(bron[[#This Row],[Januari]:[December]])</f>
        <v>1</v>
      </c>
      <c r="T701" s="9">
        <v>45806</v>
      </c>
      <c r="U701" s="8" t="s">
        <v>1186</v>
      </c>
      <c r="V701" s="8">
        <v>1</v>
      </c>
      <c r="W701" s="8"/>
      <c r="X701" t="s">
        <v>7</v>
      </c>
      <c r="Y701" t="s">
        <v>125</v>
      </c>
    </row>
    <row r="702" spans="1:25" hidden="1" x14ac:dyDescent="0.25">
      <c r="A702">
        <v>41619</v>
      </c>
      <c r="B702" t="str">
        <f>_xlfn.CONCAT(bron[[#This Row],[personeelsnr]]," ",bron[[#This Row],[achternaam]]," ",bron[[#This Row],[voornaam]])</f>
        <v>41619 Bachiri Ousama</v>
      </c>
      <c r="C702" t="str">
        <f>VLOOKUP(bron[[#This Row],[personeelsnr]],'data hastus'!$A:$C,2,0)</f>
        <v>Bachiri</v>
      </c>
      <c r="D702" t="str">
        <f>VLOOKUP(bron[[#This Row],[personeelsnr]],'data hastus'!$A:$C,3,0)</f>
        <v>Ousama</v>
      </c>
      <c r="E702" t="str">
        <f>VLOOKUP(bron[[#This Row],[personeelsnr]],'data hastus'!A:K,11,FALSE)</f>
        <v>Bart Van Der Beken</v>
      </c>
      <c r="F702" s="10"/>
      <c r="G702" s="7"/>
      <c r="H702" s="7"/>
      <c r="I702" s="7"/>
      <c r="K702" s="5">
        <v>1</v>
      </c>
      <c r="S702" s="5">
        <f>SUM(bron[[#This Row],[Januari]:[December]])</f>
        <v>1</v>
      </c>
      <c r="T702" s="9">
        <v>45807</v>
      </c>
      <c r="U702" s="8" t="s">
        <v>1187</v>
      </c>
      <c r="V702" s="8">
        <v>1</v>
      </c>
      <c r="W702" s="8"/>
      <c r="X702" t="s">
        <v>7</v>
      </c>
      <c r="Y702" t="s">
        <v>57</v>
      </c>
    </row>
    <row r="703" spans="1:25" hidden="1" x14ac:dyDescent="0.25">
      <c r="A703">
        <v>39927</v>
      </c>
      <c r="B703" t="str">
        <f>_xlfn.CONCAT(bron[[#This Row],[personeelsnr]]," ",bron[[#This Row],[achternaam]]," ",bron[[#This Row],[voornaam]])</f>
        <v>39927 De Wilde Jordy</v>
      </c>
      <c r="C703" t="str">
        <f>VLOOKUP(bron[[#This Row],[personeelsnr]],'data hastus'!$A:$C,2,0)</f>
        <v>De Wilde</v>
      </c>
      <c r="D703" t="str">
        <f>VLOOKUP(bron[[#This Row],[personeelsnr]],'data hastus'!$A:$C,3,0)</f>
        <v>Jordy</v>
      </c>
      <c r="E703" t="str">
        <f>VLOOKUP(bron[[#This Row],[personeelsnr]],'data hastus'!A:K,11,FALSE)</f>
        <v>Christoff Rotty</v>
      </c>
      <c r="F703" s="10"/>
      <c r="G703" s="7"/>
      <c r="H703" s="7"/>
      <c r="I703" s="7"/>
      <c r="K703" s="5">
        <v>1</v>
      </c>
      <c r="S703" s="5">
        <f>SUM(bron[[#This Row],[Januari]:[December]])</f>
        <v>1</v>
      </c>
      <c r="T703" s="9">
        <v>45808</v>
      </c>
      <c r="U703" s="8" t="s">
        <v>1188</v>
      </c>
      <c r="V703" s="8"/>
      <c r="W703" s="8">
        <v>1</v>
      </c>
      <c r="X703" t="s">
        <v>8</v>
      </c>
      <c r="Y703" t="s">
        <v>5</v>
      </c>
    </row>
    <row r="704" spans="1:25" hidden="1" x14ac:dyDescent="0.25">
      <c r="A704">
        <v>40278</v>
      </c>
      <c r="B704" t="str">
        <f>_xlfn.CONCAT(bron[[#This Row],[personeelsnr]]," ",bron[[#This Row],[achternaam]]," ",bron[[#This Row],[voornaam]])</f>
        <v>40278 Ates Firat</v>
      </c>
      <c r="C704" t="str">
        <f>VLOOKUP(bron[[#This Row],[personeelsnr]],'data hastus'!$A:$C,2,0)</f>
        <v>Ates</v>
      </c>
      <c r="D704" t="str">
        <f>VLOOKUP(bron[[#This Row],[personeelsnr]],'data hastus'!$A:$C,3,0)</f>
        <v>Firat</v>
      </c>
      <c r="E704" t="str">
        <f>VLOOKUP(bron[[#This Row],[personeelsnr]],'data hastus'!A:K,11,FALSE)</f>
        <v>Christoff Rotty</v>
      </c>
      <c r="F704" s="10"/>
      <c r="G704" s="7"/>
      <c r="H704" s="7"/>
      <c r="I704" s="7"/>
      <c r="L704" s="5">
        <v>1</v>
      </c>
      <c r="S704" s="5">
        <f>SUM(bron[[#This Row],[Januari]:[December]])</f>
        <v>1</v>
      </c>
      <c r="T704" s="9">
        <v>45810</v>
      </c>
      <c r="U704" s="8" t="s">
        <v>1189</v>
      </c>
      <c r="V704" s="8">
        <v>1</v>
      </c>
      <c r="W704" s="8"/>
      <c r="X704" t="s">
        <v>7</v>
      </c>
      <c r="Y704" t="s">
        <v>98</v>
      </c>
    </row>
    <row r="705" spans="1:25" hidden="1" x14ac:dyDescent="0.25">
      <c r="A705">
        <v>41384</v>
      </c>
      <c r="B705" t="str">
        <f>_xlfn.CONCAT(bron[[#This Row],[personeelsnr]]," ",bron[[#This Row],[achternaam]]," ",bron[[#This Row],[voornaam]])</f>
        <v>41384 Hillaert Thimo</v>
      </c>
      <c r="C705" t="str">
        <f>VLOOKUP(bron[[#This Row],[personeelsnr]],'data hastus'!$A:$C,2,0)</f>
        <v>Hillaert</v>
      </c>
      <c r="D705" t="str">
        <f>VLOOKUP(bron[[#This Row],[personeelsnr]],'data hastus'!$A:$C,3,0)</f>
        <v>Thimo</v>
      </c>
      <c r="E705" t="str">
        <f>VLOOKUP(bron[[#This Row],[personeelsnr]],'data hastus'!A:K,11,FALSE)</f>
        <v>Christoff Rotty</v>
      </c>
      <c r="F705" s="10"/>
      <c r="G705" s="7"/>
      <c r="H705" s="7"/>
      <c r="I705" s="7"/>
      <c r="L705" s="5">
        <v>1</v>
      </c>
      <c r="S705" s="5">
        <f>SUM(bron[[#This Row],[Januari]:[December]])</f>
        <v>1</v>
      </c>
      <c r="T705" s="9">
        <v>45810</v>
      </c>
      <c r="U705" s="8" t="s">
        <v>1190</v>
      </c>
      <c r="V705" s="8">
        <v>1</v>
      </c>
      <c r="W705" s="8"/>
      <c r="X705" t="s">
        <v>7</v>
      </c>
      <c r="Y705" t="s">
        <v>28</v>
      </c>
    </row>
    <row r="706" spans="1:25" hidden="1" x14ac:dyDescent="0.25">
      <c r="A706">
        <v>40036</v>
      </c>
      <c r="B706" t="str">
        <f>_xlfn.CONCAT(bron[[#This Row],[personeelsnr]]," ",bron[[#This Row],[achternaam]]," ",bron[[#This Row],[voornaam]])</f>
        <v>40036 Karakaya Oguz</v>
      </c>
      <c r="C706" t="str">
        <f>VLOOKUP(bron[[#This Row],[personeelsnr]],'data hastus'!$A:$C,2,0)</f>
        <v>Karakaya</v>
      </c>
      <c r="D706" t="str">
        <f>VLOOKUP(bron[[#This Row],[personeelsnr]],'data hastus'!$A:$C,3,0)</f>
        <v>Oguz</v>
      </c>
      <c r="E706" t="str">
        <f>VLOOKUP(bron[[#This Row],[personeelsnr]],'data hastus'!A:K,11,FALSE)</f>
        <v>Dominique De Clercq</v>
      </c>
      <c r="F706" s="10"/>
      <c r="G706" s="7"/>
      <c r="H706" s="7"/>
      <c r="I706" s="7"/>
      <c r="L706" s="5">
        <v>1</v>
      </c>
      <c r="S706" s="5">
        <f>SUM(bron[[#This Row],[Januari]:[December]])</f>
        <v>1</v>
      </c>
      <c r="T706" s="9">
        <v>45810</v>
      </c>
      <c r="U706" s="8" t="s">
        <v>1191</v>
      </c>
      <c r="V706" s="8">
        <v>1</v>
      </c>
      <c r="W706" s="8"/>
      <c r="X706" t="s">
        <v>7</v>
      </c>
      <c r="Y706" t="s">
        <v>60</v>
      </c>
    </row>
    <row r="707" spans="1:25" hidden="1" x14ac:dyDescent="0.25">
      <c r="A707">
        <v>41064</v>
      </c>
      <c r="B707" t="str">
        <f>_xlfn.CONCAT(bron[[#This Row],[personeelsnr]]," ",bron[[#This Row],[achternaam]]," ",bron[[#This Row],[voornaam]])</f>
        <v>41064 Ardic Atilla</v>
      </c>
      <c r="C707" t="str">
        <f>VLOOKUP(bron[[#This Row],[personeelsnr]],'data hastus'!$A:$C,2,0)</f>
        <v>Ardic</v>
      </c>
      <c r="D707" t="str">
        <f>VLOOKUP(bron[[#This Row],[personeelsnr]],'data hastus'!$A:$C,3,0)</f>
        <v>Atilla</v>
      </c>
      <c r="E707" t="str">
        <f>VLOOKUP(bron[[#This Row],[personeelsnr]],'data hastus'!A:K,11,FALSE)</f>
        <v>Dominique De Clercq</v>
      </c>
      <c r="F707" s="10"/>
      <c r="G707" s="7"/>
      <c r="H707" s="7"/>
      <c r="I707" s="7"/>
      <c r="L707" s="5">
        <v>1</v>
      </c>
      <c r="S707" s="5">
        <f>SUM(bron[[#This Row],[Januari]:[December]])</f>
        <v>1</v>
      </c>
      <c r="T707" s="9">
        <v>45811</v>
      </c>
      <c r="U707" s="8" t="s">
        <v>1192</v>
      </c>
      <c r="V707" s="24">
        <v>1</v>
      </c>
      <c r="W707" s="24"/>
      <c r="X707" t="s">
        <v>7</v>
      </c>
      <c r="Y707" t="s">
        <v>5</v>
      </c>
    </row>
    <row r="708" spans="1:25" hidden="1" x14ac:dyDescent="0.25">
      <c r="A708">
        <v>41246</v>
      </c>
      <c r="B708" t="str">
        <f>_xlfn.CONCAT(bron[[#This Row],[personeelsnr]]," ",bron[[#This Row],[achternaam]]," ",bron[[#This Row],[voornaam]])</f>
        <v>41246 Van Holsbeeck Yana</v>
      </c>
      <c r="C708" t="str">
        <f>VLOOKUP(bron[[#This Row],[personeelsnr]],'data hastus'!$A:$C,2,0)</f>
        <v>Van Holsbeeck</v>
      </c>
      <c r="D708" t="str">
        <f>VLOOKUP(bron[[#This Row],[personeelsnr]],'data hastus'!$A:$C,3,0)</f>
        <v>Yana</v>
      </c>
      <c r="E708" t="str">
        <f>VLOOKUP(bron[[#This Row],[personeelsnr]],'data hastus'!A:K,11,FALSE)</f>
        <v>Dominique De Clercq</v>
      </c>
      <c r="F708" s="10"/>
      <c r="G708" s="7"/>
      <c r="H708" s="7"/>
      <c r="I708" s="7"/>
      <c r="L708" s="5">
        <v>1</v>
      </c>
      <c r="S708" s="5">
        <f>SUM(bron[[#This Row],[Januari]:[December]])</f>
        <v>1</v>
      </c>
      <c r="T708" s="9">
        <v>45811</v>
      </c>
      <c r="U708" s="8" t="s">
        <v>1193</v>
      </c>
      <c r="V708" s="8">
        <v>1</v>
      </c>
      <c r="W708" s="8"/>
      <c r="X708" t="s">
        <v>7</v>
      </c>
      <c r="Y708" t="s">
        <v>283</v>
      </c>
    </row>
    <row r="709" spans="1:25" hidden="1" x14ac:dyDescent="0.25">
      <c r="A709">
        <v>23918</v>
      </c>
      <c r="B709" t="str">
        <f>_xlfn.CONCAT(bron[[#This Row],[personeelsnr]]," ",bron[[#This Row],[achternaam]]," ",bron[[#This Row],[voornaam]])</f>
        <v>23918 D'Haeyere Bernard</v>
      </c>
      <c r="C709" t="str">
        <f>VLOOKUP(bron[[#This Row],[personeelsnr]],'data hastus'!$A:$C,2,0)</f>
        <v>D'Haeyere</v>
      </c>
      <c r="D709" t="str">
        <f>VLOOKUP(bron[[#This Row],[personeelsnr]],'data hastus'!$A:$C,3,0)</f>
        <v>Bernard</v>
      </c>
      <c r="E709" t="str">
        <f>VLOOKUP(bron[[#This Row],[personeelsnr]],'data hastus'!A:K,11,FALSE)</f>
        <v>Els Vanhoe</v>
      </c>
      <c r="F709" s="10"/>
      <c r="G709" s="7"/>
      <c r="H709" s="7"/>
      <c r="I709" s="7"/>
      <c r="L709" s="5">
        <v>1</v>
      </c>
      <c r="S709" s="5">
        <f>SUM(bron[[#This Row],[Januari]:[December]])</f>
        <v>1</v>
      </c>
      <c r="T709" s="9">
        <v>45811</v>
      </c>
      <c r="U709" s="8" t="s">
        <v>1194</v>
      </c>
      <c r="V709" s="8">
        <v>1</v>
      </c>
      <c r="W709" s="8"/>
      <c r="X709" t="s">
        <v>7</v>
      </c>
      <c r="Y709" t="s">
        <v>155</v>
      </c>
    </row>
    <row r="710" spans="1:25" hidden="1" x14ac:dyDescent="0.25">
      <c r="A710">
        <v>36154</v>
      </c>
      <c r="B710" t="str">
        <f>_xlfn.CONCAT(bron[[#This Row],[personeelsnr]]," ",bron[[#This Row],[achternaam]]," ",bron[[#This Row],[voornaam]])</f>
        <v>36154 De Clercq Sven</v>
      </c>
      <c r="C710" t="str">
        <f>VLOOKUP(bron[[#This Row],[personeelsnr]],'data hastus'!$A:$C,2,0)</f>
        <v>De Clercq</v>
      </c>
      <c r="D710" t="str">
        <f>VLOOKUP(bron[[#This Row],[personeelsnr]],'data hastus'!$A:$C,3,0)</f>
        <v>Sven</v>
      </c>
      <c r="E710" t="str">
        <f>VLOOKUP(bron[[#This Row],[personeelsnr]],'data hastus'!A:K,11,FALSE)</f>
        <v>Lucie Vande Velde</v>
      </c>
      <c r="F710" s="10"/>
      <c r="G710" s="7"/>
      <c r="H710" s="7"/>
      <c r="I710" s="7"/>
      <c r="L710" s="5">
        <v>1</v>
      </c>
      <c r="S710" s="5">
        <f>SUM(bron[[#This Row],[Januari]:[December]])</f>
        <v>1</v>
      </c>
      <c r="T710" s="9">
        <v>45811</v>
      </c>
      <c r="U710" s="8" t="s">
        <v>1195</v>
      </c>
      <c r="V710" s="8"/>
      <c r="W710" s="8">
        <v>1</v>
      </c>
      <c r="X710" t="s">
        <v>8</v>
      </c>
      <c r="Y710" t="s">
        <v>81</v>
      </c>
    </row>
    <row r="711" spans="1:25" hidden="1" x14ac:dyDescent="0.25">
      <c r="A711">
        <v>38481</v>
      </c>
      <c r="B711" t="str">
        <f>_xlfn.CONCAT(bron[[#This Row],[personeelsnr]]," ",bron[[#This Row],[achternaam]]," ",bron[[#This Row],[voornaam]])</f>
        <v>38481 Sari Devrim</v>
      </c>
      <c r="C711" t="str">
        <f>VLOOKUP(bron[[#This Row],[personeelsnr]],'data hastus'!$A:$C,2,0)</f>
        <v>Sari</v>
      </c>
      <c r="D711" t="str">
        <f>VLOOKUP(bron[[#This Row],[personeelsnr]],'data hastus'!$A:$C,3,0)</f>
        <v>Devrim</v>
      </c>
      <c r="E711" t="str">
        <f>VLOOKUP(bron[[#This Row],[personeelsnr]],'data hastus'!A:K,11,FALSE)</f>
        <v>Kenneth De Rick</v>
      </c>
      <c r="F711" s="10"/>
      <c r="G711" s="7"/>
      <c r="H711" s="7"/>
      <c r="I711" s="7"/>
      <c r="L711" s="5">
        <v>1</v>
      </c>
      <c r="S711" s="5">
        <f>SUM(bron[[#This Row],[Januari]:[December]])</f>
        <v>1</v>
      </c>
      <c r="T711" s="9">
        <v>45812</v>
      </c>
      <c r="U711" s="8" t="s">
        <v>1196</v>
      </c>
      <c r="V711" s="24">
        <v>1</v>
      </c>
      <c r="W711" s="24"/>
      <c r="X711" t="s">
        <v>7</v>
      </c>
      <c r="Y711" t="s">
        <v>247</v>
      </c>
    </row>
    <row r="712" spans="1:25" hidden="1" x14ac:dyDescent="0.25">
      <c r="A712">
        <v>41032</v>
      </c>
      <c r="B712" t="str">
        <f>_xlfn.CONCAT(bron[[#This Row],[personeelsnr]]," ",bron[[#This Row],[achternaam]]," ",bron[[#This Row],[voornaam]])</f>
        <v>41032 Rocabado Hinojosa Lukas</v>
      </c>
      <c r="C712" t="str">
        <f>VLOOKUP(bron[[#This Row],[personeelsnr]],'data hastus'!$A:$C,2,0)</f>
        <v>Rocabado Hinojosa</v>
      </c>
      <c r="D712" t="str">
        <f>VLOOKUP(bron[[#This Row],[personeelsnr]],'data hastus'!$A:$C,3,0)</f>
        <v>Lukas</v>
      </c>
      <c r="E712" t="str">
        <f>VLOOKUP(bron[[#This Row],[personeelsnr]],'data hastus'!A:K,11,FALSE)</f>
        <v>Els Vanhoe</v>
      </c>
      <c r="F712" s="10"/>
      <c r="G712" s="7"/>
      <c r="H712" s="7"/>
      <c r="I712" s="7"/>
      <c r="L712" s="5">
        <v>1</v>
      </c>
      <c r="S712" s="5">
        <f>SUM(bron[[#This Row],[Januari]:[December]])</f>
        <v>1</v>
      </c>
      <c r="T712" s="9">
        <v>45813</v>
      </c>
      <c r="U712" s="8" t="s">
        <v>1197</v>
      </c>
      <c r="V712" s="8">
        <v>1</v>
      </c>
      <c r="W712" s="8"/>
      <c r="X712" t="s">
        <v>7</v>
      </c>
      <c r="Y712" t="s">
        <v>117</v>
      </c>
    </row>
    <row r="713" spans="1:25" hidden="1" x14ac:dyDescent="0.25">
      <c r="A713">
        <v>41032</v>
      </c>
      <c r="B713" t="str">
        <f>_xlfn.CONCAT(bron[[#This Row],[personeelsnr]]," ",bron[[#This Row],[achternaam]]," ",bron[[#This Row],[voornaam]])</f>
        <v>41032 Rocabado Hinojosa Lukas</v>
      </c>
      <c r="C713" t="str">
        <f>VLOOKUP(bron[[#This Row],[personeelsnr]],'data hastus'!$A:$C,2,0)</f>
        <v>Rocabado Hinojosa</v>
      </c>
      <c r="D713" t="str">
        <f>VLOOKUP(bron[[#This Row],[personeelsnr]],'data hastus'!$A:$C,3,0)</f>
        <v>Lukas</v>
      </c>
      <c r="E713" t="str">
        <f>VLOOKUP(bron[[#This Row],[personeelsnr]],'data hastus'!A:K,11,FALSE)</f>
        <v>Els Vanhoe</v>
      </c>
      <c r="F713" s="10"/>
      <c r="G713" s="7"/>
      <c r="H713" s="7"/>
      <c r="I713" s="7"/>
      <c r="L713" s="5">
        <v>1</v>
      </c>
      <c r="S713" s="5">
        <f>SUM(bron[[#This Row],[Januari]:[December]])</f>
        <v>1</v>
      </c>
      <c r="T713" s="9">
        <v>45813</v>
      </c>
      <c r="U713" s="8" t="s">
        <v>1198</v>
      </c>
      <c r="V713" s="8">
        <v>1</v>
      </c>
      <c r="W713" s="8"/>
      <c r="X713" t="s">
        <v>7</v>
      </c>
      <c r="Y713" t="s">
        <v>34</v>
      </c>
    </row>
    <row r="714" spans="1:25" hidden="1" x14ac:dyDescent="0.25">
      <c r="A714">
        <v>36627</v>
      </c>
      <c r="B714" t="str">
        <f>_xlfn.CONCAT(bron[[#This Row],[personeelsnr]]," ",bron[[#This Row],[achternaam]]," ",bron[[#This Row],[voornaam]])</f>
        <v>36627 Dobbelaere David</v>
      </c>
      <c r="C714" t="str">
        <f>VLOOKUP(bron[[#This Row],[personeelsnr]],'data hastus'!$A:$C,2,0)</f>
        <v>Dobbelaere</v>
      </c>
      <c r="D714" t="str">
        <f>VLOOKUP(bron[[#This Row],[personeelsnr]],'data hastus'!$A:$C,3,0)</f>
        <v>David</v>
      </c>
      <c r="E714" t="str">
        <f>VLOOKUP(bron[[#This Row],[personeelsnr]],'data hastus'!A:K,11,FALSE)</f>
        <v>Els Dewulf</v>
      </c>
      <c r="F714" s="10"/>
      <c r="G714" s="7"/>
      <c r="H714" s="7"/>
      <c r="I714" s="7"/>
      <c r="L714" s="5">
        <v>1</v>
      </c>
      <c r="S714" s="5">
        <f>SUM(bron[[#This Row],[Januari]:[December]])</f>
        <v>1</v>
      </c>
      <c r="T714" s="9">
        <v>45814</v>
      </c>
      <c r="U714" s="8" t="s">
        <v>1199</v>
      </c>
      <c r="V714" s="24"/>
      <c r="W714" s="24">
        <v>1</v>
      </c>
      <c r="X714" t="s">
        <v>8</v>
      </c>
      <c r="Y714" t="s">
        <v>72</v>
      </c>
    </row>
    <row r="715" spans="1:25" hidden="1" x14ac:dyDescent="0.25">
      <c r="A715">
        <v>37208</v>
      </c>
      <c r="B715" t="str">
        <f>_xlfn.CONCAT(bron[[#This Row],[personeelsnr]]," ",bron[[#This Row],[achternaam]]," ",bron[[#This Row],[voornaam]])</f>
        <v>37208 Catar Gökhan</v>
      </c>
      <c r="C715" t="str">
        <f>VLOOKUP(bron[[#This Row],[personeelsnr]],'data hastus'!$A:$C,2,0)</f>
        <v>Catar</v>
      </c>
      <c r="D715" t="str">
        <f>VLOOKUP(bron[[#This Row],[personeelsnr]],'data hastus'!$A:$C,3,0)</f>
        <v>Gökhan</v>
      </c>
      <c r="E715" t="str">
        <f>VLOOKUP(bron[[#This Row],[personeelsnr]],'data hastus'!A:K,11,FALSE)</f>
        <v>Kenneth De Rick</v>
      </c>
      <c r="F715" s="10"/>
      <c r="G715" s="7"/>
      <c r="H715" s="7"/>
      <c r="I715" s="7"/>
      <c r="L715" s="5">
        <v>1</v>
      </c>
      <c r="S715" s="5">
        <f>SUM(bron[[#This Row],[Januari]:[December]])</f>
        <v>1</v>
      </c>
      <c r="T715" s="9">
        <v>45815</v>
      </c>
      <c r="U715" s="8" t="s">
        <v>1200</v>
      </c>
      <c r="V715" s="24"/>
      <c r="W715" s="24">
        <v>1</v>
      </c>
      <c r="X715" t="s">
        <v>8</v>
      </c>
      <c r="Y715" t="s">
        <v>10</v>
      </c>
    </row>
    <row r="716" spans="1:25" hidden="1" x14ac:dyDescent="0.25">
      <c r="A716">
        <v>40645</v>
      </c>
      <c r="B716" t="str">
        <f>_xlfn.CONCAT(bron[[#This Row],[personeelsnr]]," ",bron[[#This Row],[achternaam]]," ",bron[[#This Row],[voornaam]])</f>
        <v>40645 Bytebier Jason</v>
      </c>
      <c r="C716" t="str">
        <f>VLOOKUP(bron[[#This Row],[personeelsnr]],'data hastus'!$A:$C,2,0)</f>
        <v>Bytebier</v>
      </c>
      <c r="D716" t="str">
        <f>VLOOKUP(bron[[#This Row],[personeelsnr]],'data hastus'!$A:$C,3,0)</f>
        <v>Jason</v>
      </c>
      <c r="E716" t="str">
        <f>VLOOKUP(bron[[#This Row],[personeelsnr]],'data hastus'!A:K,11,FALSE)</f>
        <v>Els Dewulf</v>
      </c>
      <c r="F716" s="10"/>
      <c r="G716" s="7"/>
      <c r="H716" s="7"/>
      <c r="I716" s="7"/>
      <c r="L716" s="5">
        <v>1</v>
      </c>
      <c r="S716" s="5">
        <f>SUM(bron[[#This Row],[Januari]:[December]])</f>
        <v>1</v>
      </c>
      <c r="T716" s="9">
        <v>45818</v>
      </c>
      <c r="U716" s="8" t="s">
        <v>1201</v>
      </c>
      <c r="V716" s="24">
        <v>1</v>
      </c>
      <c r="W716" s="24"/>
      <c r="X716" t="s">
        <v>7</v>
      </c>
      <c r="Y716" t="s">
        <v>16</v>
      </c>
    </row>
    <row r="717" spans="1:25" hidden="1" x14ac:dyDescent="0.25">
      <c r="A717">
        <v>36512</v>
      </c>
      <c r="B717" t="str">
        <f>_xlfn.CONCAT(bron[[#This Row],[personeelsnr]]," ",bron[[#This Row],[achternaam]]," ",bron[[#This Row],[voornaam]])</f>
        <v>36512 Van Herreweghe Branco</v>
      </c>
      <c r="C717" t="str">
        <f>VLOOKUP(bron[[#This Row],[personeelsnr]],'data hastus'!$A:$C,2,0)</f>
        <v>Van Herreweghe</v>
      </c>
      <c r="D717" t="str">
        <f>VLOOKUP(bron[[#This Row],[personeelsnr]],'data hastus'!$A:$C,3,0)</f>
        <v>Branco</v>
      </c>
      <c r="E717" t="str">
        <f>VLOOKUP(bron[[#This Row],[personeelsnr]],'data hastus'!A:K,11,FALSE)</f>
        <v>Steven Storm</v>
      </c>
      <c r="F717" s="10"/>
      <c r="G717" s="7"/>
      <c r="H717" s="7"/>
      <c r="I717" s="7"/>
      <c r="L717" s="5">
        <v>1</v>
      </c>
      <c r="S717" s="5">
        <f>SUM(bron[[#This Row],[Januari]:[December]])</f>
        <v>1</v>
      </c>
      <c r="T717" s="9">
        <v>45819</v>
      </c>
      <c r="U717" s="8" t="s">
        <v>1202</v>
      </c>
      <c r="V717" s="24">
        <v>1</v>
      </c>
      <c r="W717" s="24"/>
      <c r="X717" t="s">
        <v>7</v>
      </c>
      <c r="Y717" t="s">
        <v>86</v>
      </c>
    </row>
    <row r="718" spans="1:25" hidden="1" x14ac:dyDescent="0.25">
      <c r="A718">
        <v>7746</v>
      </c>
      <c r="B718" t="str">
        <f>_xlfn.CONCAT(bron[[#This Row],[personeelsnr]]," ",bron[[#This Row],[achternaam]]," ",bron[[#This Row],[voornaam]])</f>
        <v>7746 Aelterman Didier</v>
      </c>
      <c r="C718" t="str">
        <f>VLOOKUP(bron[[#This Row],[personeelsnr]],'data hastus'!$A:$C,2,0)</f>
        <v>Aelterman</v>
      </c>
      <c r="D718" t="str">
        <f>VLOOKUP(bron[[#This Row],[personeelsnr]],'data hastus'!$A:$C,3,0)</f>
        <v>Didier</v>
      </c>
      <c r="E718" t="str">
        <f>VLOOKUP(bron[[#This Row],[personeelsnr]],'data hastus'!A:K,11,FALSE)</f>
        <v>Christoff Rotty</v>
      </c>
      <c r="F718" s="10"/>
      <c r="G718" s="7"/>
      <c r="H718" s="7"/>
      <c r="I718" s="7"/>
      <c r="L718" s="5">
        <v>1</v>
      </c>
      <c r="S718" s="5">
        <f>SUM(bron[[#This Row],[Januari]:[December]])</f>
        <v>1</v>
      </c>
      <c r="T718" s="9">
        <v>45820</v>
      </c>
      <c r="U718" s="8" t="s">
        <v>1203</v>
      </c>
      <c r="V718" s="24">
        <v>1</v>
      </c>
      <c r="W718" s="24"/>
      <c r="X718" t="s">
        <v>7</v>
      </c>
      <c r="Y718" t="s">
        <v>94</v>
      </c>
    </row>
    <row r="719" spans="1:25" hidden="1" x14ac:dyDescent="0.25">
      <c r="A719">
        <v>31150</v>
      </c>
      <c r="B719" t="str">
        <f>_xlfn.CONCAT(bron[[#This Row],[personeelsnr]]," ",bron[[#This Row],[achternaam]]," ",bron[[#This Row],[voornaam]])</f>
        <v>31150 Oueslati Mohamed Ali</v>
      </c>
      <c r="C719" t="str">
        <f>VLOOKUP(bron[[#This Row],[personeelsnr]],'data hastus'!$A:$C,2,0)</f>
        <v>Oueslati</v>
      </c>
      <c r="D719" t="str">
        <f>VLOOKUP(bron[[#This Row],[personeelsnr]],'data hastus'!$A:$C,3,0)</f>
        <v>Mohamed Ali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L719" s="5">
        <v>1</v>
      </c>
      <c r="S719" s="5">
        <f>SUM(bron[[#This Row],[Januari]:[December]])</f>
        <v>1</v>
      </c>
      <c r="T719" s="9">
        <v>45820</v>
      </c>
      <c r="U719" s="8" t="s">
        <v>1204</v>
      </c>
      <c r="V719" s="24">
        <v>1</v>
      </c>
      <c r="W719" s="24"/>
      <c r="X719" t="s">
        <v>7</v>
      </c>
      <c r="Y719" t="s">
        <v>19</v>
      </c>
    </row>
    <row r="720" spans="1:25" hidden="1" x14ac:dyDescent="0.25">
      <c r="A720">
        <v>26695</v>
      </c>
      <c r="B720" t="str">
        <f>_xlfn.CONCAT(bron[[#This Row],[personeelsnr]]," ",bron[[#This Row],[achternaam]]," ",bron[[#This Row],[voornaam]])</f>
        <v>26695 Lippens Miguel</v>
      </c>
      <c r="C720" t="str">
        <f>VLOOKUP(bron[[#This Row],[personeelsnr]],'data hastus'!$A:$C,2,0)</f>
        <v>Lippens</v>
      </c>
      <c r="D720" t="str">
        <f>VLOOKUP(bron[[#This Row],[personeelsnr]],'data hastus'!$A:$C,3,0)</f>
        <v>Miguel</v>
      </c>
      <c r="E720" t="str">
        <f>VLOOKUP(bron[[#This Row],[personeelsnr]],'data hastus'!A:K,11,FALSE)</f>
        <v>Christoff Rotty</v>
      </c>
      <c r="F720" s="10">
        <v>45821</v>
      </c>
      <c r="G720" s="7"/>
      <c r="H720" s="7"/>
      <c r="I720" s="7"/>
      <c r="L720" s="5">
        <v>1</v>
      </c>
      <c r="S720" s="5">
        <f>SUM(bron[[#This Row],[Januari]:[December]])</f>
        <v>1</v>
      </c>
      <c r="T720" s="9">
        <v>45821</v>
      </c>
      <c r="U720" s="8" t="s">
        <v>1205</v>
      </c>
      <c r="V720" s="24">
        <v>1</v>
      </c>
      <c r="W720" s="24"/>
      <c r="X720" t="s">
        <v>7</v>
      </c>
      <c r="Y720" t="s">
        <v>94</v>
      </c>
    </row>
    <row r="721" spans="1:25" hidden="1" x14ac:dyDescent="0.25">
      <c r="A721">
        <v>36426</v>
      </c>
      <c r="B721" t="str">
        <f>_xlfn.CONCAT(bron[[#This Row],[personeelsnr]]," ",bron[[#This Row],[achternaam]]," ",bron[[#This Row],[voornaam]])</f>
        <v>36426 Mohamed Yassin Abdulhamid</v>
      </c>
      <c r="C721" t="str">
        <f>VLOOKUP(bron[[#This Row],[personeelsnr]],'data hastus'!$A:$C,2,0)</f>
        <v>Mohamed Yassin</v>
      </c>
      <c r="D721" t="str">
        <f>VLOOKUP(bron[[#This Row],[personeelsnr]],'data hastus'!$A:$C,3,0)</f>
        <v>Abdulhamid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L721" s="5">
        <v>1</v>
      </c>
      <c r="S721" s="5">
        <f>SUM(bron[[#This Row],[Januari]:[December]])</f>
        <v>1</v>
      </c>
      <c r="T721" s="9">
        <v>45828</v>
      </c>
      <c r="U721" s="8" t="s">
        <v>1206</v>
      </c>
      <c r="V721" s="24"/>
      <c r="W721" s="24">
        <v>1</v>
      </c>
      <c r="X721" t="s">
        <v>8</v>
      </c>
      <c r="Y721" t="s">
        <v>301</v>
      </c>
    </row>
    <row r="722" spans="1:25" hidden="1" x14ac:dyDescent="0.25">
      <c r="A722">
        <v>26847</v>
      </c>
      <c r="B722" t="str">
        <f>_xlfn.CONCAT(bron[[#This Row],[personeelsnr]]," ",bron[[#This Row],[achternaam]]," ",bron[[#This Row],[voornaam]])</f>
        <v>26847 De Meester David</v>
      </c>
      <c r="C722" t="str">
        <f>VLOOKUP(bron[[#This Row],[personeelsnr]],'data hastus'!$A:$C,2,0)</f>
        <v>De Meester</v>
      </c>
      <c r="D722" t="str">
        <f>VLOOKUP(bron[[#This Row],[personeelsnr]],'data hastus'!$A:$C,3,0)</f>
        <v>David</v>
      </c>
      <c r="E722" t="str">
        <f>VLOOKUP(bron[[#This Row],[personeelsnr]],'data hastus'!A:K,11,FALSE)</f>
        <v>Bart Van Der Beken</v>
      </c>
      <c r="F722" s="10"/>
      <c r="G722" s="7"/>
      <c r="H722" s="7"/>
      <c r="I722" s="7"/>
      <c r="L722" s="5">
        <v>1</v>
      </c>
      <c r="S722" s="5">
        <f>SUM(bron[[#This Row],[Januari]:[December]])</f>
        <v>1</v>
      </c>
      <c r="T722" s="9">
        <v>45828</v>
      </c>
      <c r="U722" s="8" t="s">
        <v>1207</v>
      </c>
      <c r="V722" s="24"/>
      <c r="W722" s="24">
        <v>1</v>
      </c>
      <c r="X722" t="s">
        <v>8</v>
      </c>
      <c r="Y722" t="s">
        <v>10</v>
      </c>
    </row>
    <row r="723" spans="1:25" hidden="1" x14ac:dyDescent="0.25">
      <c r="A723">
        <v>36569</v>
      </c>
      <c r="B723" t="str">
        <f>_xlfn.CONCAT(bron[[#This Row],[personeelsnr]]," ",bron[[#This Row],[achternaam]]," ",bron[[#This Row],[voornaam]])</f>
        <v>36569 Stroobandt Jonas</v>
      </c>
      <c r="C723" t="str">
        <f>VLOOKUP(bron[[#This Row],[personeelsnr]],'data hastus'!$A:$C,2,0)</f>
        <v>Stroobandt</v>
      </c>
      <c r="D723" t="str">
        <f>VLOOKUP(bron[[#This Row],[personeelsnr]],'data hastus'!$A:$C,3,0)</f>
        <v>Jonas</v>
      </c>
      <c r="E723" t="str">
        <f>VLOOKUP(bron[[#This Row],[personeelsnr]],'data hastus'!A:K,11,FALSE)</f>
        <v>Els Vanhoe</v>
      </c>
      <c r="F723" s="10"/>
      <c r="G723" s="7"/>
      <c r="H723" s="7"/>
      <c r="I723" s="7"/>
      <c r="L723" s="5">
        <v>1</v>
      </c>
      <c r="S723" s="5">
        <f>SUM(bron[[#This Row],[Januari]:[December]])</f>
        <v>1</v>
      </c>
      <c r="T723" s="9">
        <v>45828</v>
      </c>
      <c r="U723" s="8" t="s">
        <v>1208</v>
      </c>
      <c r="V723" s="24"/>
      <c r="W723" s="24">
        <v>1</v>
      </c>
      <c r="X723" t="s">
        <v>8</v>
      </c>
      <c r="Y723" t="s">
        <v>31</v>
      </c>
    </row>
    <row r="724" spans="1:25" hidden="1" x14ac:dyDescent="0.25">
      <c r="A724">
        <v>41721</v>
      </c>
      <c r="B724" t="str">
        <f>_xlfn.CONCAT(bron[[#This Row],[personeelsnr]]," ",bron[[#This Row],[achternaam]]," ",bron[[#This Row],[voornaam]])</f>
        <v>41721 Nolf Philippe</v>
      </c>
      <c r="C724" t="str">
        <f>VLOOKUP(bron[[#This Row],[personeelsnr]],'data hastus'!$A:$C,2,0)</f>
        <v>Nolf</v>
      </c>
      <c r="D724" t="str">
        <f>VLOOKUP(bron[[#This Row],[personeelsnr]],'data hastus'!$A:$C,3,0)</f>
        <v>Philippe</v>
      </c>
      <c r="E724" t="str">
        <f>VLOOKUP(bron[[#This Row],[personeelsnr]],'data hastus'!A:K,11,FALSE)</f>
        <v>Kenneth De Rick</v>
      </c>
      <c r="F724" s="10"/>
      <c r="G724" s="7"/>
      <c r="H724" s="7"/>
      <c r="I724" s="7"/>
      <c r="L724" s="5">
        <v>1</v>
      </c>
      <c r="S724" s="5">
        <f>SUM(bron[[#This Row],[Januari]:[December]])</f>
        <v>1</v>
      </c>
      <c r="T724" s="9">
        <v>45828</v>
      </c>
      <c r="U724" s="8" t="s">
        <v>1209</v>
      </c>
      <c r="V724" s="24">
        <v>1</v>
      </c>
      <c r="W724" s="24"/>
      <c r="X724" t="s">
        <v>7</v>
      </c>
      <c r="Y724" t="s">
        <v>57</v>
      </c>
    </row>
    <row r="725" spans="1:25" hidden="1" x14ac:dyDescent="0.25">
      <c r="A725">
        <v>36624</v>
      </c>
      <c r="B725" t="str">
        <f>_xlfn.CONCAT(bron[[#This Row],[personeelsnr]]," ",bron[[#This Row],[achternaam]]," ",bron[[#This Row],[voornaam]])</f>
        <v>36624 De Meulenaere Kurt</v>
      </c>
      <c r="C725" t="str">
        <f>VLOOKUP(bron[[#This Row],[personeelsnr]],'data hastus'!$A:$C,2,0)</f>
        <v>De Meulenaere</v>
      </c>
      <c r="D725" t="str">
        <f>VLOOKUP(bron[[#This Row],[personeelsnr]],'data hastus'!$A:$C,3,0)</f>
        <v>Kurt</v>
      </c>
      <c r="E725" t="str">
        <f>VLOOKUP(bron[[#This Row],[personeelsnr]],'data hastus'!A:K,11,FALSE)</f>
        <v>Dominique De Clercq</v>
      </c>
      <c r="F725" s="10"/>
      <c r="G725" s="7"/>
      <c r="H725" s="7"/>
      <c r="I725" s="7"/>
      <c r="L725" s="5">
        <v>1</v>
      </c>
      <c r="S725" s="5">
        <f>SUM(bron[[#This Row],[Januari]:[December]])</f>
        <v>1</v>
      </c>
      <c r="T725" s="9">
        <v>45829</v>
      </c>
      <c r="U725" s="8" t="s">
        <v>1210</v>
      </c>
      <c r="V725" s="24">
        <v>1</v>
      </c>
      <c r="W725" s="24"/>
      <c r="X725" t="s">
        <v>7</v>
      </c>
      <c r="Y725" t="s">
        <v>259</v>
      </c>
    </row>
    <row r="726" spans="1:25" hidden="1" x14ac:dyDescent="0.25">
      <c r="A726">
        <v>41690</v>
      </c>
      <c r="B726" t="str">
        <f>_xlfn.CONCAT(bron[[#This Row],[personeelsnr]]," ",bron[[#This Row],[achternaam]]," ",bron[[#This Row],[voornaam]])</f>
        <v>41690 Van de Winckel Kelly</v>
      </c>
      <c r="C726" t="str">
        <f>VLOOKUP(bron[[#This Row],[personeelsnr]],'data hastus'!$A:$C,2,0)</f>
        <v>Van de Winckel</v>
      </c>
      <c r="D726" t="str">
        <f>VLOOKUP(bron[[#This Row],[personeelsnr]],'data hastus'!$A:$C,3,0)</f>
        <v>Kelly</v>
      </c>
      <c r="E726" t="str">
        <f>VLOOKUP(bron[[#This Row],[personeelsnr]],'data hastus'!A:K,11,FALSE)</f>
        <v>Els Dewulf</v>
      </c>
      <c r="F726" s="10"/>
      <c r="G726" s="7"/>
      <c r="H726" s="7"/>
      <c r="I726" s="7"/>
      <c r="L726" s="5">
        <v>1</v>
      </c>
      <c r="S726" s="5">
        <f>SUM(bron[[#This Row],[Januari]:[December]])</f>
        <v>1</v>
      </c>
      <c r="T726" s="9">
        <v>45829</v>
      </c>
      <c r="U726" s="8" t="s">
        <v>1211</v>
      </c>
      <c r="V726" s="24">
        <v>1</v>
      </c>
      <c r="W726" s="24"/>
      <c r="X726" t="s">
        <v>7</v>
      </c>
      <c r="Y726" t="s">
        <v>54</v>
      </c>
    </row>
    <row r="727" spans="1:25" hidden="1" x14ac:dyDescent="0.25">
      <c r="A727">
        <v>38808</v>
      </c>
      <c r="B727" t="str">
        <f>_xlfn.CONCAT(bron[[#This Row],[personeelsnr]]," ",bron[[#This Row],[achternaam]]," ",bron[[#This Row],[voornaam]])</f>
        <v>38808 Wasen Jens</v>
      </c>
      <c r="C727" t="str">
        <f>VLOOKUP(bron[[#This Row],[personeelsnr]],'data hastus'!$A:$C,2,0)</f>
        <v>Wasen</v>
      </c>
      <c r="D727" t="str">
        <f>VLOOKUP(bron[[#This Row],[personeelsnr]],'data hastus'!$A:$C,3,0)</f>
        <v>Jens</v>
      </c>
      <c r="E727" t="str">
        <f>VLOOKUP(bron[[#This Row],[personeelsnr]],'data hastus'!A:K,11,FALSE)</f>
        <v>Els Dewulf</v>
      </c>
      <c r="F727" s="10"/>
      <c r="G727" s="7"/>
      <c r="H727" s="7"/>
      <c r="I727" s="7"/>
      <c r="L727" s="5">
        <v>1</v>
      </c>
      <c r="S727" s="5">
        <f>SUM(bron[[#This Row],[Januari]:[December]])</f>
        <v>1</v>
      </c>
      <c r="T727" s="9">
        <v>45830</v>
      </c>
      <c r="U727" s="8" t="s">
        <v>1212</v>
      </c>
      <c r="V727" s="24">
        <v>1</v>
      </c>
      <c r="W727" s="24"/>
      <c r="X727" t="s">
        <v>7</v>
      </c>
      <c r="Y727" t="s">
        <v>16</v>
      </c>
    </row>
    <row r="728" spans="1:25" hidden="1" x14ac:dyDescent="0.25">
      <c r="A728">
        <v>19917</v>
      </c>
      <c r="B728" t="str">
        <f>_xlfn.CONCAT(bron[[#This Row],[personeelsnr]]," ",bron[[#This Row],[achternaam]]," ",bron[[#This Row],[voornaam]])</f>
        <v>19917 Vandevyvere Frank</v>
      </c>
      <c r="C728" t="str">
        <f>VLOOKUP(bron[[#This Row],[personeelsnr]],'data hastus'!$A:$C,2,0)</f>
        <v>Vandevyvere</v>
      </c>
      <c r="D728" t="str">
        <f>VLOOKUP(bron[[#This Row],[personeelsnr]],'data hastus'!$A:$C,3,0)</f>
        <v>Frank</v>
      </c>
      <c r="E728" t="str">
        <f>VLOOKUP(bron[[#This Row],[personeelsnr]],'data hastus'!A:K,11,FALSE)</f>
        <v>Bart Van Der Beken</v>
      </c>
      <c r="F728" s="10"/>
      <c r="G728" s="7"/>
      <c r="H728" s="7"/>
      <c r="I728" s="7"/>
      <c r="L728" s="5">
        <v>1</v>
      </c>
      <c r="S728" s="5">
        <f>SUM(bron[[#This Row],[Januari]:[December]])</f>
        <v>1</v>
      </c>
      <c r="T728" s="9">
        <v>45831</v>
      </c>
      <c r="U728" s="8" t="s">
        <v>1213</v>
      </c>
      <c r="V728" s="24">
        <v>1</v>
      </c>
      <c r="W728" s="24"/>
      <c r="X728" t="s">
        <v>7</v>
      </c>
      <c r="Y728" t="s">
        <v>48</v>
      </c>
    </row>
    <row r="729" spans="1:25" hidden="1" x14ac:dyDescent="0.25">
      <c r="A729">
        <v>40478</v>
      </c>
      <c r="B729" t="str">
        <f>_xlfn.CONCAT(bron[[#This Row],[personeelsnr]]," ",bron[[#This Row],[achternaam]]," ",bron[[#This Row],[voornaam]])</f>
        <v>40478 Hashimi Ali Mir</v>
      </c>
      <c r="C729" t="str">
        <f>VLOOKUP(bron[[#This Row],[personeelsnr]],'data hastus'!$A:$C,2,0)</f>
        <v>Hashimi</v>
      </c>
      <c r="D729" t="str">
        <f>VLOOKUP(bron[[#This Row],[personeelsnr]],'data hastus'!$A:$C,3,0)</f>
        <v>Ali Mir</v>
      </c>
      <c r="E729" t="str">
        <f>VLOOKUP(bron[[#This Row],[personeelsnr]],'data hastus'!A:K,11,FALSE)</f>
        <v>Bart Van Der Beken</v>
      </c>
      <c r="F729" s="10"/>
      <c r="G729" s="7"/>
      <c r="H729" s="7"/>
      <c r="I729" s="7"/>
      <c r="L729" s="5">
        <v>1</v>
      </c>
      <c r="S729" s="5">
        <f>SUM(bron[[#This Row],[Januari]:[December]])</f>
        <v>1</v>
      </c>
      <c r="T729" s="9">
        <v>45831</v>
      </c>
      <c r="U729" s="8" t="s">
        <v>1214</v>
      </c>
      <c r="V729" s="24">
        <v>1</v>
      </c>
      <c r="W729" s="24"/>
      <c r="X729" t="s">
        <v>7</v>
      </c>
      <c r="Y729" t="s">
        <v>84</v>
      </c>
    </row>
    <row r="730" spans="1:25" hidden="1" x14ac:dyDescent="0.25">
      <c r="A730">
        <v>38633</v>
      </c>
      <c r="B730" t="str">
        <f>_xlfn.CONCAT(bron[[#This Row],[personeelsnr]]," ",bron[[#This Row],[achternaam]]," ",bron[[#This Row],[voornaam]])</f>
        <v>38633 Stomphorst Mattanja</v>
      </c>
      <c r="C730" t="str">
        <f>VLOOKUP(bron[[#This Row],[personeelsnr]],'data hastus'!$A:$C,2,0)</f>
        <v>Stomphorst</v>
      </c>
      <c r="D730" t="str">
        <f>VLOOKUP(bron[[#This Row],[personeelsnr]],'data hastus'!$A:$C,3,0)</f>
        <v>Mattanja</v>
      </c>
      <c r="E730" t="str">
        <f>VLOOKUP(bron[[#This Row],[personeelsnr]],'data hastus'!A:K,11,FALSE)</f>
        <v>Els Dewulf</v>
      </c>
      <c r="F730" s="10"/>
      <c r="G730" s="7"/>
      <c r="H730" s="7"/>
      <c r="I730" s="7"/>
      <c r="L730" s="5">
        <v>1</v>
      </c>
      <c r="S730" s="5">
        <f>SUM(bron[[#This Row],[Januari]:[December]])</f>
        <v>1</v>
      </c>
      <c r="T730" s="9">
        <v>45831</v>
      </c>
      <c r="U730" s="8" t="s">
        <v>1215</v>
      </c>
      <c r="V730" s="24">
        <v>1</v>
      </c>
      <c r="W730" s="24"/>
      <c r="X730" t="s">
        <v>7</v>
      </c>
      <c r="Y730" t="s">
        <v>28</v>
      </c>
    </row>
    <row r="731" spans="1:25" hidden="1" x14ac:dyDescent="0.25">
      <c r="A731">
        <v>38634</v>
      </c>
      <c r="B731" t="str">
        <f>_xlfn.CONCAT(bron[[#This Row],[personeelsnr]]," ",bron[[#This Row],[achternaam]]," ",bron[[#This Row],[voornaam]])</f>
        <v>38634 Asskale Zouhir</v>
      </c>
      <c r="C731" t="str">
        <f>VLOOKUP(bron[[#This Row],[personeelsnr]],'data hastus'!$A:$C,2,0)</f>
        <v>Asskale</v>
      </c>
      <c r="D731" t="str">
        <f>VLOOKUP(bron[[#This Row],[personeelsnr]],'data hastus'!$A:$C,3,0)</f>
        <v>Zouhir</v>
      </c>
      <c r="E731" t="str">
        <f>VLOOKUP(bron[[#This Row],[personeelsnr]],'data hastus'!A:K,11,FALSE)</f>
        <v>Bart Van Der Beken</v>
      </c>
      <c r="F731" s="10"/>
      <c r="G731" s="7"/>
      <c r="H731" s="7"/>
      <c r="I731" s="7"/>
      <c r="L731" s="5">
        <v>1</v>
      </c>
      <c r="S731" s="5">
        <f>SUM(bron[[#This Row],[Januari]:[December]])</f>
        <v>1</v>
      </c>
      <c r="T731" s="9">
        <v>45832</v>
      </c>
      <c r="U731" s="8" t="s">
        <v>1216</v>
      </c>
      <c r="V731" s="24"/>
      <c r="W731" s="24">
        <v>1</v>
      </c>
      <c r="X731" t="s">
        <v>8</v>
      </c>
      <c r="Y731" t="s">
        <v>239</v>
      </c>
    </row>
    <row r="732" spans="1:25" hidden="1" x14ac:dyDescent="0.25">
      <c r="A732">
        <v>15412</v>
      </c>
      <c r="B732" t="str">
        <f>_xlfn.CONCAT(bron[[#This Row],[personeelsnr]]," ",bron[[#This Row],[achternaam]]," ",bron[[#This Row],[voornaam]])</f>
        <v>15412 Dhondt Frank</v>
      </c>
      <c r="C732" t="str">
        <f>VLOOKUP(bron[[#This Row],[personeelsnr]],'data hastus'!$A:$C,2,0)</f>
        <v>Dhondt</v>
      </c>
      <c r="D732" t="str">
        <f>VLOOKUP(bron[[#This Row],[personeelsnr]],'data hastus'!$A:$C,3,0)</f>
        <v>Frank</v>
      </c>
      <c r="E732" t="str">
        <f>VLOOKUP(bron[[#This Row],[personeelsnr]],'data hastus'!A:K,11,FALSE)</f>
        <v>Bart Van Der Beken</v>
      </c>
      <c r="F732" s="10"/>
      <c r="G732" s="7"/>
      <c r="H732" s="7"/>
      <c r="I732" s="7"/>
      <c r="S732" s="5">
        <f>SUM(bron[[#This Row],[Januari]:[December]])</f>
        <v>0</v>
      </c>
      <c r="T732" s="9">
        <v>45833</v>
      </c>
      <c r="U732" s="8" t="s">
        <v>1217</v>
      </c>
      <c r="V732" s="24">
        <v>1</v>
      </c>
      <c r="W732" s="24"/>
      <c r="X732" t="s">
        <v>7</v>
      </c>
      <c r="Y732" t="s">
        <v>205</v>
      </c>
    </row>
    <row r="733" spans="1:25" hidden="1" x14ac:dyDescent="0.25">
      <c r="A733">
        <v>40362</v>
      </c>
      <c r="B733" t="str">
        <f>_xlfn.CONCAT(bron[[#This Row],[personeelsnr]]," ",bron[[#This Row],[achternaam]]," ",bron[[#This Row],[voornaam]])</f>
        <v>40362 Kuru Cetin</v>
      </c>
      <c r="C733" t="str">
        <f>VLOOKUP(bron[[#This Row],[personeelsnr]],'data hastus'!$A:$C,2,0)</f>
        <v>Kuru</v>
      </c>
      <c r="D733" t="str">
        <f>VLOOKUP(bron[[#This Row],[personeelsnr]],'data hastus'!$A:$C,3,0)</f>
        <v>Cetin</v>
      </c>
      <c r="E733" t="str">
        <f>VLOOKUP(bron[[#This Row],[personeelsnr]],'data hastus'!A:K,11,FALSE)</f>
        <v>Kenneth De Rick</v>
      </c>
      <c r="F733" s="10"/>
      <c r="G733" s="7"/>
      <c r="H733" s="7"/>
      <c r="I733" s="7"/>
      <c r="L733" s="5">
        <v>1</v>
      </c>
      <c r="S733" s="5">
        <f>SUM(bron[[#This Row],[Januari]:[December]])</f>
        <v>1</v>
      </c>
      <c r="T733" s="9">
        <v>45833</v>
      </c>
      <c r="U733" s="8" t="s">
        <v>1218</v>
      </c>
      <c r="V733" s="24">
        <v>1</v>
      </c>
      <c r="W733" s="24"/>
      <c r="X733" t="s">
        <v>7</v>
      </c>
      <c r="Y733" t="s">
        <v>51</v>
      </c>
    </row>
    <row r="734" spans="1:25" hidden="1" x14ac:dyDescent="0.25">
      <c r="A734">
        <v>39850</v>
      </c>
      <c r="B734" t="str">
        <f>_xlfn.CONCAT(bron[[#This Row],[personeelsnr]]," ",bron[[#This Row],[achternaam]]," ",bron[[#This Row],[voornaam]])</f>
        <v>39850 Helleputte William</v>
      </c>
      <c r="C734" t="str">
        <f>VLOOKUP(bron[[#This Row],[personeelsnr]],'data hastus'!$A:$C,2,0)</f>
        <v>Helleputte</v>
      </c>
      <c r="D734" t="str">
        <f>VLOOKUP(bron[[#This Row],[personeelsnr]],'data hastus'!$A:$C,3,0)</f>
        <v>William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L734" s="5">
        <v>1</v>
      </c>
      <c r="S734" s="5">
        <f>SUM(bron[[#This Row],[Januari]:[December]])</f>
        <v>1</v>
      </c>
      <c r="T734" s="9">
        <v>45837</v>
      </c>
      <c r="U734" s="8" t="s">
        <v>1219</v>
      </c>
      <c r="V734" s="24">
        <v>1</v>
      </c>
      <c r="W734" s="24"/>
      <c r="X734" t="s">
        <v>7</v>
      </c>
      <c r="Y734" t="s">
        <v>119</v>
      </c>
    </row>
    <row r="735" spans="1:25" hidden="1" x14ac:dyDescent="0.25">
      <c r="A735">
        <v>40223</v>
      </c>
      <c r="B735" t="str">
        <f>_xlfn.CONCAT(bron[[#This Row],[personeelsnr]]," ",bron[[#This Row],[achternaam]]," ",bron[[#This Row],[voornaam]])</f>
        <v>40223 Teetaert Billy</v>
      </c>
      <c r="C735" t="str">
        <f>VLOOKUP(bron[[#This Row],[personeelsnr]],'data hastus'!$A:$C,2,0)</f>
        <v>Teetaert</v>
      </c>
      <c r="D735" t="str">
        <f>VLOOKUP(bron[[#This Row],[personeelsnr]],'data hastus'!$A:$C,3,0)</f>
        <v>Billy</v>
      </c>
      <c r="E735" t="str">
        <f>VLOOKUP(bron[[#This Row],[personeelsnr]],'data hastus'!A:K,11,FALSE)</f>
        <v>Dominique De Clercq</v>
      </c>
      <c r="F735" s="10"/>
      <c r="G735" s="7"/>
      <c r="H735" s="7"/>
      <c r="I735" s="7"/>
      <c r="L735" s="5">
        <v>1</v>
      </c>
      <c r="S735" s="5">
        <f>SUM(bron[[#This Row],[Januari]:[December]])</f>
        <v>1</v>
      </c>
      <c r="T735" s="9">
        <v>45837</v>
      </c>
      <c r="U735" s="8" t="s">
        <v>1220</v>
      </c>
      <c r="V735" s="24">
        <v>1</v>
      </c>
      <c r="W735" s="24"/>
      <c r="X735" t="s">
        <v>7</v>
      </c>
      <c r="Y735" t="s">
        <v>271</v>
      </c>
    </row>
    <row r="736" spans="1:25" hidden="1" x14ac:dyDescent="0.25">
      <c r="A736">
        <v>21509</v>
      </c>
      <c r="B736" t="str">
        <f>_xlfn.CONCAT(bron[[#This Row],[personeelsnr]]," ",bron[[#This Row],[achternaam]]," ",bron[[#This Row],[voornaam]])</f>
        <v>21509 De Craemer Kris</v>
      </c>
      <c r="C736" t="str">
        <f>VLOOKUP(bron[[#This Row],[personeelsnr]],'data hastus'!$A:$C,2,0)</f>
        <v>De Craemer</v>
      </c>
      <c r="D736" t="str">
        <f>VLOOKUP(bron[[#This Row],[personeelsnr]],'data hastus'!$A:$C,3,0)</f>
        <v>Kris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M736" s="5">
        <v>1</v>
      </c>
      <c r="S736" s="5">
        <f>SUM(bron[[#This Row],[Januari]:[December]])</f>
        <v>1</v>
      </c>
      <c r="T736" s="9">
        <v>45839</v>
      </c>
      <c r="U736" s="8" t="s">
        <v>1221</v>
      </c>
      <c r="V736" s="24"/>
      <c r="W736" s="24">
        <v>1</v>
      </c>
      <c r="X736" t="s">
        <v>8</v>
      </c>
      <c r="Y736" t="s">
        <v>69</v>
      </c>
    </row>
    <row r="737" spans="1:25" hidden="1" x14ac:dyDescent="0.25">
      <c r="A737">
        <v>4419</v>
      </c>
      <c r="B737" t="str">
        <f>_xlfn.CONCAT(bron[[#This Row],[personeelsnr]]," ",bron[[#This Row],[achternaam]]," ",bron[[#This Row],[voornaam]])</f>
        <v>4419 Maelbrancke Eddy</v>
      </c>
      <c r="C737" t="str">
        <f>VLOOKUP(bron[[#This Row],[personeelsnr]],'data hastus'!$A:$C,2,0)</f>
        <v>Maelbrancke</v>
      </c>
      <c r="D737" t="str">
        <f>VLOOKUP(bron[[#This Row],[personeelsnr]],'data hastus'!$A:$C,3,0)</f>
        <v>Eddy</v>
      </c>
      <c r="E737" t="str">
        <f>VLOOKUP(bron[[#This Row],[personeelsnr]],'data hastus'!A:K,11,FALSE)</f>
        <v>Lucie Vande Velde</v>
      </c>
      <c r="F737" s="10"/>
      <c r="G737" s="7"/>
      <c r="H737" s="7"/>
      <c r="I737" s="7"/>
      <c r="M737" s="5">
        <v>1</v>
      </c>
      <c r="S737" s="5">
        <f>SUM(bron[[#This Row],[Januari]:[December]])</f>
        <v>1</v>
      </c>
      <c r="T737" s="9">
        <v>45839</v>
      </c>
      <c r="U737" s="8" t="s">
        <v>1222</v>
      </c>
      <c r="V737" s="24">
        <v>1</v>
      </c>
      <c r="W737" s="24"/>
      <c r="X737" t="s">
        <v>7</v>
      </c>
      <c r="Y737" t="s">
        <v>227</v>
      </c>
    </row>
    <row r="738" spans="1:25" hidden="1" x14ac:dyDescent="0.25">
      <c r="A738">
        <v>32528</v>
      </c>
      <c r="B738" t="str">
        <f>_xlfn.CONCAT(bron[[#This Row],[personeelsnr]]," ",bron[[#This Row],[achternaam]]," ",bron[[#This Row],[voornaam]])</f>
        <v>32528 Benjilali Abdelhak</v>
      </c>
      <c r="C738" t="str">
        <f>VLOOKUP(bron[[#This Row],[personeelsnr]],'data hastus'!$A:$C,2,0)</f>
        <v>Benjilali</v>
      </c>
      <c r="D738" t="str">
        <f>VLOOKUP(bron[[#This Row],[personeelsnr]],'data hastus'!$A:$C,3,0)</f>
        <v>Abdelhak</v>
      </c>
      <c r="E738" t="str">
        <f>VLOOKUP(bron[[#This Row],[personeelsnr]],'data hastus'!A:K,11,FALSE)</f>
        <v>Steven Storm</v>
      </c>
      <c r="F738" s="10"/>
      <c r="G738" s="7"/>
      <c r="H738" s="7"/>
      <c r="I738" s="7"/>
      <c r="M738" s="5">
        <v>1</v>
      </c>
      <c r="S738" s="5">
        <f>SUM(bron[[#This Row],[Januari]:[December]])</f>
        <v>1</v>
      </c>
      <c r="T738" s="9">
        <v>45839</v>
      </c>
      <c r="U738" s="8" t="s">
        <v>1223</v>
      </c>
      <c r="V738" s="24">
        <v>1</v>
      </c>
      <c r="W738" s="24"/>
      <c r="X738" t="s">
        <v>7</v>
      </c>
      <c r="Y738" t="s">
        <v>66</v>
      </c>
    </row>
    <row r="739" spans="1:25" hidden="1" x14ac:dyDescent="0.25">
      <c r="A739">
        <v>37542</v>
      </c>
      <c r="B739" t="str">
        <f>_xlfn.CONCAT(bron[[#This Row],[personeelsnr]]," ",bron[[#This Row],[achternaam]]," ",bron[[#This Row],[voornaam]])</f>
        <v>37542 De Tandt Hans</v>
      </c>
      <c r="C739" t="str">
        <f>VLOOKUP(bron[[#This Row],[personeelsnr]],'data hastus'!$A:$C,2,0)</f>
        <v>De Tandt</v>
      </c>
      <c r="D739" t="str">
        <f>VLOOKUP(bron[[#This Row],[personeelsnr]],'data hastus'!$A:$C,3,0)</f>
        <v>Hans</v>
      </c>
      <c r="E739" t="str">
        <f>VLOOKUP(bron[[#This Row],[personeelsnr]],'data hastus'!A:K,11,FALSE)</f>
        <v>Bart Van Der Beken</v>
      </c>
      <c r="F739" s="10"/>
      <c r="G739" s="7"/>
      <c r="H739" s="7"/>
      <c r="I739" s="7"/>
      <c r="M739" s="5">
        <v>1</v>
      </c>
      <c r="S739" s="5">
        <f>SUM(bron[[#This Row],[Januari]:[December]])</f>
        <v>1</v>
      </c>
      <c r="T739" s="9">
        <v>45840</v>
      </c>
      <c r="U739" s="8" t="s">
        <v>1224</v>
      </c>
      <c r="V739" s="24"/>
      <c r="W739" s="24">
        <v>1</v>
      </c>
      <c r="X739" t="s">
        <v>8</v>
      </c>
      <c r="Y739" t="s">
        <v>46</v>
      </c>
    </row>
    <row r="740" spans="1:25" hidden="1" x14ac:dyDescent="0.25">
      <c r="A740">
        <v>38648</v>
      </c>
      <c r="B740" t="str">
        <f>_xlfn.CONCAT(bron[[#This Row],[personeelsnr]]," ",bron[[#This Row],[achternaam]]," ",bron[[#This Row],[voornaam]])</f>
        <v>38648 Uckuyulu Muhammet Emin</v>
      </c>
      <c r="C740" t="str">
        <f>VLOOKUP(bron[[#This Row],[personeelsnr]],'data hastus'!$A:$C,2,0)</f>
        <v>Uckuyulu</v>
      </c>
      <c r="D740" t="str">
        <f>VLOOKUP(bron[[#This Row],[personeelsnr]],'data hastus'!$A:$C,3,0)</f>
        <v>Muhammet Emin</v>
      </c>
      <c r="E740" t="str">
        <f>VLOOKUP(bron[[#This Row],[personeelsnr]],'data hastus'!A:K,11,FALSE)</f>
        <v>Lucie Vande Velde</v>
      </c>
      <c r="F740" s="10"/>
      <c r="G740" s="7"/>
      <c r="H740" s="7"/>
      <c r="I740" s="7"/>
      <c r="M740" s="5">
        <v>1</v>
      </c>
      <c r="S740" s="5">
        <f>SUM(bron[[#This Row],[Januari]:[December]])</f>
        <v>1</v>
      </c>
      <c r="T740" s="9">
        <v>45840</v>
      </c>
      <c r="U740" s="8" t="s">
        <v>1225</v>
      </c>
      <c r="V740" s="24"/>
      <c r="W740" s="24">
        <v>1</v>
      </c>
      <c r="X740" t="s">
        <v>8</v>
      </c>
      <c r="Y740" t="s">
        <v>5</v>
      </c>
    </row>
    <row r="741" spans="1:25" hidden="1" x14ac:dyDescent="0.25">
      <c r="A741">
        <v>40745</v>
      </c>
      <c r="B741" t="str">
        <f>_xlfn.CONCAT(bron[[#This Row],[personeelsnr]]," ",bron[[#This Row],[achternaam]]," ",bron[[#This Row],[voornaam]])</f>
        <v>40745 Ivanov Ivan</v>
      </c>
      <c r="C741" t="str">
        <f>VLOOKUP(bron[[#This Row],[personeelsnr]],'data hastus'!$A:$C,2,0)</f>
        <v>Ivanov</v>
      </c>
      <c r="D741" t="str">
        <f>VLOOKUP(bron[[#This Row],[personeelsnr]],'data hastus'!$A:$C,3,0)</f>
        <v>Ivan</v>
      </c>
      <c r="E741" t="str">
        <f>VLOOKUP(bron[[#This Row],[personeelsnr]],'data hastus'!A:K,11,FALSE)</f>
        <v>Bart Van Der Beken</v>
      </c>
      <c r="F741" s="10"/>
      <c r="G741" s="7"/>
      <c r="H741" s="7"/>
      <c r="I741" s="7"/>
      <c r="M741" s="5">
        <v>1</v>
      </c>
      <c r="S741" s="5">
        <f>SUM(bron[[#This Row],[Januari]:[December]])</f>
        <v>1</v>
      </c>
      <c r="T741" s="9">
        <v>45841</v>
      </c>
      <c r="U741" s="8" t="s">
        <v>1226</v>
      </c>
      <c r="V741" s="24">
        <v>1</v>
      </c>
      <c r="W741" s="24"/>
      <c r="X741" t="s">
        <v>7</v>
      </c>
      <c r="Y741" t="s">
        <v>98</v>
      </c>
    </row>
    <row r="742" spans="1:25" hidden="1" x14ac:dyDescent="0.25">
      <c r="A742">
        <v>28737</v>
      </c>
      <c r="B742" t="str">
        <f>_xlfn.CONCAT(bron[[#This Row],[personeelsnr]]," ",bron[[#This Row],[achternaam]]," ",bron[[#This Row],[voornaam]])</f>
        <v>28737 El-Mohamed Mohamed</v>
      </c>
      <c r="C742" t="str">
        <f>VLOOKUP(bron[[#This Row],[personeelsnr]],'data hastus'!$A:$C,2,0)</f>
        <v>El-Mohamed</v>
      </c>
      <c r="D742" t="str">
        <f>VLOOKUP(bron[[#This Row],[personeelsnr]],'data hastus'!$A:$C,3,0)</f>
        <v>Mohamed</v>
      </c>
      <c r="E742" t="str">
        <f>VLOOKUP(bron[[#This Row],[personeelsnr]],'data hastus'!A:K,11,FALSE)</f>
        <v>Lucie Vande Velde</v>
      </c>
      <c r="F742" s="10"/>
      <c r="G742" s="7"/>
      <c r="H742" s="7"/>
      <c r="I742" s="7"/>
      <c r="M742" s="5">
        <v>1</v>
      </c>
      <c r="S742" s="5">
        <f>SUM(bron[[#This Row],[Januari]:[December]])</f>
        <v>1</v>
      </c>
      <c r="T742" s="9">
        <v>45842</v>
      </c>
      <c r="U742" s="8" t="s">
        <v>1227</v>
      </c>
      <c r="V742" s="24">
        <v>1</v>
      </c>
      <c r="W742" s="24"/>
      <c r="X742" t="s">
        <v>7</v>
      </c>
      <c r="Y742" t="s">
        <v>537</v>
      </c>
    </row>
    <row r="743" spans="1:25" hidden="1" x14ac:dyDescent="0.25">
      <c r="A743">
        <v>22416</v>
      </c>
      <c r="B743" t="str">
        <f>_xlfn.CONCAT(bron[[#This Row],[personeelsnr]]," ",bron[[#This Row],[achternaam]]," ",bron[[#This Row],[voornaam]])</f>
        <v>22416 Bicici Abdul Kadir</v>
      </c>
      <c r="C743" t="str">
        <f>VLOOKUP(bron[[#This Row],[personeelsnr]],'data hastus'!$A:$C,2,0)</f>
        <v>Bicici</v>
      </c>
      <c r="D743" t="str">
        <f>VLOOKUP(bron[[#This Row],[personeelsnr]],'data hastus'!$A:$C,3,0)</f>
        <v>Abdul Kadir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M743" s="5">
        <v>1</v>
      </c>
      <c r="S743" s="5">
        <f>SUM(bron[[#This Row],[Januari]:[December]])</f>
        <v>1</v>
      </c>
      <c r="T743" s="9">
        <v>45843</v>
      </c>
      <c r="U743" s="8" t="s">
        <v>1228</v>
      </c>
      <c r="V743" s="24"/>
      <c r="W743" s="24">
        <v>1</v>
      </c>
      <c r="X743" t="s">
        <v>8</v>
      </c>
      <c r="Y743" t="s">
        <v>231</v>
      </c>
    </row>
    <row r="744" spans="1:25" hidden="1" x14ac:dyDescent="0.25">
      <c r="A744">
        <v>40939</v>
      </c>
      <c r="B744" t="str">
        <f>_xlfn.CONCAT(bron[[#This Row],[personeelsnr]]," ",bron[[#This Row],[achternaam]]," ",bron[[#This Row],[voornaam]])</f>
        <v>40939 Cisse Sayon</v>
      </c>
      <c r="C744" t="str">
        <f>VLOOKUP(bron[[#This Row],[personeelsnr]],'data hastus'!$A:$C,2,0)</f>
        <v>Cisse</v>
      </c>
      <c r="D744" t="str">
        <f>VLOOKUP(bron[[#This Row],[personeelsnr]],'data hastus'!$A:$C,3,0)</f>
        <v>Sayon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M744" s="5">
        <v>1</v>
      </c>
      <c r="S744" s="5">
        <f>SUM(bron[[#This Row],[Januari]:[December]])</f>
        <v>1</v>
      </c>
      <c r="T744" s="9">
        <v>45843</v>
      </c>
      <c r="U744" s="8" t="s">
        <v>1229</v>
      </c>
      <c r="V744" s="24">
        <v>1</v>
      </c>
      <c r="W744" s="24"/>
      <c r="X744" t="s">
        <v>7</v>
      </c>
      <c r="Y744" t="s">
        <v>22</v>
      </c>
    </row>
    <row r="745" spans="1:25" hidden="1" x14ac:dyDescent="0.25">
      <c r="A745">
        <v>31776</v>
      </c>
      <c r="B745" t="str">
        <f>_xlfn.CONCAT(bron[[#This Row],[personeelsnr]]," ",bron[[#This Row],[achternaam]]," ",bron[[#This Row],[voornaam]])</f>
        <v>31776 Famelaer Steve</v>
      </c>
      <c r="C745" t="str">
        <f>VLOOKUP(bron[[#This Row],[personeelsnr]],'data hastus'!$A:$C,2,0)</f>
        <v>Famelaer</v>
      </c>
      <c r="D745" t="str">
        <f>VLOOKUP(bron[[#This Row],[personeelsnr]],'data hastus'!$A:$C,3,0)</f>
        <v>Steve</v>
      </c>
      <c r="E745" t="str">
        <f>VLOOKUP(bron[[#This Row],[personeelsnr]],'data hastus'!A:K,11,FALSE)</f>
        <v>Dominique De Clercq</v>
      </c>
      <c r="F745" s="10"/>
      <c r="G745" s="7"/>
      <c r="H745" s="7"/>
      <c r="I745" s="7"/>
      <c r="M745" s="5">
        <v>1</v>
      </c>
      <c r="S745" s="5">
        <f>SUM(bron[[#This Row],[Januari]:[December]])</f>
        <v>1</v>
      </c>
      <c r="T745" s="9">
        <v>45845</v>
      </c>
      <c r="U745" s="8" t="s">
        <v>1230</v>
      </c>
      <c r="V745" s="24">
        <v>1</v>
      </c>
      <c r="W745" s="24"/>
      <c r="X745" t="s">
        <v>7</v>
      </c>
      <c r="Y745" t="s">
        <v>19</v>
      </c>
    </row>
    <row r="746" spans="1:25" hidden="1" x14ac:dyDescent="0.25">
      <c r="A746">
        <v>41859</v>
      </c>
      <c r="B746" t="str">
        <f>_xlfn.CONCAT(bron[[#This Row],[personeelsnr]]," ",bron[[#This Row],[achternaam]]," ",bron[[#This Row],[voornaam]])</f>
        <v>41859 Palit Ramazan</v>
      </c>
      <c r="C746" t="s">
        <v>1231</v>
      </c>
      <c r="D746" t="s">
        <v>1232</v>
      </c>
      <c r="E746" t="s">
        <v>76</v>
      </c>
      <c r="F746" s="10"/>
      <c r="G746" s="7"/>
      <c r="H746" s="7"/>
      <c r="I746" s="7"/>
      <c r="M746" s="5">
        <v>1</v>
      </c>
      <c r="S746" s="5">
        <f>SUM(bron[[#This Row],[Januari]:[December]])</f>
        <v>1</v>
      </c>
      <c r="T746" s="9">
        <v>45845</v>
      </c>
      <c r="U746" s="8" t="s">
        <v>1233</v>
      </c>
      <c r="V746" s="24">
        <v>1</v>
      </c>
      <c r="W746" s="24"/>
      <c r="X746" t="s">
        <v>7</v>
      </c>
      <c r="Y746" t="s">
        <v>16</v>
      </c>
    </row>
    <row r="747" spans="1:25" hidden="1" x14ac:dyDescent="0.25">
      <c r="A747">
        <v>37439</v>
      </c>
      <c r="B747" t="str">
        <f>_xlfn.CONCAT(bron[[#This Row],[personeelsnr]]," ",bron[[#This Row],[achternaam]]," ",bron[[#This Row],[voornaam]])</f>
        <v>37439 Demirkazik Mustafa</v>
      </c>
      <c r="C747" t="str">
        <f>VLOOKUP(bron[[#This Row],[personeelsnr]],'data hastus'!$A:$C,2,0)</f>
        <v>Demirkazik</v>
      </c>
      <c r="D747" t="str">
        <f>VLOOKUP(bron[[#This Row],[personeelsnr]],'data hastus'!$A:$C,3,0)</f>
        <v>Mustafa</v>
      </c>
      <c r="E747" t="str">
        <f>VLOOKUP(bron[[#This Row],[personeelsnr]],'data hastus'!A:K,11,FALSE)</f>
        <v>Kenneth De Rick</v>
      </c>
      <c r="F747" s="10"/>
      <c r="G747" s="7"/>
      <c r="H747" s="7"/>
      <c r="I747" s="7"/>
      <c r="M747" s="5">
        <v>1</v>
      </c>
      <c r="S747" s="5">
        <f>SUM(bron[[#This Row],[Januari]:[December]])</f>
        <v>1</v>
      </c>
      <c r="T747" s="9">
        <v>45845</v>
      </c>
      <c r="U747" s="8" t="s">
        <v>1234</v>
      </c>
      <c r="V747" s="24">
        <v>1</v>
      </c>
      <c r="W747" s="24"/>
      <c r="X747" t="s">
        <v>7</v>
      </c>
      <c r="Y747" t="s">
        <v>106</v>
      </c>
    </row>
    <row r="748" spans="1:25" hidden="1" x14ac:dyDescent="0.25">
      <c r="A748">
        <v>18987</v>
      </c>
      <c r="B748" t="str">
        <f>_xlfn.CONCAT(bron[[#This Row],[personeelsnr]]," ",bron[[#This Row],[achternaam]]," ",bron[[#This Row],[voornaam]])</f>
        <v>18987 De Geyter Dolly</v>
      </c>
      <c r="C748" t="str">
        <f>VLOOKUP(bron[[#This Row],[personeelsnr]],'data hastus'!$A:$C,2,0)</f>
        <v>De Geyter</v>
      </c>
      <c r="D748" t="str">
        <f>VLOOKUP(bron[[#This Row],[personeelsnr]],'data hastus'!$A:$C,3,0)</f>
        <v>Dolly</v>
      </c>
      <c r="E748" t="str">
        <f>VLOOKUP(bron[[#This Row],[personeelsnr]],'data hastus'!A:K,11,FALSE)</f>
        <v>Steven Storm</v>
      </c>
      <c r="F748" s="10"/>
      <c r="G748" s="7"/>
      <c r="H748" s="7"/>
      <c r="I748" s="7"/>
      <c r="M748" s="5">
        <v>1</v>
      </c>
      <c r="S748" s="5">
        <f>SUM(bron[[#This Row],[Januari]:[December]])</f>
        <v>1</v>
      </c>
      <c r="T748" s="9">
        <v>45846</v>
      </c>
      <c r="U748" s="8" t="s">
        <v>1235</v>
      </c>
      <c r="V748" s="24"/>
      <c r="W748" s="24">
        <v>1</v>
      </c>
      <c r="X748" t="s">
        <v>8</v>
      </c>
      <c r="Y748" t="s">
        <v>104</v>
      </c>
    </row>
    <row r="749" spans="1:25" hidden="1" x14ac:dyDescent="0.25">
      <c r="A749">
        <v>22877</v>
      </c>
      <c r="B749" t="str">
        <f>_xlfn.CONCAT(bron[[#This Row],[personeelsnr]]," ",bron[[#This Row],[achternaam]]," ",bron[[#This Row],[voornaam]])</f>
        <v>22877 Goossens Gunther</v>
      </c>
      <c r="C749" t="str">
        <f>VLOOKUP(bron[[#This Row],[personeelsnr]],'data hastus'!$A:$C,2,0)</f>
        <v>Goossens</v>
      </c>
      <c r="D749" t="str">
        <f>VLOOKUP(bron[[#This Row],[personeelsnr]],'data hastus'!$A:$C,3,0)</f>
        <v>Gunther</v>
      </c>
      <c r="E749" t="str">
        <f>VLOOKUP(bron[[#This Row],[personeelsnr]],'data hastus'!A:K,11,FALSE)</f>
        <v>Els Dewulf</v>
      </c>
      <c r="F749" s="10"/>
      <c r="G749" s="7"/>
      <c r="H749" s="7"/>
      <c r="I749" s="7"/>
      <c r="M749" s="5">
        <v>1</v>
      </c>
      <c r="S749" s="5">
        <f>SUM(bron[[#This Row],[Januari]:[December]])</f>
        <v>1</v>
      </c>
      <c r="T749" s="9">
        <v>45847</v>
      </c>
      <c r="U749" s="8" t="s">
        <v>1236</v>
      </c>
      <c r="V749" s="24">
        <v>1</v>
      </c>
      <c r="W749" s="24"/>
      <c r="X749" t="s">
        <v>7</v>
      </c>
      <c r="Y749" t="s">
        <v>125</v>
      </c>
    </row>
    <row r="750" spans="1:25" hidden="1" x14ac:dyDescent="0.25">
      <c r="A750">
        <v>4720</v>
      </c>
      <c r="B750" t="str">
        <f>_xlfn.CONCAT(bron[[#This Row],[personeelsnr]]," ",bron[[#This Row],[achternaam]]," ",bron[[#This Row],[voornaam]])</f>
        <v>4720 De Roo Jo</v>
      </c>
      <c r="C750" t="str">
        <f>VLOOKUP(bron[[#This Row],[personeelsnr]],'data hastus'!$A:$C,2,0)</f>
        <v>De Roo</v>
      </c>
      <c r="D750" t="str">
        <f>VLOOKUP(bron[[#This Row],[personeelsnr]],'data hastus'!$A:$C,3,0)</f>
        <v>Jo</v>
      </c>
      <c r="E750" t="str">
        <f>VLOOKUP(bron[[#This Row],[personeelsnr]],'data hastus'!A:K,11,FALSE)</f>
        <v>Els Vanhoe</v>
      </c>
      <c r="F750" s="10"/>
      <c r="G750" s="7"/>
      <c r="H750" s="7"/>
      <c r="I750" s="7"/>
      <c r="M750" s="5">
        <v>1</v>
      </c>
      <c r="S750" s="5">
        <f>SUM(bron[[#This Row],[Januari]:[December]])</f>
        <v>1</v>
      </c>
      <c r="T750" s="9">
        <v>45847</v>
      </c>
      <c r="U750" s="8" t="s">
        <v>1237</v>
      </c>
      <c r="V750" s="24">
        <v>1</v>
      </c>
      <c r="W750" s="24"/>
      <c r="X750" t="s">
        <v>7</v>
      </c>
      <c r="Y750" t="s">
        <v>191</v>
      </c>
    </row>
    <row r="751" spans="1:25" hidden="1" x14ac:dyDescent="0.25">
      <c r="A751">
        <v>31668</v>
      </c>
      <c r="B751" t="str">
        <f>_xlfn.CONCAT(bron[[#This Row],[personeelsnr]]," ",bron[[#This Row],[achternaam]]," ",bron[[#This Row],[voornaam]])</f>
        <v>31668 Weemhof Maurice</v>
      </c>
      <c r="C751" t="str">
        <f>VLOOKUP(bron[[#This Row],[personeelsnr]],'data hastus'!$A:$C,2,0)</f>
        <v>Weemhof</v>
      </c>
      <c r="D751" t="str">
        <f>VLOOKUP(bron[[#This Row],[personeelsnr]],'data hastus'!$A:$C,3,0)</f>
        <v>Maurice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M751" s="5">
        <v>1</v>
      </c>
      <c r="S751" s="5">
        <f>SUM(bron[[#This Row],[Januari]:[December]])</f>
        <v>1</v>
      </c>
      <c r="T751" s="9">
        <v>45848</v>
      </c>
      <c r="U751" s="8" t="s">
        <v>1238</v>
      </c>
      <c r="V751" s="24">
        <v>1</v>
      </c>
      <c r="W751" s="24"/>
      <c r="X751" t="s">
        <v>7</v>
      </c>
      <c r="Y751" t="s">
        <v>16</v>
      </c>
    </row>
    <row r="752" spans="1:25" hidden="1" x14ac:dyDescent="0.25">
      <c r="A752">
        <v>12684</v>
      </c>
      <c r="B752" t="str">
        <f>_xlfn.CONCAT(bron[[#This Row],[personeelsnr]]," ",bron[[#This Row],[achternaam]]," ",bron[[#This Row],[voornaam]])</f>
        <v>12684 Van Den Bossche Martine</v>
      </c>
      <c r="C752" t="str">
        <f>VLOOKUP(bron[[#This Row],[personeelsnr]],'data hastus'!$A:$C,2,0)</f>
        <v>Van Den Bossche</v>
      </c>
      <c r="D752" t="str">
        <f>VLOOKUP(bron[[#This Row],[personeelsnr]],'data hastus'!$A:$C,3,0)</f>
        <v>Martine</v>
      </c>
      <c r="E752" t="str">
        <f>VLOOKUP(bron[[#This Row],[personeelsnr]],'data hastus'!A:K,11,FALSE)</f>
        <v>Els Vanhoe</v>
      </c>
      <c r="F752" s="10"/>
      <c r="G752" s="7"/>
      <c r="H752" s="7"/>
      <c r="I752" s="7"/>
      <c r="M752" s="5">
        <v>1</v>
      </c>
      <c r="S752" s="5">
        <f>SUM(bron[[#This Row],[Januari]:[December]])</f>
        <v>1</v>
      </c>
      <c r="T752" s="9">
        <v>45848</v>
      </c>
      <c r="U752" s="8" t="s">
        <v>1239</v>
      </c>
      <c r="V752" s="24">
        <v>1</v>
      </c>
      <c r="W752" s="24"/>
      <c r="X752" t="s">
        <v>7</v>
      </c>
      <c r="Y752" t="s">
        <v>37</v>
      </c>
    </row>
    <row r="753" spans="1:25" hidden="1" x14ac:dyDescent="0.25">
      <c r="A753">
        <v>40362</v>
      </c>
      <c r="B753" t="str">
        <f>_xlfn.CONCAT(bron[[#This Row],[personeelsnr]]," ",bron[[#This Row],[achternaam]]," ",bron[[#This Row],[voornaam]])</f>
        <v>40362 Kuru Cetin</v>
      </c>
      <c r="C753" t="str">
        <f>VLOOKUP(bron[[#This Row],[personeelsnr]],'data hastus'!$A:$C,2,0)</f>
        <v>Kuru</v>
      </c>
      <c r="D753" t="str">
        <f>VLOOKUP(bron[[#This Row],[personeelsnr]],'data hastus'!$A:$C,3,0)</f>
        <v>Cetin</v>
      </c>
      <c r="E753" t="str">
        <f>VLOOKUP(bron[[#This Row],[personeelsnr]],'data hastus'!A:K,11,FALSE)</f>
        <v>Kenneth De Rick</v>
      </c>
      <c r="F753" s="10"/>
      <c r="G753" s="7"/>
      <c r="H753" s="7"/>
      <c r="I753" s="7"/>
      <c r="M753" s="5">
        <v>1</v>
      </c>
      <c r="S753" s="5">
        <f>SUM(bron[[#This Row],[Januari]:[December]])</f>
        <v>1</v>
      </c>
      <c r="T753" s="9">
        <v>45848</v>
      </c>
      <c r="U753" s="8" t="s">
        <v>1240</v>
      </c>
      <c r="V753" s="24">
        <v>1</v>
      </c>
      <c r="W753" s="24"/>
      <c r="X753" t="s">
        <v>7</v>
      </c>
      <c r="Y753" t="s">
        <v>84</v>
      </c>
    </row>
    <row r="754" spans="1:25" hidden="1" x14ac:dyDescent="0.25">
      <c r="A754">
        <v>32002</v>
      </c>
      <c r="B754" t="str">
        <f>_xlfn.CONCAT(bron[[#This Row],[personeelsnr]]," ",bron[[#This Row],[achternaam]]," ",bron[[#This Row],[voornaam]])</f>
        <v>32002 Hasni Helmi</v>
      </c>
      <c r="C754" t="str">
        <f>VLOOKUP(bron[[#This Row],[personeelsnr]],'data hastus'!$A:$C,2,0)</f>
        <v>Hasni</v>
      </c>
      <c r="D754" t="str">
        <f>VLOOKUP(bron[[#This Row],[personeelsnr]],'data hastus'!$A:$C,3,0)</f>
        <v>Helmi</v>
      </c>
      <c r="E754" t="str">
        <f>VLOOKUP(bron[[#This Row],[personeelsnr]],'data hastus'!A:K,11,FALSE)</f>
        <v>Steven Storm</v>
      </c>
      <c r="F754" s="10"/>
      <c r="G754" s="7"/>
      <c r="H754" s="7"/>
      <c r="I754" s="7"/>
      <c r="M754" s="5">
        <v>1</v>
      </c>
      <c r="S754" s="5">
        <f>SUM(bron[[#This Row],[Januari]:[December]])</f>
        <v>1</v>
      </c>
      <c r="T754" s="9">
        <v>45848</v>
      </c>
      <c r="U754" s="8" t="s">
        <v>1241</v>
      </c>
      <c r="V754" s="24"/>
      <c r="W754" s="24">
        <v>1</v>
      </c>
      <c r="X754" t="s">
        <v>8</v>
      </c>
      <c r="Y754" t="s">
        <v>181</v>
      </c>
    </row>
    <row r="755" spans="1:25" hidden="1" x14ac:dyDescent="0.25">
      <c r="A755">
        <v>41091</v>
      </c>
      <c r="B755" t="str">
        <f>_xlfn.CONCAT(bron[[#This Row],[personeelsnr]]," ",bron[[#This Row],[achternaam]]," ",bron[[#This Row],[voornaam]])</f>
        <v>41091 Yavas Talha</v>
      </c>
      <c r="C755" t="str">
        <f>VLOOKUP(bron[[#This Row],[personeelsnr]],'data hastus'!$A:$C,2,0)</f>
        <v>Yavas</v>
      </c>
      <c r="D755" t="str">
        <f>VLOOKUP(bron[[#This Row],[personeelsnr]],'data hastus'!$A:$C,3,0)</f>
        <v>Talha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M755" s="5">
        <v>1</v>
      </c>
      <c r="S755" s="5">
        <f>SUM(bron[[#This Row],[Januari]:[December]])</f>
        <v>1</v>
      </c>
      <c r="T755" s="9">
        <v>45849</v>
      </c>
      <c r="U755" s="8" t="s">
        <v>1242</v>
      </c>
      <c r="V755" s="24">
        <v>1</v>
      </c>
      <c r="W755" s="24"/>
      <c r="X755" t="s">
        <v>7</v>
      </c>
      <c r="Y755" t="s">
        <v>135</v>
      </c>
    </row>
    <row r="756" spans="1:25" hidden="1" x14ac:dyDescent="0.25">
      <c r="A756">
        <v>40856</v>
      </c>
      <c r="B756" t="str">
        <f>_xlfn.CONCAT(bron[[#This Row],[personeelsnr]]," ",bron[[#This Row],[achternaam]]," ",bron[[#This Row],[voornaam]])</f>
        <v>40856 Neissi Sadegh</v>
      </c>
      <c r="C756" t="str">
        <f>VLOOKUP(bron[[#This Row],[personeelsnr]],'data hastus'!$A:$C,2,0)</f>
        <v>Neissi</v>
      </c>
      <c r="D756" t="str">
        <f>VLOOKUP(bron[[#This Row],[personeelsnr]],'data hastus'!$A:$C,3,0)</f>
        <v>Sadegh</v>
      </c>
      <c r="E756" t="str">
        <f>VLOOKUP(bron[[#This Row],[personeelsnr]],'data hastus'!A:K,11,FALSE)</f>
        <v>Kenneth De Rick</v>
      </c>
      <c r="F756" s="10"/>
      <c r="G756" s="7"/>
      <c r="H756" s="7"/>
      <c r="I756" s="7"/>
      <c r="M756" s="5">
        <v>1</v>
      </c>
      <c r="S756" s="5">
        <f>SUM(bron[[#This Row],[Januari]:[December]])</f>
        <v>1</v>
      </c>
      <c r="T756" s="9">
        <v>45850</v>
      </c>
      <c r="U756" s="8" t="s">
        <v>1243</v>
      </c>
      <c r="V756" s="24">
        <v>1</v>
      </c>
      <c r="W756" s="24"/>
      <c r="X756" t="s">
        <v>7</v>
      </c>
      <c r="Y756" t="s">
        <v>19</v>
      </c>
    </row>
    <row r="757" spans="1:25" hidden="1" x14ac:dyDescent="0.25">
      <c r="A757">
        <v>36428</v>
      </c>
      <c r="B757" t="str">
        <f>_xlfn.CONCAT(bron[[#This Row],[personeelsnr]]," ",bron[[#This Row],[achternaam]]," ",bron[[#This Row],[voornaam]])</f>
        <v>36428 Abdi Shaiye Rashid</v>
      </c>
      <c r="C757" t="str">
        <f>VLOOKUP(bron[[#This Row],[personeelsnr]],'data hastus'!$A:$C,2,0)</f>
        <v>Abdi Shaiye</v>
      </c>
      <c r="D757" t="str">
        <f>VLOOKUP(bron[[#This Row],[personeelsnr]],'data hastus'!$A:$C,3,0)</f>
        <v>Rashid</v>
      </c>
      <c r="E757" t="str">
        <f>VLOOKUP(bron[[#This Row],[personeelsnr]],'data hastus'!A:K,11,FALSE)</f>
        <v>Lucie Vande Velde</v>
      </c>
      <c r="F757" s="10"/>
      <c r="G757" s="7"/>
      <c r="H757" s="7"/>
      <c r="I757" s="7"/>
      <c r="M757" s="5">
        <v>1</v>
      </c>
      <c r="S757" s="5">
        <f>SUM(bron[[#This Row],[Januari]:[December]])</f>
        <v>1</v>
      </c>
      <c r="T757" s="9">
        <v>45851</v>
      </c>
      <c r="U757" s="8" t="s">
        <v>1244</v>
      </c>
      <c r="V757" s="24">
        <v>1</v>
      </c>
      <c r="W757" s="24"/>
      <c r="X757" t="s">
        <v>7</v>
      </c>
      <c r="Y757" t="s">
        <v>201</v>
      </c>
    </row>
    <row r="758" spans="1:25" hidden="1" x14ac:dyDescent="0.25">
      <c r="A758">
        <v>37936</v>
      </c>
      <c r="B758" t="str">
        <f>_xlfn.CONCAT(bron[[#This Row],[personeelsnr]]," ",bron[[#This Row],[achternaam]]," ",bron[[#This Row],[voornaam]])</f>
        <v>37936 Detaeye Alexander</v>
      </c>
      <c r="C758" t="str">
        <f>VLOOKUP(bron[[#This Row],[personeelsnr]],'data hastus'!$A:$C,2,0)</f>
        <v>Detaeye</v>
      </c>
      <c r="D758" t="str">
        <f>VLOOKUP(bron[[#This Row],[personeelsnr]],'data hastus'!$A:$C,3,0)</f>
        <v>Alexander</v>
      </c>
      <c r="E758" t="str">
        <f>VLOOKUP(bron[[#This Row],[personeelsnr]],'data hastus'!A:K,11,FALSE)</f>
        <v>Steven Storm</v>
      </c>
      <c r="F758" s="10"/>
      <c r="G758" s="7"/>
      <c r="H758" s="7"/>
      <c r="I758" s="7"/>
      <c r="M758" s="5">
        <v>1</v>
      </c>
      <c r="S758" s="5">
        <f>SUM(bron[[#This Row],[Januari]:[December]])</f>
        <v>1</v>
      </c>
      <c r="T758" s="9">
        <v>45851</v>
      </c>
      <c r="U758" s="8" t="s">
        <v>1245</v>
      </c>
      <c r="V758" s="24">
        <v>1</v>
      </c>
      <c r="W758" s="24"/>
      <c r="X758" t="s">
        <v>7</v>
      </c>
      <c r="Y758" t="s">
        <v>229</v>
      </c>
    </row>
    <row r="759" spans="1:25" hidden="1" x14ac:dyDescent="0.25">
      <c r="A759">
        <v>36577</v>
      </c>
      <c r="B759" t="str">
        <f>_xlfn.CONCAT(bron[[#This Row],[personeelsnr]]," ",bron[[#This Row],[achternaam]]," ",bron[[#This Row],[voornaam]])</f>
        <v>36577 De Smet Martine</v>
      </c>
      <c r="C759" t="str">
        <f>VLOOKUP(bron[[#This Row],[personeelsnr]],'data hastus'!$A:$C,2,0)</f>
        <v>De Smet</v>
      </c>
      <c r="D759" t="str">
        <f>VLOOKUP(bron[[#This Row],[personeelsnr]],'data hastus'!$A:$C,3,0)</f>
        <v>Martine</v>
      </c>
      <c r="E759" t="str">
        <f>VLOOKUP(bron[[#This Row],[personeelsnr]],'data hastus'!A:K,11,FALSE)</f>
        <v>Els Dewulf</v>
      </c>
      <c r="F759" s="10"/>
      <c r="G759" s="7"/>
      <c r="H759" s="7"/>
      <c r="I759" s="7"/>
      <c r="M759" s="5">
        <v>1</v>
      </c>
      <c r="S759" s="5">
        <f>SUM(bron[[#This Row],[Januari]:[December]])</f>
        <v>1</v>
      </c>
      <c r="T759" s="9">
        <v>45852</v>
      </c>
      <c r="U759" s="8" t="s">
        <v>1246</v>
      </c>
      <c r="V759" s="24">
        <v>1</v>
      </c>
      <c r="W759" s="24"/>
      <c r="X759" t="s">
        <v>7</v>
      </c>
      <c r="Y759" t="s">
        <v>69</v>
      </c>
    </row>
    <row r="760" spans="1:25" hidden="1" x14ac:dyDescent="0.25">
      <c r="A760">
        <v>19917</v>
      </c>
      <c r="B760" t="str">
        <f>_xlfn.CONCAT(bron[[#This Row],[personeelsnr]]," ",bron[[#This Row],[achternaam]]," ",bron[[#This Row],[voornaam]])</f>
        <v>19917 Vandevyvere Frank</v>
      </c>
      <c r="C760" t="str">
        <f>VLOOKUP(bron[[#This Row],[personeelsnr]],'data hastus'!$A:$C,2,0)</f>
        <v>Vandevyvere</v>
      </c>
      <c r="D760" t="str">
        <f>VLOOKUP(bron[[#This Row],[personeelsnr]],'data hastus'!$A:$C,3,0)</f>
        <v>Frank</v>
      </c>
      <c r="E760" t="str">
        <f>VLOOKUP(bron[[#This Row],[personeelsnr]],'data hastus'!A:K,11,FALSE)</f>
        <v>Bart Van Der Beken</v>
      </c>
      <c r="F760" s="10"/>
      <c r="G760" s="7"/>
      <c r="H760" s="7"/>
      <c r="I760" s="7"/>
      <c r="M760" s="5">
        <v>1</v>
      </c>
      <c r="S760" s="5">
        <f>SUM(bron[[#This Row],[Januari]:[December]])</f>
        <v>1</v>
      </c>
      <c r="T760" s="9">
        <v>45853</v>
      </c>
      <c r="U760" s="8" t="s">
        <v>1247</v>
      </c>
      <c r="V760" s="24">
        <v>1</v>
      </c>
      <c r="W760" s="24"/>
      <c r="X760" t="s">
        <v>7</v>
      </c>
      <c r="Y760" t="s">
        <v>28</v>
      </c>
    </row>
    <row r="761" spans="1:25" hidden="1" x14ac:dyDescent="0.25">
      <c r="A761">
        <v>12684</v>
      </c>
      <c r="B761" t="str">
        <f>_xlfn.CONCAT(bron[[#This Row],[personeelsnr]]," ",bron[[#This Row],[achternaam]]," ",bron[[#This Row],[voornaam]])</f>
        <v>12684 Van Den Bossche Martine</v>
      </c>
      <c r="C761" t="str">
        <f>VLOOKUP(bron[[#This Row],[personeelsnr]],'data hastus'!$A:$C,2,0)</f>
        <v>Van Den Bossche</v>
      </c>
      <c r="D761" t="str">
        <f>VLOOKUP(bron[[#This Row],[personeelsnr]],'data hastus'!$A:$C,3,0)</f>
        <v>Martine</v>
      </c>
      <c r="E761" t="str">
        <f>VLOOKUP(bron[[#This Row],[personeelsnr]],'data hastus'!A:K,11,FALSE)</f>
        <v>Els Vanhoe</v>
      </c>
      <c r="F761" s="10"/>
      <c r="G761" s="7"/>
      <c r="H761" s="7"/>
      <c r="I761" s="7"/>
      <c r="M761" s="5">
        <v>1</v>
      </c>
      <c r="S761" s="5">
        <f>SUM(bron[[#This Row],[Januari]:[December]])</f>
        <v>1</v>
      </c>
      <c r="T761" s="9">
        <v>45853</v>
      </c>
      <c r="U761" s="8" t="s">
        <v>1248</v>
      </c>
      <c r="V761" s="24">
        <v>1</v>
      </c>
      <c r="W761" s="24"/>
      <c r="X761" t="s">
        <v>7</v>
      </c>
      <c r="Y761" t="s">
        <v>237</v>
      </c>
    </row>
    <row r="762" spans="1:25" hidden="1" x14ac:dyDescent="0.25">
      <c r="A762">
        <v>30271</v>
      </c>
      <c r="B762" t="str">
        <f>_xlfn.CONCAT(bron[[#This Row],[personeelsnr]]," ",bron[[#This Row],[achternaam]]," ",bron[[#This Row],[voornaam]])</f>
        <v>30271 Bracke Jeroen</v>
      </c>
      <c r="C762" t="str">
        <f>VLOOKUP(bron[[#This Row],[personeelsnr]],'data hastus'!$A:$C,2,0)</f>
        <v>Bracke</v>
      </c>
      <c r="D762" t="str">
        <f>VLOOKUP(bron[[#This Row],[personeelsnr]],'data hastus'!$A:$C,3,0)</f>
        <v>Jeroen</v>
      </c>
      <c r="E762" t="str">
        <f>VLOOKUP(bron[[#This Row],[personeelsnr]],'data hastus'!A:K,11,FALSE)</f>
        <v>Els Dewulf</v>
      </c>
      <c r="F762" s="10"/>
      <c r="G762" s="7"/>
      <c r="H762" s="7"/>
      <c r="I762" s="7"/>
      <c r="M762" s="5">
        <v>1</v>
      </c>
      <c r="S762" s="5">
        <f>SUM(bron[[#This Row],[Januari]:[December]])</f>
        <v>1</v>
      </c>
      <c r="T762" s="9">
        <v>45854</v>
      </c>
      <c r="U762" s="8" t="s">
        <v>1249</v>
      </c>
      <c r="V762" s="24">
        <v>1</v>
      </c>
      <c r="W762" s="24"/>
      <c r="X762" t="s">
        <v>7</v>
      </c>
      <c r="Y762" t="s">
        <v>10</v>
      </c>
    </row>
    <row r="763" spans="1:25" hidden="1" x14ac:dyDescent="0.25">
      <c r="A763">
        <v>26331</v>
      </c>
      <c r="B763" t="str">
        <f>_xlfn.CONCAT(bron[[#This Row],[personeelsnr]]," ",bron[[#This Row],[achternaam]]," ",bron[[#This Row],[voornaam]])</f>
        <v>26331 Van Semmertier Pascal</v>
      </c>
      <c r="C763" t="str">
        <f>VLOOKUP(bron[[#This Row],[personeelsnr]],'data hastus'!$A:$C,2,0)</f>
        <v>Van Semmertier</v>
      </c>
      <c r="D763" t="str">
        <f>VLOOKUP(bron[[#This Row],[personeelsnr]],'data hastus'!$A:$C,3,0)</f>
        <v>Pascal</v>
      </c>
      <c r="E763" t="str">
        <f>VLOOKUP(bron[[#This Row],[personeelsnr]],'data hastus'!A:K,11,FALSE)</f>
        <v>Bart Van Der Beken</v>
      </c>
      <c r="F763" s="10"/>
      <c r="G763" s="7"/>
      <c r="H763" s="7"/>
      <c r="I763" s="7"/>
      <c r="M763" s="5">
        <v>1</v>
      </c>
      <c r="S763" s="5">
        <f>SUM(bron[[#This Row],[Januari]:[December]])</f>
        <v>1</v>
      </c>
      <c r="T763" s="9">
        <v>45857</v>
      </c>
      <c r="U763" s="8" t="s">
        <v>1250</v>
      </c>
      <c r="V763" s="24">
        <v>1</v>
      </c>
      <c r="W763" s="24"/>
      <c r="X763" t="s">
        <v>7</v>
      </c>
      <c r="Y763" t="s">
        <v>251</v>
      </c>
    </row>
    <row r="764" spans="1:25" hidden="1" x14ac:dyDescent="0.25">
      <c r="A764">
        <v>41137</v>
      </c>
      <c r="B764" t="str">
        <f>_xlfn.CONCAT(bron[[#This Row],[personeelsnr]]," ",bron[[#This Row],[achternaam]]," ",bron[[#This Row],[voornaam]])</f>
        <v>41137 De smet Dirk</v>
      </c>
      <c r="C764" t="str">
        <f>VLOOKUP(bron[[#This Row],[personeelsnr]],'data hastus'!$A:$C,2,0)</f>
        <v>De smet</v>
      </c>
      <c r="D764" t="str">
        <f>VLOOKUP(bron[[#This Row],[personeelsnr]],'data hastus'!$A:$C,3,0)</f>
        <v>Dirk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M764" s="5">
        <v>1</v>
      </c>
      <c r="S764" s="5">
        <f>SUM(bron[[#This Row],[Januari]:[December]])</f>
        <v>1</v>
      </c>
      <c r="T764" s="9">
        <v>45859</v>
      </c>
      <c r="U764" s="24" t="s">
        <v>1251</v>
      </c>
      <c r="V764" s="24">
        <v>1</v>
      </c>
      <c r="W764" s="24"/>
      <c r="X764" t="s">
        <v>7</v>
      </c>
      <c r="Y764" t="s">
        <v>111</v>
      </c>
    </row>
    <row r="765" spans="1:25" hidden="1" x14ac:dyDescent="0.25">
      <c r="A765">
        <v>41162</v>
      </c>
      <c r="B765" t="str">
        <f>_xlfn.CONCAT(bron[[#This Row],[personeelsnr]]," ",bron[[#This Row],[achternaam]]," ",bron[[#This Row],[voornaam]])</f>
        <v>41162 Hoeckman Jeroen</v>
      </c>
      <c r="C765" t="str">
        <f>VLOOKUP(bron[[#This Row],[personeelsnr]],'data hastus'!$A:$C,2,0)</f>
        <v>Hoeckman</v>
      </c>
      <c r="D765" t="str">
        <f>VLOOKUP(bron[[#This Row],[personeelsnr]],'data hastus'!$A:$C,3,0)</f>
        <v>Jeroen</v>
      </c>
      <c r="E765" t="str">
        <f>VLOOKUP(bron[[#This Row],[personeelsnr]],'data hastus'!A:K,11,FALSE)</f>
        <v>Dominique De Clercq</v>
      </c>
      <c r="F765" s="10"/>
      <c r="G765" s="7"/>
      <c r="H765" s="7"/>
      <c r="I765" s="7"/>
      <c r="M765" s="5">
        <v>1</v>
      </c>
      <c r="S765" s="5">
        <f>SUM(bron[[#This Row],[Januari]:[December]])</f>
        <v>1</v>
      </c>
      <c r="T765" s="9">
        <v>45861</v>
      </c>
      <c r="U765" s="8" t="s">
        <v>1252</v>
      </c>
      <c r="V765" s="24">
        <v>1</v>
      </c>
      <c r="W765" s="24"/>
      <c r="X765" t="s">
        <v>7</v>
      </c>
      <c r="Y765" t="s">
        <v>1253</v>
      </c>
    </row>
    <row r="766" spans="1:25" hidden="1" x14ac:dyDescent="0.25">
      <c r="A766">
        <v>39581</v>
      </c>
      <c r="B766" t="str">
        <f>_xlfn.CONCAT(bron[[#This Row],[personeelsnr]]," ",bron[[#This Row],[achternaam]]," ",bron[[#This Row],[voornaam]])</f>
        <v>39581 Vandenhaute Linus</v>
      </c>
      <c r="C766" t="str">
        <f>VLOOKUP(bron[[#This Row],[personeelsnr]],'data hastus'!$A:$C,2,0)</f>
        <v>Vandenhaute</v>
      </c>
      <c r="D766" t="str">
        <f>VLOOKUP(bron[[#This Row],[personeelsnr]],'data hastus'!$A:$C,3,0)</f>
        <v>Linus</v>
      </c>
      <c r="E766" t="str">
        <f>VLOOKUP(bron[[#This Row],[personeelsnr]],'data hastus'!A:K,11,FALSE)</f>
        <v>Els Dewulf</v>
      </c>
      <c r="F766" s="10"/>
      <c r="G766" s="7"/>
      <c r="H766" s="7"/>
      <c r="I766" s="7"/>
      <c r="M766" s="5">
        <v>1</v>
      </c>
      <c r="S766" s="5">
        <f>SUM(bron[[#This Row],[Januari]:[December]])</f>
        <v>1</v>
      </c>
      <c r="T766" s="9">
        <v>45861</v>
      </c>
      <c r="U766" s="8" t="s">
        <v>1254</v>
      </c>
      <c r="V766" s="24">
        <v>1</v>
      </c>
      <c r="W766" s="24"/>
      <c r="X766" t="s">
        <v>7</v>
      </c>
      <c r="Y766" t="s">
        <v>113</v>
      </c>
    </row>
    <row r="767" spans="1:25" hidden="1" x14ac:dyDescent="0.25">
      <c r="A767">
        <v>35397</v>
      </c>
      <c r="B767" t="str">
        <f>_xlfn.CONCAT(bron[[#This Row],[personeelsnr]]," ",bron[[#This Row],[achternaam]]," ",bron[[#This Row],[voornaam]])</f>
        <v>35397 Minbari Ako</v>
      </c>
      <c r="C767" t="str">
        <f>VLOOKUP(bron[[#This Row],[personeelsnr]],'data hastus'!$A:$C,2,0)</f>
        <v>Minbari</v>
      </c>
      <c r="D767" t="str">
        <f>VLOOKUP(bron[[#This Row],[personeelsnr]],'data hastus'!$A:$C,3,0)</f>
        <v>Ako</v>
      </c>
      <c r="E767" t="str">
        <f>VLOOKUP(bron[[#This Row],[personeelsnr]],'data hastus'!A:K,11,FALSE)</f>
        <v>Lucie Vande Velde</v>
      </c>
      <c r="F767" s="10"/>
      <c r="G767" s="7"/>
      <c r="H767" s="7"/>
      <c r="I767" s="7"/>
      <c r="M767" s="5">
        <v>1</v>
      </c>
      <c r="S767" s="5">
        <f>SUM(bron[[#This Row],[Januari]:[December]])</f>
        <v>1</v>
      </c>
      <c r="T767" s="9">
        <v>45861</v>
      </c>
      <c r="U767" s="8" t="s">
        <v>1255</v>
      </c>
      <c r="V767" s="24"/>
      <c r="W767" s="24">
        <v>1</v>
      </c>
      <c r="X767" t="s">
        <v>8</v>
      </c>
      <c r="Y767" t="s">
        <v>267</v>
      </c>
    </row>
    <row r="768" spans="1:25" hidden="1" x14ac:dyDescent="0.25">
      <c r="A768">
        <v>11213</v>
      </c>
      <c r="B768" t="str">
        <f>_xlfn.CONCAT(bron[[#This Row],[personeelsnr]]," ",bron[[#This Row],[achternaam]]," ",bron[[#This Row],[voornaam]])</f>
        <v>11213 De Plus Gunter</v>
      </c>
      <c r="C768" t="str">
        <f>VLOOKUP(bron[[#This Row],[personeelsnr]],'data hastus'!$A:$C,2,0)</f>
        <v>De Plus</v>
      </c>
      <c r="D768" t="str">
        <f>VLOOKUP(bron[[#This Row],[personeelsnr]],'data hastus'!$A:$C,3,0)</f>
        <v>Gunter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M768" s="5">
        <v>1</v>
      </c>
      <c r="S768" s="5">
        <f>SUM(bron[[#This Row],[Januari]:[December]])</f>
        <v>1</v>
      </c>
      <c r="T768" s="9">
        <v>45862</v>
      </c>
      <c r="U768" s="8" t="s">
        <v>1256</v>
      </c>
      <c r="V768" s="24"/>
      <c r="W768" s="24">
        <v>1</v>
      </c>
      <c r="X768" t="s">
        <v>8</v>
      </c>
      <c r="Y768" t="s">
        <v>233</v>
      </c>
    </row>
    <row r="769" spans="1:25" hidden="1" x14ac:dyDescent="0.25">
      <c r="A769">
        <v>23918</v>
      </c>
      <c r="B769" t="str">
        <f>_xlfn.CONCAT(bron[[#This Row],[personeelsnr]]," ",bron[[#This Row],[achternaam]]," ",bron[[#This Row],[voornaam]])</f>
        <v>23918 D'Haeyere Bernard</v>
      </c>
      <c r="C769" t="str">
        <f>VLOOKUP(bron[[#This Row],[personeelsnr]],'data hastus'!$A:$C,2,0)</f>
        <v>D'Haeyere</v>
      </c>
      <c r="D769" t="str">
        <f>VLOOKUP(bron[[#This Row],[personeelsnr]],'data hastus'!$A:$C,3,0)</f>
        <v>Bernard</v>
      </c>
      <c r="E769" t="str">
        <f>VLOOKUP(bron[[#This Row],[personeelsnr]],'data hastus'!A:K,11,FALSE)</f>
        <v>Els Vanhoe</v>
      </c>
      <c r="F769" s="10"/>
      <c r="G769" s="7"/>
      <c r="H769" s="7"/>
      <c r="I769" s="7"/>
      <c r="M769" s="5">
        <v>1</v>
      </c>
      <c r="S769" s="5">
        <f>SUM(bron[[#This Row],[Januari]:[December]])</f>
        <v>1</v>
      </c>
      <c r="T769" s="9">
        <v>45862</v>
      </c>
      <c r="U769" s="8" t="s">
        <v>1257</v>
      </c>
      <c r="V769" s="24">
        <v>1</v>
      </c>
      <c r="W769" s="24"/>
      <c r="X769" t="s">
        <v>7</v>
      </c>
      <c r="Y769" t="s">
        <v>16</v>
      </c>
    </row>
    <row r="770" spans="1:25" hidden="1" x14ac:dyDescent="0.25">
      <c r="A770">
        <v>12819</v>
      </c>
      <c r="B770" t="str">
        <f>_xlfn.CONCAT(bron[[#This Row],[personeelsnr]]," ",bron[[#This Row],[achternaam]]," ",bron[[#This Row],[voornaam]])</f>
        <v>12819 Van Eenaeme David</v>
      </c>
      <c r="C770" t="str">
        <f>VLOOKUP(bron[[#This Row],[personeelsnr]],'data hastus'!$A:$C,2,0)</f>
        <v>Van Eenaeme</v>
      </c>
      <c r="D770" t="str">
        <f>VLOOKUP(bron[[#This Row],[personeelsnr]],'data hastus'!$A:$C,3,0)</f>
        <v>David</v>
      </c>
      <c r="E770" t="str">
        <f>VLOOKUP(bron[[#This Row],[personeelsnr]],'data hastus'!A:K,11,FALSE)</f>
        <v>Bart Van Der Beken</v>
      </c>
      <c r="F770" s="10"/>
      <c r="G770" s="7"/>
      <c r="H770" s="7"/>
      <c r="I770" s="7"/>
      <c r="M770" s="5">
        <v>1</v>
      </c>
      <c r="S770" s="5">
        <f>SUM(bron[[#This Row],[Januari]:[December]])</f>
        <v>1</v>
      </c>
      <c r="T770" s="9">
        <v>45863</v>
      </c>
      <c r="U770" s="8" t="s">
        <v>1258</v>
      </c>
      <c r="V770" s="24">
        <v>1</v>
      </c>
      <c r="W770" s="24"/>
      <c r="X770" t="s">
        <v>7</v>
      </c>
      <c r="Y770" t="s">
        <v>203</v>
      </c>
    </row>
    <row r="771" spans="1:25" hidden="1" x14ac:dyDescent="0.25">
      <c r="A771">
        <v>39673</v>
      </c>
      <c r="B771" t="str">
        <f>_xlfn.CONCAT(bron[[#This Row],[personeelsnr]]," ",bron[[#This Row],[achternaam]]," ",bron[[#This Row],[voornaam]])</f>
        <v>39673 Steurbaut Henri</v>
      </c>
      <c r="C771" t="str">
        <f>VLOOKUP(bron[[#This Row],[personeelsnr]],'data hastus'!$A:$C,2,0)</f>
        <v>Steurbaut</v>
      </c>
      <c r="D771" t="str">
        <f>VLOOKUP(bron[[#This Row],[personeelsnr]],'data hastus'!$A:$C,3,0)</f>
        <v>Henri</v>
      </c>
      <c r="E771" t="str">
        <f>VLOOKUP(bron[[#This Row],[personeelsnr]],'data hastus'!A:K,11,FALSE)</f>
        <v>Els Vanhoe</v>
      </c>
      <c r="F771" s="10"/>
      <c r="G771" s="7"/>
      <c r="H771" s="7"/>
      <c r="I771" s="7"/>
      <c r="M771" s="5">
        <v>1</v>
      </c>
      <c r="S771" s="5">
        <f>SUM(bron[[#This Row],[Januari]:[December]])</f>
        <v>1</v>
      </c>
      <c r="T771" s="9">
        <v>45866</v>
      </c>
      <c r="U771" s="8" t="s">
        <v>1259</v>
      </c>
      <c r="V771" s="24">
        <v>1</v>
      </c>
      <c r="W771" s="24"/>
      <c r="X771" t="s">
        <v>7</v>
      </c>
      <c r="Y771" t="s">
        <v>265</v>
      </c>
    </row>
    <row r="772" spans="1:25" hidden="1" x14ac:dyDescent="0.25">
      <c r="A772">
        <v>37258</v>
      </c>
      <c r="B772" t="str">
        <f>_xlfn.CONCAT(bron[[#This Row],[personeelsnr]]," ",bron[[#This Row],[achternaam]]," ",bron[[#This Row],[voornaam]])</f>
        <v>37258 Ouchir Louay</v>
      </c>
      <c r="C772" t="str">
        <f>VLOOKUP(bron[[#This Row],[personeelsnr]],'data hastus'!$A:$C,2,0)</f>
        <v>Ouchir</v>
      </c>
      <c r="D772" t="str">
        <f>VLOOKUP(bron[[#This Row],[personeelsnr]],'data hastus'!$A:$C,3,0)</f>
        <v>Louay</v>
      </c>
      <c r="E772" t="str">
        <f>VLOOKUP(bron[[#This Row],[personeelsnr]],'data hastus'!A:K,11,FALSE)</f>
        <v>Els Vanhoe</v>
      </c>
      <c r="F772" s="10"/>
      <c r="G772" s="7"/>
      <c r="H772" s="7"/>
      <c r="I772" s="7"/>
      <c r="M772" s="5">
        <v>1</v>
      </c>
      <c r="S772" s="5">
        <f>SUM(bron[[#This Row],[Januari]:[December]])</f>
        <v>1</v>
      </c>
      <c r="T772" s="9">
        <v>45866</v>
      </c>
      <c r="U772" s="8" t="s">
        <v>1260</v>
      </c>
      <c r="V772" s="24">
        <v>1</v>
      </c>
      <c r="W772" s="24"/>
      <c r="X772" t="s">
        <v>7</v>
      </c>
      <c r="Y772" t="s">
        <v>19</v>
      </c>
    </row>
    <row r="773" spans="1:25" hidden="1" x14ac:dyDescent="0.25">
      <c r="A773">
        <v>41296</v>
      </c>
      <c r="B773" t="str">
        <f>_xlfn.CONCAT(bron[[#This Row],[personeelsnr]]," ",bron[[#This Row],[achternaam]]," ",bron[[#This Row],[voornaam]])</f>
        <v>41296 Abulehia Oday</v>
      </c>
      <c r="C773" t="str">
        <f>VLOOKUP(bron[[#This Row],[personeelsnr]],'data hastus'!$A:$C,2,0)</f>
        <v>Abulehia</v>
      </c>
      <c r="D773" t="str">
        <f>VLOOKUP(bron[[#This Row],[personeelsnr]],'data hastus'!$A:$C,3,0)</f>
        <v>Oday</v>
      </c>
      <c r="E773" t="str">
        <f>VLOOKUP(bron[[#This Row],[personeelsnr]],'data hastus'!A:K,11,FALSE)</f>
        <v>Christoff Rotty</v>
      </c>
      <c r="F773" s="10"/>
      <c r="G773" s="7"/>
      <c r="H773" s="7"/>
      <c r="I773" s="7"/>
      <c r="M773" s="5">
        <v>1</v>
      </c>
      <c r="S773" s="5">
        <f>SUM(bron[[#This Row],[Januari]:[December]])</f>
        <v>1</v>
      </c>
      <c r="T773" s="9">
        <v>45867</v>
      </c>
      <c r="U773" s="24" t="s">
        <v>1261</v>
      </c>
      <c r="V773" s="24">
        <v>1</v>
      </c>
      <c r="W773" s="24"/>
      <c r="X773" t="s">
        <v>7</v>
      </c>
      <c r="Y773" t="s">
        <v>141</v>
      </c>
    </row>
    <row r="774" spans="1:25" hidden="1" x14ac:dyDescent="0.25">
      <c r="A774">
        <v>41007</v>
      </c>
      <c r="B774" t="str">
        <f>_xlfn.CONCAT(bron[[#This Row],[personeelsnr]]," ",bron[[#This Row],[achternaam]]," ",bron[[#This Row],[voornaam]])</f>
        <v>41007 Sogut Cagri</v>
      </c>
      <c r="C774" t="s">
        <v>1262</v>
      </c>
      <c r="D774" t="s">
        <v>1263</v>
      </c>
      <c r="E774" t="s">
        <v>76</v>
      </c>
      <c r="F774" s="10"/>
      <c r="G774" s="7"/>
      <c r="H774" s="7"/>
      <c r="I774" s="7"/>
      <c r="M774" s="5">
        <v>1</v>
      </c>
      <c r="S774" s="5">
        <f>SUM(bron[[#This Row],[Januari]:[December]])</f>
        <v>1</v>
      </c>
      <c r="T774" s="9">
        <v>45867</v>
      </c>
      <c r="U774" s="24" t="s">
        <v>1264</v>
      </c>
      <c r="V774" s="24">
        <v>1</v>
      </c>
      <c r="W774" s="24"/>
      <c r="X774" t="s">
        <v>7</v>
      </c>
      <c r="Y774" t="s">
        <v>16</v>
      </c>
    </row>
    <row r="775" spans="1:25" hidden="1" x14ac:dyDescent="0.25">
      <c r="A775">
        <v>40138</v>
      </c>
      <c r="B775" t="str">
        <f>_xlfn.CONCAT(bron[[#This Row],[personeelsnr]]," ",bron[[#This Row],[achternaam]]," ",bron[[#This Row],[voornaam]])</f>
        <v>40138 Moerman Tjimmy</v>
      </c>
      <c r="C775" t="str">
        <f>VLOOKUP(bron[[#This Row],[personeelsnr]],'data hastus'!$A:$C,2,0)</f>
        <v>Moerman</v>
      </c>
      <c r="D775" t="str">
        <f>VLOOKUP(bron[[#This Row],[personeelsnr]],'data hastus'!$A:$C,3,0)</f>
        <v>Tjimmy</v>
      </c>
      <c r="E775" t="str">
        <f>VLOOKUP(bron[[#This Row],[personeelsnr]],'data hastus'!A:K,11,FALSE)</f>
        <v>Christoff Rotty</v>
      </c>
      <c r="F775" s="10"/>
      <c r="G775" s="7"/>
      <c r="H775" s="7"/>
      <c r="I775" s="7"/>
      <c r="N775" s="5">
        <v>1</v>
      </c>
      <c r="S775" s="5">
        <f>SUM(bron[[#This Row],[Januari]:[December]])</f>
        <v>1</v>
      </c>
      <c r="T775" s="9">
        <v>45871</v>
      </c>
      <c r="U775" s="8" t="s">
        <v>1265</v>
      </c>
      <c r="V775" s="24">
        <v>1</v>
      </c>
      <c r="W775" s="24"/>
      <c r="X775" t="s">
        <v>7</v>
      </c>
      <c r="Y775" t="s">
        <v>25</v>
      </c>
    </row>
    <row r="776" spans="1:25" hidden="1" x14ac:dyDescent="0.25">
      <c r="A776">
        <v>40859</v>
      </c>
      <c r="B776" t="str">
        <f>_xlfn.CONCAT(bron[[#This Row],[personeelsnr]]," ",bron[[#This Row],[achternaam]]," ",bron[[#This Row],[voornaam]])</f>
        <v>40859 Yagoub Abdelali</v>
      </c>
      <c r="C776" t="str">
        <f>VLOOKUP(bron[[#This Row],[personeelsnr]],'data hastus'!$A:$C,2,0)</f>
        <v>Yagoub</v>
      </c>
      <c r="D776" t="str">
        <f>VLOOKUP(bron[[#This Row],[personeelsnr]],'data hastus'!$A:$C,3,0)</f>
        <v>Abdelali</v>
      </c>
      <c r="E776" t="str">
        <f>VLOOKUP(bron[[#This Row],[personeelsnr]],'data hastus'!A:K,11,FALSE)</f>
        <v>Els Vanhoe</v>
      </c>
      <c r="F776" s="10"/>
      <c r="G776" s="7"/>
      <c r="H776" s="7"/>
      <c r="I776" s="7"/>
      <c r="N776" s="5">
        <v>1</v>
      </c>
      <c r="S776" s="5">
        <f>SUM(bron[[#This Row],[Januari]:[December]])</f>
        <v>1</v>
      </c>
      <c r="T776" s="9">
        <v>45872</v>
      </c>
      <c r="U776" s="8" t="s">
        <v>1266</v>
      </c>
      <c r="V776" s="24">
        <v>1</v>
      </c>
      <c r="W776" s="24"/>
      <c r="X776" t="s">
        <v>7</v>
      </c>
      <c r="Y776" t="s">
        <v>209</v>
      </c>
    </row>
    <row r="777" spans="1:25" hidden="1" x14ac:dyDescent="0.25">
      <c r="A777">
        <v>41162</v>
      </c>
      <c r="B777" t="str">
        <f>_xlfn.CONCAT(bron[[#This Row],[personeelsnr]]," ",bron[[#This Row],[achternaam]]," ",bron[[#This Row],[voornaam]])</f>
        <v>41162 Hoeckman Jeroen</v>
      </c>
      <c r="C777" t="str">
        <f>VLOOKUP(bron[[#This Row],[personeelsnr]],'data hastus'!$A:$C,2,0)</f>
        <v>Hoeckman</v>
      </c>
      <c r="D777" t="str">
        <f>VLOOKUP(bron[[#This Row],[personeelsnr]],'data hastus'!$A:$C,3,0)</f>
        <v>Jeroen</v>
      </c>
      <c r="E777" t="str">
        <f>VLOOKUP(bron[[#This Row],[personeelsnr]],'data hastus'!A:K,11,FALSE)</f>
        <v>Dominique De Clercq</v>
      </c>
      <c r="F777" s="10"/>
      <c r="G777" s="7"/>
      <c r="H777" s="7"/>
      <c r="I777" s="7"/>
      <c r="N777" s="5">
        <v>1</v>
      </c>
      <c r="S777" s="5">
        <f>SUM(bron[[#This Row],[Januari]:[December]])</f>
        <v>1</v>
      </c>
      <c r="T777" s="9">
        <v>45874</v>
      </c>
      <c r="U777" s="24" t="s">
        <v>1267</v>
      </c>
      <c r="V777" s="24">
        <v>1</v>
      </c>
      <c r="W777" s="24"/>
      <c r="X777" t="s">
        <v>7</v>
      </c>
      <c r="Y777" t="s">
        <v>19</v>
      </c>
    </row>
    <row r="778" spans="1:25" hidden="1" x14ac:dyDescent="0.25">
      <c r="A778">
        <v>37345</v>
      </c>
      <c r="B778" t="str">
        <f>_xlfn.CONCAT(bron[[#This Row],[personeelsnr]]," ",bron[[#This Row],[achternaam]]," ",bron[[#This Row],[voornaam]])</f>
        <v>37345 Walleyn Renaat</v>
      </c>
      <c r="C778" t="str">
        <f>VLOOKUP(bron[[#This Row],[personeelsnr]],'data hastus'!$A:$C,2,0)</f>
        <v>Walleyn</v>
      </c>
      <c r="D778" t="str">
        <f>VLOOKUP(bron[[#This Row],[personeelsnr]],'data hastus'!$A:$C,3,0)</f>
        <v>Renaat</v>
      </c>
      <c r="E778" t="str">
        <f>VLOOKUP(bron[[#This Row],[personeelsnr]],'data hastus'!A:K,11,FALSE)</f>
        <v>Lucie Vande Velde</v>
      </c>
      <c r="F778" s="10"/>
      <c r="G778" s="7"/>
      <c r="H778" s="7"/>
      <c r="I778" s="7"/>
      <c r="N778" s="5">
        <v>1</v>
      </c>
      <c r="S778" s="5">
        <f>SUM(bron[[#This Row],[Januari]:[December]])</f>
        <v>1</v>
      </c>
      <c r="T778" s="9">
        <v>45874</v>
      </c>
      <c r="U778" s="24" t="s">
        <v>1268</v>
      </c>
      <c r="V778" s="24">
        <v>1</v>
      </c>
      <c r="W778" s="24"/>
      <c r="X778" t="s">
        <v>7</v>
      </c>
      <c r="Y778" t="s">
        <v>10</v>
      </c>
    </row>
    <row r="779" spans="1:25" hidden="1" x14ac:dyDescent="0.25">
      <c r="A779">
        <v>41874</v>
      </c>
      <c r="B779" t="str">
        <f>_xlfn.CONCAT(bron[[#This Row],[personeelsnr]]," ",bron[[#This Row],[achternaam]]," ",bron[[#This Row],[voornaam]])</f>
        <v>41874 Dobbeleire Bruno</v>
      </c>
      <c r="C779" t="str">
        <f>VLOOKUP(bron[[#This Row],[personeelsnr]],'data hastus'!$A:$C,2,0)</f>
        <v>Dobbeleire</v>
      </c>
      <c r="D779" t="str">
        <f>VLOOKUP(bron[[#This Row],[personeelsnr]],'data hastus'!$A:$C,3,0)</f>
        <v>Bruno</v>
      </c>
      <c r="E779" t="str">
        <f>VLOOKUP(bron[[#This Row],[personeelsnr]],'data hastus'!A:K,11,FALSE)</f>
        <v>Dominique De Clercq</v>
      </c>
      <c r="F779" s="10"/>
      <c r="G779" s="7"/>
      <c r="H779" s="7"/>
      <c r="I779" s="7"/>
      <c r="N779" s="5">
        <v>1</v>
      </c>
      <c r="S779" s="5">
        <f>SUM(bron[[#This Row],[Januari]:[December]])</f>
        <v>1</v>
      </c>
      <c r="T779" s="9">
        <v>45876</v>
      </c>
      <c r="U779" s="24" t="s">
        <v>1269</v>
      </c>
      <c r="V779" s="24">
        <v>1</v>
      </c>
      <c r="W779" s="24"/>
      <c r="X779" t="s">
        <v>7</v>
      </c>
      <c r="Y779" t="s">
        <v>54</v>
      </c>
    </row>
    <row r="780" spans="1:25" hidden="1" x14ac:dyDescent="0.25">
      <c r="A780">
        <v>37254</v>
      </c>
      <c r="B780" t="str">
        <f>_xlfn.CONCAT(bron[[#This Row],[personeelsnr]]," ",bron[[#This Row],[achternaam]]," ",bron[[#This Row],[voornaam]])</f>
        <v>37254 Coulon Rayan</v>
      </c>
      <c r="C780" t="str">
        <f>VLOOKUP(bron[[#This Row],[personeelsnr]],'data hastus'!$A:$C,2,0)</f>
        <v>Coulon</v>
      </c>
      <c r="D780" t="str">
        <f>VLOOKUP(bron[[#This Row],[personeelsnr]],'data hastus'!$A:$C,3,0)</f>
        <v>Rayan</v>
      </c>
      <c r="E780" t="str">
        <f>VLOOKUP(bron[[#This Row],[personeelsnr]],'data hastus'!A:K,11,FALSE)</f>
        <v>Kenneth De Rick</v>
      </c>
      <c r="F780" s="10"/>
      <c r="G780" s="7"/>
      <c r="H780" s="7"/>
      <c r="I780" s="7"/>
      <c r="N780" s="5">
        <v>1</v>
      </c>
      <c r="S780" s="5">
        <f>SUM(bron[[#This Row],[Januari]:[December]])</f>
        <v>1</v>
      </c>
      <c r="T780" s="9">
        <v>45876</v>
      </c>
      <c r="U780" s="24" t="s">
        <v>1270</v>
      </c>
      <c r="V780" s="24">
        <v>1</v>
      </c>
      <c r="W780" s="24"/>
      <c r="X780" t="s">
        <v>7</v>
      </c>
      <c r="Y780" t="s">
        <v>34</v>
      </c>
    </row>
    <row r="781" spans="1:25" hidden="1" x14ac:dyDescent="0.25">
      <c r="A781">
        <v>41092</v>
      </c>
      <c r="B781" t="str">
        <f>_xlfn.CONCAT(bron[[#This Row],[personeelsnr]]," ",bron[[#This Row],[achternaam]]," ",bron[[#This Row],[voornaam]])</f>
        <v>41092 De Keyser Dorien</v>
      </c>
      <c r="C781" t="str">
        <f>VLOOKUP(bron[[#This Row],[personeelsnr]],'data hastus'!$A:$C,2,0)</f>
        <v>De Keyser</v>
      </c>
      <c r="D781" t="str">
        <f>VLOOKUP(bron[[#This Row],[personeelsnr]],'data hastus'!$A:$C,3,0)</f>
        <v>Dorien</v>
      </c>
      <c r="E781" t="str">
        <f>VLOOKUP(bron[[#This Row],[personeelsnr]],'data hastus'!A:K,11,FALSE)</f>
        <v>Dominique De Clercq</v>
      </c>
      <c r="F781" s="10"/>
      <c r="G781" s="7"/>
      <c r="H781" s="7"/>
      <c r="I781" s="7"/>
      <c r="N781" s="5">
        <v>1</v>
      </c>
      <c r="S781" s="5">
        <f>SUM(bron[[#This Row],[Januari]:[December]])</f>
        <v>1</v>
      </c>
      <c r="T781" s="9">
        <v>45878</v>
      </c>
      <c r="U781" s="8" t="s">
        <v>1271</v>
      </c>
      <c r="V781" s="24">
        <v>1</v>
      </c>
      <c r="W781" s="24"/>
      <c r="X781" t="s">
        <v>7</v>
      </c>
      <c r="Y781" t="s">
        <v>289</v>
      </c>
    </row>
    <row r="782" spans="1:25" hidden="1" x14ac:dyDescent="0.25">
      <c r="A782">
        <v>38740</v>
      </c>
      <c r="B782" t="str">
        <f>_xlfn.CONCAT(bron[[#This Row],[personeelsnr]]," ",bron[[#This Row],[achternaam]]," ",bron[[#This Row],[voornaam]])</f>
        <v>38740 Meskens Anthony</v>
      </c>
      <c r="C782" t="str">
        <f>VLOOKUP(bron[[#This Row],[personeelsnr]],'data hastus'!$A:$C,2,0)</f>
        <v>Meskens</v>
      </c>
      <c r="D782" t="str">
        <f>VLOOKUP(bron[[#This Row],[personeelsnr]],'data hastus'!$A:$C,3,0)</f>
        <v>Anthony</v>
      </c>
      <c r="E782" t="str">
        <f>VLOOKUP(bron[[#This Row],[personeelsnr]],'data hastus'!A:K,11,FALSE)</f>
        <v>Christoff Rotty</v>
      </c>
      <c r="F782" s="10"/>
      <c r="G782" s="7"/>
      <c r="H782" s="7"/>
      <c r="I782" s="7"/>
      <c r="N782" s="5">
        <v>1</v>
      </c>
      <c r="S782" s="5">
        <f>SUM(bron[[#This Row],[Januari]:[December]])</f>
        <v>1</v>
      </c>
      <c r="T782" s="9">
        <v>45879</v>
      </c>
      <c r="U782" s="24" t="s">
        <v>1272</v>
      </c>
      <c r="V782" s="24"/>
      <c r="W782" s="24">
        <v>1</v>
      </c>
      <c r="X782" t="s">
        <v>8</v>
      </c>
      <c r="Y782" t="s">
        <v>5</v>
      </c>
    </row>
    <row r="783" spans="1:25" hidden="1" x14ac:dyDescent="0.25">
      <c r="A783">
        <v>22202</v>
      </c>
      <c r="B783" t="str">
        <f>_xlfn.CONCAT(bron[[#This Row],[personeelsnr]]," ",bron[[#This Row],[achternaam]]," ",bron[[#This Row],[voornaam]])</f>
        <v>22202 Pluym Pascal</v>
      </c>
      <c r="C783" t="str">
        <f>VLOOKUP(bron[[#This Row],[personeelsnr]],'data hastus'!$A:$C,2,0)</f>
        <v>Pluym</v>
      </c>
      <c r="D783" t="str">
        <f>VLOOKUP(bron[[#This Row],[personeelsnr]],'data hastus'!$A:$C,3,0)</f>
        <v>Pascal</v>
      </c>
      <c r="E783" t="str">
        <f>VLOOKUP(bron[[#This Row],[personeelsnr]],'data hastus'!A:K,11,FALSE)</f>
        <v>Steven Storm</v>
      </c>
      <c r="F783" s="10"/>
      <c r="G783" s="7"/>
      <c r="H783" s="7"/>
      <c r="I783" s="7"/>
      <c r="N783" s="5">
        <v>1</v>
      </c>
      <c r="S783" s="5">
        <f>SUM(bron[[#This Row],[Januari]:[December]])</f>
        <v>1</v>
      </c>
      <c r="T783" s="9">
        <v>45883</v>
      </c>
      <c r="U783" s="5" t="s">
        <v>1273</v>
      </c>
      <c r="V783" s="24">
        <v>1</v>
      </c>
      <c r="W783" s="24"/>
      <c r="X783" t="s">
        <v>7</v>
      </c>
      <c r="Y783" t="s">
        <v>19</v>
      </c>
    </row>
    <row r="784" spans="1:25" hidden="1" x14ac:dyDescent="0.25">
      <c r="A784">
        <v>41871</v>
      </c>
      <c r="B784" t="str">
        <f>_xlfn.CONCAT(bron[[#This Row],[personeelsnr]]," ",bron[[#This Row],[achternaam]]," ",bron[[#This Row],[voornaam]])</f>
        <v>41871 Karanfil Ibrahim</v>
      </c>
      <c r="C784" t="str">
        <f>VLOOKUP(bron[[#This Row],[personeelsnr]],'data hastus'!$A:$C,2,0)</f>
        <v>Karanfil</v>
      </c>
      <c r="D784" t="str">
        <f>VLOOKUP(bron[[#This Row],[personeelsnr]],'data hastus'!$A:$C,3,0)</f>
        <v>Ibrahim</v>
      </c>
      <c r="E784" t="str">
        <f>VLOOKUP(bron[[#This Row],[personeelsnr]],'data hastus'!A:K,11,FALSE)</f>
        <v>Dominique De Clercq</v>
      </c>
      <c r="F784" s="10"/>
      <c r="G784" s="7"/>
      <c r="H784" s="7"/>
      <c r="I784" s="7"/>
      <c r="N784" s="5">
        <v>1</v>
      </c>
      <c r="S784" s="5">
        <f>SUM(bron[[#This Row],[Januari]:[December]])</f>
        <v>1</v>
      </c>
      <c r="T784" s="9">
        <v>45884</v>
      </c>
      <c r="U784" s="24" t="s">
        <v>1274</v>
      </c>
      <c r="V784" s="24">
        <v>1</v>
      </c>
      <c r="W784" s="24"/>
      <c r="X784" t="s">
        <v>7</v>
      </c>
      <c r="Y784" t="s">
        <v>243</v>
      </c>
    </row>
    <row r="785" spans="1:25" hidden="1" x14ac:dyDescent="0.25">
      <c r="A785">
        <v>18051</v>
      </c>
      <c r="B785" t="str">
        <f>_xlfn.CONCAT(bron[[#This Row],[personeelsnr]]," ",bron[[#This Row],[achternaam]]," ",bron[[#This Row],[voornaam]])</f>
        <v>18051 Van Wittenberge Filip</v>
      </c>
      <c r="C785" t="str">
        <f>VLOOKUP(bron[[#This Row],[personeelsnr]],'data hastus'!$A:$C,2,0)</f>
        <v>Van Wittenberge</v>
      </c>
      <c r="D785" t="str">
        <f>VLOOKUP(bron[[#This Row],[personeelsnr]],'data hastus'!$A:$C,3,0)</f>
        <v>Filip</v>
      </c>
      <c r="E785" t="str">
        <f>VLOOKUP(bron[[#This Row],[personeelsnr]],'data hastus'!A:K,11,FALSE)</f>
        <v>Christoff Rotty</v>
      </c>
      <c r="F785" s="10"/>
      <c r="G785" s="7"/>
      <c r="H785" s="7"/>
      <c r="I785" s="7"/>
      <c r="N785" s="5">
        <v>1</v>
      </c>
      <c r="S785" s="5">
        <f>SUM(bron[[#This Row],[Januari]:[December]])</f>
        <v>1</v>
      </c>
      <c r="T785" s="9">
        <v>45887</v>
      </c>
      <c r="U785" s="5" t="s">
        <v>1275</v>
      </c>
      <c r="V785" s="24">
        <v>1</v>
      </c>
      <c r="W785" s="24"/>
      <c r="X785" t="s">
        <v>7</v>
      </c>
      <c r="Y785" t="s">
        <v>123</v>
      </c>
    </row>
    <row r="786" spans="1:25" hidden="1" x14ac:dyDescent="0.25">
      <c r="A786">
        <v>25487</v>
      </c>
      <c r="B786" t="str">
        <f>_xlfn.CONCAT(bron[[#This Row],[personeelsnr]]," ",bron[[#This Row],[achternaam]]," ",bron[[#This Row],[voornaam]])</f>
        <v>25487 Devos Stefaan</v>
      </c>
      <c r="C786" t="str">
        <f>VLOOKUP(bron[[#This Row],[personeelsnr]],'data hastus'!$A:$C,2,0)</f>
        <v>Devos</v>
      </c>
      <c r="D786" t="str">
        <f>VLOOKUP(bron[[#This Row],[personeelsnr]],'data hastus'!$A:$C,3,0)</f>
        <v>Stefaan</v>
      </c>
      <c r="E786" t="str">
        <f>VLOOKUP(bron[[#This Row],[personeelsnr]],'data hastus'!A:K,11,FALSE)</f>
        <v>Steven Storm</v>
      </c>
      <c r="F786" s="10"/>
      <c r="G786" s="7"/>
      <c r="H786" s="7"/>
      <c r="I786" s="7"/>
      <c r="N786" s="5">
        <v>1</v>
      </c>
      <c r="S786" s="5">
        <f>SUM(bron[[#This Row],[Januari]:[December]])</f>
        <v>1</v>
      </c>
      <c r="T786" s="9">
        <v>45887</v>
      </c>
      <c r="U786" s="5" t="s">
        <v>1276</v>
      </c>
      <c r="V786" s="24"/>
      <c r="W786" s="24">
        <v>1</v>
      </c>
      <c r="X786" t="s">
        <v>8</v>
      </c>
      <c r="Y786" t="s">
        <v>235</v>
      </c>
    </row>
    <row r="787" spans="1:25" hidden="1" x14ac:dyDescent="0.25">
      <c r="A787">
        <v>41190</v>
      </c>
      <c r="B787" t="str">
        <f>_xlfn.CONCAT(bron[[#This Row],[personeelsnr]]," ",bron[[#This Row],[achternaam]]," ",bron[[#This Row],[voornaam]])</f>
        <v>41190 De Meyer Horst</v>
      </c>
      <c r="C787" t="s">
        <v>1277</v>
      </c>
      <c r="D787" t="s">
        <v>1278</v>
      </c>
      <c r="E787" t="s">
        <v>76</v>
      </c>
      <c r="F787" s="10"/>
      <c r="G787" s="7"/>
      <c r="H787" s="7"/>
      <c r="I787" s="7"/>
      <c r="N787" s="5">
        <v>1</v>
      </c>
      <c r="S787" s="5">
        <f>SUM(bron[[#This Row],[Januari]:[December]])</f>
        <v>1</v>
      </c>
      <c r="T787" s="9">
        <v>45891</v>
      </c>
      <c r="U787" s="24" t="s">
        <v>1279</v>
      </c>
      <c r="V787" s="24">
        <v>1</v>
      </c>
      <c r="W787" s="24"/>
      <c r="X787" t="s">
        <v>7</v>
      </c>
      <c r="Y787" t="s">
        <v>5</v>
      </c>
    </row>
    <row r="788" spans="1:25" hidden="1" x14ac:dyDescent="0.25">
      <c r="A788">
        <v>39654</v>
      </c>
      <c r="B788" t="str">
        <f>_xlfn.CONCAT(bron[[#This Row],[personeelsnr]]," ",bron[[#This Row],[achternaam]]," ",bron[[#This Row],[voornaam]])</f>
        <v>39654 Camacho Encarnacion Lisandro Javier</v>
      </c>
      <c r="C788" t="str">
        <f>VLOOKUP(bron[[#This Row],[personeelsnr]],'data hastus'!$A:$C,2,0)</f>
        <v>Camacho Encarnacion</v>
      </c>
      <c r="D788" t="str">
        <f>VLOOKUP(bron[[#This Row],[personeelsnr]],'data hastus'!$A:$C,3,0)</f>
        <v>Lisandro Javier</v>
      </c>
      <c r="E788" t="str">
        <f>VLOOKUP(bron[[#This Row],[personeelsnr]],'data hastus'!A:K,11,FALSE)</f>
        <v>Kenneth De Rick</v>
      </c>
      <c r="F788" s="10"/>
      <c r="G788" s="7"/>
      <c r="H788" s="7"/>
      <c r="I788" s="7"/>
      <c r="M788" s="5">
        <v>1</v>
      </c>
      <c r="S788" s="5">
        <f>SUM(bron[[#This Row],[Januari]:[December]])</f>
        <v>1</v>
      </c>
      <c r="T788" s="9">
        <v>45891</v>
      </c>
      <c r="U788" s="8" t="s">
        <v>1280</v>
      </c>
      <c r="V788" s="24">
        <v>1</v>
      </c>
      <c r="W788" s="24"/>
      <c r="X788" t="s">
        <v>7</v>
      </c>
      <c r="Y788" t="s">
        <v>22</v>
      </c>
    </row>
    <row r="789" spans="1:25" hidden="1" x14ac:dyDescent="0.25">
      <c r="A789">
        <v>39651</v>
      </c>
      <c r="B789" t="str">
        <f>_xlfn.CONCAT(bron[[#This Row],[personeelsnr]]," ",bron[[#This Row],[achternaam]]," ",bron[[#This Row],[voornaam]])</f>
        <v>39651 Kallenbach Sunny</v>
      </c>
      <c r="C789" t="str">
        <f>VLOOKUP(bron[[#This Row],[personeelsnr]],'data hastus'!$A:$C,2,0)</f>
        <v>Kallenbach</v>
      </c>
      <c r="D789" t="str">
        <f>VLOOKUP(bron[[#This Row],[personeelsnr]],'data hastus'!$A:$C,3,0)</f>
        <v>Sunny</v>
      </c>
      <c r="E789" t="str">
        <f>VLOOKUP(bron[[#This Row],[personeelsnr]],'data hastus'!A:K,11,FALSE)</f>
        <v>Kenneth De Rick</v>
      </c>
      <c r="F789" s="10"/>
      <c r="G789" s="7"/>
      <c r="H789" s="7"/>
      <c r="I789" s="7"/>
      <c r="N789" s="5">
        <v>1</v>
      </c>
      <c r="S789" s="5">
        <f>SUM(bron[[#This Row],[Januari]:[December]])</f>
        <v>1</v>
      </c>
      <c r="T789" s="9">
        <v>45891</v>
      </c>
      <c r="U789" s="5" t="s">
        <v>1281</v>
      </c>
      <c r="V789" s="24">
        <v>1</v>
      </c>
      <c r="W789" s="24"/>
      <c r="X789" t="s">
        <v>7</v>
      </c>
      <c r="Y789" t="s">
        <v>113</v>
      </c>
    </row>
    <row r="790" spans="1:25" hidden="1" x14ac:dyDescent="0.25">
      <c r="A790">
        <v>41619</v>
      </c>
      <c r="B790" t="str">
        <f>_xlfn.CONCAT(bron[[#This Row],[personeelsnr]]," ",bron[[#This Row],[achternaam]]," ",bron[[#This Row],[voornaam]])</f>
        <v>41619 Bachiri Ousama</v>
      </c>
      <c r="C790" t="str">
        <f>VLOOKUP(bron[[#This Row],[personeelsnr]],'data hastus'!$A:$C,2,0)</f>
        <v>Bachiri</v>
      </c>
      <c r="D790" t="str">
        <f>VLOOKUP(bron[[#This Row],[personeelsnr]],'data hastus'!$A:$C,3,0)</f>
        <v>Ousama</v>
      </c>
      <c r="E790" t="str">
        <f>VLOOKUP(bron[[#This Row],[personeelsnr]],'data hastus'!A:K,11,FALSE)</f>
        <v>Bart Van Der Beken</v>
      </c>
      <c r="F790" s="10"/>
      <c r="G790" s="7"/>
      <c r="H790" s="7"/>
      <c r="I790" s="7"/>
      <c r="N790" s="5">
        <v>1</v>
      </c>
      <c r="S790" s="5">
        <f>SUM(bron[[#This Row],[Januari]:[December]])</f>
        <v>1</v>
      </c>
      <c r="T790" s="9">
        <v>45892</v>
      </c>
      <c r="U790" s="5" t="s">
        <v>1282</v>
      </c>
      <c r="V790" s="24">
        <v>1</v>
      </c>
      <c r="W790" s="24"/>
      <c r="X790" t="s">
        <v>7</v>
      </c>
      <c r="Y790" t="s">
        <v>51</v>
      </c>
    </row>
    <row r="791" spans="1:25" hidden="1" x14ac:dyDescent="0.25">
      <c r="A791">
        <v>42145</v>
      </c>
      <c r="B791" t="str">
        <f>_xlfn.CONCAT(bron[[#This Row],[personeelsnr]]," ",bron[[#This Row],[achternaam]]," ",bron[[#This Row],[voornaam]])</f>
        <v>42145 Gys Shayya</v>
      </c>
      <c r="C791" t="str">
        <f>VLOOKUP(bron[[#This Row],[personeelsnr]],'data hastus'!$A:$C,2,0)</f>
        <v>Gys</v>
      </c>
      <c r="D791" t="str">
        <f>VLOOKUP(bron[[#This Row],[personeelsnr]],'data hastus'!$A:$C,3,0)</f>
        <v>Shayya</v>
      </c>
      <c r="E791" t="str">
        <f>VLOOKUP(bron[[#This Row],[personeelsnr]],'data hastus'!A:K,11,FALSE)</f>
        <v>Steven Storm</v>
      </c>
      <c r="F791" s="10"/>
      <c r="G791" s="7"/>
      <c r="H791" s="7"/>
      <c r="I791" s="7"/>
      <c r="N791" s="5">
        <v>1</v>
      </c>
      <c r="S791" s="5">
        <f>SUM(bron[[#This Row],[Januari]:[December]])</f>
        <v>1</v>
      </c>
      <c r="T791" s="9">
        <v>45894</v>
      </c>
      <c r="U791" s="5" t="s">
        <v>1283</v>
      </c>
      <c r="V791" s="24">
        <v>1</v>
      </c>
      <c r="W791" s="24"/>
      <c r="X791" t="s">
        <v>7</v>
      </c>
      <c r="Y791" t="s">
        <v>293</v>
      </c>
    </row>
    <row r="792" spans="1:25" hidden="1" x14ac:dyDescent="0.25">
      <c r="A792">
        <v>34198</v>
      </c>
      <c r="B792" t="str">
        <f>_xlfn.CONCAT(bron[[#This Row],[personeelsnr]]," ",bron[[#This Row],[achternaam]]," ",bron[[#This Row],[voornaam]])</f>
        <v>34198 Pelfrene Toby</v>
      </c>
      <c r="C792" t="str">
        <f>VLOOKUP(bron[[#This Row],[personeelsnr]],'data hastus'!$A:$C,2,0)</f>
        <v>Pelfrene</v>
      </c>
      <c r="D792" t="str">
        <f>VLOOKUP(bron[[#This Row],[personeelsnr]],'data hastus'!$A:$C,3,0)</f>
        <v>Toby</v>
      </c>
      <c r="E792" t="str">
        <f>VLOOKUP(bron[[#This Row],[personeelsnr]],'data hastus'!A:K,11,FALSE)</f>
        <v>Els Vanhoe</v>
      </c>
      <c r="F792" s="10"/>
      <c r="G792" s="7"/>
      <c r="H792" s="7"/>
      <c r="I792" s="7"/>
      <c r="N792" s="5">
        <v>1</v>
      </c>
      <c r="S792" s="5">
        <f>SUM(bron[[#This Row],[Januari]:[December]])</f>
        <v>1</v>
      </c>
      <c r="T792" s="9">
        <v>45895</v>
      </c>
      <c r="U792" s="5" t="s">
        <v>1284</v>
      </c>
      <c r="V792" s="24"/>
      <c r="W792" s="24">
        <v>1</v>
      </c>
      <c r="X792" t="s">
        <v>8</v>
      </c>
      <c r="Y792" t="s">
        <v>5</v>
      </c>
    </row>
    <row r="793" spans="1:25" hidden="1" x14ac:dyDescent="0.25">
      <c r="A793">
        <v>11236</v>
      </c>
      <c r="B793" t="str">
        <f>_xlfn.CONCAT(bron[[#This Row],[personeelsnr]]," ",bron[[#This Row],[achternaam]]," ",bron[[#This Row],[voornaam]])</f>
        <v>11236 Baert Freddy</v>
      </c>
      <c r="C793" t="str">
        <f>VLOOKUP(bron[[#This Row],[personeelsnr]],'data hastus'!$A:$C,2,0)</f>
        <v>Baert</v>
      </c>
      <c r="D793" t="str">
        <f>VLOOKUP(bron[[#This Row],[personeelsnr]],'data hastus'!$A:$C,3,0)</f>
        <v>Freddy</v>
      </c>
      <c r="E793" t="str">
        <f>VLOOKUP(bron[[#This Row],[personeelsnr]],'data hastus'!A:K,11,FALSE)</f>
        <v>Bart Van Der Beken</v>
      </c>
      <c r="F793" s="10"/>
      <c r="G793" s="7"/>
      <c r="H793" s="7"/>
      <c r="I793" s="7"/>
      <c r="N793" s="5">
        <v>1</v>
      </c>
      <c r="S793" s="5">
        <f>SUM(bron[[#This Row],[Januari]:[December]])</f>
        <v>1</v>
      </c>
      <c r="T793" s="9">
        <v>45897</v>
      </c>
      <c r="U793" s="5" t="s">
        <v>1285</v>
      </c>
      <c r="V793" s="24">
        <v>1</v>
      </c>
      <c r="W793" s="24"/>
      <c r="X793" t="s">
        <v>7</v>
      </c>
      <c r="Y793" t="s">
        <v>195</v>
      </c>
    </row>
    <row r="794" spans="1:25" hidden="1" x14ac:dyDescent="0.25">
      <c r="A794">
        <v>16895</v>
      </c>
      <c r="B794" t="str">
        <f>_xlfn.CONCAT(bron[[#This Row],[personeelsnr]]," ",bron[[#This Row],[achternaam]]," ",bron[[#This Row],[voornaam]])</f>
        <v>16895 Van Lauwe Freddy</v>
      </c>
      <c r="C794" t="str">
        <f>VLOOKUP(bron[[#This Row],[personeelsnr]],'data hastus'!$A:$C,2,0)</f>
        <v>Van Lauwe</v>
      </c>
      <c r="D794" t="str">
        <f>VLOOKUP(bron[[#This Row],[personeelsnr]],'data hastus'!$A:$C,3,0)</f>
        <v>Freddy</v>
      </c>
      <c r="E794" t="str">
        <f>VLOOKUP(bron[[#This Row],[personeelsnr]],'data hastus'!A:K,11,FALSE)</f>
        <v>Bart Van Der Beken</v>
      </c>
      <c r="F794" s="10"/>
      <c r="G794" s="7"/>
      <c r="H794" s="7"/>
      <c r="I794" s="7"/>
      <c r="N794" s="5">
        <v>1</v>
      </c>
      <c r="S794" s="5">
        <f>SUM(bron[[#This Row],[Januari]:[December]])</f>
        <v>1</v>
      </c>
      <c r="T794" s="9">
        <v>45897</v>
      </c>
      <c r="U794" s="5" t="s">
        <v>1286</v>
      </c>
      <c r="V794" s="24">
        <v>1</v>
      </c>
      <c r="W794" s="24"/>
      <c r="X794" t="s">
        <v>7</v>
      </c>
      <c r="Y794" t="s">
        <v>199</v>
      </c>
    </row>
    <row r="795" spans="1:25" hidden="1" x14ac:dyDescent="0.25">
      <c r="A795">
        <v>40856</v>
      </c>
      <c r="B795" t="str">
        <f>_xlfn.CONCAT(bron[[#This Row],[personeelsnr]]," ",bron[[#This Row],[achternaam]]," ",bron[[#This Row],[voornaam]])</f>
        <v>40856 Neissi Sadegh</v>
      </c>
      <c r="C795" t="str">
        <f>VLOOKUP(bron[[#This Row],[personeelsnr]],'data hastus'!$A:$C,2,0)</f>
        <v>Neissi</v>
      </c>
      <c r="D795" t="str">
        <f>VLOOKUP(bron[[#This Row],[personeelsnr]],'data hastus'!$A:$C,3,0)</f>
        <v>Sadegh</v>
      </c>
      <c r="E795" t="str">
        <f>VLOOKUP(bron[[#This Row],[personeelsnr]],'data hastus'!A:K,11,FALSE)</f>
        <v>Kenneth De Rick</v>
      </c>
      <c r="F795" s="10"/>
      <c r="G795" s="7"/>
      <c r="H795" s="7"/>
      <c r="I795" s="7"/>
      <c r="N795" s="5">
        <v>1</v>
      </c>
      <c r="S795" s="5">
        <f>SUM(bron[[#This Row],[Januari]:[December]])</f>
        <v>1</v>
      </c>
      <c r="T795" s="9">
        <v>45898</v>
      </c>
      <c r="U795" s="5" t="s">
        <v>1287</v>
      </c>
      <c r="V795" s="24">
        <v>1</v>
      </c>
      <c r="W795" s="24"/>
      <c r="X795" t="s">
        <v>7</v>
      </c>
      <c r="Y795" t="s">
        <v>5</v>
      </c>
    </row>
    <row r="796" spans="1:25" hidden="1" x14ac:dyDescent="0.25">
      <c r="A796">
        <v>33488</v>
      </c>
      <c r="B796" t="str">
        <f>_xlfn.CONCAT(bron[[#This Row],[personeelsnr]]," ",bron[[#This Row],[achternaam]]," ",bron[[#This Row],[voornaam]])</f>
        <v>33488 Holub Patrik</v>
      </c>
      <c r="C796" t="str">
        <f>VLOOKUP(bron[[#This Row],[personeelsnr]],'data hastus'!$A:$C,2,0)</f>
        <v>Holub</v>
      </c>
      <c r="D796" t="str">
        <f>VLOOKUP(bron[[#This Row],[personeelsnr]],'data hastus'!$A:$C,3,0)</f>
        <v>Patrik</v>
      </c>
      <c r="E796" t="str">
        <f>VLOOKUP(bron[[#This Row],[personeelsnr]],'data hastus'!A:K,11,FALSE)</f>
        <v>Els Vanhoe</v>
      </c>
      <c r="F796" s="10"/>
      <c r="G796" s="7"/>
      <c r="H796" s="7"/>
      <c r="I796" s="7"/>
      <c r="N796" s="5">
        <v>1</v>
      </c>
      <c r="S796" s="5">
        <f>SUM(bron[[#This Row],[Januari]:[December]])</f>
        <v>1</v>
      </c>
      <c r="T796" s="9">
        <v>45898</v>
      </c>
      <c r="U796" s="5" t="s">
        <v>1288</v>
      </c>
      <c r="V796" s="24">
        <v>1</v>
      </c>
      <c r="W796" s="24"/>
      <c r="X796" t="s">
        <v>7</v>
      </c>
      <c r="Y796" t="s">
        <v>1289</v>
      </c>
    </row>
    <row r="797" spans="1:25" hidden="1" x14ac:dyDescent="0.25">
      <c r="A797">
        <v>39673</v>
      </c>
      <c r="B797" t="str">
        <f>_xlfn.CONCAT(bron[[#This Row],[personeelsnr]]," ",bron[[#This Row],[achternaam]]," ",bron[[#This Row],[voornaam]])</f>
        <v>39673 Steurbaut Henri</v>
      </c>
      <c r="C797" t="str">
        <f>VLOOKUP(bron[[#This Row],[personeelsnr]],'data hastus'!$A:$C,2,0)</f>
        <v>Steurbaut</v>
      </c>
      <c r="D797" t="str">
        <f>VLOOKUP(bron[[#This Row],[personeelsnr]],'data hastus'!$A:$C,3,0)</f>
        <v>Henri</v>
      </c>
      <c r="E797" t="str">
        <f>VLOOKUP(bron[[#This Row],[personeelsnr]],'data hastus'!A:K,11,FALSE)</f>
        <v>Els Vanhoe</v>
      </c>
      <c r="F797" s="10"/>
      <c r="G797" s="7"/>
      <c r="H797" s="7"/>
      <c r="I797" s="7"/>
      <c r="N797" s="5">
        <v>1</v>
      </c>
      <c r="S797" s="5">
        <f>SUM(bron[[#This Row],[Januari]:[December]])</f>
        <v>1</v>
      </c>
      <c r="T797" s="9">
        <v>45899</v>
      </c>
      <c r="U797" s="5" t="s">
        <v>1290</v>
      </c>
      <c r="V797" s="24">
        <v>1</v>
      </c>
      <c r="W797" s="24"/>
      <c r="X797" t="s">
        <v>7</v>
      </c>
      <c r="Y797" t="s">
        <v>560</v>
      </c>
    </row>
    <row r="798" spans="1:25" hidden="1" x14ac:dyDescent="0.25">
      <c r="A798">
        <v>41874</v>
      </c>
      <c r="B798" t="str">
        <f>_xlfn.CONCAT(bron[[#This Row],[personeelsnr]]," ",bron[[#This Row],[achternaam]]," ",bron[[#This Row],[voornaam]])</f>
        <v>41874 Dobbeleire Bruno</v>
      </c>
      <c r="C798" t="str">
        <f>VLOOKUP(bron[[#This Row],[personeelsnr]],'data hastus'!$A:$C,2,0)</f>
        <v>Dobbeleire</v>
      </c>
      <c r="D798" t="str">
        <f>VLOOKUP(bron[[#This Row],[personeelsnr]],'data hastus'!$A:$C,3,0)</f>
        <v>Bruno</v>
      </c>
      <c r="E798" t="str">
        <f>VLOOKUP(bron[[#This Row],[personeelsnr]],'data hastus'!A:K,11,FALSE)</f>
        <v>Dominique De Clercq</v>
      </c>
      <c r="F798" s="10"/>
      <c r="G798" s="7"/>
      <c r="H798" s="7"/>
      <c r="I798" s="7"/>
      <c r="O798" s="5">
        <v>1</v>
      </c>
      <c r="S798" s="5">
        <f>SUM(bron[[#This Row],[Januari]:[December]])</f>
        <v>1</v>
      </c>
      <c r="T798" s="9">
        <v>45901</v>
      </c>
      <c r="U798" s="5" t="s">
        <v>1340</v>
      </c>
      <c r="V798" s="24">
        <v>1</v>
      </c>
      <c r="W798" s="24"/>
      <c r="X798" t="s">
        <v>7</v>
      </c>
      <c r="Y798" t="s">
        <v>1341</v>
      </c>
    </row>
    <row r="799" spans="1:25" hidden="1" x14ac:dyDescent="0.25">
      <c r="A799">
        <v>39528</v>
      </c>
      <c r="B799" t="str">
        <f>_xlfn.CONCAT(bron[[#This Row],[personeelsnr]]," ",bron[[#This Row],[achternaam]]," ",bron[[#This Row],[voornaam]])</f>
        <v>39528 Mihaylov Plamen</v>
      </c>
      <c r="C799" t="str">
        <f>VLOOKUP(bron[[#This Row],[personeelsnr]],'data hastus'!$A:$C,2,0)</f>
        <v>Mihaylov</v>
      </c>
      <c r="D799" t="str">
        <f>VLOOKUP(bron[[#This Row],[personeelsnr]],'data hastus'!$A:$C,3,0)</f>
        <v>Plamen</v>
      </c>
      <c r="E799" t="str">
        <f>VLOOKUP(bron[[#This Row],[personeelsnr]],'data hastus'!A:K,11,FALSE)</f>
        <v>Christoff Rotty</v>
      </c>
      <c r="F799" s="10"/>
      <c r="G799" s="7"/>
      <c r="H799" s="7"/>
      <c r="I799" s="7"/>
      <c r="O799" s="5">
        <v>1</v>
      </c>
      <c r="S799" s="5">
        <f>SUM(bron[[#This Row],[Januari]:[December]])</f>
        <v>1</v>
      </c>
      <c r="T799" s="9">
        <v>45902</v>
      </c>
      <c r="U799" s="5" t="s">
        <v>1342</v>
      </c>
      <c r="V799" s="24">
        <v>1</v>
      </c>
      <c r="W799" s="24"/>
      <c r="X799" t="s">
        <v>7</v>
      </c>
      <c r="Y799" t="s">
        <v>399</v>
      </c>
    </row>
    <row r="800" spans="1:25" hidden="1" x14ac:dyDescent="0.25">
      <c r="A800">
        <v>27153</v>
      </c>
      <c r="B800" t="str">
        <f>_xlfn.CONCAT(bron[[#This Row],[personeelsnr]]," ",bron[[#This Row],[achternaam]]," ",bron[[#This Row],[voornaam]])</f>
        <v>27153 Oben Thibaud</v>
      </c>
      <c r="C800" t="str">
        <f>VLOOKUP(bron[[#This Row],[personeelsnr]],'data hastus'!$A:$C,2,0)</f>
        <v>Oben</v>
      </c>
      <c r="D800" t="str">
        <f>VLOOKUP(bron[[#This Row],[personeelsnr]],'data hastus'!$A:$C,3,0)</f>
        <v>Thibaud</v>
      </c>
      <c r="E800" t="str">
        <f>VLOOKUP(bron[[#This Row],[personeelsnr]],'data hastus'!A:K,11,FALSE)</f>
        <v>Christoff Rotty</v>
      </c>
      <c r="F800" s="10"/>
      <c r="G800" s="7"/>
      <c r="H800" s="7"/>
      <c r="I800" s="7"/>
      <c r="O800" s="5">
        <v>1</v>
      </c>
      <c r="S800" s="5">
        <f>SUM(bron[[#This Row],[Januari]:[December]])</f>
        <v>1</v>
      </c>
      <c r="T800" s="9">
        <v>45902</v>
      </c>
      <c r="U800" s="5" t="s">
        <v>3533</v>
      </c>
      <c r="V800" s="24">
        <v>1</v>
      </c>
      <c r="W800" s="24"/>
      <c r="X800" t="s">
        <v>7</v>
      </c>
      <c r="Y800" t="s">
        <v>100</v>
      </c>
    </row>
    <row r="801" spans="1:25" hidden="1" x14ac:dyDescent="0.25">
      <c r="A801">
        <v>20656</v>
      </c>
      <c r="B801" t="str">
        <f>_xlfn.CONCAT(bron[[#This Row],[personeelsnr]]," ",bron[[#This Row],[achternaam]]," ",bron[[#This Row],[voornaam]])</f>
        <v>20656 Vonck Bart</v>
      </c>
      <c r="C801" t="str">
        <f>VLOOKUP(bron[[#This Row],[personeelsnr]],'data hastus'!$A:$C,2,0)</f>
        <v>Vonck</v>
      </c>
      <c r="D801" t="str">
        <f>VLOOKUP(bron[[#This Row],[personeelsnr]],'data hastus'!$A:$C,3,0)</f>
        <v>Bart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O801" s="5">
        <v>1</v>
      </c>
      <c r="S801" s="5">
        <f>SUM(bron[[#This Row],[Januari]:[December]])</f>
        <v>1</v>
      </c>
      <c r="T801" s="9">
        <v>45903</v>
      </c>
      <c r="U801" s="5" t="s">
        <v>3530</v>
      </c>
      <c r="V801" s="24">
        <v>1</v>
      </c>
      <c r="W801" s="24"/>
      <c r="X801" t="s">
        <v>7</v>
      </c>
      <c r="Y801" t="s">
        <v>3531</v>
      </c>
    </row>
    <row r="802" spans="1:25" hidden="1" x14ac:dyDescent="0.25">
      <c r="A802">
        <v>33085</v>
      </c>
      <c r="B802" t="str">
        <f>_xlfn.CONCAT(bron[[#This Row],[personeelsnr]]," ",bron[[#This Row],[achternaam]]," ",bron[[#This Row],[voornaam]])</f>
        <v>33085 Van Hoe Ivo</v>
      </c>
      <c r="C802" t="str">
        <f>VLOOKUP(bron[[#This Row],[personeelsnr]],'data hastus'!$A:$C,2,0)</f>
        <v>Van Hoe</v>
      </c>
      <c r="D802" t="str">
        <f>VLOOKUP(bron[[#This Row],[personeelsnr]],'data hastus'!$A:$C,3,0)</f>
        <v>Ivo</v>
      </c>
      <c r="E802" t="str">
        <f>VLOOKUP(bron[[#This Row],[personeelsnr]],'data hastus'!A:K,11,FALSE)</f>
        <v>Kenneth De Rick</v>
      </c>
      <c r="F802" s="10"/>
      <c r="G802" s="7"/>
      <c r="H802" s="7"/>
      <c r="I802" s="7"/>
      <c r="O802" s="5">
        <v>1</v>
      </c>
      <c r="S802" s="5">
        <f>SUM(bron[[#This Row],[Januari]:[December]])</f>
        <v>1</v>
      </c>
      <c r="T802" s="9">
        <v>45904</v>
      </c>
      <c r="U802" s="5" t="s">
        <v>3532</v>
      </c>
      <c r="V802" s="24"/>
      <c r="W802" s="24">
        <v>1</v>
      </c>
      <c r="X802" t="s">
        <v>8</v>
      </c>
      <c r="Y802" t="s">
        <v>5</v>
      </c>
    </row>
    <row r="803" spans="1:25" hidden="1" x14ac:dyDescent="0.25">
      <c r="A803">
        <v>36426</v>
      </c>
      <c r="B803" t="str">
        <f>_xlfn.CONCAT(bron[[#This Row],[personeelsnr]]," ",bron[[#This Row],[achternaam]]," ",bron[[#This Row],[voornaam]])</f>
        <v>36426 Mohamed Yassin Abdulhamid</v>
      </c>
      <c r="C803" t="str">
        <f>VLOOKUP(bron[[#This Row],[personeelsnr]],'data hastus'!$A:$C,2,0)</f>
        <v>Mohamed Yassin</v>
      </c>
      <c r="D803" t="str">
        <f>VLOOKUP(bron[[#This Row],[personeelsnr]],'data hastus'!$A:$C,3,0)</f>
        <v>Abdulhamid</v>
      </c>
      <c r="E803" t="str">
        <f>VLOOKUP(bron[[#This Row],[personeelsnr]],'data hastus'!A:K,11,FALSE)</f>
        <v>Bart Van Der Beken</v>
      </c>
      <c r="F803" s="10">
        <v>45660</v>
      </c>
      <c r="G803" s="6">
        <v>1</v>
      </c>
      <c r="H803" s="6"/>
      <c r="I803" s="6"/>
      <c r="J803"/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/>
      <c r="U803" s="8" t="s">
        <v>1291</v>
      </c>
      <c r="V803" s="8"/>
      <c r="W803" s="8">
        <v>1</v>
      </c>
      <c r="X803" t="s">
        <v>8</v>
      </c>
      <c r="Y803" t="s">
        <v>235</v>
      </c>
    </row>
    <row r="804" spans="1:25" hidden="1" x14ac:dyDescent="0.25">
      <c r="A804">
        <v>40744</v>
      </c>
      <c r="B804" t="str">
        <f>_xlfn.CONCAT(bron[[#This Row],[personeelsnr]]," ",bron[[#This Row],[achternaam]]," ",bron[[#This Row],[voornaam]])</f>
        <v>40744 Gözüküçük Ugur</v>
      </c>
      <c r="C804" t="str">
        <f>VLOOKUP(bron[[#This Row],[personeelsnr]],'data hastus'!$A:$C,2,0)</f>
        <v>Gözüküçük</v>
      </c>
      <c r="D804" t="str">
        <f>VLOOKUP(bron[[#This Row],[personeelsnr]],'data hastus'!$A:$C,3,0)</f>
        <v>Ugur</v>
      </c>
      <c r="E804" t="str">
        <f>VLOOKUP(bron[[#This Row],[personeelsnr]],'data hastus'!A:K,11,FALSE)</f>
        <v>Bart Van Der Beken</v>
      </c>
      <c r="F804" s="10">
        <v>45630</v>
      </c>
      <c r="G804" s="6"/>
      <c r="H804" s="6"/>
      <c r="I804" s="6"/>
      <c r="J804"/>
      <c r="K804"/>
      <c r="L804"/>
      <c r="M804"/>
      <c r="N804"/>
      <c r="O804"/>
      <c r="P804"/>
      <c r="Q804"/>
      <c r="R804"/>
      <c r="S804">
        <f>SUM(bron[[#This Row],[Januari]:[December]])</f>
        <v>0</v>
      </c>
      <c r="T804" s="3"/>
      <c r="U804" s="8" t="s">
        <v>956</v>
      </c>
      <c r="V804" s="8">
        <v>1</v>
      </c>
      <c r="W804" s="8"/>
      <c r="X804" t="s">
        <v>7</v>
      </c>
      <c r="Y804" t="s">
        <v>1292</v>
      </c>
    </row>
    <row r="805" spans="1:25" hidden="1" x14ac:dyDescent="0.25">
      <c r="A805">
        <v>37509</v>
      </c>
      <c r="B805" t="str">
        <f>_xlfn.CONCAT(bron[[#This Row],[personeelsnr]]," ",bron[[#This Row],[achternaam]]," ",bron[[#This Row],[voornaam]])</f>
        <v>37509 Abdulkader Sabah</v>
      </c>
      <c r="C805" t="str">
        <f>VLOOKUP(bron[[#This Row],[personeelsnr]],'data hastus'!$A:$C,2,0)</f>
        <v>Abdulkader</v>
      </c>
      <c r="D805" t="str">
        <f>VLOOKUP(bron[[#This Row],[personeelsnr]],'data hastus'!$A:$C,3,0)</f>
        <v>Sabah</v>
      </c>
      <c r="E805" t="str">
        <f>VLOOKUP(bron[[#This Row],[personeelsnr]],'data hastus'!A:K,11,FALSE)</f>
        <v>Bart Van Der Beken</v>
      </c>
      <c r="F805" s="10">
        <v>45706</v>
      </c>
      <c r="G805" s="6"/>
      <c r="H805" s="6">
        <v>1</v>
      </c>
      <c r="I805" s="6"/>
      <c r="J805"/>
      <c r="K805"/>
      <c r="L805"/>
      <c r="M805"/>
      <c r="N805"/>
      <c r="O805"/>
      <c r="P805"/>
      <c r="Q805"/>
      <c r="R805"/>
      <c r="S805">
        <f>SUM(bron[[#This Row],[Januari]:[December]])</f>
        <v>1</v>
      </c>
      <c r="T805" s="3"/>
      <c r="U805" s="8" t="s">
        <v>1293</v>
      </c>
      <c r="V805" s="8">
        <v>1</v>
      </c>
      <c r="W805" s="8"/>
      <c r="X805" t="s">
        <v>7</v>
      </c>
      <c r="Y805" t="s">
        <v>1294</v>
      </c>
    </row>
    <row r="806" spans="1:25" hidden="1" x14ac:dyDescent="0.25">
      <c r="A806">
        <v>37662</v>
      </c>
      <c r="B806" t="str">
        <f>_xlfn.CONCAT(bron[[#This Row],[personeelsnr]]," ",bron[[#This Row],[achternaam]]," ",bron[[#This Row],[voornaam]])</f>
        <v>37662 Van den Meerssche Steven</v>
      </c>
      <c r="C806" t="str">
        <f>VLOOKUP(bron[[#This Row],[personeelsnr]],'data hastus'!$A:$C,2,0)</f>
        <v>Van den Meerssche</v>
      </c>
      <c r="D806" t="str">
        <f>VLOOKUP(bron[[#This Row],[personeelsnr]],'data hastus'!$A:$C,3,0)</f>
        <v>Steven</v>
      </c>
      <c r="E806" t="str">
        <f>VLOOKUP(bron[[#This Row],[personeelsnr]],'data hastus'!A:K,11,FALSE)</f>
        <v>Bart Van Der Beken</v>
      </c>
      <c r="F806" s="10">
        <v>45783</v>
      </c>
      <c r="G806" s="6"/>
      <c r="H806" s="6"/>
      <c r="I806" s="6"/>
      <c r="J806"/>
      <c r="K806">
        <v>1</v>
      </c>
      <c r="L806"/>
      <c r="M806"/>
      <c r="N806"/>
      <c r="O806"/>
      <c r="P806"/>
      <c r="Q806"/>
      <c r="R806"/>
      <c r="S806">
        <f>SUM(bron[[#This Row],[Januari]:[December]])</f>
        <v>1</v>
      </c>
      <c r="T806" s="3"/>
      <c r="U806" s="8" t="s">
        <v>1295</v>
      </c>
      <c r="V806" s="8">
        <v>1</v>
      </c>
      <c r="W806" s="8"/>
      <c r="X806" t="s">
        <v>7</v>
      </c>
      <c r="Y806" t="s">
        <v>34</v>
      </c>
    </row>
    <row r="807" spans="1:25" hidden="1" x14ac:dyDescent="0.25">
      <c r="A807">
        <v>29746</v>
      </c>
      <c r="B807" t="str">
        <f>_xlfn.CONCAT(bron[[#This Row],[personeelsnr]]," ",bron[[#This Row],[achternaam]]," ",bron[[#This Row],[voornaam]])</f>
        <v>29746 Huyse Annicke</v>
      </c>
      <c r="C807" t="str">
        <f>VLOOKUP(bron[[#This Row],[personeelsnr]],'data hastus'!$A:$C,2,0)</f>
        <v>Huyse</v>
      </c>
      <c r="D807" t="str">
        <f>VLOOKUP(bron[[#This Row],[personeelsnr]],'data hastus'!$A:$C,3,0)</f>
        <v>Annicke</v>
      </c>
      <c r="E807" t="str">
        <f>VLOOKUP(bron[[#This Row],[personeelsnr]],'data hastus'!A:K,11,FALSE)</f>
        <v>Bart Van Der Beken</v>
      </c>
      <c r="F807" s="10">
        <v>45831</v>
      </c>
      <c r="G807" s="7"/>
      <c r="H807" s="7"/>
      <c r="I807" s="7"/>
      <c r="L807" s="5">
        <v>1</v>
      </c>
      <c r="S807" s="5">
        <f>SUM(bron[[#This Row],[Januari]:[December]])</f>
        <v>1</v>
      </c>
      <c r="U807" s="8" t="s">
        <v>1296</v>
      </c>
      <c r="V807" s="24"/>
      <c r="W807" s="24">
        <v>1</v>
      </c>
      <c r="X807" t="s">
        <v>8</v>
      </c>
      <c r="Y807" t="s">
        <v>739</v>
      </c>
    </row>
    <row r="808" spans="1:25" hidden="1" x14ac:dyDescent="0.25">
      <c r="A808">
        <v>39779</v>
      </c>
      <c r="B808" t="str">
        <f>_xlfn.CONCAT(bron[[#This Row],[personeelsnr]]," ",bron[[#This Row],[achternaam]]," ",bron[[#This Row],[voornaam]])</f>
        <v>39779 Avci Muhammet Abdullah</v>
      </c>
      <c r="C808" t="str">
        <f>VLOOKUP(bron[[#This Row],[personeelsnr]],'data hastus'!$A:$C,2,0)</f>
        <v>Avci</v>
      </c>
      <c r="D808" t="str">
        <f>VLOOKUP(bron[[#This Row],[personeelsnr]],'data hastus'!$A:$C,3,0)</f>
        <v>Muhammet Abdullah</v>
      </c>
      <c r="E808" t="str">
        <f>VLOOKUP(bron[[#This Row],[personeelsnr]],'data hastus'!A:K,11,FALSE)</f>
        <v>Bart Van Der Beken</v>
      </c>
      <c r="F808" s="10">
        <v>45735</v>
      </c>
      <c r="G808" s="6"/>
      <c r="H808" s="6"/>
      <c r="I808" s="6">
        <v>1</v>
      </c>
      <c r="J808"/>
      <c r="K808"/>
      <c r="L808"/>
      <c r="M808"/>
      <c r="N808"/>
      <c r="O808"/>
      <c r="P808"/>
      <c r="Q808"/>
      <c r="R808"/>
      <c r="S808">
        <f>SUM(bron[[#This Row],[Januari]:[December]])</f>
        <v>1</v>
      </c>
      <c r="T808" s="3"/>
      <c r="U808" s="8" t="s">
        <v>1297</v>
      </c>
      <c r="V808" s="8">
        <v>1</v>
      </c>
      <c r="W808" s="8"/>
      <c r="X808" t="s">
        <v>7</v>
      </c>
      <c r="Y808" t="s">
        <v>72</v>
      </c>
    </row>
    <row r="809" spans="1:25" hidden="1" x14ac:dyDescent="0.25">
      <c r="A809">
        <v>39660</v>
      </c>
      <c r="B809" t="str">
        <f>_xlfn.CONCAT(bron[[#This Row],[personeelsnr]]," ",bron[[#This Row],[achternaam]]," ",bron[[#This Row],[voornaam]])</f>
        <v>39660 Lloyd Glenn</v>
      </c>
      <c r="C809" t="str">
        <f>VLOOKUP(bron[[#This Row],[personeelsnr]],'data hastus'!$A:$C,2,0)</f>
        <v>Lloyd</v>
      </c>
      <c r="D809" t="str">
        <f>VLOOKUP(bron[[#This Row],[personeelsnr]],'data hastus'!$A:$C,3,0)</f>
        <v>Glenn</v>
      </c>
      <c r="E809" t="str">
        <f>VLOOKUP(bron[[#This Row],[personeelsnr]],'data hastus'!A:K,11,FALSE)</f>
        <v>Bart Van Der Beken</v>
      </c>
      <c r="F809" s="10">
        <v>45842</v>
      </c>
      <c r="G809" s="7"/>
      <c r="H809" s="7"/>
      <c r="I809" s="7"/>
      <c r="M809" s="5">
        <v>1</v>
      </c>
      <c r="S809" s="5">
        <f>SUM(bron[[#This Row],[Januari]:[December]])</f>
        <v>1</v>
      </c>
      <c r="U809" s="8" t="s">
        <v>1298</v>
      </c>
      <c r="V809" s="24">
        <v>1</v>
      </c>
      <c r="W809" s="24"/>
      <c r="X809" t="s">
        <v>7</v>
      </c>
      <c r="Y809" t="s">
        <v>227</v>
      </c>
    </row>
    <row r="810" spans="1:25" hidden="1" x14ac:dyDescent="0.25">
      <c r="A810">
        <v>20653</v>
      </c>
      <c r="B810" t="str">
        <f>_xlfn.CONCAT(bron[[#This Row],[personeelsnr]]," ",bron[[#This Row],[achternaam]]," ",bron[[#This Row],[voornaam]])</f>
        <v>20653 Mestdag Marius</v>
      </c>
      <c r="C810" t="str">
        <f>VLOOKUP(bron[[#This Row],[personeelsnr]],'data hastus'!$A:$C,2,0)</f>
        <v>Mestdag</v>
      </c>
      <c r="D810" t="str">
        <f>VLOOKUP(bron[[#This Row],[personeelsnr]],'data hastus'!$A:$C,3,0)</f>
        <v>Marius</v>
      </c>
      <c r="E810" t="str">
        <f>VLOOKUP(bron[[#This Row],[personeelsnr]],'data hastus'!A:K,11,FALSE)</f>
        <v>Bart Van Der Beken</v>
      </c>
      <c r="F810" s="10">
        <v>45867</v>
      </c>
      <c r="G810" s="7"/>
      <c r="H810" s="7"/>
      <c r="I810" s="7"/>
      <c r="M810" s="5">
        <v>1</v>
      </c>
      <c r="S810" s="5">
        <f>SUM(bron[[#This Row],[Januari]:[December]])</f>
        <v>1</v>
      </c>
      <c r="U810" s="8" t="s">
        <v>1299</v>
      </c>
      <c r="V810" s="24"/>
      <c r="W810" s="24">
        <v>1</v>
      </c>
      <c r="X810" t="s">
        <v>8</v>
      </c>
      <c r="Y810" t="s">
        <v>133</v>
      </c>
    </row>
    <row r="811" spans="1:25" hidden="1" x14ac:dyDescent="0.25">
      <c r="A811">
        <v>40058</v>
      </c>
      <c r="B811" t="str">
        <f>_xlfn.CONCAT(bron[[#This Row],[personeelsnr]]," ",bron[[#This Row],[achternaam]]," ",bron[[#This Row],[voornaam]])</f>
        <v>40058 Sögüt Can</v>
      </c>
      <c r="C811" t="str">
        <f>VLOOKUP(bron[[#This Row],[personeelsnr]],'data hastus'!$A:$C,2,0)</f>
        <v>Sögüt</v>
      </c>
      <c r="D811" t="str">
        <f>VLOOKUP(bron[[#This Row],[personeelsnr]],'data hastus'!$A:$C,3,0)</f>
        <v>Can</v>
      </c>
      <c r="E811" t="str">
        <f>VLOOKUP(bron[[#This Row],[personeelsnr]],'data hastus'!A:K,11,FALSE)</f>
        <v>Christoff Rotty</v>
      </c>
      <c r="F811" s="10">
        <v>45660</v>
      </c>
      <c r="G811" s="6"/>
      <c r="H811" s="6"/>
      <c r="I811" s="6"/>
      <c r="J811"/>
      <c r="K811"/>
      <c r="L811"/>
      <c r="M811"/>
      <c r="N811"/>
      <c r="O811"/>
      <c r="P811"/>
      <c r="Q811"/>
      <c r="R811"/>
      <c r="S811">
        <f>SUM(bron[[#This Row],[Januari]:[December]])</f>
        <v>0</v>
      </c>
      <c r="T811" s="3"/>
      <c r="U811" s="8" t="s">
        <v>1300</v>
      </c>
      <c r="V811" s="8">
        <v>1</v>
      </c>
      <c r="W811" s="8"/>
      <c r="X811" t="s">
        <v>7</v>
      </c>
      <c r="Y811" t="s">
        <v>119</v>
      </c>
    </row>
    <row r="812" spans="1:25" hidden="1" x14ac:dyDescent="0.25">
      <c r="A812">
        <v>38740</v>
      </c>
      <c r="B812" t="str">
        <f>_xlfn.CONCAT(bron[[#This Row],[personeelsnr]]," ",bron[[#This Row],[achternaam]]," ",bron[[#This Row],[voornaam]])</f>
        <v>38740 Meskens Anthony</v>
      </c>
      <c r="C812" t="str">
        <f>VLOOKUP(bron[[#This Row],[personeelsnr]],'data hastus'!$A:$C,2,0)</f>
        <v>Meskens</v>
      </c>
      <c r="D812" t="str">
        <f>VLOOKUP(bron[[#This Row],[personeelsnr]],'data hastus'!$A:$C,3,0)</f>
        <v>Anthony</v>
      </c>
      <c r="E812" t="str">
        <f>VLOOKUP(bron[[#This Row],[personeelsnr]],'data hastus'!A:K,11,FALSE)</f>
        <v>Christoff Rotty</v>
      </c>
      <c r="F812" s="10">
        <v>45777</v>
      </c>
      <c r="G812" s="6"/>
      <c r="H812" s="6"/>
      <c r="I812" s="6"/>
      <c r="J812">
        <v>1</v>
      </c>
      <c r="K812"/>
      <c r="L812"/>
      <c r="M812"/>
      <c r="N812"/>
      <c r="O812"/>
      <c r="P812"/>
      <c r="Q812"/>
      <c r="R812"/>
      <c r="S812">
        <f>SUM(bron[[#This Row],[Januari]:[December]])</f>
        <v>1</v>
      </c>
      <c r="T812" s="3"/>
      <c r="U812" s="8" t="s">
        <v>1301</v>
      </c>
      <c r="V812" s="8"/>
      <c r="W812" s="8">
        <v>1</v>
      </c>
      <c r="X812" t="s">
        <v>8</v>
      </c>
      <c r="Y812" t="s">
        <v>859</v>
      </c>
    </row>
    <row r="813" spans="1:25" hidden="1" x14ac:dyDescent="0.25">
      <c r="A813">
        <v>41348</v>
      </c>
      <c r="B813" t="str">
        <f>_xlfn.CONCAT(bron[[#This Row],[personeelsnr]]," ",bron[[#This Row],[achternaam]]," ",bron[[#This Row],[voornaam]])</f>
        <v>41348 Van Huffel Tim</v>
      </c>
      <c r="C813" t="str">
        <f>VLOOKUP(bron[[#This Row],[personeelsnr]],'data hastus'!$A:$C,2,0)</f>
        <v>Van Huffel</v>
      </c>
      <c r="D813" t="str">
        <f>VLOOKUP(bron[[#This Row],[personeelsnr]],'data hastus'!$A:$C,3,0)</f>
        <v>Tim</v>
      </c>
      <c r="E813" t="str">
        <f>VLOOKUP(bron[[#This Row],[personeelsnr]],'data hastus'!A:K,11,FALSE)</f>
        <v>Christoff Rotty</v>
      </c>
      <c r="F813" s="10">
        <v>45883</v>
      </c>
      <c r="G813" s="6"/>
      <c r="H813" s="6"/>
      <c r="I813" s="6"/>
      <c r="J813"/>
      <c r="K813"/>
      <c r="L813"/>
      <c r="M813"/>
      <c r="N813"/>
      <c r="O813"/>
      <c r="P813"/>
      <c r="Q813"/>
      <c r="R813"/>
      <c r="S813">
        <f>SUM(bron[[#This Row],[Januari]:[December]])</f>
        <v>0</v>
      </c>
      <c r="T813" s="3"/>
      <c r="U813" s="24" t="s">
        <v>1302</v>
      </c>
      <c r="V813" s="8">
        <v>1</v>
      </c>
      <c r="W813" s="8"/>
      <c r="X813" t="s">
        <v>7</v>
      </c>
      <c r="Y813" t="s">
        <v>10</v>
      </c>
    </row>
    <row r="814" spans="1:25" hidden="1" x14ac:dyDescent="0.25">
      <c r="A814">
        <v>41384</v>
      </c>
      <c r="B814" t="str">
        <f>_xlfn.CONCAT(bron[[#This Row],[personeelsnr]]," ",bron[[#This Row],[achternaam]]," ",bron[[#This Row],[voornaam]])</f>
        <v>41384 Hillaert Thimo</v>
      </c>
      <c r="C814" t="str">
        <f>VLOOKUP(bron[[#This Row],[personeelsnr]],'data hastus'!$A:$C,2,0)</f>
        <v>Hillaert</v>
      </c>
      <c r="D814" t="str">
        <f>VLOOKUP(bron[[#This Row],[personeelsnr]],'data hastus'!$A:$C,3,0)</f>
        <v>Thimo</v>
      </c>
      <c r="E814" t="str">
        <f>VLOOKUP(bron[[#This Row],[personeelsnr]],'data hastus'!A:K,11,FALSE)</f>
        <v>Christoff Rotty</v>
      </c>
      <c r="F814" s="10">
        <v>45864</v>
      </c>
      <c r="G814" s="7"/>
      <c r="H814" s="7"/>
      <c r="I814" s="7"/>
      <c r="M814" s="5">
        <v>1</v>
      </c>
      <c r="S814" s="5">
        <f>SUM(bron[[#This Row],[Januari]:[December]])</f>
        <v>1</v>
      </c>
      <c r="U814" s="8" t="s">
        <v>1303</v>
      </c>
      <c r="V814" s="24">
        <v>1</v>
      </c>
      <c r="W814" s="24"/>
      <c r="X814" t="s">
        <v>7</v>
      </c>
      <c r="Y814" t="s">
        <v>108</v>
      </c>
    </row>
    <row r="815" spans="1:25" hidden="1" x14ac:dyDescent="0.25">
      <c r="A815">
        <v>18051</v>
      </c>
      <c r="B815" t="str">
        <f>_xlfn.CONCAT(bron[[#This Row],[personeelsnr]]," ",bron[[#This Row],[achternaam]]," ",bron[[#This Row],[voornaam]])</f>
        <v>18051 Van Wittenberge Filip</v>
      </c>
      <c r="C815" t="str">
        <f>VLOOKUP(bron[[#This Row],[personeelsnr]],'data hastus'!$A:$C,2,0)</f>
        <v>Van Wittenberge</v>
      </c>
      <c r="D815" t="str">
        <f>VLOOKUP(bron[[#This Row],[personeelsnr]],'data hastus'!$A:$C,3,0)</f>
        <v>Filip</v>
      </c>
      <c r="E815" t="str">
        <f>VLOOKUP(bron[[#This Row],[personeelsnr]],'data hastus'!A:K,11,FALSE)</f>
        <v>Christoff Rotty</v>
      </c>
      <c r="F815" s="10">
        <v>45863</v>
      </c>
      <c r="G815" s="7"/>
      <c r="H815" s="7"/>
      <c r="I815" s="7"/>
      <c r="M815" s="5">
        <v>1</v>
      </c>
      <c r="S815" s="5">
        <f>SUM(bron[[#This Row],[Januari]:[December]])</f>
        <v>1</v>
      </c>
      <c r="U815" s="8" t="s">
        <v>1304</v>
      </c>
      <c r="V815" s="24"/>
      <c r="W815" s="24">
        <v>1</v>
      </c>
      <c r="X815" t="s">
        <v>8</v>
      </c>
      <c r="Y815" t="s">
        <v>668</v>
      </c>
    </row>
    <row r="816" spans="1:25" hidden="1" x14ac:dyDescent="0.25">
      <c r="A816">
        <v>39529</v>
      </c>
      <c r="B816" t="str">
        <f>_xlfn.CONCAT(bron[[#This Row],[personeelsnr]]," ",bron[[#This Row],[achternaam]]," ",bron[[#This Row],[voornaam]])</f>
        <v>39529 Desmet Patricia</v>
      </c>
      <c r="C816" t="str">
        <f>VLOOKUP(bron[[#This Row],[personeelsnr]],'data hastus'!$A:$C,2,0)</f>
        <v>Desmet</v>
      </c>
      <c r="D816" t="str">
        <f>VLOOKUP(bron[[#This Row],[personeelsnr]],'data hastus'!$A:$C,3,0)</f>
        <v>Patricia</v>
      </c>
      <c r="E816" t="str">
        <f>VLOOKUP(bron[[#This Row],[personeelsnr]],'data hastus'!A:K,11,FALSE)</f>
        <v>Christoff Rotty</v>
      </c>
      <c r="F816" s="10">
        <v>45853</v>
      </c>
      <c r="G816" s="7"/>
      <c r="H816" s="7"/>
      <c r="I816" s="7"/>
      <c r="M816" s="5">
        <v>1</v>
      </c>
      <c r="S816" s="5">
        <f>SUM(bron[[#This Row],[Januari]:[December]])</f>
        <v>1</v>
      </c>
      <c r="U816" s="8" t="s">
        <v>1305</v>
      </c>
      <c r="V816" s="24"/>
      <c r="W816" s="24">
        <v>1</v>
      </c>
      <c r="X816" t="s">
        <v>8</v>
      </c>
      <c r="Y816" t="s">
        <v>962</v>
      </c>
    </row>
    <row r="817" spans="1:25" hidden="1" x14ac:dyDescent="0.25">
      <c r="A817">
        <v>21509</v>
      </c>
      <c r="B817" t="str">
        <f>_xlfn.CONCAT(bron[[#This Row],[personeelsnr]]," ",bron[[#This Row],[achternaam]]," ",bron[[#This Row],[voornaam]])</f>
        <v>21509 De Craemer Kris</v>
      </c>
      <c r="C817" t="str">
        <f>VLOOKUP(bron[[#This Row],[personeelsnr]],'data hastus'!$A:$C,2,0)</f>
        <v>De Craemer</v>
      </c>
      <c r="D817" t="str">
        <f>VLOOKUP(bron[[#This Row],[personeelsnr]],'data hastus'!$A:$C,3,0)</f>
        <v>Kris</v>
      </c>
      <c r="E817" t="str">
        <f>VLOOKUP(bron[[#This Row],[personeelsnr]],'data hastus'!A:K,11,FALSE)</f>
        <v>Dominique De Clercq</v>
      </c>
      <c r="F817" s="10">
        <v>45684</v>
      </c>
      <c r="G817" s="6"/>
      <c r="H817" s="6"/>
      <c r="I817" s="6"/>
      <c r="J817"/>
      <c r="K817"/>
      <c r="L817"/>
      <c r="M817"/>
      <c r="N817"/>
      <c r="O817"/>
      <c r="P817"/>
      <c r="Q817"/>
      <c r="R817"/>
      <c r="S817">
        <f>SUM(bron[[#This Row],[Januari]:[December]])</f>
        <v>0</v>
      </c>
      <c r="T817" s="3"/>
      <c r="U817" s="8" t="s">
        <v>1306</v>
      </c>
      <c r="V817" s="8"/>
      <c r="W817" s="8">
        <v>1</v>
      </c>
      <c r="X817" t="s">
        <v>8</v>
      </c>
      <c r="Y817" t="s">
        <v>81</v>
      </c>
    </row>
    <row r="818" spans="1:25" hidden="1" x14ac:dyDescent="0.25">
      <c r="A818">
        <v>29646</v>
      </c>
      <c r="B818" t="str">
        <f>_xlfn.CONCAT(bron[[#This Row],[personeelsnr]]," ",bron[[#This Row],[achternaam]]," ",bron[[#This Row],[voornaam]])</f>
        <v>29646 Özer Mesut</v>
      </c>
      <c r="C818" t="str">
        <f>VLOOKUP(bron[[#This Row],[personeelsnr]],'data hastus'!$A:$C,2,0)</f>
        <v>Özer</v>
      </c>
      <c r="D818" t="str">
        <f>VLOOKUP(bron[[#This Row],[personeelsnr]],'data hastus'!$A:$C,3,0)</f>
        <v>Mesut</v>
      </c>
      <c r="E818" t="str">
        <f>VLOOKUP(bron[[#This Row],[personeelsnr]],'data hastus'!A:K,11,FALSE)</f>
        <v>Dominique De Clercq</v>
      </c>
      <c r="F818" s="10">
        <v>45836</v>
      </c>
      <c r="G818" s="7"/>
      <c r="H818" s="7"/>
      <c r="I818" s="7"/>
      <c r="L818" s="5">
        <v>1</v>
      </c>
      <c r="S818" s="5">
        <f>SUM(bron[[#This Row],[Januari]:[December]])</f>
        <v>1</v>
      </c>
      <c r="U818" s="8" t="s">
        <v>1307</v>
      </c>
      <c r="V818" s="24">
        <v>1</v>
      </c>
      <c r="W818" s="24"/>
      <c r="X818" t="s">
        <v>7</v>
      </c>
      <c r="Y818" t="s">
        <v>1308</v>
      </c>
    </row>
    <row r="819" spans="1:25" hidden="1" x14ac:dyDescent="0.25">
      <c r="A819">
        <v>23700</v>
      </c>
      <c r="B819" t="str">
        <f>_xlfn.CONCAT(bron[[#This Row],[personeelsnr]]," ",bron[[#This Row],[achternaam]]," ",bron[[#This Row],[voornaam]])</f>
        <v>23700 Byosière Christof</v>
      </c>
      <c r="C819" t="str">
        <f>VLOOKUP(bron[[#This Row],[personeelsnr]],'data hastus'!$A:$C,2,0)</f>
        <v>Byosière</v>
      </c>
      <c r="D819" t="str">
        <f>VLOOKUP(bron[[#This Row],[personeelsnr]],'data hastus'!$A:$C,3,0)</f>
        <v>Christof</v>
      </c>
      <c r="E819" t="str">
        <f>VLOOKUP(bron[[#This Row],[personeelsnr]],'data hastus'!A:K,11,FALSE)</f>
        <v>Dominique De Clercq</v>
      </c>
      <c r="F819" s="10">
        <v>45763</v>
      </c>
      <c r="G819" s="6"/>
      <c r="H819" s="6"/>
      <c r="I819" s="6"/>
      <c r="J819">
        <v>1</v>
      </c>
      <c r="K819"/>
      <c r="L819"/>
      <c r="M819"/>
      <c r="N819"/>
      <c r="O819"/>
      <c r="P819"/>
      <c r="Q819"/>
      <c r="R819"/>
      <c r="S819">
        <f>SUM(bron[[#This Row],[Januari]:[December]])</f>
        <v>1</v>
      </c>
      <c r="T819" s="3"/>
      <c r="U819" s="8" t="s">
        <v>1309</v>
      </c>
      <c r="V819" s="8">
        <v>1</v>
      </c>
      <c r="W819" s="8"/>
      <c r="X819" t="s">
        <v>7</v>
      </c>
      <c r="Y819" t="s">
        <v>5</v>
      </c>
    </row>
    <row r="820" spans="1:25" hidden="1" x14ac:dyDescent="0.25">
      <c r="A820">
        <v>30119</v>
      </c>
      <c r="B820" t="str">
        <f>_xlfn.CONCAT(bron[[#This Row],[personeelsnr]]," ",bron[[#This Row],[achternaam]]," ",bron[[#This Row],[voornaam]])</f>
        <v>30119 Haerens Tom</v>
      </c>
      <c r="C820" t="str">
        <f>VLOOKUP(bron[[#This Row],[personeelsnr]],'data hastus'!$A:$C,2,0)</f>
        <v>Haerens</v>
      </c>
      <c r="D820" t="str">
        <f>VLOOKUP(bron[[#This Row],[personeelsnr]],'data hastus'!$A:$C,3,0)</f>
        <v>Tom</v>
      </c>
      <c r="E820" t="str">
        <f>VLOOKUP(bron[[#This Row],[personeelsnr]],'data hastus'!A:K,11,FALSE)</f>
        <v>Dominique De Clercq</v>
      </c>
      <c r="F820" s="10">
        <v>45813</v>
      </c>
      <c r="G820" s="7"/>
      <c r="H820" s="7"/>
      <c r="I820" s="7"/>
      <c r="L820" s="5">
        <v>1</v>
      </c>
      <c r="S820" s="5">
        <f>SUM(bron[[#This Row],[Januari]:[December]])</f>
        <v>1</v>
      </c>
      <c r="U820" s="8" t="s">
        <v>1310</v>
      </c>
      <c r="V820" s="24"/>
      <c r="W820" s="24">
        <v>1</v>
      </c>
      <c r="X820" t="s">
        <v>8</v>
      </c>
      <c r="Y820" t="s">
        <v>31</v>
      </c>
    </row>
    <row r="821" spans="1:25" hidden="1" x14ac:dyDescent="0.25">
      <c r="A821">
        <v>40403</v>
      </c>
      <c r="B821" t="str">
        <f>_xlfn.CONCAT(bron[[#This Row],[personeelsnr]]," ",bron[[#This Row],[achternaam]]," ",bron[[#This Row],[voornaam]])</f>
        <v>40403 Prové Michaël</v>
      </c>
      <c r="C821" t="str">
        <f>VLOOKUP(bron[[#This Row],[personeelsnr]],'data hastus'!$A:$C,2,0)</f>
        <v>Prové</v>
      </c>
      <c r="D821" t="str">
        <f>VLOOKUP(bron[[#This Row],[personeelsnr]],'data hastus'!$A:$C,3,0)</f>
        <v>Michaël</v>
      </c>
      <c r="E821" t="str">
        <f>VLOOKUP(bron[[#This Row],[personeelsnr]],'data hastus'!A:K,11,FALSE)</f>
        <v>Dominique De Clercq</v>
      </c>
      <c r="F821" s="10">
        <v>45890</v>
      </c>
      <c r="G821" s="7"/>
      <c r="H821" s="7"/>
      <c r="I821" s="7"/>
      <c r="N821" s="5">
        <v>1</v>
      </c>
      <c r="S821" s="5">
        <f>SUM(bron[[#This Row],[Januari]:[December]])</f>
        <v>1</v>
      </c>
      <c r="U821" s="5" t="s">
        <v>1311</v>
      </c>
      <c r="V821" s="24">
        <v>1</v>
      </c>
      <c r="W821" s="24"/>
      <c r="X821" t="s">
        <v>7</v>
      </c>
      <c r="Y821" t="s">
        <v>537</v>
      </c>
    </row>
    <row r="822" spans="1:25" hidden="1" x14ac:dyDescent="0.25">
      <c r="A822">
        <v>39831</v>
      </c>
      <c r="B822" t="str">
        <f>_xlfn.CONCAT(bron[[#This Row],[personeelsnr]]," ",bron[[#This Row],[achternaam]]," ",bron[[#This Row],[voornaam]])</f>
        <v>39831 Dolgiev Mukhamed</v>
      </c>
      <c r="C822" t="str">
        <f>VLOOKUP(bron[[#This Row],[personeelsnr]],'data hastus'!$A:$C,2,0)</f>
        <v>Dolgiev</v>
      </c>
      <c r="D822" t="str">
        <f>VLOOKUP(bron[[#This Row],[personeelsnr]],'data hastus'!$A:$C,3,0)</f>
        <v>Mukhamed</v>
      </c>
      <c r="E822" t="str">
        <f>VLOOKUP(bron[[#This Row],[personeelsnr]],'data hastus'!A:K,11,FALSE)</f>
        <v>Els Dewulf</v>
      </c>
      <c r="F822" s="10">
        <v>45710</v>
      </c>
      <c r="G822" s="6"/>
      <c r="H822" s="6">
        <v>1</v>
      </c>
      <c r="I822" s="6"/>
      <c r="J822"/>
      <c r="K822"/>
      <c r="L822"/>
      <c r="M822"/>
      <c r="N822"/>
      <c r="O822"/>
      <c r="P822"/>
      <c r="Q822"/>
      <c r="R822"/>
      <c r="S822">
        <f>SUM(bron[[#This Row],[Januari]:[December]])</f>
        <v>1</v>
      </c>
      <c r="T822" s="3"/>
      <c r="U822" s="8" t="s">
        <v>1312</v>
      </c>
      <c r="V822" s="8">
        <v>1</v>
      </c>
      <c r="W822" s="8"/>
      <c r="X822" t="s">
        <v>7</v>
      </c>
      <c r="Y822" t="s">
        <v>113</v>
      </c>
    </row>
    <row r="823" spans="1:25" hidden="1" x14ac:dyDescent="0.25">
      <c r="A823">
        <v>22052</v>
      </c>
      <c r="B823" t="str">
        <f>_xlfn.CONCAT(bron[[#This Row],[personeelsnr]]," ",bron[[#This Row],[achternaam]]," ",bron[[#This Row],[voornaam]])</f>
        <v>22052 Meyvaert Peter</v>
      </c>
      <c r="C823" t="str">
        <f>VLOOKUP(bron[[#This Row],[personeelsnr]],'data hastus'!$A:$C,2,0)</f>
        <v>Meyvaert</v>
      </c>
      <c r="D823" t="str">
        <f>VLOOKUP(bron[[#This Row],[personeelsnr]],'data hastus'!$A:$C,3,0)</f>
        <v>Peter</v>
      </c>
      <c r="E823" t="str">
        <f>VLOOKUP(bron[[#This Row],[personeelsnr]],'data hastus'!A:K,11,FALSE)</f>
        <v>Els Dewulf</v>
      </c>
      <c r="F823" s="10">
        <v>45670</v>
      </c>
      <c r="G823" s="6">
        <v>1</v>
      </c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1</v>
      </c>
      <c r="T823" s="3"/>
      <c r="U823" s="8" t="s">
        <v>1313</v>
      </c>
      <c r="V823" s="8">
        <v>1</v>
      </c>
      <c r="W823" s="8"/>
      <c r="X823" t="s">
        <v>7</v>
      </c>
      <c r="Y823" t="s">
        <v>113</v>
      </c>
    </row>
    <row r="824" spans="1:25" hidden="1" x14ac:dyDescent="0.25">
      <c r="A824">
        <v>31600</v>
      </c>
      <c r="B824" t="str">
        <f>_xlfn.CONCAT(bron[[#This Row],[personeelsnr]]," ",bron[[#This Row],[achternaam]]," ",bron[[#This Row],[voornaam]])</f>
        <v>31600 Mertens Tom</v>
      </c>
      <c r="C824" t="str">
        <f>VLOOKUP(bron[[#This Row],[personeelsnr]],'data hastus'!$A:$C,2,0)</f>
        <v>Mertens</v>
      </c>
      <c r="D824" t="str">
        <f>VLOOKUP(bron[[#This Row],[personeelsnr]],'data hastus'!$A:$C,3,0)</f>
        <v>Tom</v>
      </c>
      <c r="E824" t="str">
        <f>VLOOKUP(bron[[#This Row],[personeelsnr]],'data hastus'!A:K,11,FALSE)</f>
        <v>Els Dewulf</v>
      </c>
      <c r="F824" s="10">
        <v>45737</v>
      </c>
      <c r="G824" s="6"/>
      <c r="H824" s="6"/>
      <c r="I824" s="6">
        <v>1</v>
      </c>
      <c r="J824"/>
      <c r="K824"/>
      <c r="L824"/>
      <c r="M824"/>
      <c r="N824"/>
      <c r="O824"/>
      <c r="P824"/>
      <c r="Q824"/>
      <c r="R824"/>
      <c r="S824">
        <f>SUM(bron[[#This Row],[Januari]:[December]])</f>
        <v>1</v>
      </c>
      <c r="T824" s="3"/>
      <c r="U824" s="8" t="s">
        <v>1314</v>
      </c>
      <c r="V824" s="8">
        <v>1</v>
      </c>
      <c r="W824" s="8"/>
      <c r="X824" t="s">
        <v>7</v>
      </c>
      <c r="Y824" t="s">
        <v>1315</v>
      </c>
    </row>
    <row r="825" spans="1:25" hidden="1" x14ac:dyDescent="0.25">
      <c r="A825">
        <v>15088</v>
      </c>
      <c r="B825" t="str">
        <f>_xlfn.CONCAT(bron[[#This Row],[personeelsnr]]," ",bron[[#This Row],[achternaam]]," ",bron[[#This Row],[voornaam]])</f>
        <v>15088 Laute Dirk</v>
      </c>
      <c r="C825" t="str">
        <f>VLOOKUP(bron[[#This Row],[personeelsnr]],'data hastus'!$A:$C,2,0)</f>
        <v>Laute</v>
      </c>
      <c r="D825" t="str">
        <f>VLOOKUP(bron[[#This Row],[personeelsnr]],'data hastus'!$A:$C,3,0)</f>
        <v>Dirk</v>
      </c>
      <c r="E825" t="str">
        <f>VLOOKUP(bron[[#This Row],[personeelsnr]],'data hastus'!A:K,11,FALSE)</f>
        <v>Els Vanhoe</v>
      </c>
      <c r="F825" s="10">
        <v>45837</v>
      </c>
      <c r="G825" s="7"/>
      <c r="H825" s="7"/>
      <c r="I825" s="7"/>
      <c r="L825" s="5">
        <v>1</v>
      </c>
      <c r="S825" s="5">
        <f>SUM(bron[[#This Row],[Januari]:[December]])</f>
        <v>1</v>
      </c>
      <c r="U825" s="8" t="s">
        <v>1316</v>
      </c>
      <c r="V825" s="24">
        <v>1</v>
      </c>
      <c r="W825" s="24"/>
      <c r="X825" t="s">
        <v>7</v>
      </c>
      <c r="Y825" t="s">
        <v>48</v>
      </c>
    </row>
    <row r="826" spans="1:25" hidden="1" x14ac:dyDescent="0.25">
      <c r="A826">
        <v>26960</v>
      </c>
      <c r="B826" t="str">
        <f>_xlfn.CONCAT(bron[[#This Row],[personeelsnr]]," ",bron[[#This Row],[achternaam]]," ",bron[[#This Row],[voornaam]])</f>
        <v>26960 Toubadie Mossa</v>
      </c>
      <c r="C826" t="str">
        <f>VLOOKUP(bron[[#This Row],[personeelsnr]],'data hastus'!$A:$C,2,0)</f>
        <v>Toubadie</v>
      </c>
      <c r="D826" t="str">
        <f>VLOOKUP(bron[[#This Row],[personeelsnr]],'data hastus'!$A:$C,3,0)</f>
        <v>Mossa</v>
      </c>
      <c r="E826" t="str">
        <f>VLOOKUP(bron[[#This Row],[personeelsnr]],'data hastus'!A:K,11,FALSE)</f>
        <v>Els Vanhoe</v>
      </c>
      <c r="F826" s="10">
        <v>45798</v>
      </c>
      <c r="G826" s="7"/>
      <c r="H826" s="7"/>
      <c r="I826" s="7"/>
      <c r="K826" s="5">
        <v>1</v>
      </c>
      <c r="S826" s="5">
        <f>SUM(bron[[#This Row],[Januari]:[December]])</f>
        <v>1</v>
      </c>
      <c r="T826" s="23"/>
      <c r="U826" s="8" t="s">
        <v>1317</v>
      </c>
      <c r="V826" s="8">
        <v>1</v>
      </c>
      <c r="W826" s="8"/>
      <c r="X826" t="s">
        <v>7</v>
      </c>
      <c r="Y826" t="s">
        <v>131</v>
      </c>
    </row>
    <row r="827" spans="1:25" hidden="1" x14ac:dyDescent="0.25">
      <c r="A827">
        <v>42002</v>
      </c>
      <c r="B827" t="str">
        <f>_xlfn.CONCAT(bron[[#This Row],[personeelsnr]]," ",bron[[#This Row],[achternaam]]," ",bron[[#This Row],[voornaam]])</f>
        <v>42002 Bogaert Kevin</v>
      </c>
      <c r="C827" t="str">
        <f>VLOOKUP(bron[[#This Row],[personeelsnr]],'data hastus'!$A:$C,2,0)</f>
        <v>Bogaert</v>
      </c>
      <c r="D827" t="str">
        <f>VLOOKUP(bron[[#This Row],[personeelsnr]],'data hastus'!$A:$C,3,0)</f>
        <v>Kevin</v>
      </c>
      <c r="E827" t="str">
        <f>VLOOKUP(bron[[#This Row],[personeelsnr]],'data hastus'!A:K,11,FALSE)</f>
        <v>Els Vanhoe</v>
      </c>
      <c r="F827" s="10">
        <v>45862</v>
      </c>
      <c r="G827" s="7"/>
      <c r="H827" s="7"/>
      <c r="I827" s="7"/>
      <c r="M827" s="5">
        <v>1</v>
      </c>
      <c r="S827" s="5">
        <f>SUM(bron[[#This Row],[Januari]:[December]])</f>
        <v>1</v>
      </c>
      <c r="U827" s="8" t="s">
        <v>1318</v>
      </c>
      <c r="V827" s="24">
        <v>1</v>
      </c>
      <c r="W827" s="24"/>
      <c r="X827" t="s">
        <v>7</v>
      </c>
      <c r="Y827" t="s">
        <v>16</v>
      </c>
    </row>
    <row r="828" spans="1:25" hidden="1" x14ac:dyDescent="0.25">
      <c r="A828">
        <v>37543</v>
      </c>
      <c r="B828" t="str">
        <f>_xlfn.CONCAT(bron[[#This Row],[personeelsnr]]," ",bron[[#This Row],[achternaam]]," ",bron[[#This Row],[voornaam]])</f>
        <v>37543 Öztürk Bilgehan</v>
      </c>
      <c r="C828" t="str">
        <f>VLOOKUP(bron[[#This Row],[personeelsnr]],'data hastus'!$A:$C,2,0)</f>
        <v>Öztürk</v>
      </c>
      <c r="D828" t="str">
        <f>VLOOKUP(bron[[#This Row],[personeelsnr]],'data hastus'!$A:$C,3,0)</f>
        <v>Bilgehan</v>
      </c>
      <c r="E828" t="str">
        <f>VLOOKUP(bron[[#This Row],[personeelsnr]],'data hastus'!A:K,11,FALSE)</f>
        <v>Kenneth De Rick</v>
      </c>
      <c r="F828" s="10">
        <v>45703</v>
      </c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/>
      <c r="U828" s="8" t="s">
        <v>1319</v>
      </c>
      <c r="V828" s="8">
        <v>1</v>
      </c>
      <c r="W828" s="8"/>
      <c r="X828" t="s">
        <v>7</v>
      </c>
      <c r="Y828" t="s">
        <v>106</v>
      </c>
    </row>
    <row r="829" spans="1:25" hidden="1" x14ac:dyDescent="0.25">
      <c r="A829">
        <v>39677</v>
      </c>
      <c r="B829" t="str">
        <f>_xlfn.CONCAT(bron[[#This Row],[personeelsnr]]," ",bron[[#This Row],[achternaam]]," ",bron[[#This Row],[voornaam]])</f>
        <v>39677 Tacq Joey</v>
      </c>
      <c r="C829" t="str">
        <f>VLOOKUP(bron[[#This Row],[personeelsnr]],'data hastus'!$A:$C,2,0)</f>
        <v>Tacq</v>
      </c>
      <c r="D829" t="str">
        <f>VLOOKUP(bron[[#This Row],[personeelsnr]],'data hastus'!$A:$C,3,0)</f>
        <v>Joey</v>
      </c>
      <c r="E829" t="str">
        <f>VLOOKUP(bron[[#This Row],[personeelsnr]],'data hastus'!A:K,11,FALSE)</f>
        <v>Kenneth De Rick</v>
      </c>
      <c r="F829" s="10">
        <v>45754</v>
      </c>
      <c r="G829" s="6"/>
      <c r="H829" s="6"/>
      <c r="I829" s="6"/>
      <c r="J829">
        <v>1</v>
      </c>
      <c r="K829"/>
      <c r="L829"/>
      <c r="M829"/>
      <c r="N829"/>
      <c r="O829"/>
      <c r="P829"/>
      <c r="Q829"/>
      <c r="R829"/>
      <c r="S829">
        <f>SUM(bron[[#This Row],[Januari]:[December]])</f>
        <v>1</v>
      </c>
      <c r="T829" s="3"/>
      <c r="U829" s="8" t="s">
        <v>1320</v>
      </c>
      <c r="V829" s="8">
        <v>1</v>
      </c>
      <c r="W829" s="8"/>
      <c r="X829" t="s">
        <v>7</v>
      </c>
      <c r="Y829" t="s">
        <v>1321</v>
      </c>
    </row>
    <row r="830" spans="1:25" hidden="1" x14ac:dyDescent="0.25">
      <c r="A830">
        <v>35495</v>
      </c>
      <c r="B830" t="str">
        <f>_xlfn.CONCAT(bron[[#This Row],[personeelsnr]]," ",bron[[#This Row],[achternaam]]," ",bron[[#This Row],[voornaam]])</f>
        <v>35495 Razzaz Mahmoud</v>
      </c>
      <c r="C830" t="str">
        <f>VLOOKUP(bron[[#This Row],[personeelsnr]],'data hastus'!$A:$C,2,0)</f>
        <v>Razzaz</v>
      </c>
      <c r="D830" t="str">
        <f>VLOOKUP(bron[[#This Row],[personeelsnr]],'data hastus'!$A:$C,3,0)</f>
        <v>Mahmoud</v>
      </c>
      <c r="E830" t="str">
        <f>VLOOKUP(bron[[#This Row],[personeelsnr]],'data hastus'!A:K,11,FALSE)</f>
        <v>Kenneth De Rick</v>
      </c>
      <c r="F830" s="10">
        <v>45731</v>
      </c>
      <c r="G830" s="6"/>
      <c r="H830" s="6"/>
      <c r="I830" s="6">
        <v>1</v>
      </c>
      <c r="J830"/>
      <c r="K830"/>
      <c r="L830"/>
      <c r="M830"/>
      <c r="N830"/>
      <c r="O830"/>
      <c r="P830"/>
      <c r="Q830"/>
      <c r="R830"/>
      <c r="S830">
        <f>SUM(bron[[#This Row],[Januari]:[December]])</f>
        <v>1</v>
      </c>
      <c r="T830" s="3"/>
      <c r="U830" s="8" t="s">
        <v>1322</v>
      </c>
      <c r="V830" s="8"/>
      <c r="W830" s="8">
        <v>1</v>
      </c>
      <c r="X830" t="s">
        <v>8</v>
      </c>
      <c r="Y830" t="s">
        <v>967</v>
      </c>
    </row>
    <row r="831" spans="1:25" hidden="1" x14ac:dyDescent="0.25">
      <c r="A831">
        <v>10782</v>
      </c>
      <c r="B831" t="str">
        <f>_xlfn.CONCAT(bron[[#This Row],[personeelsnr]]," ",bron[[#This Row],[achternaam]]," ",bron[[#This Row],[voornaam]])</f>
        <v>10782 De Kee Ina</v>
      </c>
      <c r="C831" t="str">
        <f>VLOOKUP(bron[[#This Row],[personeelsnr]],'data hastus'!$A:$C,2,0)</f>
        <v>De Kee</v>
      </c>
      <c r="D831" t="str">
        <f>VLOOKUP(bron[[#This Row],[personeelsnr]],'data hastus'!$A:$C,3,0)</f>
        <v>Ina</v>
      </c>
      <c r="E831" t="str">
        <f>VLOOKUP(bron[[#This Row],[personeelsnr]],'data hastus'!A:K,11,FALSE)</f>
        <v>Kenneth De Rick</v>
      </c>
      <c r="F831" s="10">
        <v>45868</v>
      </c>
      <c r="G831" s="7"/>
      <c r="H831" s="7"/>
      <c r="I831" s="7"/>
      <c r="S831" s="5">
        <v>1</v>
      </c>
      <c r="U831" s="8" t="s">
        <v>1323</v>
      </c>
      <c r="V831" s="24"/>
      <c r="W831" s="24">
        <v>1</v>
      </c>
      <c r="X831" t="s">
        <v>8</v>
      </c>
      <c r="Y831" t="s">
        <v>1324</v>
      </c>
    </row>
    <row r="832" spans="1:25" hidden="1" x14ac:dyDescent="0.25">
      <c r="A832">
        <v>21581</v>
      </c>
      <c r="B832" t="str">
        <f>_xlfn.CONCAT(bron[[#This Row],[personeelsnr]]," ",bron[[#This Row],[achternaam]]," ",bron[[#This Row],[voornaam]])</f>
        <v>21581 Vanderstraeten Franky</v>
      </c>
      <c r="C832" t="str">
        <f>VLOOKUP(bron[[#This Row],[personeelsnr]],'data hastus'!$A:$C,2,0)</f>
        <v>Vanderstraeten</v>
      </c>
      <c r="D832" t="str">
        <f>VLOOKUP(bron[[#This Row],[personeelsnr]],'data hastus'!$A:$C,3,0)</f>
        <v>Franky</v>
      </c>
      <c r="E832" t="str">
        <f>VLOOKUP(bron[[#This Row],[personeelsnr]],'data hastus'!A:K,11,FALSE)</f>
        <v>Lucie Vande Velde</v>
      </c>
      <c r="F832" s="10">
        <v>45678</v>
      </c>
      <c r="G832" s="6">
        <v>1</v>
      </c>
      <c r="H832" s="6"/>
      <c r="I832" s="6"/>
      <c r="J832"/>
      <c r="K832"/>
      <c r="L832"/>
      <c r="M832"/>
      <c r="N832"/>
      <c r="O832"/>
      <c r="P832"/>
      <c r="Q832"/>
      <c r="R832"/>
      <c r="S832">
        <f>SUM(bron[[#This Row],[Januari]:[December]])</f>
        <v>1</v>
      </c>
      <c r="T832" s="3"/>
      <c r="U832" s="8" t="s">
        <v>1325</v>
      </c>
      <c r="V832" s="8">
        <v>1</v>
      </c>
      <c r="W832" s="8"/>
      <c r="X832" t="s">
        <v>7</v>
      </c>
      <c r="Y832" t="s">
        <v>1326</v>
      </c>
    </row>
    <row r="833" spans="1:25" hidden="1" x14ac:dyDescent="0.25">
      <c r="A833">
        <v>39633</v>
      </c>
      <c r="B833" t="str">
        <f>_xlfn.CONCAT(bron[[#This Row],[personeelsnr]]," ",bron[[#This Row],[achternaam]]," ",bron[[#This Row],[voornaam]])</f>
        <v>39633 Duyck Kimberly</v>
      </c>
      <c r="C833" t="str">
        <f>VLOOKUP(bron[[#This Row],[personeelsnr]],'data hastus'!$A:$C,2,0)</f>
        <v>Duyck</v>
      </c>
      <c r="D833" t="str">
        <f>VLOOKUP(bron[[#This Row],[personeelsnr]],'data hastus'!$A:$C,3,0)</f>
        <v>Kimberly</v>
      </c>
      <c r="E833" t="str">
        <f>VLOOKUP(bron[[#This Row],[personeelsnr]],'data hastus'!A:K,11,FALSE)</f>
        <v>Lucie Vande Velde</v>
      </c>
      <c r="F833" s="10">
        <v>45782</v>
      </c>
      <c r="G833" s="6"/>
      <c r="H833" s="6"/>
      <c r="I833" s="6"/>
      <c r="J833"/>
      <c r="K833">
        <v>1</v>
      </c>
      <c r="L833"/>
      <c r="M833"/>
      <c r="N833"/>
      <c r="O833"/>
      <c r="P833"/>
      <c r="Q833"/>
      <c r="R833"/>
      <c r="S833">
        <f>SUM(bron[[#This Row],[Januari]:[December]])</f>
        <v>1</v>
      </c>
      <c r="T833" s="3"/>
      <c r="U833" s="8" t="s">
        <v>1327</v>
      </c>
      <c r="V833" s="8">
        <v>1</v>
      </c>
      <c r="W833" s="8"/>
      <c r="X833" t="s">
        <v>7</v>
      </c>
      <c r="Y833" t="s">
        <v>489</v>
      </c>
    </row>
    <row r="834" spans="1:25" hidden="1" x14ac:dyDescent="0.25">
      <c r="A834">
        <v>28737</v>
      </c>
      <c r="B834" t="str">
        <f>_xlfn.CONCAT(bron[[#This Row],[personeelsnr]]," ",bron[[#This Row],[achternaam]]," ",bron[[#This Row],[voornaam]])</f>
        <v>28737 El-Mohamed Mohamed</v>
      </c>
      <c r="C834" t="str">
        <f>VLOOKUP(bron[[#This Row],[personeelsnr]],'data hastus'!$A:$C,2,0)</f>
        <v>El-Mohamed</v>
      </c>
      <c r="D834" t="str">
        <f>VLOOKUP(bron[[#This Row],[personeelsnr]],'data hastus'!$A:$C,3,0)</f>
        <v>Mohamed</v>
      </c>
      <c r="E834" t="str">
        <f>VLOOKUP(bron[[#This Row],[personeelsnr]],'data hastus'!A:K,11,FALSE)</f>
        <v>Lucie Vande Velde</v>
      </c>
      <c r="F834" s="10">
        <v>45715</v>
      </c>
      <c r="G834" s="6"/>
      <c r="H834" s="6">
        <v>1</v>
      </c>
      <c r="I834" s="6"/>
      <c r="J834"/>
      <c r="K834"/>
      <c r="L834"/>
      <c r="M834"/>
      <c r="N834"/>
      <c r="O834"/>
      <c r="P834"/>
      <c r="Q834"/>
      <c r="R834"/>
      <c r="S834">
        <f>SUM(bron[[#This Row],[Januari]:[December]])</f>
        <v>1</v>
      </c>
      <c r="T834" s="3"/>
      <c r="U834" s="8" t="s">
        <v>1328</v>
      </c>
      <c r="V834" s="8"/>
      <c r="W834" s="8">
        <v>1</v>
      </c>
      <c r="X834" t="s">
        <v>8</v>
      </c>
      <c r="Y834" t="s">
        <v>668</v>
      </c>
    </row>
    <row r="835" spans="1:25" hidden="1" x14ac:dyDescent="0.25">
      <c r="A835">
        <v>19249</v>
      </c>
      <c r="B835" t="str">
        <f>_xlfn.CONCAT(bron[[#This Row],[personeelsnr]]," ",bron[[#This Row],[achternaam]]," ",bron[[#This Row],[voornaam]])</f>
        <v>19249 Odaci Kadir</v>
      </c>
      <c r="C835" t="str">
        <f>VLOOKUP(bron[[#This Row],[personeelsnr]],'data hastus'!$A:$C,2,0)</f>
        <v>Odaci</v>
      </c>
      <c r="D835" t="str">
        <f>VLOOKUP(bron[[#This Row],[personeelsnr]],'data hastus'!$A:$C,3,0)</f>
        <v>Kadir</v>
      </c>
      <c r="E835" t="str">
        <f>VLOOKUP(bron[[#This Row],[personeelsnr]],'data hastus'!A:K,11,FALSE)</f>
        <v>Lucie Vande Velde</v>
      </c>
      <c r="F835" s="10">
        <v>45674</v>
      </c>
      <c r="G835" s="6">
        <v>1</v>
      </c>
      <c r="H835" s="6"/>
      <c r="I835" s="6"/>
      <c r="J835"/>
      <c r="K835"/>
      <c r="L835"/>
      <c r="M835"/>
      <c r="N835"/>
      <c r="O835"/>
      <c r="P835"/>
      <c r="Q835"/>
      <c r="R835"/>
      <c r="S835">
        <f>SUM(bron[[#This Row],[Januari]:[December]])</f>
        <v>1</v>
      </c>
      <c r="T835" s="3"/>
      <c r="U835" s="8" t="s">
        <v>1329</v>
      </c>
      <c r="V835" s="8"/>
      <c r="W835" s="8">
        <v>1</v>
      </c>
      <c r="X835" t="s">
        <v>8</v>
      </c>
      <c r="Y835" t="s">
        <v>580</v>
      </c>
    </row>
    <row r="836" spans="1:25" hidden="1" x14ac:dyDescent="0.25">
      <c r="A836">
        <v>35588</v>
      </c>
      <c r="B836" t="str">
        <f>_xlfn.CONCAT(bron[[#This Row],[personeelsnr]]," ",bron[[#This Row],[achternaam]]," ",bron[[#This Row],[voornaam]])</f>
        <v>35588 Smesman Glenn</v>
      </c>
      <c r="C836" t="str">
        <f>VLOOKUP(bron[[#This Row],[personeelsnr]],'data hastus'!$A:$C,2,0)</f>
        <v>Smesman</v>
      </c>
      <c r="D836" t="str">
        <f>VLOOKUP(bron[[#This Row],[personeelsnr]],'data hastus'!$A:$C,3,0)</f>
        <v>Glenn</v>
      </c>
      <c r="E836" t="str">
        <f>VLOOKUP(bron[[#This Row],[personeelsnr]],'data hastus'!A:K,11,FALSE)</f>
        <v>Lucie Vande Velde</v>
      </c>
      <c r="F836" s="10">
        <v>45675</v>
      </c>
      <c r="G836" s="6">
        <v>1</v>
      </c>
      <c r="H836" s="6"/>
      <c r="I836" s="6"/>
      <c r="J836"/>
      <c r="K836"/>
      <c r="L836"/>
      <c r="M836"/>
      <c r="N836"/>
      <c r="O836"/>
      <c r="P836"/>
      <c r="Q836"/>
      <c r="R836"/>
      <c r="S836">
        <f>SUM(bron[[#This Row],[Januari]:[December]])</f>
        <v>1</v>
      </c>
      <c r="T836" s="3"/>
      <c r="U836" s="8" t="s">
        <v>1330</v>
      </c>
      <c r="V836" s="8"/>
      <c r="W836" s="8">
        <v>1</v>
      </c>
      <c r="X836" t="s">
        <v>8</v>
      </c>
      <c r="Y836" t="s">
        <v>72</v>
      </c>
    </row>
    <row r="837" spans="1:25" hidden="1" x14ac:dyDescent="0.25">
      <c r="A837">
        <v>14625</v>
      </c>
      <c r="B837" t="str">
        <f>_xlfn.CONCAT(bron[[#This Row],[personeelsnr]]," ",bron[[#This Row],[achternaam]]," ",bron[[#This Row],[voornaam]])</f>
        <v>14625 Rodrigue Vincent</v>
      </c>
      <c r="C837" t="str">
        <f>VLOOKUP(bron[[#This Row],[personeelsnr]],'data hastus'!$A:$C,2,0)</f>
        <v>Rodrigue</v>
      </c>
      <c r="D837" t="str">
        <f>VLOOKUP(bron[[#This Row],[personeelsnr]],'data hastus'!$A:$C,3,0)</f>
        <v>Vincent</v>
      </c>
      <c r="E837" t="str">
        <f>VLOOKUP(bron[[#This Row],[personeelsnr]],'data hastus'!A:K,11,FALSE)</f>
        <v>Lucie Vande Velde</v>
      </c>
      <c r="F837" s="10">
        <v>45828</v>
      </c>
      <c r="G837" s="7"/>
      <c r="H837" s="7"/>
      <c r="I837" s="7"/>
      <c r="L837" s="5">
        <v>1</v>
      </c>
      <c r="S837" s="5">
        <f>SUM(bron[[#This Row],[Januari]:[December]])</f>
        <v>1</v>
      </c>
      <c r="U837" s="8" t="s">
        <v>1331</v>
      </c>
      <c r="V837" s="24">
        <v>1</v>
      </c>
      <c r="W837" s="24"/>
      <c r="X837" t="s">
        <v>7</v>
      </c>
      <c r="Y837" t="s">
        <v>427</v>
      </c>
    </row>
    <row r="838" spans="1:25" hidden="1" x14ac:dyDescent="0.25">
      <c r="A838">
        <v>11120</v>
      </c>
      <c r="B838" t="str">
        <f>_xlfn.CONCAT(bron[[#This Row],[personeelsnr]]," ",bron[[#This Row],[achternaam]]," ",bron[[#This Row],[voornaam]])</f>
        <v>11120 De Vrieze Ludo</v>
      </c>
      <c r="C838" t="str">
        <f>VLOOKUP(bron[[#This Row],[personeelsnr]],'data hastus'!$A:$C,2,0)</f>
        <v>De Vrieze</v>
      </c>
      <c r="D838" t="str">
        <f>VLOOKUP(bron[[#This Row],[personeelsnr]],'data hastus'!$A:$C,3,0)</f>
        <v>Ludo</v>
      </c>
      <c r="E838" t="str">
        <f>VLOOKUP(bron[[#This Row],[personeelsnr]],'data hastus'!A:K,11,FALSE)</f>
        <v>Lucie Vande Velde</v>
      </c>
      <c r="F838" s="10">
        <v>45735</v>
      </c>
      <c r="G838" s="6"/>
      <c r="H838" s="6"/>
      <c r="I838" s="6"/>
      <c r="J838"/>
      <c r="K838"/>
      <c r="L838"/>
      <c r="M838"/>
      <c r="N838"/>
      <c r="O838"/>
      <c r="P838"/>
      <c r="Q838"/>
      <c r="R838"/>
      <c r="S838">
        <f>SUM(bron[[#This Row],[Januari]:[December]])</f>
        <v>0</v>
      </c>
      <c r="T838" s="3"/>
      <c r="U838" s="8" t="s">
        <v>1332</v>
      </c>
      <c r="V838" s="8"/>
      <c r="W838" s="8">
        <v>1</v>
      </c>
      <c r="X838" t="s">
        <v>8</v>
      </c>
      <c r="Y838" t="s">
        <v>1333</v>
      </c>
    </row>
    <row r="839" spans="1:25" hidden="1" x14ac:dyDescent="0.25">
      <c r="A839">
        <v>4419</v>
      </c>
      <c r="B839" t="str">
        <f>_xlfn.CONCAT(bron[[#This Row],[personeelsnr]]," ",bron[[#This Row],[achternaam]]," ",bron[[#This Row],[voornaam]])</f>
        <v>4419 Maelbrancke Eddy</v>
      </c>
      <c r="C839" t="str">
        <f>VLOOKUP(bron[[#This Row],[personeelsnr]],'data hastus'!$A:$C,2,0)</f>
        <v>Maelbrancke</v>
      </c>
      <c r="D839" t="str">
        <f>VLOOKUP(bron[[#This Row],[personeelsnr]],'data hastus'!$A:$C,3,0)</f>
        <v>Eddy</v>
      </c>
      <c r="E839" t="str">
        <f>VLOOKUP(bron[[#This Row],[personeelsnr]],'data hastus'!A:K,11,FALSE)</f>
        <v>Lucie Vande Velde</v>
      </c>
      <c r="F839" s="10">
        <v>45841</v>
      </c>
      <c r="G839" s="7"/>
      <c r="H839" s="7"/>
      <c r="I839" s="7"/>
      <c r="M839" s="5">
        <v>1</v>
      </c>
      <c r="S839" s="5">
        <f>SUM(bron[[#This Row],[Januari]:[December]])</f>
        <v>1</v>
      </c>
      <c r="U839" s="8" t="s">
        <v>1334</v>
      </c>
      <c r="V839" s="24">
        <v>1</v>
      </c>
      <c r="W839" s="24"/>
      <c r="X839" t="s">
        <v>7</v>
      </c>
      <c r="Y839" t="s">
        <v>1335</v>
      </c>
    </row>
    <row r="840" spans="1:25" hidden="1" x14ac:dyDescent="0.25">
      <c r="A840">
        <v>36021</v>
      </c>
      <c r="B840" t="str">
        <f>_xlfn.CONCAT(bron[[#This Row],[personeelsnr]]," ",bron[[#This Row],[achternaam]]," ",bron[[#This Row],[voornaam]])</f>
        <v>36021 Boelaert Frederik</v>
      </c>
      <c r="C840" t="str">
        <f>VLOOKUP(bron[[#This Row],[personeelsnr]],'data hastus'!$A:$C,2,0)</f>
        <v>Boelaert</v>
      </c>
      <c r="D840" t="str">
        <f>VLOOKUP(bron[[#This Row],[personeelsnr]],'data hastus'!$A:$C,3,0)</f>
        <v>Frederik</v>
      </c>
      <c r="E840" t="str">
        <f>VLOOKUP(bron[[#This Row],[personeelsnr]],'data hastus'!A:K,11,FALSE)</f>
        <v>Lucie Vande Velde</v>
      </c>
      <c r="F840" s="10">
        <v>45874</v>
      </c>
      <c r="G840" s="7"/>
      <c r="H840" s="7"/>
      <c r="I840" s="7"/>
      <c r="N840" s="5">
        <v>1</v>
      </c>
      <c r="S840" s="5">
        <f>SUM(bron[[#This Row],[Januari]:[December]])</f>
        <v>1</v>
      </c>
      <c r="U840" s="24" t="s">
        <v>1336</v>
      </c>
      <c r="V840" s="24">
        <v>1</v>
      </c>
      <c r="W840" s="24"/>
      <c r="X840" t="s">
        <v>7</v>
      </c>
      <c r="Y840" t="s">
        <v>51</v>
      </c>
    </row>
    <row r="841" spans="1:25" hidden="1" x14ac:dyDescent="0.25">
      <c r="A841">
        <v>35490</v>
      </c>
      <c r="B841" t="str">
        <f>_xlfn.CONCAT(bron[[#This Row],[personeelsnr]]," ",bron[[#This Row],[achternaam]]," ",bron[[#This Row],[voornaam]])</f>
        <v>35490 Nguetto Brisco Romeo</v>
      </c>
      <c r="C841" t="str">
        <f>VLOOKUP(bron[[#This Row],[personeelsnr]],'data hastus'!$A:$C,2,0)</f>
        <v>Nguetto</v>
      </c>
      <c r="D841" t="str">
        <f>VLOOKUP(bron[[#This Row],[personeelsnr]],'data hastus'!$A:$C,3,0)</f>
        <v>Brisco Romeo</v>
      </c>
      <c r="E841" t="str">
        <f>VLOOKUP(bron[[#This Row],[personeelsnr]],'data hastus'!A:K,11,FALSE)</f>
        <v>Steven Storm</v>
      </c>
      <c r="F841" s="10">
        <v>45706</v>
      </c>
      <c r="G841" s="6"/>
      <c r="H841" s="6">
        <v>1</v>
      </c>
      <c r="I841" s="6"/>
      <c r="J841"/>
      <c r="K841"/>
      <c r="L841"/>
      <c r="M841"/>
      <c r="N841"/>
      <c r="O841"/>
      <c r="P841"/>
      <c r="Q841"/>
      <c r="R841"/>
      <c r="S841">
        <f>SUM(bron[[#This Row],[Januari]:[December]])</f>
        <v>1</v>
      </c>
      <c r="T841" s="3"/>
      <c r="U841" s="8" t="s">
        <v>1337</v>
      </c>
      <c r="V841" s="8">
        <v>1</v>
      </c>
      <c r="W841" s="8"/>
      <c r="X841" t="s">
        <v>7</v>
      </c>
      <c r="Y841" t="s">
        <v>219</v>
      </c>
    </row>
    <row r="842" spans="1:25" hidden="1" x14ac:dyDescent="0.25">
      <c r="A842">
        <v>32002</v>
      </c>
      <c r="B842" t="str">
        <f>_xlfn.CONCAT(bron[[#This Row],[personeelsnr]]," ",bron[[#This Row],[achternaam]]," ",bron[[#This Row],[voornaam]])</f>
        <v>32002 Hasni Helmi</v>
      </c>
      <c r="C842" t="str">
        <f>VLOOKUP(bron[[#This Row],[personeelsnr]],'data hastus'!$A:$C,2,0)</f>
        <v>Hasni</v>
      </c>
      <c r="D842" t="str">
        <f>VLOOKUP(bron[[#This Row],[personeelsnr]],'data hastus'!$A:$C,3,0)</f>
        <v>Helmi</v>
      </c>
      <c r="E842" t="str">
        <f>VLOOKUP(bron[[#This Row],[personeelsnr]],'data hastus'!A:K,11,FALSE)</f>
        <v>Steven Storm</v>
      </c>
      <c r="F842" s="10">
        <v>45773</v>
      </c>
      <c r="G842" s="6"/>
      <c r="H842" s="6"/>
      <c r="I842" s="6"/>
      <c r="J842">
        <v>1</v>
      </c>
      <c r="K842"/>
      <c r="L842"/>
      <c r="M842"/>
      <c r="N842"/>
      <c r="O842"/>
      <c r="P842"/>
      <c r="Q842"/>
      <c r="R842"/>
      <c r="S842">
        <f>SUM(bron[[#This Row],[Januari]:[December]])</f>
        <v>1</v>
      </c>
      <c r="T842" s="3"/>
      <c r="U842" s="8" t="s">
        <v>1338</v>
      </c>
      <c r="V842" s="8"/>
      <c r="W842" s="8">
        <v>1</v>
      </c>
      <c r="X842" t="s">
        <v>8</v>
      </c>
      <c r="Y842" t="s">
        <v>5</v>
      </c>
    </row>
    <row r="843" spans="1:25" hidden="1" x14ac:dyDescent="0.25">
      <c r="A843">
        <v>25829</v>
      </c>
      <c r="B843" t="str">
        <f>_xlfn.CONCAT(bron[[#This Row],[personeelsnr]]," ",bron[[#This Row],[achternaam]]," ",bron[[#This Row],[voornaam]])</f>
        <v>25829 Kayim Akin</v>
      </c>
      <c r="C843" t="str">
        <f>VLOOKUP(bron[[#This Row],[personeelsnr]],'data hastus'!$A:$C,2,0)</f>
        <v>Kayim</v>
      </c>
      <c r="D843" t="str">
        <f>VLOOKUP(bron[[#This Row],[personeelsnr]],'data hastus'!$A:$C,3,0)</f>
        <v>Akin</v>
      </c>
      <c r="E843" t="str">
        <f>VLOOKUP(bron[[#This Row],[personeelsnr]],'data hastus'!A:K,11,FALSE)</f>
        <v>Steven Storm</v>
      </c>
      <c r="F843" s="10">
        <v>45891</v>
      </c>
      <c r="G843" s="7"/>
      <c r="H843" s="7"/>
      <c r="I843" s="7"/>
      <c r="N843" s="5">
        <v>1</v>
      </c>
      <c r="S843" s="5">
        <f>SUM(bron[[#This Row],[Januari]:[December]])</f>
        <v>1</v>
      </c>
      <c r="U843" s="5" t="s">
        <v>1339</v>
      </c>
      <c r="V843" s="24"/>
      <c r="W843" s="24">
        <v>1</v>
      </c>
      <c r="X843" t="s">
        <v>8</v>
      </c>
      <c r="Y843" t="s">
        <v>967</v>
      </c>
    </row>
    <row r="844" spans="1:25" hidden="1" x14ac:dyDescent="0.25">
      <c r="A844">
        <v>40938</v>
      </c>
      <c r="B844" t="str">
        <f>_xlfn.CONCAT(bron[[#This Row],[personeelsnr]]," ",bron[[#This Row],[achternaam]]," ",bron[[#This Row],[voornaam]])</f>
        <v>40938 Hasnaoui Nejmeddine</v>
      </c>
      <c r="C844" t="str">
        <f>VLOOKUP(bron[[#This Row],[personeelsnr]],'data hastus'!$A:$C,2,0)</f>
        <v>Hasnaoui</v>
      </c>
      <c r="D844" t="str">
        <f>VLOOKUP(bron[[#This Row],[personeelsnr]],'data hastus'!$A:$C,3,0)</f>
        <v>Nejmeddine</v>
      </c>
      <c r="E844" t="str">
        <f>VLOOKUP(bron[[#This Row],[personeelsnr]],'data hastus'!A:K,11,FALSE)</f>
        <v>Dominique De Clercq</v>
      </c>
      <c r="F844" s="10">
        <v>45902</v>
      </c>
      <c r="G844" s="7"/>
      <c r="H844" s="7"/>
      <c r="I844" s="7"/>
      <c r="O844" s="5">
        <v>1</v>
      </c>
      <c r="S844" s="5">
        <f>SUM(bron[[#This Row],[Januari]:[December]])</f>
        <v>1</v>
      </c>
      <c r="U844" s="5" t="s">
        <v>3533</v>
      </c>
      <c r="V844" s="24">
        <v>1</v>
      </c>
      <c r="W844" s="24"/>
      <c r="X844" t="s">
        <v>7</v>
      </c>
      <c r="Y844" t="s">
        <v>100</v>
      </c>
    </row>
    <row r="845" spans="1:25" hidden="1" x14ac:dyDescent="0.25">
      <c r="A845">
        <v>42082</v>
      </c>
      <c r="B845" t="str">
        <f>_xlfn.CONCAT(bron[[#This Row],[personeelsnr]]," ",bron[[#This Row],[achternaam]]," ",bron[[#This Row],[voornaam]])</f>
        <v>42082 Ahmad Othman</v>
      </c>
      <c r="C845" t="str">
        <f>VLOOKUP(bron[[#This Row],[personeelsnr]],'data hastus'!$A:$C,2,0)</f>
        <v>Ahmad</v>
      </c>
      <c r="D845" t="str">
        <f>VLOOKUP(bron[[#This Row],[personeelsnr]],'data hastus'!$A:$C,3,0)</f>
        <v>Othman</v>
      </c>
      <c r="E845" t="str">
        <f>VLOOKUP(bron[[#This Row],[personeelsnr]],'data hastus'!A:K,11,FALSE)</f>
        <v>Dominique De Clercq</v>
      </c>
      <c r="F845" s="10"/>
      <c r="G845" s="7"/>
      <c r="H845" s="7"/>
      <c r="I845" s="7"/>
      <c r="O845" s="5">
        <v>1</v>
      </c>
      <c r="S845" s="5">
        <f>SUM(bron[[#This Row],[Januari]:[December]])</f>
        <v>1</v>
      </c>
      <c r="T845" s="9">
        <v>45904</v>
      </c>
      <c r="U845" s="5" t="s">
        <v>3534</v>
      </c>
      <c r="V845" s="24">
        <v>1</v>
      </c>
      <c r="W845" s="24"/>
      <c r="X845" t="s">
        <v>7</v>
      </c>
      <c r="Y845" t="s">
        <v>10</v>
      </c>
    </row>
    <row r="846" spans="1:25" hidden="1" x14ac:dyDescent="0.25">
      <c r="A846">
        <v>22244</v>
      </c>
      <c r="B846" t="str">
        <f>_xlfn.CONCAT(bron[[#This Row],[personeelsnr]]," ",bron[[#This Row],[achternaam]]," ",bron[[#This Row],[voornaam]])</f>
        <v>22244 Kirdas Süleyman</v>
      </c>
      <c r="C846" t="str">
        <f>VLOOKUP(bron[[#This Row],[personeelsnr]],'data hastus'!$A:$C,2,0)</f>
        <v>Kirdas</v>
      </c>
      <c r="D846" t="str">
        <f>VLOOKUP(bron[[#This Row],[personeelsnr]],'data hastus'!$A:$C,3,0)</f>
        <v>Süleyman</v>
      </c>
      <c r="E846" t="str">
        <f>VLOOKUP(bron[[#This Row],[personeelsnr]],'data hastus'!A:K,11,FALSE)</f>
        <v>Christoff Rotty</v>
      </c>
      <c r="F846" s="10"/>
      <c r="G846" s="7"/>
      <c r="H846" s="7"/>
      <c r="I846" s="7"/>
      <c r="O846" s="5">
        <v>1</v>
      </c>
      <c r="S846" s="5">
        <f>SUM(bron[[#This Row],[Januari]:[December]])</f>
        <v>1</v>
      </c>
      <c r="T846" s="9">
        <v>45905</v>
      </c>
      <c r="U846" s="5" t="s">
        <v>3535</v>
      </c>
      <c r="V846" s="24">
        <v>1</v>
      </c>
      <c r="W846" s="24"/>
      <c r="X846" t="s">
        <v>7</v>
      </c>
      <c r="Y846" t="s">
        <v>3536</v>
      </c>
    </row>
    <row r="847" spans="1:25" hidden="1" x14ac:dyDescent="0.25">
      <c r="B847" t="e">
        <f>_xlfn.CONCAT(bron[[#This Row],[personeelsnr]]," ",bron[[#This Row],[achternaam]]," ",bron[[#This Row],[voornaam]])</f>
        <v>#N/A</v>
      </c>
      <c r="C847" t="e">
        <f>VLOOKUP(bron[[#This Row],[personeelsnr]],'data hastus'!$A:$C,2,0)</f>
        <v>#N/A</v>
      </c>
      <c r="D847" t="e">
        <f>VLOOKUP(bron[[#This Row],[personeelsnr]],'data hastus'!$A:$C,3,0)</f>
        <v>#N/A</v>
      </c>
      <c r="E847" t="e">
        <f>VLOOKUP(bron[[#This Row],[personeelsnr]],'data hastus'!A:K,11,FALSE)</f>
        <v>#N/A</v>
      </c>
      <c r="F847" s="10"/>
      <c r="G847" s="7"/>
      <c r="H847" s="7"/>
      <c r="I847" s="7"/>
      <c r="S847" s="5">
        <f>SUM(bron[[#This Row],[Januari]:[December]])</f>
        <v>0</v>
      </c>
      <c r="V847" s="24"/>
      <c r="W847" s="24"/>
    </row>
    <row r="848" spans="1:25" hidden="1" x14ac:dyDescent="0.25">
      <c r="B848" t="e">
        <f>_xlfn.CONCAT(bron[[#This Row],[personeelsnr]]," ",bron[[#This Row],[achternaam]]," ",bron[[#This Row],[voornaam]])</f>
        <v>#N/A</v>
      </c>
      <c r="C848" t="e">
        <f>VLOOKUP(bron[[#This Row],[personeelsnr]],'data hastus'!$A:$C,2,0)</f>
        <v>#N/A</v>
      </c>
      <c r="D848" t="e">
        <f>VLOOKUP(bron[[#This Row],[personeelsnr]],'data hastus'!$A:$C,3,0)</f>
        <v>#N/A</v>
      </c>
      <c r="E848" t="e">
        <f>VLOOKUP(bron[[#This Row],[personeelsnr]],'data hastus'!A:K,11,FALSE)</f>
        <v>#N/A</v>
      </c>
      <c r="F848" s="10"/>
      <c r="G848" s="7"/>
      <c r="H848" s="7"/>
      <c r="I848" s="7"/>
      <c r="S848" s="5">
        <f>SUM(bron[[#This Row],[Januari]:[December]])</f>
        <v>0</v>
      </c>
      <c r="V848" s="24"/>
      <c r="W848" s="24"/>
    </row>
    <row r="849" spans="1:25" hidden="1" x14ac:dyDescent="0.25">
      <c r="B849" t="e">
        <f>_xlfn.CONCAT(bron[[#This Row],[personeelsnr]]," ",bron[[#This Row],[achternaam]]," ",bron[[#This Row],[voornaam]])</f>
        <v>#N/A</v>
      </c>
      <c r="C849" t="e">
        <f>VLOOKUP(bron[[#This Row],[personeelsnr]],'data hastus'!$A:$C,2,0)</f>
        <v>#N/A</v>
      </c>
      <c r="D849" t="e">
        <f>VLOOKUP(bron[[#This Row],[personeelsnr]],'data hastus'!$A:$C,3,0)</f>
        <v>#N/A</v>
      </c>
      <c r="E849" t="e">
        <f>VLOOKUP(bron[[#This Row],[personeelsnr]],'data hastus'!A:K,11,FALSE)</f>
        <v>#N/A</v>
      </c>
      <c r="F849" s="10"/>
      <c r="G849" s="7"/>
      <c r="H849" s="7"/>
      <c r="I849" s="7"/>
      <c r="S849" s="5">
        <f>SUM(bron[[#This Row],[Januari]:[December]])</f>
        <v>0</v>
      </c>
      <c r="V849" s="24"/>
      <c r="W849" s="24"/>
    </row>
    <row r="850" spans="1:25" hidden="1" x14ac:dyDescent="0.25">
      <c r="B850" t="e">
        <f>_xlfn.CONCAT(bron[[#This Row],[personeelsnr]]," ",bron[[#This Row],[achternaam]]," ",bron[[#This Row],[voornaam]])</f>
        <v>#N/A</v>
      </c>
      <c r="C850" t="e">
        <f>VLOOKUP(bron[[#This Row],[personeelsnr]],'data hastus'!$A:$C,2,0)</f>
        <v>#N/A</v>
      </c>
      <c r="D850" t="e">
        <f>VLOOKUP(bron[[#This Row],[personeelsnr]],'data hastus'!$A:$C,3,0)</f>
        <v>#N/A</v>
      </c>
      <c r="E850" t="e">
        <f>VLOOKUP(bron[[#This Row],[personeelsnr]],'data hastus'!A:K,11,FALSE)</f>
        <v>#N/A</v>
      </c>
      <c r="F850" s="10"/>
      <c r="G850" s="7"/>
      <c r="H850" s="7"/>
      <c r="I850" s="7"/>
      <c r="S850" s="5">
        <f>SUM(bron[[#This Row],[Januari]:[December]])</f>
        <v>0</v>
      </c>
      <c r="V850" s="24"/>
      <c r="W850" s="24"/>
    </row>
    <row r="851" spans="1:25" hidden="1" x14ac:dyDescent="0.25">
      <c r="B851" t="e">
        <f>_xlfn.CONCAT(bron[[#This Row],[personeelsnr]]," ",bron[[#This Row],[achternaam]]," ",bron[[#This Row],[voornaam]])</f>
        <v>#N/A</v>
      </c>
      <c r="C851" t="e">
        <f>VLOOKUP(bron[[#This Row],[personeelsnr]],'data hastus'!$A:$C,2,0)</f>
        <v>#N/A</v>
      </c>
      <c r="D851" t="e">
        <f>VLOOKUP(bron[[#This Row],[personeelsnr]],'data hastus'!$A:$C,3,0)</f>
        <v>#N/A</v>
      </c>
      <c r="E851" t="e">
        <f>VLOOKUP(bron[[#This Row],[personeelsnr]],'data hastus'!A:K,11,FALSE)</f>
        <v>#N/A</v>
      </c>
      <c r="F851" s="10"/>
      <c r="G851" s="7"/>
      <c r="H851" s="7"/>
      <c r="I851" s="7"/>
      <c r="S851" s="5">
        <f>SUM(bron[[#This Row],[Januari]:[December]])</f>
        <v>0</v>
      </c>
      <c r="V851" s="24"/>
      <c r="W851" s="24"/>
    </row>
    <row r="852" spans="1:25" hidden="1" x14ac:dyDescent="0.25">
      <c r="B852" t="e">
        <f>_xlfn.CONCAT(bron[[#This Row],[personeelsnr]]," ",bron[[#This Row],[achternaam]]," ",bron[[#This Row],[voornaam]])</f>
        <v>#N/A</v>
      </c>
      <c r="C852" t="e">
        <f>VLOOKUP(bron[[#This Row],[personeelsnr]],'data hastus'!$A:$C,2,0)</f>
        <v>#N/A</v>
      </c>
      <c r="D852" t="e">
        <f>VLOOKUP(bron[[#This Row],[personeelsnr]],'data hastus'!$A:$C,3,0)</f>
        <v>#N/A</v>
      </c>
      <c r="E852" t="e">
        <f>VLOOKUP(bron[[#This Row],[personeelsnr]],'data hastus'!A:K,11,FALSE)</f>
        <v>#N/A</v>
      </c>
      <c r="F852" s="10"/>
      <c r="G852" s="7"/>
      <c r="H852" s="7"/>
      <c r="I852" s="7"/>
      <c r="S852" s="5">
        <f>SUM(bron[[#This Row],[Januari]:[December]])</f>
        <v>0</v>
      </c>
      <c r="V852" s="24"/>
      <c r="W852" s="24"/>
    </row>
    <row r="853" spans="1:25" hidden="1" x14ac:dyDescent="0.25">
      <c r="B853" t="e">
        <f>_xlfn.CONCAT(bron[[#This Row],[personeelsnr]]," ",bron[[#This Row],[achternaam]]," ",bron[[#This Row],[voornaam]])</f>
        <v>#N/A</v>
      </c>
      <c r="C853" t="e">
        <f>VLOOKUP(bron[[#This Row],[personeelsnr]],'data hastus'!$A:$C,2,0)</f>
        <v>#N/A</v>
      </c>
      <c r="D853" t="e">
        <f>VLOOKUP(bron[[#This Row],[personeelsnr]],'data hastus'!$A:$C,3,0)</f>
        <v>#N/A</v>
      </c>
      <c r="E853" t="e">
        <f>VLOOKUP(bron[[#This Row],[personeelsnr]],'data hastus'!A:K,11,FALSE)</f>
        <v>#N/A</v>
      </c>
      <c r="F853" s="10"/>
      <c r="G853" s="7"/>
      <c r="H853" s="7"/>
      <c r="I853" s="7"/>
      <c r="S853" s="5">
        <f>SUM(bron[[#This Row],[Januari]:[December]])</f>
        <v>0</v>
      </c>
      <c r="V853" s="24"/>
      <c r="W853" s="24"/>
    </row>
    <row r="854" spans="1:25" x14ac:dyDescent="0.25">
      <c r="A854">
        <v>40134</v>
      </c>
      <c r="B854" t="str">
        <f>_xlfn.CONCAT(bron[[#This Row],[personeelsnr]]," ",bron[[#This Row],[achternaam]]," ",bron[[#This Row],[voornaam]])</f>
        <v>40134 Cardon Sharon</v>
      </c>
      <c r="C854" t="str">
        <f>VLOOKUP(bron[[#This Row],[personeelsnr]],'data hastus'!$A:$C,2,0)</f>
        <v>Cardon</v>
      </c>
      <c r="D854" t="str">
        <f>VLOOKUP(bron[[#This Row],[personeelsnr]],'data hastus'!$A:$C,3,0)</f>
        <v>Sharon</v>
      </c>
      <c r="E854" t="str">
        <f>VLOOKUP(bron[[#This Row],[personeelsnr]],'data hastus'!A:K,11,FALSE)</f>
        <v>Dominique De Clercq</v>
      </c>
      <c r="F854" s="10"/>
      <c r="G854" s="7"/>
      <c r="H854" s="7"/>
      <c r="I854" s="7"/>
      <c r="O854" s="5">
        <v>1</v>
      </c>
      <c r="S854" s="39">
        <f>SUM(bron[[#This Row],[Januari]:[December]])</f>
        <v>1</v>
      </c>
      <c r="T854" s="9">
        <v>45902</v>
      </c>
      <c r="U854" s="5" t="s">
        <v>3537</v>
      </c>
      <c r="V854" s="24">
        <v>1</v>
      </c>
      <c r="W854" s="24"/>
      <c r="X854" t="s">
        <v>7</v>
      </c>
      <c r="Y854" t="s">
        <v>3538</v>
      </c>
    </row>
    <row r="855" spans="1:25" x14ac:dyDescent="0.25">
      <c r="A855">
        <v>16895</v>
      </c>
      <c r="B855" t="str">
        <f>_xlfn.CONCAT(bron[[#This Row],[personeelsnr]]," ",bron[[#This Row],[achternaam]]," ",bron[[#This Row],[voornaam]])</f>
        <v>16895 Van Lauwe Freddy</v>
      </c>
      <c r="C855" t="str">
        <f>VLOOKUP(bron[[#This Row],[personeelsnr]],'data hastus'!$A:$C,2,0)</f>
        <v>Van Lauwe</v>
      </c>
      <c r="D855" t="str">
        <f>VLOOKUP(bron[[#This Row],[personeelsnr]],'data hastus'!$A:$C,3,0)</f>
        <v>Freddy</v>
      </c>
      <c r="E855" t="str">
        <f>VLOOKUP(bron[[#This Row],[personeelsnr]],'data hastus'!A:K,11,FALSE)</f>
        <v>Bart Van Der Beken</v>
      </c>
      <c r="F855" s="10"/>
      <c r="G855" s="7"/>
      <c r="H855" s="7"/>
      <c r="I855" s="7"/>
      <c r="O855" s="5">
        <v>1</v>
      </c>
      <c r="S855" s="39">
        <f>SUM(bron[[#This Row],[Januari]:[December]])</f>
        <v>1</v>
      </c>
      <c r="T855" s="9">
        <v>45909</v>
      </c>
      <c r="U855" s="5" t="s">
        <v>3539</v>
      </c>
      <c r="V855" s="24"/>
      <c r="W855" s="24">
        <v>1</v>
      </c>
      <c r="X855" t="s">
        <v>8</v>
      </c>
      <c r="Y855" t="s">
        <v>75</v>
      </c>
    </row>
    <row r="856" spans="1:25" x14ac:dyDescent="0.25">
      <c r="A856">
        <v>35491</v>
      </c>
      <c r="B856" t="str">
        <f>_xlfn.CONCAT(bron[[#This Row],[personeelsnr]]," ",bron[[#This Row],[achternaam]]," ",bron[[#This Row],[voornaam]])</f>
        <v>35491 Toubadie Zakaria</v>
      </c>
      <c r="C856" t="str">
        <f>VLOOKUP(bron[[#This Row],[personeelsnr]],'data hastus'!$A:$C,2,0)</f>
        <v>Toubadie</v>
      </c>
      <c r="D856" t="str">
        <f>VLOOKUP(bron[[#This Row],[personeelsnr]],'data hastus'!$A:$C,3,0)</f>
        <v>Zakaria</v>
      </c>
      <c r="E856" t="str">
        <f>VLOOKUP(bron[[#This Row],[personeelsnr]],'data hastus'!A:K,11,FALSE)</f>
        <v>Els Vanhoe</v>
      </c>
      <c r="F856" s="10"/>
      <c r="G856" s="7"/>
      <c r="H856" s="7"/>
      <c r="I856" s="7"/>
      <c r="O856" s="5">
        <v>1</v>
      </c>
      <c r="S856" s="39">
        <f>SUM(bron[[#This Row],[Januari]:[December]])</f>
        <v>1</v>
      </c>
      <c r="T856" s="9">
        <v>45909</v>
      </c>
      <c r="U856" s="5" t="s">
        <v>3540</v>
      </c>
      <c r="V856" s="24">
        <v>1</v>
      </c>
      <c r="W856" s="24"/>
      <c r="X856" t="s">
        <v>7</v>
      </c>
      <c r="Y856" t="s">
        <v>119</v>
      </c>
    </row>
    <row r="857" spans="1:25" x14ac:dyDescent="0.25">
      <c r="B857" s="41"/>
      <c r="C857" t="e">
        <f>VLOOKUP(bron[[#This Row],[personeelsnr]],'data hastus'!$A:$C,2,0)</f>
        <v>#N/A</v>
      </c>
      <c r="D857" t="e">
        <f>VLOOKUP(bron[[#This Row],[personeelsnr]],'data hastus'!$A:$C,3,0)</f>
        <v>#N/A</v>
      </c>
      <c r="E857" t="e">
        <f>VLOOKUP(bron[[#This Row],[personeelsnr]],'data hastus'!A:K,11,FALSE)</f>
        <v>#N/A</v>
      </c>
      <c r="F857" s="10"/>
      <c r="G857" s="7"/>
      <c r="H857" s="7"/>
      <c r="I857" s="7"/>
      <c r="S857" s="39">
        <f>SUM(bron[[#This Row],[Januari]:[December]])</f>
        <v>0</v>
      </c>
      <c r="V857" s="24"/>
      <c r="W857" s="24"/>
    </row>
  </sheetData>
  <sheetProtection sort="0" autoFilter="0"/>
  <phoneticPr fontId="1" type="noConversion"/>
  <conditionalFormatting sqref="F2:F857">
    <cfRule type="cellIs" dxfId="16" priority="5" operator="equal">
      <formula>0</formula>
    </cfRule>
    <cfRule type="cellIs" dxfId="15" priority="7" operator="between">
      <formula>1</formula>
      <formula>4</formula>
    </cfRule>
    <cfRule type="cellIs" dxfId="14" priority="9" operator="greaterThanOrEqual">
      <formula>5</formula>
    </cfRule>
  </conditionalFormatting>
  <hyperlinks>
    <hyperlink ref="U516" r:id="rId1" xr:uid="{069AB0F3-66D9-443A-A282-BECCE4BC15A4}"/>
    <hyperlink ref="U521" r:id="rId2" xr:uid="{266ED411-E9BA-4025-B809-BF681D6EF2C2}"/>
    <hyperlink ref="U835" r:id="rId3" display="../../../../../../../:b:/r/teams/CTM-OTGentStad/Shared Documents/General/EAF/CSI(nieuwe sharepoint) 2025/1. Januari/EAF 6337 Gent 17012025.pdf?csf=1&amp;web=1&amp;e=HIde3n" xr:uid="{B7A5B04D-2444-4A69-96EE-429FE1FAEFC1}"/>
    <hyperlink ref="U836" r:id="rId4" display="../../../../../../../:b:/r/teams/CTM-OTGentStad/Shared Documents/General/EAF/CSI(nieuwe sharepoint) 2025/1. Januari/EAF 6356 Gentbrugge 18012025.pdf?csf=1&amp;web=1&amp;e=mefvXc" xr:uid="{3B1FF491-C1E6-43FD-A0C3-057465EB5192}"/>
    <hyperlink ref="U823" r:id="rId5" display="../../../../../../../:b:/r/teams/CTM-OTGentStad/Shared Documents/General/EAF/CSI(nieuwe sharepoint) 2025/1. Januari/EAF 5263 Mariakerke 13012025.pdf?csf=1&amp;web=1&amp;e=qFf0hX" xr:uid="{1AF9CACF-A798-4483-851F-5828A099BE42}"/>
    <hyperlink ref="U811" r:id="rId6" display="../../../../../../../:b:/r/teams/CTM-OTGentStad/Shared Documents/General/EAF/CSI(nieuwe sharepoint) 2025/1. Januari/EAF 5047 Gent 03012025.pdf?csf=1&amp;web=1&amp;e=ycRhDE" xr:uid="{3AD54217-AB8C-48D0-9A63-05351EF31D35}"/>
    <hyperlink ref="U545" r:id="rId7" xr:uid="{758C2375-3764-4237-851D-A90FFF7D6AC8}"/>
    <hyperlink ref="U817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59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57" r:id="rId10" xr:uid="{F64E53A4-7C17-46F2-BB91-670CFE110D02}"/>
    <hyperlink ref="U828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591" r:id="rId12" xr:uid="{E73AE997-AD9B-4405-90F0-3EFD6BA2309E}"/>
    <hyperlink ref="U841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805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822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598" r:id="rId16" xr:uid="{7921045D-AAB1-4DF0-9E93-D83FFE86B6F5}"/>
    <hyperlink ref="U834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0" r:id="rId18" xr:uid="{88F7C8C1-94D9-4DBB-821A-2AEB46042966}"/>
    <hyperlink ref="U804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689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76" r:id="rId533" xr:uid="{150DA4FD-1711-4867-B634-D05F4AEFF1A7}"/>
    <hyperlink ref="U552" r:id="rId534" xr:uid="{D4A9EBC2-7040-472D-9CD7-25E0CD73A803}"/>
    <hyperlink ref="U676" r:id="rId535" xr:uid="{863C6FA1-A756-4D70-AC71-51E5A76689C5}"/>
    <hyperlink ref="U538" r:id="rId536" xr:uid="{DACDB412-C833-4291-9C28-79BA532569AA}"/>
    <hyperlink ref="U832" r:id="rId537" xr:uid="{0B00DD93-46E6-429E-BC0E-941F7DDDCE2A}"/>
    <hyperlink ref="U514" r:id="rId538" xr:uid="{225EB26C-7772-460F-A73C-0F374D7AF285}"/>
    <hyperlink ref="U517" r:id="rId539" xr:uid="{BD0527B6-7BCC-4011-AFE4-A7A21EEA6DF1}"/>
    <hyperlink ref="U553" r:id="rId540" xr:uid="{C2CD05F9-E24E-4861-A589-1C820F320F9E}"/>
    <hyperlink ref="U515" r:id="rId541" xr:uid="{FE436817-0B4F-438C-A63D-C51B18F105A4}"/>
    <hyperlink ref="U548" r:id="rId542" xr:uid="{4A3BDEF3-14A7-45E2-8146-4BAA33388E54}"/>
    <hyperlink ref="U528" r:id="rId543" xr:uid="{56E8F87E-FC9C-4191-9A01-2285D988C8C0}"/>
    <hyperlink ref="U540" r:id="rId544" xr:uid="{3BF788E9-2462-4020-AC4B-A66BB6793883}"/>
    <hyperlink ref="U526" r:id="rId545" xr:uid="{67C81648-7A07-49F8-9510-14AC3651BFAC}"/>
    <hyperlink ref="U546" r:id="rId546" xr:uid="{D17842E8-28B7-4700-8F51-1BF6AAFEEDED}"/>
    <hyperlink ref="U777" r:id="rId547" xr:uid="{1D07BE5F-6D45-449E-A856-72ABC302C426}"/>
    <hyperlink ref="U778" r:id="rId548" xr:uid="{74CF06CF-A463-4FAA-9D33-6F2484FDFE16}"/>
    <hyperlink ref="U840" r:id="rId549" xr:uid="{4D2D47F3-D93E-4E06-A609-F6F31A503B9E}"/>
    <hyperlink ref="U781" r:id="rId550" xr:uid="{BB3ADF8B-2677-4058-AC30-13299C7C8573}"/>
    <hyperlink ref="U779" r:id="rId551" xr:uid="{F243989D-7F6A-4CAE-A35A-DDFC357040CB}"/>
    <hyperlink ref="U780" r:id="rId552" xr:uid="{E058195F-A560-43AD-B42C-D9F293BF83BE}"/>
    <hyperlink ref="U774" r:id="rId553" xr:uid="{E23FAE86-C71A-42EC-8B47-C80E9CF9E459}"/>
    <hyperlink ref="U773" r:id="rId554" xr:uid="{56031605-4B81-4A26-9C04-859AC6BC7199}"/>
    <hyperlink ref="U782" r:id="rId555" xr:uid="{37F3A534-9157-4431-A907-DA8F76A26E11}"/>
    <hyperlink ref="U764" r:id="rId556" xr:uid="{3B159F39-D1EE-4FFE-B00F-CD5A30667FFD}"/>
    <hyperlink ref="U522" r:id="rId557" xr:uid="{D0BD2ED7-E6F8-44FF-AA5C-9C16A6C1804B}"/>
    <hyperlink ref="U803" r:id="rId558" xr:uid="{F33A1740-8EB8-4025-8F53-80BACD691CA6}"/>
    <hyperlink ref="U549" r:id="rId559" xr:uid="{9D95C12D-8E65-4229-9718-A51321D9D94F}"/>
    <hyperlink ref="U547" r:id="rId560" xr:uid="{E4224694-117F-4F4F-9BF7-195BE73397D9}"/>
    <hyperlink ref="U539" r:id="rId561" xr:uid="{C8F55B2D-0BB9-4A25-9B22-6ED11D2439AC}"/>
    <hyperlink ref="U551" r:id="rId562" xr:uid="{086A88D0-A6B0-4F2C-A4EA-1445ED053D6B}"/>
    <hyperlink ref="U543" r:id="rId563" xr:uid="{C251BE52-D64A-40F3-8DC1-707966587D02}"/>
    <hyperlink ref="U544" r:id="rId564" xr:uid="{C7F96931-1F41-4392-BB45-AB92C7E8FFD7}"/>
    <hyperlink ref="U536" r:id="rId565" xr:uid="{730C7AE1-7643-4719-8632-C64D319771B0}"/>
    <hyperlink ref="U542" r:id="rId566" xr:uid="{D2369495-C800-435E-BFFA-8E9093A0F80C}"/>
    <hyperlink ref="U534" r:id="rId567" xr:uid="{0008102A-7EB8-4F37-BAC1-D6E4CC390730}"/>
    <hyperlink ref="U537" r:id="rId568" xr:uid="{351AB9DA-E3BE-4B59-ACEA-9324F3745699}"/>
    <hyperlink ref="U541" r:id="rId569" xr:uid="{899603D8-6E8D-4C79-924A-93406B78EE6B}"/>
    <hyperlink ref="U533" r:id="rId570" xr:uid="{A9F5798F-300C-4BC1-A1B4-06B6054503B7}"/>
    <hyperlink ref="U531" r:id="rId571" xr:uid="{81401BA5-C27E-4D6E-A3BE-13A3DE7927D3}"/>
    <hyperlink ref="U535" r:id="rId572" xr:uid="{8B0F07D6-AE8A-451D-8D1C-41E66AA0B123}"/>
    <hyperlink ref="U530" r:id="rId573" xr:uid="{F8D24394-978E-485C-8512-376B34C9D206}"/>
    <hyperlink ref="U532" r:id="rId574" xr:uid="{75BDEF6D-E245-4089-9D06-E52A0E0E795D}"/>
    <hyperlink ref="U529" r:id="rId575" xr:uid="{E465F374-DB36-41EF-9408-9AAAF868BAFE}"/>
    <hyperlink ref="U523" r:id="rId576" xr:uid="{3DE33E38-BC69-43E7-A2F4-FF3992FBB1C9}"/>
    <hyperlink ref="U525" r:id="rId577" xr:uid="{FC00D559-9EF1-4F91-AD31-31D9EA911704}"/>
    <hyperlink ref="U527" r:id="rId578" xr:uid="{C7205737-9829-4547-A889-2926DD023738}"/>
    <hyperlink ref="U524" r:id="rId579" xr:uid="{58642315-5AF4-42F7-BEE7-55CBCF1C9245}"/>
    <hyperlink ref="U519" r:id="rId580" xr:uid="{9F8B2670-1D8E-490C-BA83-01C7BEF546C6}"/>
    <hyperlink ref="U518" r:id="rId581" xr:uid="{82C47FF0-C30B-4A63-B16D-8D26943A680A}"/>
    <hyperlink ref="U568" r:id="rId582" xr:uid="{2EDE9429-F341-4878-AB9F-AF725DA96FB3}"/>
    <hyperlink ref="U578" r:id="rId583" xr:uid="{D0A8B0FF-DF89-4F65-839E-1E68205C5FFF}"/>
    <hyperlink ref="U592" r:id="rId584" xr:uid="{2E040C5D-D095-44E3-B108-B706873F4965}"/>
    <hyperlink ref="U584" r:id="rId585" xr:uid="{C380338D-B4EB-403F-8201-FF24A466E0AE}"/>
    <hyperlink ref="U555" r:id="rId586" xr:uid="{898BACA9-0B24-4041-83A0-D0979000C0A0}"/>
    <hyperlink ref="U575" r:id="rId587" xr:uid="{F35FBE87-2C1F-4A44-AB97-02EB30AC6E6E}"/>
    <hyperlink ref="U571" r:id="rId588" xr:uid="{4D737CE6-73A6-4025-8559-A716C852BB95}"/>
    <hyperlink ref="U564" r:id="rId589" xr:uid="{0FC9E311-23DD-4419-B96B-98BEF4FED6F2}"/>
    <hyperlink ref="U558" r:id="rId590" xr:uid="{CD2DBC0B-1260-46CE-84BB-78105AC98D90}"/>
    <hyperlink ref="U562" r:id="rId591" xr:uid="{E3AA322B-9412-406B-8DCF-EA1782F3C537}"/>
    <hyperlink ref="U586" r:id="rId592" xr:uid="{145D5B93-B022-4AA5-BCE0-1F27B283997C}"/>
    <hyperlink ref="U589" r:id="rId593" xr:uid="{EC15FBBC-3DD8-418C-B6A0-2A05877526FA}"/>
    <hyperlink ref="U577" r:id="rId594" xr:uid="{F9FC5F25-4055-4C41-B010-4340642B1532}"/>
    <hyperlink ref="U579" r:id="rId595" xr:uid="{EC00F961-65B6-466B-B885-D48582405F11}"/>
    <hyperlink ref="U581" r:id="rId596" xr:uid="{07F0B742-6CE5-4373-91E8-D4D1692F9DC3}"/>
    <hyperlink ref="U596" r:id="rId597" xr:uid="{7FA0A5F5-AA81-4888-A3D8-56C51C832365}"/>
    <hyperlink ref="U580" r:id="rId598" xr:uid="{AB21B84C-4547-4A3C-BB78-3A25340BB2F7}"/>
    <hyperlink ref="U583" r:id="rId599" xr:uid="{39217EE0-75C0-4402-B10E-A014D4704D80}"/>
    <hyperlink ref="U594" r:id="rId600" xr:uid="{83E41EC9-3241-447D-B3D2-B8BBE514E846}"/>
    <hyperlink ref="U576" r:id="rId601" xr:uid="{9B7CC6C0-DE32-42AF-A032-A7DE6B20A49A}"/>
    <hyperlink ref="U561" r:id="rId602" xr:uid="{0B1560EE-DF6A-4F3C-95E1-15E330022847}"/>
    <hyperlink ref="U556" r:id="rId603" xr:uid="{516D4D8A-BCD6-4BD2-A762-62154B283621}"/>
    <hyperlink ref="U563" r:id="rId604" xr:uid="{8DC45460-FF99-4B45-B29A-DF778ECF6172}"/>
    <hyperlink ref="U566" r:id="rId605" xr:uid="{1BC6803B-76CD-4B8F-B5A4-9C3613CBA4F2}"/>
    <hyperlink ref="U574" r:id="rId606" xr:uid="{A4B53BAE-D44A-4347-A973-54F4E0FF678D}"/>
    <hyperlink ref="U572" r:id="rId607" xr:uid="{9688A2CA-6817-402E-BB11-1FFE0CE3D72A}"/>
    <hyperlink ref="U585" r:id="rId608" xr:uid="{CDAA5689-B753-4C35-9F3B-F46334AA0D28}"/>
    <hyperlink ref="U573" r:id="rId609" xr:uid="{3DAC90A6-8D42-4FEE-AF74-97C01BD7600E}"/>
    <hyperlink ref="U570" r:id="rId610" xr:uid="{E1DB103D-F090-4258-8E3B-055683FCD7B4}"/>
    <hyperlink ref="U590" r:id="rId611" xr:uid="{3D1FAB95-5B8B-4634-B0B4-7DB8CC60FFB8}"/>
    <hyperlink ref="U554" r:id="rId612" xr:uid="{043D990C-2F93-4782-B504-B8CA72F45A43}"/>
    <hyperlink ref="U597" r:id="rId613" xr:uid="{1F54DB39-AE2C-4D07-A41A-12435C3E02CE}"/>
    <hyperlink ref="U588" r:id="rId614" xr:uid="{89D6702A-34CC-4980-B10A-5BA92B354176}"/>
    <hyperlink ref="U569" r:id="rId615" xr:uid="{77330D35-BD0B-4CB7-9F5A-65D536231B32}"/>
    <hyperlink ref="U595" r:id="rId616" xr:uid="{478E4DD9-50AE-4E56-8AAD-BF7B5CB410CD}"/>
    <hyperlink ref="U565" r:id="rId617" xr:uid="{95E8979D-9B42-4992-8BAF-3E4668DFB37A}"/>
    <hyperlink ref="U593" r:id="rId618" xr:uid="{A5A32A1E-3517-41A7-94F5-1E7E58CB0021}"/>
    <hyperlink ref="U560" r:id="rId619" xr:uid="{10324561-F0B5-4F2C-A30E-0CCC67F69554}"/>
    <hyperlink ref="U582" r:id="rId620" xr:uid="{5F8DF6C1-8BAD-4816-B651-79AB4DC08D38}"/>
    <hyperlink ref="U567" r:id="rId621" xr:uid="{B935B8C7-66A1-48FB-97B5-581A072674C9}"/>
    <hyperlink ref="U618" r:id="rId622" xr:uid="{96DD215D-8D77-42B5-87FD-AAD46745E6CE}"/>
    <hyperlink ref="U602" r:id="rId623" xr:uid="{25E3891C-A841-4FAD-8848-83BCDA07B07D}"/>
    <hyperlink ref="U824" r:id="rId624" xr:uid="{6B2453B4-DE64-4299-98A6-04B583A216BE}"/>
    <hyperlink ref="U620" r:id="rId625" xr:uid="{ABB49E0F-D960-4CBD-9512-B12078CCF062}"/>
    <hyperlink ref="U624" r:id="rId626" xr:uid="{310C0FCD-B925-4842-B943-ECA2DEB634D8}"/>
    <hyperlink ref="U630" r:id="rId627" xr:uid="{DF068475-DB5A-4B55-AC50-4551B49647A5}"/>
    <hyperlink ref="U622" r:id="rId628" xr:uid="{96287227-49F7-4F9C-AB86-3F9606F24C0C}"/>
    <hyperlink ref="U808" r:id="rId629" xr:uid="{56BCDB2C-7703-45F5-A312-C5E893E4471F}"/>
    <hyperlink ref="U628" r:id="rId630" xr:uid="{DB7207BC-37CA-486F-B566-C1D2EEC1D98C}"/>
    <hyperlink ref="U615" r:id="rId631" xr:uid="{EB1DE0E7-525B-41A5-B65D-E4EFDD71FA50}"/>
    <hyperlink ref="U617" r:id="rId632" xr:uid="{9EC01C6F-6C00-4ADD-9130-4C36DFCB9779}"/>
    <hyperlink ref="U632" r:id="rId633" xr:uid="{93F4F107-6055-4000-B994-82766AC2F8B3}"/>
    <hyperlink ref="U629" r:id="rId634" xr:uid="{7CF19AB4-E4D1-4E84-8F6B-D30EEFAB42E5}"/>
    <hyperlink ref="U614" r:id="rId635" xr:uid="{AD2BAD26-D2CD-4C3C-A625-0421ABE6776E}"/>
    <hyperlink ref="U621" r:id="rId636" xr:uid="{AB528683-13E1-43EF-9397-0F1EA0A95500}"/>
    <hyperlink ref="U608" r:id="rId637" xr:uid="{63D05921-89F2-42B2-8802-476070CE7486}"/>
    <hyperlink ref="U616" r:id="rId638" xr:uid="{7511178A-2DAB-45C1-B7D5-E5AB38820A3D}"/>
    <hyperlink ref="U635" r:id="rId639" xr:uid="{3A3EB255-474E-47F0-A53A-051803ED74C0}"/>
    <hyperlink ref="U631" r:id="rId640" xr:uid="{768F261D-495B-41EC-B1C0-677BBCBABEC5}"/>
    <hyperlink ref="U627" r:id="rId641" xr:uid="{CC1D23EA-2FA4-475A-B130-CAFDD977883C}"/>
    <hyperlink ref="U623" r:id="rId642" xr:uid="{4532DF16-2F25-4398-A9D2-C64BCAC2623A}"/>
    <hyperlink ref="U625" r:id="rId643" xr:uid="{DBF3EEA2-E5BA-4578-9529-31D42BC09EE8}"/>
    <hyperlink ref="U612" r:id="rId644" xr:uid="{6DBCD5CC-7915-4AD2-ACB7-9AF638A8D476}"/>
    <hyperlink ref="U838" r:id="rId645" xr:uid="{ABEA59BF-FF44-4925-AA21-B49F73E586F9}"/>
    <hyperlink ref="U634" r:id="rId646" xr:uid="{6ADC597C-C276-4C62-8E82-A4969ACC73EF}"/>
    <hyperlink ref="U830" r:id="rId647" xr:uid="{2FBBADAF-55DB-491E-AD6E-CBCBA567C379}"/>
    <hyperlink ref="U619" r:id="rId648" xr:uid="{FC933634-D1AA-401F-9EC8-E2A2DA5B1806}"/>
    <hyperlink ref="U633" r:id="rId649" xr:uid="{B0C3DC5B-76AF-4980-9ED1-806AF6657A94}"/>
    <hyperlink ref="U601" r:id="rId650" xr:uid="{26A56EE1-DB69-411D-ACCF-185580542394}"/>
    <hyperlink ref="U626" r:id="rId651" xr:uid="{CCE2BD31-28A5-4D0E-89EE-5DB37DEC1506}"/>
    <hyperlink ref="U599" r:id="rId652" xr:uid="{D422ED3F-5E9D-4F5A-A8B1-B5ED221AA5CB}"/>
    <hyperlink ref="U600" r:id="rId653" xr:uid="{1EEB36FB-467C-4173-9337-6930BD20E5BF}"/>
    <hyperlink ref="U604" r:id="rId654" xr:uid="{4A86C2AA-47F9-4BF7-8520-E38A909DD226}"/>
    <hyperlink ref="U603" r:id="rId655" xr:uid="{80485985-F15E-473A-982F-1696C89487EF}"/>
    <hyperlink ref="U605" r:id="rId656" xr:uid="{C011010E-C6E0-4E9F-8C53-F07785B63047}"/>
    <hyperlink ref="U607" r:id="rId657" xr:uid="{083F9CE9-FB70-4A23-968F-174CB60F5F3C}"/>
    <hyperlink ref="U606" r:id="rId658" xr:uid="{5DBEABD7-9276-4526-98A7-F5BD247071FC}"/>
    <hyperlink ref="U609" r:id="rId659" xr:uid="{9152E7DD-8182-4F52-B2D5-9C32E77A51E3}"/>
    <hyperlink ref="U610" r:id="rId660" xr:uid="{01D51050-FBEA-4B59-8B56-73F47A55F718}"/>
    <hyperlink ref="U611" r:id="rId661" xr:uid="{6E0D216D-F35E-408D-A4BA-9CB81B5BDEF6}"/>
    <hyperlink ref="U613" r:id="rId662" xr:uid="{B3851F33-F581-4CD5-B45F-70F07B9370B5}"/>
    <hyperlink ref="U829" r:id="rId663" xr:uid="{C2DA7E70-657B-451F-BE61-5753ED491960}"/>
    <hyperlink ref="U644" r:id="rId664" xr:uid="{E760B65F-D437-4A82-ADB0-CE57C56613BB}"/>
    <hyperlink ref="U658" r:id="rId665" xr:uid="{389D8CFC-6E96-47C9-95C2-6D0DC5FDC47F}"/>
    <hyperlink ref="U668" r:id="rId666" xr:uid="{D2F96A81-C7E3-4D73-A9D6-8A3776AEECF0}"/>
    <hyperlink ref="U639" r:id="rId667" xr:uid="{6A2967DA-72F6-4A66-BEB1-06B967D72FB9}"/>
    <hyperlink ref="U640" r:id="rId668" xr:uid="{F10DFD8F-A4E6-41F4-BE12-01AC9829729E}"/>
    <hyperlink ref="U669" r:id="rId669" xr:uid="{DCEB82AA-5B00-4B67-8A9B-4E25B22FF280}"/>
    <hyperlink ref="U638" r:id="rId670" xr:uid="{BB9AC7A1-5FDB-4793-9AA6-3BB716B0C417}"/>
    <hyperlink ref="U819" r:id="rId671" xr:uid="{4CBA8A86-B0FD-497B-A600-0A4526F783DB}"/>
    <hyperlink ref="U645" r:id="rId672" xr:uid="{D79D5AFE-C6AE-4FA5-A4C4-9789128877A0}"/>
    <hyperlink ref="U654" r:id="rId673" xr:uid="{87D82A19-8903-4915-BAF9-F10A723DAE7D}"/>
    <hyperlink ref="U643" r:id="rId674" xr:uid="{0726CA3F-D1B7-4365-8444-071E08AB4843}"/>
    <hyperlink ref="U641" r:id="rId675" xr:uid="{4DABF424-4C2A-4687-9B10-293A0FA9CC8F}"/>
    <hyperlink ref="U652" r:id="rId676" xr:uid="{708E88D7-B2D1-4C38-9F56-2D3CEA54003B}"/>
    <hyperlink ref="U670" r:id="rId677" xr:uid="{4D1CA8F5-6233-474B-A545-0E94FA4DC8F3}"/>
    <hyperlink ref="U661" r:id="rId678" xr:uid="{14267202-C2D0-4352-8EB8-846DAF2A0233}"/>
    <hyperlink ref="U655" r:id="rId679" xr:uid="{648D6711-B4FB-49BE-91E9-C9B8326515D3}"/>
    <hyperlink ref="U673" r:id="rId680" xr:uid="{A1731FAA-3015-41C5-8D89-A3BC6FF922C1}"/>
    <hyperlink ref="U666" r:id="rId681" xr:uid="{FB514E15-C32B-496E-B7E0-17F9FFE4F17A}"/>
    <hyperlink ref="U660" r:id="rId682" xr:uid="{5808F782-76C6-429E-96A0-A064A37AB21C}"/>
    <hyperlink ref="U659" r:id="rId683" xr:uid="{0959C9E6-7835-43BF-8547-BF481EE80D5F}"/>
    <hyperlink ref="U671" r:id="rId684" xr:uid="{E52DBEBD-5887-4E06-947D-8EBE36982A82}"/>
    <hyperlink ref="U665" r:id="rId685" xr:uid="{BEDB739D-737F-46F1-8D57-3FC8CC982198}"/>
    <hyperlink ref="U657" r:id="rId686" xr:uid="{2C8D7F5E-0E75-41BC-BBB4-A9211236EFFC}"/>
    <hyperlink ref="U646" r:id="rId687" xr:uid="{F99B1E7C-2349-405E-AA64-6967C432A75C}"/>
    <hyperlink ref="U663" r:id="rId688" xr:uid="{7C2A0286-1324-4403-B4DD-361A1DE5D0D9}"/>
    <hyperlink ref="U812" r:id="rId689" xr:uid="{A843F00B-7BAC-4217-9322-AFAA44197BF0}"/>
    <hyperlink ref="U636" r:id="rId690" xr:uid="{7B9D040B-C241-4309-A54F-21F4A2598A78}"/>
    <hyperlink ref="U637" r:id="rId691" xr:uid="{D015F0C9-969C-41A7-B05D-E8B186DD2A94}"/>
    <hyperlink ref="U650" r:id="rId692" xr:uid="{3C13EDDC-696D-4A5F-8A9E-BF272DB24513}"/>
    <hyperlink ref="U656" r:id="rId693" xr:uid="{E34F6C64-B60F-4F48-B4F1-8F9AACEBD075}"/>
    <hyperlink ref="U653" r:id="rId694" xr:uid="{220AA725-B3A5-4243-828D-E1C53155A150}"/>
    <hyperlink ref="U672" r:id="rId695" xr:uid="{BD4E9079-B973-4420-B1FD-4BF6FB1C7BE3}"/>
    <hyperlink ref="U842" r:id="rId696" xr:uid="{9B75B6EB-4972-47F4-A52E-FEF937B469CF}"/>
    <hyperlink ref="U649" r:id="rId697" xr:uid="{B58AB238-8D14-4EBC-B9DB-4A28D670C5DE}"/>
    <hyperlink ref="U662" r:id="rId698" xr:uid="{5173BAAC-F800-464C-B1AE-88F401557E13}"/>
    <hyperlink ref="U667" r:id="rId699" xr:uid="{484C4C1C-5CCC-486B-A82C-68FA2983E0DC}"/>
    <hyperlink ref="U642" r:id="rId700" xr:uid="{103C09BE-ED5D-4747-B5EA-48E902C6140F}"/>
    <hyperlink ref="U647" r:id="rId701" xr:uid="{251288C3-BF64-4860-9A54-41802A975EDB}"/>
    <hyperlink ref="U648" r:id="rId702" xr:uid="{FAF8B960-BFE9-4FB4-9CC7-36E0BE491390}"/>
    <hyperlink ref="U651" r:id="rId703" xr:uid="{6949557C-A40F-49B7-BB27-5E184F540F37}"/>
    <hyperlink ref="U664" r:id="rId704" xr:uid="{BA558B59-A969-4F15-8D2F-64FA1E58F79D}"/>
    <hyperlink ref="U674" r:id="rId705" xr:uid="{6D11B92B-7522-488B-A553-08C77073F8DF}"/>
    <hyperlink ref="U697" r:id="rId706" xr:uid="{A432BF3B-B956-4B79-A609-35525C4FFC9D}"/>
    <hyperlink ref="U698" r:id="rId707" xr:uid="{B09855AE-7B80-4B3A-911C-960610B88F94}"/>
    <hyperlink ref="U703" r:id="rId708" xr:uid="{EB8F3410-4B22-4544-A2C6-9E83C2900923}"/>
    <hyperlink ref="U701" r:id="rId709" xr:uid="{03AA8935-8534-457F-8190-65FC4AD3BB0D}"/>
    <hyperlink ref="U826" r:id="rId710" xr:uid="{F4EFC8AC-0CB9-4AD7-92FA-021D8A8DC863}"/>
    <hyperlink ref="U699" r:id="rId711" xr:uid="{593C82B9-E6E1-4283-9A5A-1601224BACAE}"/>
    <hyperlink ref="U700" r:id="rId712" xr:uid="{A0977BE1-A651-41F4-AE35-711937967CEF}"/>
    <hyperlink ref="U688" r:id="rId713" xr:uid="{F49DB4A0-BC81-4A06-9A32-5C72DB73A3BA}"/>
    <hyperlink ref="U694" r:id="rId714" xr:uid="{1FA4F1A2-C68C-43F7-B1C4-BA99F25F26CE}"/>
    <hyperlink ref="U695" r:id="rId715" xr:uid="{3AAD246B-25BE-4D96-817A-D6CB2F311E44}"/>
    <hyperlink ref="U693" r:id="rId716" xr:uid="{18B2D28D-956E-4BA4-AFA1-1B87456A0A2C}"/>
    <hyperlink ref="U692" r:id="rId717" xr:uid="{B22F530F-E864-4C38-8989-BD6CCCFFE2C2}"/>
    <hyperlink ref="U691" r:id="rId718" xr:uid="{83DE97E8-FA36-495A-88E8-38CAC06F844C}"/>
    <hyperlink ref="U681" r:id="rId719" xr:uid="{5C67D965-A539-410D-A59A-D6AEF2A02C03}"/>
    <hyperlink ref="U690" r:id="rId720" xr:uid="{FC61B223-3866-4716-9F84-568EC3B46547}"/>
    <hyperlink ref="U685" r:id="rId721" xr:uid="{D85F952D-CB1B-44F4-B28A-6C3D09476CF2}"/>
    <hyperlink ref="U679" r:id="rId722" xr:uid="{5568D8F3-F32F-4736-A916-963C9CCB47FA}"/>
    <hyperlink ref="U675" r:id="rId723" xr:uid="{B723EA80-581E-475A-B68D-9A836974DD11}"/>
    <hyperlink ref="U687" r:id="rId724" xr:uid="{0F637775-FD3B-4C08-8D6F-C589BFDB9CC9}"/>
    <hyperlink ref="U684" r:id="rId725" xr:uid="{51B51EB8-64EF-476E-ACD4-48008568D921}"/>
    <hyperlink ref="U683" r:id="rId726" xr:uid="{6939651F-8743-40D7-8248-7C59BC326531}"/>
    <hyperlink ref="U682" r:id="rId727" xr:uid="{AE840088-FA86-44F9-8AEA-7685D8FC1882}"/>
    <hyperlink ref="U806" r:id="rId728" xr:uid="{F06FFB0D-5885-4D14-8AC6-016C02308BD6}"/>
    <hyperlink ref="U833" r:id="rId729" xr:uid="{34E44BC6-0C9A-468D-8837-FC115CC6C91C}"/>
    <hyperlink ref="U680" r:id="rId730" xr:uid="{0ED0DD59-3557-4D96-AA95-5DC7A645AE06}"/>
    <hyperlink ref="U678" r:id="rId731" xr:uid="{A2170097-8EAE-46AC-9251-EF553AB1A9D6}"/>
    <hyperlink ref="U677" r:id="rId732" xr:uid="{F8BF4E85-D8D9-47D4-AB8E-C87937357FA9}"/>
    <hyperlink ref="U837" r:id="rId733" xr:uid="{4CE98016-D7E6-4D5E-912E-DED4D44F20AD}"/>
    <hyperlink ref="U719" r:id="rId734" xr:uid="{9321BFD9-F8A8-4656-8410-61658A528AC5}"/>
    <hyperlink ref="U734" r:id="rId735" xr:uid="{A92F0936-5E6B-42FE-85E7-A4B061C5DAD3}"/>
    <hyperlink ref="U825" r:id="rId736" xr:uid="{6049A51A-F4DF-4E73-8440-DE6F40AEBDD9}"/>
    <hyperlink ref="U735" r:id="rId737" xr:uid="{7928FACB-A4C4-47AE-B295-577B8CBBB398}"/>
    <hyperlink ref="U707" r:id="rId738" xr:uid="{941EBDF1-E734-4E5A-AA48-F30D0B24F93C}"/>
    <hyperlink ref="U733" r:id="rId739" xr:uid="{574AA468-D84B-4155-9894-72B740EF0AB1}"/>
    <hyperlink ref="U704" r:id="rId740" xr:uid="{E57FF12C-76E0-4A86-99D4-5E1538E38ACD}"/>
    <hyperlink ref="U712" r:id="rId741" xr:uid="{7E75644F-64CB-4F63-924E-F8365E75C71A}"/>
    <hyperlink ref="U713" r:id="rId742" xr:uid="{973F95B8-C132-4D72-96F7-C5CD97AB7E19}"/>
    <hyperlink ref="U728" r:id="rId743" xr:uid="{4511E0E2-3308-42B9-8AB9-1E3204BB4AB9}"/>
    <hyperlink ref="U732" r:id="rId744" xr:uid="{5805C3DE-57A9-46D6-9F19-1050F00D1E46}"/>
    <hyperlink ref="U718" r:id="rId745" xr:uid="{DAF3293A-AB51-4EAB-94D6-99379936EE9A}"/>
    <hyperlink ref="U705" r:id="rId746" xr:uid="{0D2FAD1A-6FB7-42BC-ACD4-2ED17239737A}"/>
    <hyperlink ref="U726" r:id="rId747" xr:uid="{C97D0CF5-D880-48AA-976A-46B72F6366E2}"/>
    <hyperlink ref="U716" r:id="rId748" xr:uid="{5B139B7F-C169-4457-832F-2CDEE69FD825}"/>
    <hyperlink ref="U725" r:id="rId749" xr:uid="{03CEA0C4-C067-4D36-8EC4-BD674608B5EC}"/>
    <hyperlink ref="U729" r:id="rId750" xr:uid="{7F799986-DE7E-4CB4-9450-D1751467B184}"/>
    <hyperlink ref="U708" r:id="rId751" xr:uid="{2FEEE5DD-8A0F-48EB-80CD-BE2AF1317FD9}"/>
    <hyperlink ref="U727" r:id="rId752" xr:uid="{95504083-0ADC-4023-97B7-A22841E41A0A}"/>
    <hyperlink ref="U702" r:id="rId753" xr:uid="{B3527575-B430-444E-9B0B-A3C05BCAB247}"/>
    <hyperlink ref="U706" r:id="rId754" xr:uid="{6A58F34B-5E83-417C-AE7D-F5176857093F}"/>
    <hyperlink ref="U709" r:id="rId755" xr:uid="{A65CEF8A-32E1-43C3-A6EE-B0328385DBFC}"/>
    <hyperlink ref="U724" r:id="rId756" xr:uid="{2C6873D5-430D-4DDD-932E-93E40910B97B}"/>
    <hyperlink ref="U723" r:id="rId757" xr:uid="{FCD32162-3212-4E63-83FF-A086C4015E85}"/>
    <hyperlink ref="U820" r:id="rId758" xr:uid="{43EDAC8C-154F-4594-876F-3F9377E4C0C1}"/>
    <hyperlink ref="U715" r:id="rId759" xr:uid="{8D3EABC5-7EEB-4300-9EC6-7B98D5F8E029}"/>
    <hyperlink ref="U731" r:id="rId760" xr:uid="{E0BA6773-6967-4D97-A6D9-16414C9EBA75}"/>
    <hyperlink ref="U710" r:id="rId761" xr:uid="{373A757C-29EC-4205-A1DA-27EEA898D2E7}"/>
    <hyperlink ref="U721" r:id="rId762" xr:uid="{E74A0A93-7E76-4BC0-99FA-7A5BB8BD7138}"/>
    <hyperlink ref="U807" r:id="rId763" xr:uid="{F37985B0-E9F1-438A-82A1-42D19BFF8F90}"/>
    <hyperlink ref="U714" r:id="rId764" xr:uid="{DCE67A40-B91D-42D6-B85F-800E2487CF07}"/>
    <hyperlink ref="U717" r:id="rId765" xr:uid="{23CA3DFE-A440-4845-ADDC-E00CDDC2FAB8}"/>
    <hyperlink ref="U730" r:id="rId766" xr:uid="{DC114D74-FDA1-4A5B-99B3-1F704C9F9E88}"/>
    <hyperlink ref="U818" r:id="rId767" xr:uid="{5FB200BE-8F49-4D2F-AF1F-5BDC0C88CA57}"/>
    <hyperlink ref="U711" r:id="rId768" xr:uid="{E9488F98-417D-45F0-AF31-42083D111195}"/>
    <hyperlink ref="U720" r:id="rId769" xr:uid="{F330EFD7-79BD-46D0-80F4-426AC08554CF}"/>
    <hyperlink ref="U722" r:id="rId770" xr:uid="{11491747-2133-49D4-A272-44F6FF53D9C6}"/>
    <hyperlink ref="U767" r:id="rId771" xr:uid="{93FCF700-48E1-4AAB-8495-FC2999DF82EF}"/>
    <hyperlink ref="U765" r:id="rId772" xr:uid="{254E9E40-B563-406B-8450-9FF9E949AC8C}"/>
    <hyperlink ref="U815" r:id="rId773" xr:uid="{8C7050E5-1548-47AD-9816-9F8590927730}"/>
    <hyperlink ref="U831" r:id="rId774" xr:uid="{298E54A3-9DBF-4CA6-8BA6-31974C23228C}"/>
    <hyperlink ref="U810" r:id="rId775" xr:uid="{1562B673-8C26-4B21-ACFD-266C8A1777FD}"/>
    <hyperlink ref="U771" r:id="rId776" xr:uid="{ED1DD83C-6022-4BD4-8146-1AD33BD7F5AA}"/>
    <hyperlink ref="U763" r:id="rId777" xr:uid="{8DEB09DF-90D5-4C0F-84ED-2C9E5F524D87}"/>
    <hyperlink ref="U769" r:id="rId778" xr:uid="{FA5FD159-9EBA-4548-9418-76FA3AEF3C15}"/>
    <hyperlink ref="U827" r:id="rId779" xr:uid="{77FF1940-85B2-4158-80F6-DBA00A0D3F48}"/>
    <hyperlink ref="U814" r:id="rId780" xr:uid="{59EF7A79-E073-4066-A0E3-4FBC18F26DDD}"/>
    <hyperlink ref="U770" r:id="rId781" xr:uid="{754E2135-D332-4D17-85A1-DC7CD58911BE}"/>
    <hyperlink ref="U758" r:id="rId782" xr:uid="{88F06494-6D83-4A92-B776-4B6746B0CDAD}"/>
    <hyperlink ref="U762" r:id="rId783" xr:uid="{DFC68BEC-B39F-4AC2-9D00-AF674412F4D1}"/>
    <hyperlink ref="U768" r:id="rId784" xr:uid="{D39377EB-7E62-4F41-B32C-DD7C8FD9FD9A}"/>
    <hyperlink ref="U766" r:id="rId785" xr:uid="{9929740E-87D0-46BF-BF92-B7A6F0F75EB5}"/>
    <hyperlink ref="U761" r:id="rId786" xr:uid="{E123B967-6F80-47D3-AA99-5D00D58C1C7B}"/>
    <hyperlink ref="U816" r:id="rId787" xr:uid="{BD1736A6-FDDE-4E2B-AEC4-56B7A59A4D9B}"/>
    <hyperlink ref="U760" r:id="rId788" xr:uid="{2C5F8736-DD9A-4211-A2E6-04D793B952E2}"/>
    <hyperlink ref="U759" r:id="rId789" xr:uid="{CAA0EEB7-98AD-4175-978B-3481CD4B09A2}"/>
    <hyperlink ref="U756" r:id="rId790" xr:uid="{B994F345-9D6F-49FE-936F-A1FF870DA159}"/>
    <hyperlink ref="U757" r:id="rId791" xr:uid="{4E7BD72F-64F1-4161-94B3-40F3EAD4DF8D}"/>
    <hyperlink ref="U752" r:id="rId792" xr:uid="{42CE2B8A-4445-4D38-A19B-27E617E5355F}"/>
    <hyperlink ref="U749" r:id="rId793" xr:uid="{77672107-1074-4CC5-B773-C90D586B98DC}"/>
    <hyperlink ref="U750" r:id="rId794" xr:uid="{B8BBF23F-600D-4EA8-8F9E-4C020A484596}"/>
    <hyperlink ref="U753" r:id="rId795" xr:uid="{DF5118FE-DD0A-43D5-A04A-F1BB5EC966CB}"/>
    <hyperlink ref="U754" r:id="rId796" xr:uid="{80154DBC-66DF-4433-A9D0-087580B052BE}"/>
    <hyperlink ref="U751" r:id="rId797" xr:uid="{DA9F6E43-F97B-474A-85EE-108BF5C95D67}"/>
    <hyperlink ref="U747" r:id="rId798" xr:uid="{AD697AE6-4666-4389-B2B4-38726DB31C7C}"/>
    <hyperlink ref="U746" r:id="rId799" xr:uid="{436AFDD6-523C-43FE-9A08-ED579E166D7F}"/>
    <hyperlink ref="U745" r:id="rId800" xr:uid="{D71CB4A7-6A12-475B-B09C-97A19E5BF7E7}"/>
    <hyperlink ref="U748" r:id="rId801" xr:uid="{86BB9DC2-49BD-4EA6-88AF-16451F0EF0F2}"/>
    <hyperlink ref="U738" r:id="rId802" xr:uid="{FF4ED1A0-310A-4193-BF64-B647931B2430}"/>
    <hyperlink ref="U744" r:id="rId803" xr:uid="{5C6636C1-94D3-4505-AC39-65A67FE4CB32}"/>
    <hyperlink ref="U741" r:id="rId804" xr:uid="{BB7CE327-230E-48A5-8741-25B18189C503}"/>
    <hyperlink ref="U742" r:id="rId805" xr:uid="{DD89C437-E14C-48AB-B80E-F8AF986B6A7D}"/>
    <hyperlink ref="U809" r:id="rId806" xr:uid="{5E6E094E-D08D-41A9-9AD4-AB96C0D2D0E5}"/>
    <hyperlink ref="U743" r:id="rId807" xr:uid="{738BBA94-39E1-4EAD-85E3-D6FD30B5D2A2}"/>
    <hyperlink ref="U839" r:id="rId808" xr:uid="{366A0727-3127-49A7-8A3D-1CF9FEDBA2C5}"/>
    <hyperlink ref="U739" r:id="rId809" xr:uid="{36071FA3-ED9D-4C49-BBE1-80EA68977EF9}"/>
    <hyperlink ref="U740" r:id="rId810" xr:uid="{6E08855B-C243-4269-AE79-8EAC47FB9816}"/>
    <hyperlink ref="U736" r:id="rId811" xr:uid="{3F757C3A-AABB-46B0-A376-7F8782AED0B7}"/>
    <hyperlink ref="U775" r:id="rId812" xr:uid="{E6EBA1DA-3AD1-419D-8F5E-43BB39D94529}"/>
    <hyperlink ref="U737" r:id="rId813" xr:uid="{713D8C42-321D-4476-9086-F7A96074829F}"/>
    <hyperlink ref="U784" r:id="rId814" xr:uid="{C7E0C9F1-1B82-42AF-BD02-CB6701562797}"/>
    <hyperlink ref="U813" r:id="rId815" xr:uid="{C0FAEEAC-68E5-4E84-8EFB-8E0C90520D3D}"/>
    <hyperlink ref="U787" r:id="rId816" xr:uid="{F5EC6EE1-E791-4255-A36A-ED2CB561FB90}"/>
  </hyperlinks>
  <pageMargins left="0.7" right="0.7" top="0.75" bottom="0.75" header="0.3" footer="0.3"/>
  <pageSetup paperSize="9" orientation="portrait" verticalDpi="0" r:id="rId817"/>
  <drawing r:id="rId818"/>
  <tableParts count="1">
    <tablePart r:id="rId819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16"/>
  <sheetViews>
    <sheetView workbookViewId="0">
      <selection activeCell="A17" sqref="A1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1343</v>
      </c>
      <c r="B1" t="s">
        <v>1344</v>
      </c>
      <c r="C1" t="s">
        <v>1345</v>
      </c>
    </row>
    <row r="2" spans="1:3" x14ac:dyDescent="0.25">
      <c r="A2">
        <v>29076</v>
      </c>
      <c r="B2" t="s">
        <v>1346</v>
      </c>
      <c r="C2" s="8" t="s">
        <v>1347</v>
      </c>
    </row>
    <row r="3" spans="1:3" x14ac:dyDescent="0.25">
      <c r="A3">
        <v>35348</v>
      </c>
      <c r="B3" t="s">
        <v>1348</v>
      </c>
      <c r="C3" s="8" t="s">
        <v>1349</v>
      </c>
    </row>
    <row r="4" spans="1:3" x14ac:dyDescent="0.25">
      <c r="A4">
        <v>10170</v>
      </c>
      <c r="B4" t="s">
        <v>1350</v>
      </c>
      <c r="C4" s="8" t="s">
        <v>1351</v>
      </c>
    </row>
    <row r="5" spans="1:3" x14ac:dyDescent="0.25">
      <c r="A5">
        <v>5579</v>
      </c>
      <c r="B5" t="s">
        <v>1352</v>
      </c>
      <c r="C5" s="8" t="s">
        <v>1353</v>
      </c>
    </row>
    <row r="6" spans="1:3" x14ac:dyDescent="0.25">
      <c r="A6">
        <v>4597</v>
      </c>
      <c r="B6" t="s">
        <v>1354</v>
      </c>
      <c r="C6" s="8" t="s">
        <v>1355</v>
      </c>
    </row>
    <row r="7" spans="1:3" x14ac:dyDescent="0.25">
      <c r="A7">
        <v>26268</v>
      </c>
      <c r="B7" t="s">
        <v>1356</v>
      </c>
      <c r="C7" s="8" t="s">
        <v>1357</v>
      </c>
    </row>
    <row r="8" spans="1:3" x14ac:dyDescent="0.25">
      <c r="A8">
        <v>23897</v>
      </c>
      <c r="B8" t="s">
        <v>1358</v>
      </c>
      <c r="C8" s="8" t="s">
        <v>1359</v>
      </c>
    </row>
    <row r="9" spans="1:3" x14ac:dyDescent="0.25">
      <c r="A9">
        <v>30456</v>
      </c>
      <c r="B9" t="s">
        <v>1360</v>
      </c>
      <c r="C9" s="8" t="s">
        <v>1361</v>
      </c>
    </row>
    <row r="10" spans="1:3" x14ac:dyDescent="0.25">
      <c r="A10">
        <v>7839</v>
      </c>
      <c r="B10" t="s">
        <v>1352</v>
      </c>
      <c r="C10" s="8" t="s">
        <v>1362</v>
      </c>
    </row>
    <row r="11" spans="1:3" x14ac:dyDescent="0.25">
      <c r="A11">
        <v>28740</v>
      </c>
      <c r="B11" t="s">
        <v>1363</v>
      </c>
      <c r="C11" s="8" t="s">
        <v>1364</v>
      </c>
    </row>
    <row r="12" spans="1:3" x14ac:dyDescent="0.25">
      <c r="A12">
        <v>32219</v>
      </c>
      <c r="B12" t="s">
        <v>1365</v>
      </c>
      <c r="C12" s="8" t="s">
        <v>1366</v>
      </c>
    </row>
    <row r="13" spans="1:3" x14ac:dyDescent="0.25">
      <c r="A13">
        <v>33531</v>
      </c>
      <c r="B13" t="s">
        <v>1367</v>
      </c>
      <c r="C13" s="8" t="s">
        <v>1368</v>
      </c>
    </row>
    <row r="14" spans="1:3" x14ac:dyDescent="0.25">
      <c r="A14">
        <v>10072</v>
      </c>
      <c r="B14" t="s">
        <v>1369</v>
      </c>
      <c r="C14" s="8" t="s">
        <v>1370</v>
      </c>
    </row>
    <row r="15" spans="1:3" x14ac:dyDescent="0.25">
      <c r="A15">
        <v>33429</v>
      </c>
      <c r="B15" t="s">
        <v>1371</v>
      </c>
      <c r="C15" s="8" t="s">
        <v>1372</v>
      </c>
    </row>
    <row r="16" spans="1:3" x14ac:dyDescent="0.25">
      <c r="A16">
        <v>15673</v>
      </c>
      <c r="B16" t="s">
        <v>1373</v>
      </c>
      <c r="C16" s="8" t="s">
        <v>1374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</hyperlinks>
  <pageMargins left="0.7" right="0.7" top="0.75" bottom="0.75" header="0.3" footer="0.3"/>
  <tableParts count="1">
    <tablePart r:id="rId1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1375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1376</v>
      </c>
      <c r="C4" t="s">
        <v>1377</v>
      </c>
      <c r="D4" t="s">
        <v>1377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1377</v>
      </c>
      <c r="D139" t="s">
        <v>1377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1377</v>
      </c>
      <c r="D156" t="s">
        <v>1377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1377</v>
      </c>
      <c r="D332" t="s">
        <v>1377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1377</v>
      </c>
      <c r="D371" t="s">
        <v>1377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1378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5" priority="1" operator="equal">
      <formula>0</formula>
    </cfRule>
    <cfRule type="cellIs" dxfId="4" priority="2" operator="between">
      <formula>1</formula>
      <formula>4</formula>
    </cfRule>
    <cfRule type="cellIs" dxfId="3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5" x14ac:dyDescent="0.25"/>
  <sheetData>
    <row r="1" spans="1:20" x14ac:dyDescent="0.25">
      <c r="A1" t="s">
        <v>1379</v>
      </c>
      <c r="B1" t="s">
        <v>1380</v>
      </c>
      <c r="C1" t="s">
        <v>1381</v>
      </c>
      <c r="D1" t="s">
        <v>1382</v>
      </c>
      <c r="E1" t="s">
        <v>1383</v>
      </c>
      <c r="F1" t="s">
        <v>1384</v>
      </c>
      <c r="G1" t="s">
        <v>1385</v>
      </c>
      <c r="H1" t="s">
        <v>1386</v>
      </c>
      <c r="I1" t="s">
        <v>1387</v>
      </c>
      <c r="J1" t="s">
        <v>1388</v>
      </c>
      <c r="K1" t="s">
        <v>1389</v>
      </c>
      <c r="L1" t="s">
        <v>1390</v>
      </c>
      <c r="M1" t="s">
        <v>1391</v>
      </c>
      <c r="N1" t="s">
        <v>1392</v>
      </c>
      <c r="O1" t="s">
        <v>1393</v>
      </c>
      <c r="P1" t="s">
        <v>1394</v>
      </c>
      <c r="Q1" t="s">
        <v>1395</v>
      </c>
      <c r="R1" t="s">
        <v>1396</v>
      </c>
      <c r="S1" t="s">
        <v>1397</v>
      </c>
      <c r="T1" t="s">
        <v>1398</v>
      </c>
    </row>
    <row r="2" spans="1:20" x14ac:dyDescent="0.25">
      <c r="A2">
        <v>32168</v>
      </c>
      <c r="B2" t="s">
        <v>1399</v>
      </c>
      <c r="C2" t="s">
        <v>1400</v>
      </c>
      <c r="D2" s="3">
        <v>28348</v>
      </c>
      <c r="E2" t="s">
        <v>1401</v>
      </c>
      <c r="F2">
        <v>304</v>
      </c>
      <c r="G2" s="3">
        <v>43045</v>
      </c>
      <c r="H2" t="s">
        <v>1402</v>
      </c>
      <c r="I2" t="s">
        <v>1403</v>
      </c>
      <c r="J2" t="s">
        <v>1404</v>
      </c>
      <c r="K2" t="s">
        <v>64</v>
      </c>
      <c r="L2" s="3">
        <v>46517</v>
      </c>
      <c r="M2" s="3">
        <v>46511</v>
      </c>
      <c r="N2" t="s">
        <v>1405</v>
      </c>
      <c r="O2" s="4">
        <v>1</v>
      </c>
      <c r="P2">
        <v>0</v>
      </c>
      <c r="Q2">
        <v>1</v>
      </c>
    </row>
    <row r="3" spans="1:20" x14ac:dyDescent="0.25">
      <c r="A3">
        <v>38634</v>
      </c>
      <c r="B3" t="s">
        <v>1406</v>
      </c>
      <c r="C3" t="s">
        <v>1407</v>
      </c>
      <c r="D3" s="3">
        <v>28536</v>
      </c>
      <c r="E3" t="s">
        <v>1401</v>
      </c>
      <c r="G3" s="3">
        <v>45012</v>
      </c>
      <c r="H3" t="s">
        <v>1408</v>
      </c>
      <c r="J3" t="s">
        <v>1409</v>
      </c>
      <c r="K3" t="s">
        <v>55</v>
      </c>
      <c r="L3" s="3">
        <v>46869</v>
      </c>
      <c r="M3" s="3">
        <v>46763</v>
      </c>
      <c r="N3" t="s">
        <v>1410</v>
      </c>
      <c r="O3" s="4">
        <v>1</v>
      </c>
      <c r="P3">
        <v>0</v>
      </c>
      <c r="Q3">
        <v>0</v>
      </c>
    </row>
    <row r="4" spans="1:20" x14ac:dyDescent="0.25">
      <c r="A4">
        <v>35619</v>
      </c>
      <c r="B4" t="s">
        <v>1411</v>
      </c>
      <c r="C4" t="s">
        <v>1412</v>
      </c>
      <c r="D4" s="3">
        <v>27907</v>
      </c>
      <c r="E4" t="s">
        <v>1401</v>
      </c>
      <c r="F4">
        <v>414</v>
      </c>
      <c r="G4" s="3">
        <v>44067</v>
      </c>
      <c r="H4" t="s">
        <v>1413</v>
      </c>
      <c r="J4" t="s">
        <v>1414</v>
      </c>
      <c r="K4" t="s">
        <v>67</v>
      </c>
      <c r="L4" s="3">
        <v>47602</v>
      </c>
      <c r="M4" s="3">
        <v>47594</v>
      </c>
      <c r="N4" t="s">
        <v>1415</v>
      </c>
      <c r="O4" s="4">
        <v>1</v>
      </c>
      <c r="P4">
        <v>0</v>
      </c>
      <c r="Q4">
        <v>1</v>
      </c>
    </row>
    <row r="5" spans="1:20" x14ac:dyDescent="0.25">
      <c r="A5">
        <v>35491</v>
      </c>
      <c r="B5" t="s">
        <v>1416</v>
      </c>
      <c r="C5" t="s">
        <v>1417</v>
      </c>
      <c r="D5" s="3">
        <v>35525</v>
      </c>
      <c r="E5" t="s">
        <v>1401</v>
      </c>
      <c r="F5">
        <v>452</v>
      </c>
      <c r="G5" s="3">
        <v>44025</v>
      </c>
      <c r="H5" t="s">
        <v>1418</v>
      </c>
      <c r="I5">
        <v>487773919</v>
      </c>
      <c r="J5" t="s">
        <v>1419</v>
      </c>
      <c r="K5" t="s">
        <v>58</v>
      </c>
      <c r="L5" s="3">
        <v>47610</v>
      </c>
      <c r="M5" s="3">
        <v>47609</v>
      </c>
      <c r="N5" t="s">
        <v>1420</v>
      </c>
      <c r="O5" s="4">
        <v>1</v>
      </c>
      <c r="P5">
        <v>0</v>
      </c>
      <c r="Q5">
        <v>0</v>
      </c>
    </row>
    <row r="6" spans="1:20" x14ac:dyDescent="0.25">
      <c r="A6">
        <v>41588</v>
      </c>
      <c r="B6" t="s">
        <v>1421</v>
      </c>
      <c r="C6" t="s">
        <v>1422</v>
      </c>
      <c r="D6" s="3">
        <v>24023</v>
      </c>
      <c r="E6" t="s">
        <v>1401</v>
      </c>
      <c r="G6" s="3">
        <v>45749</v>
      </c>
      <c r="H6" t="s">
        <v>1423</v>
      </c>
      <c r="J6" t="s">
        <v>1409</v>
      </c>
      <c r="K6" t="s">
        <v>64</v>
      </c>
      <c r="L6" s="3">
        <v>47596</v>
      </c>
      <c r="M6" s="3">
        <v>47504</v>
      </c>
      <c r="N6" t="s">
        <v>1424</v>
      </c>
      <c r="O6" s="4">
        <v>1</v>
      </c>
      <c r="P6">
        <v>0</v>
      </c>
      <c r="Q6">
        <v>0</v>
      </c>
    </row>
    <row r="7" spans="1:20" x14ac:dyDescent="0.25">
      <c r="A7">
        <v>23818</v>
      </c>
      <c r="B7" t="s">
        <v>1425</v>
      </c>
      <c r="C7" t="s">
        <v>1422</v>
      </c>
      <c r="D7" s="3">
        <v>26173</v>
      </c>
      <c r="E7" t="s">
        <v>1401</v>
      </c>
      <c r="F7">
        <v>35</v>
      </c>
      <c r="G7" s="3">
        <v>39937</v>
      </c>
      <c r="H7" t="s">
        <v>1426</v>
      </c>
      <c r="J7" t="s">
        <v>1427</v>
      </c>
      <c r="K7" t="s">
        <v>52</v>
      </c>
      <c r="L7" s="3">
        <v>47078</v>
      </c>
      <c r="M7" s="3">
        <v>47072</v>
      </c>
      <c r="N7" t="s">
        <v>1428</v>
      </c>
      <c r="O7" s="4">
        <v>1</v>
      </c>
      <c r="P7">
        <v>0</v>
      </c>
      <c r="Q7">
        <v>1</v>
      </c>
    </row>
    <row r="8" spans="1:20" x14ac:dyDescent="0.25">
      <c r="A8">
        <v>35006</v>
      </c>
      <c r="B8" t="s">
        <v>1429</v>
      </c>
      <c r="C8" t="s">
        <v>1430</v>
      </c>
      <c r="D8" s="3">
        <v>30614</v>
      </c>
      <c r="E8" t="s">
        <v>1401</v>
      </c>
      <c r="F8">
        <v>469</v>
      </c>
      <c r="G8" s="3">
        <v>43906</v>
      </c>
      <c r="H8" t="s">
        <v>1431</v>
      </c>
      <c r="I8" t="s">
        <v>1432</v>
      </c>
      <c r="J8" t="s">
        <v>1433</v>
      </c>
      <c r="K8" t="s">
        <v>64</v>
      </c>
      <c r="L8" s="3">
        <v>47380</v>
      </c>
      <c r="M8" s="3">
        <v>47351</v>
      </c>
      <c r="N8" t="s">
        <v>1434</v>
      </c>
      <c r="O8" s="4">
        <v>1</v>
      </c>
      <c r="P8">
        <v>0</v>
      </c>
      <c r="Q8">
        <v>1</v>
      </c>
    </row>
    <row r="9" spans="1:20" x14ac:dyDescent="0.25">
      <c r="A9">
        <v>41012</v>
      </c>
      <c r="B9" t="s">
        <v>1435</v>
      </c>
      <c r="C9" t="s">
        <v>1436</v>
      </c>
      <c r="D9" s="3">
        <v>27187</v>
      </c>
      <c r="E9" t="s">
        <v>1401</v>
      </c>
      <c r="G9" s="3">
        <v>45574</v>
      </c>
      <c r="H9" t="s">
        <v>1437</v>
      </c>
      <c r="J9" t="s">
        <v>1409</v>
      </c>
      <c r="K9" t="s">
        <v>58</v>
      </c>
      <c r="L9" s="3">
        <v>47418</v>
      </c>
      <c r="M9" s="3">
        <v>47371</v>
      </c>
      <c r="N9" t="s">
        <v>1438</v>
      </c>
      <c r="O9" s="4">
        <v>1</v>
      </c>
      <c r="P9">
        <v>0</v>
      </c>
      <c r="Q9">
        <v>0</v>
      </c>
    </row>
    <row r="10" spans="1:20" x14ac:dyDescent="0.25">
      <c r="A10">
        <v>37261</v>
      </c>
      <c r="B10" t="s">
        <v>1439</v>
      </c>
      <c r="C10" t="s">
        <v>1440</v>
      </c>
      <c r="D10" s="3">
        <v>35872</v>
      </c>
      <c r="E10" t="s">
        <v>1401</v>
      </c>
      <c r="G10" s="3">
        <v>44599</v>
      </c>
      <c r="H10" t="s">
        <v>1441</v>
      </c>
      <c r="J10" t="s">
        <v>1442</v>
      </c>
      <c r="K10" t="s">
        <v>52</v>
      </c>
      <c r="L10" s="3">
        <v>46439</v>
      </c>
      <c r="M10" s="3">
        <v>46404</v>
      </c>
      <c r="N10" t="s">
        <v>1443</v>
      </c>
      <c r="O10" s="4">
        <v>1</v>
      </c>
      <c r="P10">
        <v>0</v>
      </c>
      <c r="Q10">
        <v>1</v>
      </c>
    </row>
    <row r="11" spans="1:20" x14ac:dyDescent="0.25">
      <c r="A11">
        <v>40266</v>
      </c>
      <c r="B11" t="s">
        <v>1444</v>
      </c>
      <c r="C11" t="s">
        <v>1445</v>
      </c>
      <c r="D11" s="3">
        <v>35989</v>
      </c>
      <c r="E11" t="s">
        <v>1401</v>
      </c>
      <c r="G11" s="3">
        <v>45394</v>
      </c>
      <c r="H11" t="s">
        <v>1446</v>
      </c>
      <c r="J11" t="s">
        <v>1447</v>
      </c>
      <c r="K11" t="s">
        <v>61</v>
      </c>
      <c r="L11" s="3">
        <v>47239</v>
      </c>
      <c r="M11" s="3">
        <v>47143</v>
      </c>
      <c r="N11" t="s">
        <v>1448</v>
      </c>
      <c r="O11" s="4">
        <v>1</v>
      </c>
      <c r="P11">
        <v>0</v>
      </c>
      <c r="Q11">
        <v>0</v>
      </c>
    </row>
    <row r="12" spans="1:20" x14ac:dyDescent="0.25">
      <c r="A12">
        <v>39184</v>
      </c>
      <c r="B12" t="s">
        <v>1449</v>
      </c>
      <c r="C12" t="s">
        <v>1450</v>
      </c>
      <c r="D12" s="3">
        <v>33938</v>
      </c>
      <c r="E12" t="s">
        <v>1401</v>
      </c>
      <c r="G12" s="3">
        <v>45097</v>
      </c>
      <c r="H12" t="s">
        <v>1451</v>
      </c>
      <c r="J12" t="s">
        <v>1409</v>
      </c>
      <c r="K12" t="s">
        <v>61</v>
      </c>
      <c r="L12" s="3">
        <v>46945</v>
      </c>
      <c r="M12" s="3">
        <v>46897</v>
      </c>
      <c r="N12" t="s">
        <v>1452</v>
      </c>
      <c r="O12" s="4">
        <v>1</v>
      </c>
      <c r="P12">
        <v>0</v>
      </c>
      <c r="Q12">
        <v>0</v>
      </c>
    </row>
    <row r="13" spans="1:20" x14ac:dyDescent="0.25">
      <c r="A13">
        <v>21429</v>
      </c>
      <c r="B13" t="s">
        <v>1453</v>
      </c>
      <c r="C13" t="s">
        <v>1450</v>
      </c>
      <c r="D13" s="3">
        <v>31632</v>
      </c>
      <c r="E13" t="s">
        <v>1401</v>
      </c>
      <c r="F13">
        <v>141</v>
      </c>
      <c r="G13" s="3">
        <v>39370</v>
      </c>
      <c r="H13" t="s">
        <v>1454</v>
      </c>
      <c r="J13" t="s">
        <v>1455</v>
      </c>
      <c r="K13" t="s">
        <v>67</v>
      </c>
      <c r="L13" s="3">
        <v>72686</v>
      </c>
      <c r="M13" s="3">
        <v>46827</v>
      </c>
      <c r="N13" t="s">
        <v>1456</v>
      </c>
      <c r="O13" s="4">
        <v>1</v>
      </c>
      <c r="P13">
        <v>0</v>
      </c>
      <c r="Q13">
        <v>0</v>
      </c>
    </row>
    <row r="14" spans="1:20" x14ac:dyDescent="0.25">
      <c r="A14">
        <v>35645</v>
      </c>
      <c r="B14" t="s">
        <v>1457</v>
      </c>
      <c r="C14" t="s">
        <v>1458</v>
      </c>
      <c r="D14" s="3">
        <v>31611</v>
      </c>
      <c r="E14" t="s">
        <v>1401</v>
      </c>
      <c r="F14">
        <v>355</v>
      </c>
      <c r="G14" s="3">
        <v>44070</v>
      </c>
      <c r="H14" t="s">
        <v>1459</v>
      </c>
      <c r="J14" t="s">
        <v>1460</v>
      </c>
      <c r="K14" t="s">
        <v>67</v>
      </c>
      <c r="L14" s="3">
        <v>46876</v>
      </c>
      <c r="M14" s="3">
        <v>46862</v>
      </c>
      <c r="N14" t="s">
        <v>1461</v>
      </c>
      <c r="O14" s="4">
        <v>1</v>
      </c>
      <c r="P14">
        <v>0</v>
      </c>
      <c r="Q14">
        <v>0</v>
      </c>
    </row>
    <row r="15" spans="1:20" x14ac:dyDescent="0.25">
      <c r="A15">
        <v>41870</v>
      </c>
      <c r="B15" t="s">
        <v>1462</v>
      </c>
      <c r="C15" t="s">
        <v>1463</v>
      </c>
      <c r="D15" s="3">
        <v>36390</v>
      </c>
      <c r="E15" t="s">
        <v>1401</v>
      </c>
      <c r="G15" s="3">
        <v>45798</v>
      </c>
      <c r="H15" t="s">
        <v>1464</v>
      </c>
      <c r="J15" t="s">
        <v>1409</v>
      </c>
      <c r="K15" t="s">
        <v>67</v>
      </c>
      <c r="L15" s="3">
        <v>47645</v>
      </c>
      <c r="M15" s="3">
        <v>46831</v>
      </c>
      <c r="N15" t="s">
        <v>1465</v>
      </c>
      <c r="O15" s="4">
        <v>1</v>
      </c>
      <c r="P15">
        <v>0</v>
      </c>
      <c r="Q15">
        <v>0</v>
      </c>
    </row>
    <row r="16" spans="1:20" x14ac:dyDescent="0.25">
      <c r="A16">
        <v>41246</v>
      </c>
      <c r="B16" t="s">
        <v>1466</v>
      </c>
      <c r="C16" t="s">
        <v>1467</v>
      </c>
      <c r="D16" s="3">
        <v>36623</v>
      </c>
      <c r="E16" t="s">
        <v>1401</v>
      </c>
      <c r="G16" s="3">
        <v>45663</v>
      </c>
      <c r="H16" t="s">
        <v>1468</v>
      </c>
      <c r="J16" t="s">
        <v>1409</v>
      </c>
      <c r="K16" t="s">
        <v>52</v>
      </c>
      <c r="L16" s="3">
        <v>47506</v>
      </c>
      <c r="M16" s="3">
        <v>47407</v>
      </c>
      <c r="N16" t="s">
        <v>1469</v>
      </c>
      <c r="O16" s="4">
        <v>1</v>
      </c>
      <c r="P16">
        <v>0</v>
      </c>
      <c r="Q16">
        <v>0</v>
      </c>
    </row>
    <row r="17" spans="1:18" x14ac:dyDescent="0.25">
      <c r="A17">
        <v>35598</v>
      </c>
      <c r="B17" t="s">
        <v>1470</v>
      </c>
      <c r="C17" t="s">
        <v>1471</v>
      </c>
      <c r="D17" s="3">
        <v>24328</v>
      </c>
      <c r="E17" t="s">
        <v>1401</v>
      </c>
      <c r="F17">
        <v>434</v>
      </c>
      <c r="G17" s="3">
        <v>44039</v>
      </c>
      <c r="H17" t="s">
        <v>1472</v>
      </c>
      <c r="J17" t="s">
        <v>1442</v>
      </c>
      <c r="K17" t="s">
        <v>52</v>
      </c>
      <c r="L17" s="3">
        <v>47533</v>
      </c>
      <c r="M17" s="3">
        <v>47517</v>
      </c>
      <c r="N17" t="s">
        <v>1473</v>
      </c>
      <c r="O17" s="4">
        <v>1</v>
      </c>
      <c r="P17">
        <v>0</v>
      </c>
      <c r="Q17">
        <v>0</v>
      </c>
    </row>
    <row r="18" spans="1:18" x14ac:dyDescent="0.25">
      <c r="A18">
        <v>10324</v>
      </c>
      <c r="B18" t="s">
        <v>1474</v>
      </c>
      <c r="C18" t="s">
        <v>1475</v>
      </c>
      <c r="D18" s="3">
        <v>25268</v>
      </c>
      <c r="E18" t="s">
        <v>1401</v>
      </c>
      <c r="F18">
        <v>332</v>
      </c>
      <c r="G18" s="3">
        <v>35948</v>
      </c>
      <c r="H18" t="s">
        <v>1476</v>
      </c>
      <c r="J18" t="s">
        <v>1477</v>
      </c>
      <c r="K18" t="s">
        <v>55</v>
      </c>
      <c r="L18" s="3">
        <v>73050</v>
      </c>
      <c r="M18" s="3">
        <v>46887</v>
      </c>
      <c r="N18" t="s">
        <v>1478</v>
      </c>
      <c r="O18" s="4">
        <v>0.8</v>
      </c>
      <c r="P18">
        <v>0</v>
      </c>
      <c r="Q18">
        <v>0</v>
      </c>
    </row>
    <row r="19" spans="1:18" x14ac:dyDescent="0.25">
      <c r="A19">
        <v>9979</v>
      </c>
      <c r="B19" t="s">
        <v>1479</v>
      </c>
      <c r="C19" t="s">
        <v>1475</v>
      </c>
      <c r="D19" s="3">
        <v>28053</v>
      </c>
      <c r="E19" t="s">
        <v>1401</v>
      </c>
      <c r="F19">
        <v>222</v>
      </c>
      <c r="G19" s="3">
        <v>35796</v>
      </c>
      <c r="H19" t="s">
        <v>1480</v>
      </c>
      <c r="J19" t="s">
        <v>1481</v>
      </c>
      <c r="K19" t="s">
        <v>55</v>
      </c>
      <c r="L19" s="3">
        <v>72686</v>
      </c>
      <c r="M19" s="3">
        <v>46434</v>
      </c>
      <c r="N19" t="s">
        <v>1482</v>
      </c>
      <c r="O19" s="4">
        <v>0.8</v>
      </c>
      <c r="P19">
        <v>0</v>
      </c>
      <c r="Q19">
        <v>0</v>
      </c>
    </row>
    <row r="20" spans="1:18" x14ac:dyDescent="0.25">
      <c r="A20">
        <v>8196</v>
      </c>
      <c r="B20" t="s">
        <v>1483</v>
      </c>
      <c r="C20" t="s">
        <v>1475</v>
      </c>
      <c r="D20" s="3">
        <v>25922</v>
      </c>
      <c r="E20" t="s">
        <v>1401</v>
      </c>
      <c r="F20">
        <v>473</v>
      </c>
      <c r="G20" s="3">
        <v>35177</v>
      </c>
      <c r="H20" t="s">
        <v>1484</v>
      </c>
      <c r="J20" t="s">
        <v>1485</v>
      </c>
      <c r="K20" t="s">
        <v>61</v>
      </c>
      <c r="L20" s="3">
        <v>47607</v>
      </c>
      <c r="M20" s="3">
        <v>47573</v>
      </c>
      <c r="N20" t="s">
        <v>1486</v>
      </c>
      <c r="O20" s="4">
        <v>1</v>
      </c>
      <c r="P20">
        <v>0</v>
      </c>
      <c r="Q20">
        <v>0</v>
      </c>
    </row>
    <row r="21" spans="1:18" x14ac:dyDescent="0.25">
      <c r="A21">
        <v>41948</v>
      </c>
      <c r="B21" t="s">
        <v>1487</v>
      </c>
      <c r="C21" t="s">
        <v>1475</v>
      </c>
      <c r="D21" s="3">
        <v>24230</v>
      </c>
      <c r="E21" t="s">
        <v>1401</v>
      </c>
      <c r="G21" s="3">
        <v>45831</v>
      </c>
      <c r="H21" t="s">
        <v>1488</v>
      </c>
      <c r="J21" t="s">
        <v>1409</v>
      </c>
      <c r="K21" t="s">
        <v>70</v>
      </c>
      <c r="L21" s="3">
        <v>47677</v>
      </c>
      <c r="M21" s="3">
        <v>47610</v>
      </c>
      <c r="N21" t="s">
        <v>1489</v>
      </c>
      <c r="O21" s="4">
        <v>1</v>
      </c>
      <c r="P21">
        <v>0</v>
      </c>
      <c r="Q21">
        <v>0</v>
      </c>
    </row>
    <row r="22" spans="1:18" x14ac:dyDescent="0.25">
      <c r="A22">
        <v>40761</v>
      </c>
      <c r="B22" t="s">
        <v>1490</v>
      </c>
      <c r="C22" t="s">
        <v>1475</v>
      </c>
      <c r="D22" s="3">
        <v>27082</v>
      </c>
      <c r="E22" t="s">
        <v>1401</v>
      </c>
      <c r="G22" s="3">
        <v>45498</v>
      </c>
      <c r="H22" t="s">
        <v>1491</v>
      </c>
      <c r="J22" t="s">
        <v>1409</v>
      </c>
      <c r="K22" t="s">
        <v>64</v>
      </c>
      <c r="L22" s="3">
        <v>47342</v>
      </c>
      <c r="M22" s="3">
        <v>47303</v>
      </c>
      <c r="N22" t="s">
        <v>1492</v>
      </c>
      <c r="O22" s="4">
        <v>1</v>
      </c>
      <c r="P22">
        <v>0</v>
      </c>
      <c r="Q22">
        <v>0</v>
      </c>
    </row>
    <row r="23" spans="1:18" x14ac:dyDescent="0.25">
      <c r="A23">
        <v>35030</v>
      </c>
      <c r="B23" t="s">
        <v>1493</v>
      </c>
      <c r="C23" t="s">
        <v>1475</v>
      </c>
      <c r="D23" s="3">
        <v>25785</v>
      </c>
      <c r="E23" t="s">
        <v>1401</v>
      </c>
      <c r="F23">
        <v>465</v>
      </c>
      <c r="G23" s="3">
        <v>43892</v>
      </c>
      <c r="H23" t="s">
        <v>1494</v>
      </c>
      <c r="J23" t="s">
        <v>1409</v>
      </c>
      <c r="K23" t="s">
        <v>73</v>
      </c>
      <c r="L23" s="3">
        <v>47411</v>
      </c>
      <c r="M23" s="3">
        <v>47342</v>
      </c>
      <c r="N23" t="s">
        <v>1495</v>
      </c>
      <c r="O23" s="4">
        <v>1</v>
      </c>
      <c r="P23">
        <v>0</v>
      </c>
      <c r="Q23">
        <v>0</v>
      </c>
    </row>
    <row r="24" spans="1:18" x14ac:dyDescent="0.25">
      <c r="A24">
        <v>37496</v>
      </c>
      <c r="B24" t="s">
        <v>1496</v>
      </c>
      <c r="C24" t="s">
        <v>1497</v>
      </c>
      <c r="D24" s="3">
        <v>24877</v>
      </c>
      <c r="E24" t="s">
        <v>1401</v>
      </c>
      <c r="G24" s="3">
        <v>44700</v>
      </c>
      <c r="H24" t="s">
        <v>1498</v>
      </c>
      <c r="J24" t="s">
        <v>1404</v>
      </c>
      <c r="K24" t="s">
        <v>52</v>
      </c>
      <c r="L24" s="3">
        <v>46117</v>
      </c>
      <c r="M24" s="3">
        <v>46104</v>
      </c>
      <c r="N24" t="s">
        <v>1499</v>
      </c>
      <c r="O24" s="4">
        <v>1</v>
      </c>
      <c r="P24">
        <v>0</v>
      </c>
      <c r="Q24">
        <v>0</v>
      </c>
    </row>
    <row r="25" spans="1:18" x14ac:dyDescent="0.25">
      <c r="A25">
        <v>39850</v>
      </c>
      <c r="B25" t="s">
        <v>1500</v>
      </c>
      <c r="C25" t="s">
        <v>1501</v>
      </c>
      <c r="D25" s="3">
        <v>26488</v>
      </c>
      <c r="E25" t="s">
        <v>1401</v>
      </c>
      <c r="G25" s="3">
        <v>45264</v>
      </c>
      <c r="H25" t="s">
        <v>1502</v>
      </c>
      <c r="J25" t="s">
        <v>1409</v>
      </c>
      <c r="K25" t="s">
        <v>52</v>
      </c>
      <c r="L25" s="3">
        <v>47106</v>
      </c>
      <c r="M25" s="3">
        <v>47077</v>
      </c>
      <c r="N25" t="s">
        <v>1503</v>
      </c>
      <c r="O25" s="4">
        <v>1</v>
      </c>
      <c r="P25">
        <v>0</v>
      </c>
      <c r="Q25">
        <v>0</v>
      </c>
      <c r="R25" t="s">
        <v>1504</v>
      </c>
    </row>
    <row r="26" spans="1:18" x14ac:dyDescent="0.25">
      <c r="A26">
        <v>13017</v>
      </c>
      <c r="B26" t="s">
        <v>1505</v>
      </c>
      <c r="C26" t="s">
        <v>570</v>
      </c>
      <c r="D26" s="3">
        <v>28294</v>
      </c>
      <c r="E26" t="s">
        <v>1401</v>
      </c>
      <c r="F26">
        <v>188</v>
      </c>
      <c r="G26" s="3">
        <v>36923</v>
      </c>
      <c r="H26" t="s">
        <v>1506</v>
      </c>
      <c r="J26" t="s">
        <v>1507</v>
      </c>
      <c r="K26" t="s">
        <v>64</v>
      </c>
      <c r="L26" s="3">
        <v>73050</v>
      </c>
      <c r="M26" s="3">
        <v>46866</v>
      </c>
      <c r="N26" t="s">
        <v>1508</v>
      </c>
      <c r="O26" s="4">
        <v>0.8</v>
      </c>
      <c r="P26">
        <v>0</v>
      </c>
      <c r="Q26">
        <v>0</v>
      </c>
    </row>
    <row r="27" spans="1:18" x14ac:dyDescent="0.25">
      <c r="A27">
        <v>21662</v>
      </c>
      <c r="B27" t="s">
        <v>1509</v>
      </c>
      <c r="C27" t="s">
        <v>1510</v>
      </c>
      <c r="D27" s="3">
        <v>22761</v>
      </c>
      <c r="E27" t="s">
        <v>1401</v>
      </c>
      <c r="F27">
        <v>428</v>
      </c>
      <c r="G27" s="3">
        <v>39454</v>
      </c>
      <c r="H27" t="s">
        <v>1511</v>
      </c>
      <c r="I27">
        <v>93294697</v>
      </c>
      <c r="J27" t="s">
        <v>1427</v>
      </c>
      <c r="K27" t="s">
        <v>70</v>
      </c>
      <c r="L27" s="3">
        <v>72686</v>
      </c>
      <c r="M27" s="3">
        <v>72686</v>
      </c>
      <c r="N27" t="s">
        <v>1512</v>
      </c>
      <c r="O27" s="4">
        <v>0.5</v>
      </c>
      <c r="P27">
        <v>0</v>
      </c>
      <c r="Q27">
        <v>0</v>
      </c>
    </row>
    <row r="28" spans="1:18" x14ac:dyDescent="0.25">
      <c r="A28">
        <v>26639</v>
      </c>
      <c r="B28" t="s">
        <v>1513</v>
      </c>
      <c r="C28" t="s">
        <v>1514</v>
      </c>
      <c r="D28" s="3">
        <v>26831</v>
      </c>
      <c r="E28" t="s">
        <v>1401</v>
      </c>
      <c r="F28">
        <v>644</v>
      </c>
      <c r="G28" s="3">
        <v>40749</v>
      </c>
      <c r="H28" t="s">
        <v>1515</v>
      </c>
      <c r="J28" t="s">
        <v>1516</v>
      </c>
      <c r="K28" t="s">
        <v>64</v>
      </c>
      <c r="L28" s="3">
        <v>46802</v>
      </c>
      <c r="M28" s="3">
        <v>46763</v>
      </c>
      <c r="N28" t="s">
        <v>1517</v>
      </c>
      <c r="O28" s="4">
        <v>0.8</v>
      </c>
      <c r="P28">
        <v>0</v>
      </c>
      <c r="Q28">
        <v>0</v>
      </c>
    </row>
    <row r="29" spans="1:18" x14ac:dyDescent="0.25">
      <c r="A29">
        <v>19127</v>
      </c>
      <c r="B29" t="s">
        <v>1518</v>
      </c>
      <c r="C29" t="s">
        <v>1514</v>
      </c>
      <c r="D29" s="3">
        <v>26900</v>
      </c>
      <c r="E29" t="s">
        <v>1401</v>
      </c>
      <c r="F29">
        <v>476</v>
      </c>
      <c r="G29" s="3">
        <v>38810</v>
      </c>
      <c r="H29" t="s">
        <v>1519</v>
      </c>
      <c r="J29" t="s">
        <v>1520</v>
      </c>
      <c r="K29" t="s">
        <v>61</v>
      </c>
      <c r="L29" s="3">
        <v>47652</v>
      </c>
      <c r="M29" s="3">
        <v>47644</v>
      </c>
      <c r="N29" t="s">
        <v>1521</v>
      </c>
      <c r="O29" s="4">
        <v>1</v>
      </c>
      <c r="P29">
        <v>0</v>
      </c>
      <c r="Q29">
        <v>0</v>
      </c>
    </row>
    <row r="30" spans="1:18" x14ac:dyDescent="0.25">
      <c r="A30">
        <v>17555</v>
      </c>
      <c r="B30" t="s">
        <v>1522</v>
      </c>
      <c r="C30" t="s">
        <v>1514</v>
      </c>
      <c r="D30" s="3">
        <v>29308</v>
      </c>
      <c r="E30" t="s">
        <v>1401</v>
      </c>
      <c r="F30">
        <v>611</v>
      </c>
      <c r="G30" s="3">
        <v>38222</v>
      </c>
      <c r="H30" t="s">
        <v>1523</v>
      </c>
      <c r="J30" t="s">
        <v>1524</v>
      </c>
      <c r="K30" t="s">
        <v>55</v>
      </c>
      <c r="L30" s="3">
        <v>47614</v>
      </c>
      <c r="M30" s="3">
        <v>47021</v>
      </c>
      <c r="N30" t="s">
        <v>1525</v>
      </c>
      <c r="O30" s="4">
        <v>1</v>
      </c>
      <c r="P30">
        <v>0</v>
      </c>
      <c r="Q30">
        <v>1</v>
      </c>
    </row>
    <row r="31" spans="1:18" x14ac:dyDescent="0.25">
      <c r="A31">
        <v>14625</v>
      </c>
      <c r="B31" t="s">
        <v>1526</v>
      </c>
      <c r="C31" t="s">
        <v>1527</v>
      </c>
      <c r="D31" s="3">
        <v>23621</v>
      </c>
      <c r="E31" t="s">
        <v>1401</v>
      </c>
      <c r="F31">
        <v>7</v>
      </c>
      <c r="G31" s="3">
        <v>37397</v>
      </c>
      <c r="H31" t="s">
        <v>1528</v>
      </c>
      <c r="J31" t="s">
        <v>1529</v>
      </c>
      <c r="K31" t="s">
        <v>73</v>
      </c>
      <c r="L31" s="3">
        <v>45903</v>
      </c>
      <c r="M31" s="3">
        <v>46369</v>
      </c>
      <c r="N31" t="s">
        <v>1530</v>
      </c>
      <c r="O31" s="4">
        <v>0.8</v>
      </c>
      <c r="P31">
        <v>0</v>
      </c>
      <c r="Q31">
        <v>0</v>
      </c>
    </row>
    <row r="32" spans="1:18" x14ac:dyDescent="0.25">
      <c r="A32">
        <v>25680</v>
      </c>
      <c r="B32" t="s">
        <v>1531</v>
      </c>
      <c r="C32" t="s">
        <v>1532</v>
      </c>
      <c r="D32" s="3">
        <v>29775</v>
      </c>
      <c r="E32" t="s">
        <v>1401</v>
      </c>
      <c r="F32">
        <v>606</v>
      </c>
      <c r="G32" s="3">
        <v>40455</v>
      </c>
      <c r="H32" t="s">
        <v>1533</v>
      </c>
      <c r="J32" t="s">
        <v>1481</v>
      </c>
      <c r="K32" t="s">
        <v>64</v>
      </c>
      <c r="L32" s="3">
        <v>73050</v>
      </c>
      <c r="M32" s="3">
        <v>73050</v>
      </c>
      <c r="N32" t="s">
        <v>1534</v>
      </c>
      <c r="O32" s="4">
        <v>0.8</v>
      </c>
      <c r="P32">
        <v>0</v>
      </c>
      <c r="Q32">
        <v>1</v>
      </c>
    </row>
    <row r="33" spans="1:17" x14ac:dyDescent="0.25">
      <c r="A33">
        <v>27672</v>
      </c>
      <c r="B33" t="s">
        <v>1535</v>
      </c>
      <c r="C33" t="s">
        <v>1536</v>
      </c>
      <c r="D33" s="3">
        <v>31877</v>
      </c>
      <c r="E33" t="s">
        <v>1401</v>
      </c>
      <c r="F33">
        <v>199</v>
      </c>
      <c r="G33" s="3">
        <v>41204</v>
      </c>
      <c r="H33" t="s">
        <v>1537</v>
      </c>
      <c r="J33" t="s">
        <v>1538</v>
      </c>
      <c r="K33" t="s">
        <v>67</v>
      </c>
      <c r="L33" s="3">
        <v>72686</v>
      </c>
      <c r="M33" s="3">
        <v>46476</v>
      </c>
      <c r="N33" t="s">
        <v>1539</v>
      </c>
      <c r="O33" s="4">
        <v>1</v>
      </c>
      <c r="P33">
        <v>0</v>
      </c>
      <c r="Q33">
        <v>0</v>
      </c>
    </row>
    <row r="34" spans="1:17" x14ac:dyDescent="0.25">
      <c r="A34">
        <v>19016</v>
      </c>
      <c r="B34" t="s">
        <v>1540</v>
      </c>
      <c r="C34" t="s">
        <v>1536</v>
      </c>
      <c r="D34" s="3">
        <v>25538</v>
      </c>
      <c r="E34" t="s">
        <v>1401</v>
      </c>
      <c r="F34">
        <v>97</v>
      </c>
      <c r="G34" s="3">
        <v>38775</v>
      </c>
      <c r="H34" t="s">
        <v>1541</v>
      </c>
      <c r="I34">
        <v>92322233</v>
      </c>
      <c r="J34" t="s">
        <v>1507</v>
      </c>
      <c r="K34" t="s">
        <v>58</v>
      </c>
      <c r="L34" s="3">
        <v>46063</v>
      </c>
      <c r="M34" s="3">
        <v>46014</v>
      </c>
      <c r="N34" t="s">
        <v>1542</v>
      </c>
      <c r="O34" s="4">
        <v>1</v>
      </c>
      <c r="P34">
        <v>0</v>
      </c>
      <c r="Q34">
        <v>0</v>
      </c>
    </row>
    <row r="35" spans="1:17" x14ac:dyDescent="0.25">
      <c r="A35">
        <v>21428</v>
      </c>
      <c r="B35" t="s">
        <v>1543</v>
      </c>
      <c r="C35" t="s">
        <v>1544</v>
      </c>
      <c r="D35" s="3">
        <v>25671</v>
      </c>
      <c r="E35" t="s">
        <v>1401</v>
      </c>
      <c r="F35">
        <v>328</v>
      </c>
      <c r="G35" s="3">
        <v>39370</v>
      </c>
      <c r="H35" t="s">
        <v>1545</v>
      </c>
      <c r="J35" t="s">
        <v>1485</v>
      </c>
      <c r="K35" t="s">
        <v>58</v>
      </c>
      <c r="L35" s="3">
        <v>46806</v>
      </c>
      <c r="M35" s="3">
        <v>46798</v>
      </c>
      <c r="N35" t="s">
        <v>1546</v>
      </c>
      <c r="O35" s="4">
        <v>0.8</v>
      </c>
      <c r="P35">
        <v>0</v>
      </c>
      <c r="Q35">
        <v>0</v>
      </c>
    </row>
    <row r="36" spans="1:17" x14ac:dyDescent="0.25">
      <c r="A36">
        <v>15852</v>
      </c>
      <c r="B36" t="s">
        <v>1547</v>
      </c>
      <c r="C36" t="s">
        <v>1544</v>
      </c>
      <c r="D36" s="3">
        <v>29948</v>
      </c>
      <c r="E36" t="s">
        <v>1401</v>
      </c>
      <c r="F36">
        <v>251</v>
      </c>
      <c r="G36" s="3">
        <v>37788</v>
      </c>
      <c r="H36" t="s">
        <v>1548</v>
      </c>
      <c r="J36" t="s">
        <v>1507</v>
      </c>
      <c r="K36" t="s">
        <v>64</v>
      </c>
      <c r="L36" s="3">
        <v>45885</v>
      </c>
      <c r="M36" s="3">
        <v>46776</v>
      </c>
      <c r="N36" t="s">
        <v>1549</v>
      </c>
      <c r="O36" s="4">
        <v>0.8</v>
      </c>
      <c r="P36">
        <v>0</v>
      </c>
      <c r="Q36">
        <v>0</v>
      </c>
    </row>
    <row r="37" spans="1:17" x14ac:dyDescent="0.25">
      <c r="A37">
        <v>33639</v>
      </c>
      <c r="B37" t="s">
        <v>1550</v>
      </c>
      <c r="C37" t="s">
        <v>1551</v>
      </c>
      <c r="D37" s="3">
        <v>23813</v>
      </c>
      <c r="E37" t="s">
        <v>1401</v>
      </c>
      <c r="F37">
        <v>104</v>
      </c>
      <c r="G37" s="3">
        <v>43528</v>
      </c>
      <c r="H37" t="s">
        <v>1552</v>
      </c>
      <c r="J37" t="s">
        <v>1433</v>
      </c>
      <c r="K37" t="s">
        <v>73</v>
      </c>
      <c r="L37" s="3">
        <v>47085</v>
      </c>
      <c r="M37" s="3">
        <v>47051</v>
      </c>
      <c r="N37" t="s">
        <v>1553</v>
      </c>
      <c r="O37" s="4">
        <v>0.5</v>
      </c>
      <c r="P37">
        <v>0</v>
      </c>
      <c r="Q37">
        <v>0</v>
      </c>
    </row>
    <row r="38" spans="1:17" x14ac:dyDescent="0.25">
      <c r="A38">
        <v>40744</v>
      </c>
      <c r="B38" t="s">
        <v>1554</v>
      </c>
      <c r="C38" t="s">
        <v>1555</v>
      </c>
      <c r="D38" s="3">
        <v>34859</v>
      </c>
      <c r="E38" t="s">
        <v>1401</v>
      </c>
      <c r="G38" s="3">
        <v>45484</v>
      </c>
      <c r="H38" t="s">
        <v>1556</v>
      </c>
      <c r="J38" t="s">
        <v>1409</v>
      </c>
      <c r="K38" t="s">
        <v>55</v>
      </c>
      <c r="L38" s="3">
        <v>47329</v>
      </c>
      <c r="M38" s="3">
        <v>47300</v>
      </c>
      <c r="N38" t="s">
        <v>1557</v>
      </c>
      <c r="O38" s="4">
        <v>1</v>
      </c>
      <c r="P38">
        <v>0</v>
      </c>
      <c r="Q38">
        <v>0</v>
      </c>
    </row>
    <row r="39" spans="1:17" x14ac:dyDescent="0.25">
      <c r="A39">
        <v>10150</v>
      </c>
      <c r="B39" t="s">
        <v>1558</v>
      </c>
      <c r="C39" t="s">
        <v>1559</v>
      </c>
      <c r="D39" s="3">
        <v>24256</v>
      </c>
      <c r="E39" t="s">
        <v>1401</v>
      </c>
      <c r="F39">
        <v>107</v>
      </c>
      <c r="G39" s="3">
        <v>35891</v>
      </c>
      <c r="H39" t="s">
        <v>1560</v>
      </c>
      <c r="J39" t="s">
        <v>1507</v>
      </c>
      <c r="K39" t="s">
        <v>67</v>
      </c>
      <c r="L39" s="3">
        <v>73050</v>
      </c>
      <c r="M39" s="3">
        <v>46791</v>
      </c>
      <c r="N39" t="s">
        <v>1561</v>
      </c>
      <c r="O39" s="4">
        <v>0.8</v>
      </c>
      <c r="P39">
        <v>0</v>
      </c>
      <c r="Q39">
        <v>0</v>
      </c>
    </row>
    <row r="40" spans="1:17" x14ac:dyDescent="0.25">
      <c r="A40">
        <v>41383</v>
      </c>
      <c r="B40" t="s">
        <v>1562</v>
      </c>
      <c r="C40" t="s">
        <v>1559</v>
      </c>
      <c r="D40" s="3">
        <v>25272</v>
      </c>
      <c r="E40" t="s">
        <v>1401</v>
      </c>
      <c r="G40" s="3">
        <v>45663</v>
      </c>
      <c r="H40" t="s">
        <v>1563</v>
      </c>
      <c r="J40" t="s">
        <v>1409</v>
      </c>
      <c r="K40" t="s">
        <v>58</v>
      </c>
      <c r="L40" s="3">
        <v>47506</v>
      </c>
      <c r="M40" s="3">
        <v>47449</v>
      </c>
      <c r="N40" t="s">
        <v>1564</v>
      </c>
      <c r="O40" s="4">
        <v>1</v>
      </c>
      <c r="P40">
        <v>0</v>
      </c>
      <c r="Q40">
        <v>0</v>
      </c>
    </row>
    <row r="41" spans="1:17" x14ac:dyDescent="0.25">
      <c r="A41">
        <v>23545</v>
      </c>
      <c r="B41" t="s">
        <v>1565</v>
      </c>
      <c r="C41" t="s">
        <v>1559</v>
      </c>
      <c r="D41" s="3">
        <v>24859</v>
      </c>
      <c r="E41" t="s">
        <v>1401</v>
      </c>
      <c r="F41">
        <v>151</v>
      </c>
      <c r="G41" s="3">
        <v>39895</v>
      </c>
      <c r="H41" t="s">
        <v>1566</v>
      </c>
      <c r="J41" t="s">
        <v>1529</v>
      </c>
      <c r="K41" t="s">
        <v>73</v>
      </c>
      <c r="L41" s="3">
        <v>47043</v>
      </c>
      <c r="M41" s="3">
        <v>47034</v>
      </c>
      <c r="N41" t="s">
        <v>1567</v>
      </c>
      <c r="O41" s="4">
        <v>0.8</v>
      </c>
      <c r="P41">
        <v>0</v>
      </c>
      <c r="Q41">
        <v>0</v>
      </c>
    </row>
    <row r="42" spans="1:17" x14ac:dyDescent="0.25">
      <c r="A42">
        <v>15676</v>
      </c>
      <c r="B42" t="s">
        <v>1568</v>
      </c>
      <c r="C42" t="s">
        <v>1559</v>
      </c>
      <c r="D42" s="3">
        <v>28338</v>
      </c>
      <c r="E42" t="s">
        <v>1401</v>
      </c>
      <c r="F42">
        <v>186</v>
      </c>
      <c r="G42" s="3">
        <v>37739</v>
      </c>
      <c r="H42" t="s">
        <v>1569</v>
      </c>
      <c r="J42" t="s">
        <v>1570</v>
      </c>
      <c r="K42" t="s">
        <v>73</v>
      </c>
      <c r="L42" s="3">
        <v>47645</v>
      </c>
      <c r="M42" s="3">
        <v>46434</v>
      </c>
      <c r="N42" t="s">
        <v>1571</v>
      </c>
      <c r="O42" s="4">
        <v>1</v>
      </c>
      <c r="P42">
        <v>0</v>
      </c>
      <c r="Q42">
        <v>1</v>
      </c>
    </row>
    <row r="43" spans="1:17" x14ac:dyDescent="0.25">
      <c r="A43">
        <v>12124</v>
      </c>
      <c r="B43" t="s">
        <v>1572</v>
      </c>
      <c r="C43" t="s">
        <v>1573</v>
      </c>
      <c r="D43" s="3">
        <v>28780</v>
      </c>
      <c r="E43" t="s">
        <v>1401</v>
      </c>
      <c r="F43">
        <v>397</v>
      </c>
      <c r="G43" s="3">
        <v>36654</v>
      </c>
      <c r="H43" t="s">
        <v>1574</v>
      </c>
      <c r="J43" t="s">
        <v>1575</v>
      </c>
      <c r="K43" t="s">
        <v>67</v>
      </c>
      <c r="L43" s="3">
        <v>73050</v>
      </c>
      <c r="M43" s="3">
        <v>47460</v>
      </c>
      <c r="N43" t="s">
        <v>1576</v>
      </c>
      <c r="O43" s="4">
        <v>1</v>
      </c>
      <c r="P43">
        <v>0</v>
      </c>
      <c r="Q43">
        <v>0</v>
      </c>
    </row>
    <row r="44" spans="1:17" x14ac:dyDescent="0.25">
      <c r="A44">
        <v>35463</v>
      </c>
      <c r="B44" t="s">
        <v>1577</v>
      </c>
      <c r="C44" t="s">
        <v>1573</v>
      </c>
      <c r="D44" s="3">
        <v>31006</v>
      </c>
      <c r="E44" t="s">
        <v>1401</v>
      </c>
      <c r="F44">
        <v>38</v>
      </c>
      <c r="G44" s="3">
        <v>44025</v>
      </c>
      <c r="H44" t="s">
        <v>1578</v>
      </c>
      <c r="J44" t="s">
        <v>1442</v>
      </c>
      <c r="K44" t="s">
        <v>52</v>
      </c>
      <c r="L44" s="3">
        <v>47610</v>
      </c>
      <c r="M44" s="3">
        <v>47547</v>
      </c>
      <c r="N44" t="s">
        <v>1579</v>
      </c>
      <c r="O44" s="4">
        <v>1</v>
      </c>
      <c r="P44">
        <v>0</v>
      </c>
      <c r="Q44">
        <v>0</v>
      </c>
    </row>
    <row r="45" spans="1:17" x14ac:dyDescent="0.25">
      <c r="A45">
        <v>34890</v>
      </c>
      <c r="B45" t="s">
        <v>1580</v>
      </c>
      <c r="C45" t="s">
        <v>1573</v>
      </c>
      <c r="D45" s="3">
        <v>31820</v>
      </c>
      <c r="E45" t="s">
        <v>1401</v>
      </c>
      <c r="F45">
        <v>365</v>
      </c>
      <c r="G45" s="3">
        <v>43808</v>
      </c>
      <c r="H45" t="s">
        <v>1581</v>
      </c>
      <c r="I45">
        <v>487367392</v>
      </c>
      <c r="J45" t="s">
        <v>1442</v>
      </c>
      <c r="K45" t="s">
        <v>55</v>
      </c>
      <c r="L45" s="3">
        <v>46251</v>
      </c>
      <c r="M45" s="3">
        <v>47413</v>
      </c>
      <c r="N45" t="s">
        <v>1582</v>
      </c>
      <c r="O45" s="4">
        <v>1</v>
      </c>
      <c r="P45">
        <v>0</v>
      </c>
      <c r="Q45">
        <v>1</v>
      </c>
    </row>
    <row r="46" spans="1:17" x14ac:dyDescent="0.25">
      <c r="A46">
        <v>34019</v>
      </c>
      <c r="B46" t="s">
        <v>1583</v>
      </c>
      <c r="C46" t="s">
        <v>1573</v>
      </c>
      <c r="D46" s="3">
        <v>31359</v>
      </c>
      <c r="E46" t="s">
        <v>1401</v>
      </c>
      <c r="F46">
        <v>329</v>
      </c>
      <c r="G46" s="3">
        <v>43627</v>
      </c>
      <c r="H46" t="s">
        <v>1584</v>
      </c>
      <c r="I46">
        <v>495418640</v>
      </c>
      <c r="J46" t="s">
        <v>1485</v>
      </c>
      <c r="K46" t="s">
        <v>61</v>
      </c>
      <c r="L46" s="3">
        <v>47051</v>
      </c>
      <c r="M46" s="3">
        <v>47044</v>
      </c>
      <c r="N46" t="s">
        <v>1585</v>
      </c>
      <c r="O46" s="4">
        <v>1</v>
      </c>
      <c r="P46">
        <v>0</v>
      </c>
      <c r="Q46">
        <v>1</v>
      </c>
    </row>
    <row r="47" spans="1:17" x14ac:dyDescent="0.25">
      <c r="A47">
        <v>31600</v>
      </c>
      <c r="B47" t="s">
        <v>1586</v>
      </c>
      <c r="C47" t="s">
        <v>1573</v>
      </c>
      <c r="D47" s="3">
        <v>32464</v>
      </c>
      <c r="E47" t="s">
        <v>1401</v>
      </c>
      <c r="F47">
        <v>6</v>
      </c>
      <c r="G47" s="3">
        <v>42843</v>
      </c>
      <c r="H47" t="s">
        <v>1587</v>
      </c>
      <c r="J47" t="s">
        <v>1588</v>
      </c>
      <c r="K47" t="s">
        <v>70</v>
      </c>
      <c r="L47" s="3">
        <v>46419</v>
      </c>
      <c r="M47" s="3">
        <v>46418</v>
      </c>
      <c r="N47" t="s">
        <v>1589</v>
      </c>
      <c r="O47" s="4">
        <v>1</v>
      </c>
      <c r="P47">
        <v>0</v>
      </c>
      <c r="Q47">
        <v>0</v>
      </c>
    </row>
    <row r="48" spans="1:17" x14ac:dyDescent="0.25">
      <c r="A48">
        <v>30119</v>
      </c>
      <c r="B48" t="s">
        <v>1590</v>
      </c>
      <c r="C48" t="s">
        <v>1573</v>
      </c>
      <c r="D48" s="3">
        <v>24008</v>
      </c>
      <c r="E48" t="s">
        <v>1401</v>
      </c>
      <c r="F48">
        <v>143</v>
      </c>
      <c r="G48" s="3">
        <v>42198</v>
      </c>
      <c r="H48" t="s">
        <v>1591</v>
      </c>
      <c r="J48" t="s">
        <v>1481</v>
      </c>
      <c r="K48" t="s">
        <v>52</v>
      </c>
      <c r="L48" s="3">
        <v>47569</v>
      </c>
      <c r="M48" s="3">
        <v>47517</v>
      </c>
      <c r="N48" t="s">
        <v>1592</v>
      </c>
      <c r="O48" s="4">
        <v>1</v>
      </c>
      <c r="P48">
        <v>0</v>
      </c>
      <c r="Q48">
        <v>1</v>
      </c>
    </row>
    <row r="49" spans="1:17" x14ac:dyDescent="0.25">
      <c r="A49">
        <v>32092</v>
      </c>
      <c r="B49" t="s">
        <v>1593</v>
      </c>
      <c r="C49" t="s">
        <v>1594</v>
      </c>
      <c r="D49" s="3">
        <v>35325</v>
      </c>
      <c r="E49" t="s">
        <v>1401</v>
      </c>
      <c r="F49">
        <v>78</v>
      </c>
      <c r="G49" s="3">
        <v>43003</v>
      </c>
      <c r="H49" t="s">
        <v>1595</v>
      </c>
      <c r="J49" t="s">
        <v>1419</v>
      </c>
      <c r="K49" t="s">
        <v>55</v>
      </c>
      <c r="L49" s="3">
        <v>46622</v>
      </c>
      <c r="M49" s="3">
        <v>46621</v>
      </c>
      <c r="N49" t="s">
        <v>1596</v>
      </c>
      <c r="O49" s="4">
        <v>0.8</v>
      </c>
      <c r="P49">
        <v>0</v>
      </c>
      <c r="Q49">
        <v>0</v>
      </c>
    </row>
    <row r="50" spans="1:17" x14ac:dyDescent="0.25">
      <c r="A50">
        <v>34198</v>
      </c>
      <c r="B50" t="s">
        <v>1597</v>
      </c>
      <c r="C50" t="s">
        <v>1598</v>
      </c>
      <c r="D50" s="3">
        <v>34236</v>
      </c>
      <c r="E50" t="s">
        <v>1401</v>
      </c>
      <c r="F50">
        <v>103</v>
      </c>
      <c r="G50" s="3">
        <v>43669</v>
      </c>
      <c r="H50" t="s">
        <v>1599</v>
      </c>
      <c r="I50">
        <v>32478510138</v>
      </c>
      <c r="J50" t="s">
        <v>1414</v>
      </c>
      <c r="K50" t="s">
        <v>58</v>
      </c>
      <c r="L50" s="3">
        <v>47267</v>
      </c>
      <c r="M50" s="3">
        <v>47170</v>
      </c>
      <c r="N50" t="s">
        <v>1600</v>
      </c>
      <c r="O50" s="4">
        <v>0.8</v>
      </c>
      <c r="P50">
        <v>0</v>
      </c>
      <c r="Q50">
        <v>0</v>
      </c>
    </row>
    <row r="51" spans="1:17" x14ac:dyDescent="0.25">
      <c r="A51">
        <v>40138</v>
      </c>
      <c r="B51" t="s">
        <v>1601</v>
      </c>
      <c r="C51" t="s">
        <v>1602</v>
      </c>
      <c r="D51" s="3">
        <v>37726</v>
      </c>
      <c r="E51" t="s">
        <v>1401</v>
      </c>
      <c r="G51" s="3">
        <v>45335</v>
      </c>
      <c r="H51" t="s">
        <v>1603</v>
      </c>
      <c r="J51" t="s">
        <v>1409</v>
      </c>
      <c r="K51" t="s">
        <v>61</v>
      </c>
      <c r="L51" s="3">
        <v>47181</v>
      </c>
      <c r="M51" s="3">
        <v>47139</v>
      </c>
      <c r="N51" t="s">
        <v>1604</v>
      </c>
      <c r="O51" s="4">
        <v>1</v>
      </c>
      <c r="P51">
        <v>0</v>
      </c>
      <c r="Q51">
        <v>0</v>
      </c>
    </row>
    <row r="52" spans="1:17" x14ac:dyDescent="0.25">
      <c r="A52">
        <v>41348</v>
      </c>
      <c r="B52" t="s">
        <v>1605</v>
      </c>
      <c r="C52" t="s">
        <v>1606</v>
      </c>
      <c r="D52" s="3">
        <v>35443</v>
      </c>
      <c r="E52" t="s">
        <v>1401</v>
      </c>
      <c r="G52" s="3">
        <v>45673</v>
      </c>
      <c r="H52" t="s">
        <v>1607</v>
      </c>
      <c r="J52" t="s">
        <v>1409</v>
      </c>
      <c r="K52" t="s">
        <v>61</v>
      </c>
      <c r="L52" s="3">
        <v>47050</v>
      </c>
      <c r="M52" s="3">
        <v>46973</v>
      </c>
      <c r="N52" t="s">
        <v>1608</v>
      </c>
      <c r="O52" s="4">
        <v>1</v>
      </c>
      <c r="P52">
        <v>0</v>
      </c>
      <c r="Q52">
        <v>0</v>
      </c>
    </row>
    <row r="53" spans="1:17" x14ac:dyDescent="0.25">
      <c r="A53">
        <v>33982</v>
      </c>
      <c r="B53" t="s">
        <v>1609</v>
      </c>
      <c r="C53" t="s">
        <v>1371</v>
      </c>
      <c r="D53" s="3">
        <v>30017</v>
      </c>
      <c r="E53" t="s">
        <v>1401</v>
      </c>
      <c r="F53">
        <v>215</v>
      </c>
      <c r="G53" s="3">
        <v>43605</v>
      </c>
      <c r="H53" t="s">
        <v>1610</v>
      </c>
      <c r="J53" t="s">
        <v>1611</v>
      </c>
      <c r="K53" t="s">
        <v>70</v>
      </c>
      <c r="L53" s="3">
        <v>47229</v>
      </c>
      <c r="M53" s="3">
        <v>47170</v>
      </c>
      <c r="N53" t="s">
        <v>1612</v>
      </c>
      <c r="O53" s="4">
        <v>0.8</v>
      </c>
      <c r="P53">
        <v>0</v>
      </c>
      <c r="Q53">
        <v>0</v>
      </c>
    </row>
    <row r="54" spans="1:17" x14ac:dyDescent="0.25">
      <c r="A54">
        <v>41384</v>
      </c>
      <c r="B54" t="s">
        <v>1613</v>
      </c>
      <c r="C54" t="s">
        <v>1614</v>
      </c>
      <c r="D54" s="3">
        <v>37981</v>
      </c>
      <c r="E54" t="s">
        <v>1401</v>
      </c>
      <c r="G54" s="3">
        <v>45677</v>
      </c>
      <c r="H54" t="s">
        <v>1615</v>
      </c>
      <c r="J54" t="s">
        <v>1409</v>
      </c>
      <c r="K54" t="s">
        <v>61</v>
      </c>
      <c r="L54" s="3">
        <v>47520</v>
      </c>
      <c r="M54" s="3">
        <v>47449</v>
      </c>
      <c r="N54" t="s">
        <v>1616</v>
      </c>
      <c r="O54" s="4">
        <v>1</v>
      </c>
      <c r="P54">
        <v>0</v>
      </c>
      <c r="Q54">
        <v>0</v>
      </c>
    </row>
    <row r="55" spans="1:17" x14ac:dyDescent="0.25">
      <c r="A55">
        <v>38346</v>
      </c>
      <c r="B55" t="s">
        <v>1617</v>
      </c>
      <c r="C55" t="s">
        <v>1618</v>
      </c>
      <c r="D55" s="3">
        <v>36662</v>
      </c>
      <c r="E55" t="s">
        <v>1401</v>
      </c>
      <c r="G55" s="3">
        <v>44886</v>
      </c>
      <c r="H55" t="s">
        <v>1619</v>
      </c>
      <c r="J55" t="s">
        <v>1447</v>
      </c>
      <c r="K55" t="s">
        <v>58</v>
      </c>
      <c r="L55" s="3">
        <v>46726</v>
      </c>
      <c r="M55" s="3">
        <v>46658</v>
      </c>
      <c r="N55" t="s">
        <v>1620</v>
      </c>
      <c r="O55" s="4">
        <v>1</v>
      </c>
      <c r="P55">
        <v>0</v>
      </c>
      <c r="Q55">
        <v>0</v>
      </c>
    </row>
    <row r="56" spans="1:17" x14ac:dyDescent="0.25">
      <c r="A56">
        <v>14425</v>
      </c>
      <c r="B56" t="s">
        <v>1577</v>
      </c>
      <c r="C56" t="s">
        <v>1621</v>
      </c>
      <c r="D56" s="3">
        <v>27851</v>
      </c>
      <c r="E56" t="s">
        <v>1401</v>
      </c>
      <c r="F56">
        <v>142</v>
      </c>
      <c r="G56" s="3">
        <v>37333</v>
      </c>
      <c r="H56" t="s">
        <v>1622</v>
      </c>
      <c r="J56" t="s">
        <v>1455</v>
      </c>
      <c r="K56" t="s">
        <v>55</v>
      </c>
      <c r="L56" s="3">
        <v>72686</v>
      </c>
      <c r="M56" s="3">
        <v>46798</v>
      </c>
      <c r="N56" t="s">
        <v>1623</v>
      </c>
      <c r="O56" s="4">
        <v>1</v>
      </c>
      <c r="P56">
        <v>0</v>
      </c>
      <c r="Q56">
        <v>0</v>
      </c>
    </row>
    <row r="57" spans="1:17" x14ac:dyDescent="0.25">
      <c r="A57">
        <v>27153</v>
      </c>
      <c r="B57" t="s">
        <v>1624</v>
      </c>
      <c r="C57" t="s">
        <v>1625</v>
      </c>
      <c r="D57" s="3">
        <v>32853</v>
      </c>
      <c r="E57" t="s">
        <v>1401</v>
      </c>
      <c r="F57">
        <v>648</v>
      </c>
      <c r="G57" s="3">
        <v>40952</v>
      </c>
      <c r="H57" t="s">
        <v>1626</v>
      </c>
      <c r="J57" t="s">
        <v>1627</v>
      </c>
      <c r="K57" t="s">
        <v>61</v>
      </c>
      <c r="L57" s="3">
        <v>46330</v>
      </c>
      <c r="M57" s="3">
        <v>46316</v>
      </c>
      <c r="N57" t="s">
        <v>1628</v>
      </c>
      <c r="O57" s="4">
        <v>1</v>
      </c>
      <c r="P57">
        <v>0</v>
      </c>
      <c r="Q57">
        <v>0</v>
      </c>
    </row>
    <row r="58" spans="1:17" x14ac:dyDescent="0.25">
      <c r="A58">
        <v>5559</v>
      </c>
      <c r="B58" t="s">
        <v>1583</v>
      </c>
      <c r="C58" t="s">
        <v>1629</v>
      </c>
      <c r="D58" s="3">
        <v>24869</v>
      </c>
      <c r="E58" t="s">
        <v>1401</v>
      </c>
      <c r="F58">
        <v>331</v>
      </c>
      <c r="G58" s="3">
        <v>33546</v>
      </c>
      <c r="H58" t="s">
        <v>1630</v>
      </c>
      <c r="J58" t="s">
        <v>1507</v>
      </c>
      <c r="K58" t="s">
        <v>67</v>
      </c>
      <c r="L58" s="3">
        <v>72686</v>
      </c>
      <c r="M58" s="3">
        <v>46985</v>
      </c>
      <c r="N58" t="s">
        <v>1631</v>
      </c>
      <c r="O58" s="4">
        <v>0.8</v>
      </c>
      <c r="P58">
        <v>0</v>
      </c>
      <c r="Q58">
        <v>0</v>
      </c>
    </row>
    <row r="59" spans="1:17" x14ac:dyDescent="0.25">
      <c r="A59">
        <v>16098</v>
      </c>
      <c r="B59" t="s">
        <v>1632</v>
      </c>
      <c r="C59" t="s">
        <v>1629</v>
      </c>
      <c r="D59" s="3">
        <v>22597</v>
      </c>
      <c r="E59" t="s">
        <v>1401</v>
      </c>
      <c r="F59">
        <v>439</v>
      </c>
      <c r="G59" s="3">
        <v>37830</v>
      </c>
      <c r="H59" t="s">
        <v>1633</v>
      </c>
      <c r="J59" t="s">
        <v>1485</v>
      </c>
      <c r="K59" t="s">
        <v>61</v>
      </c>
      <c r="L59" s="3">
        <v>45880</v>
      </c>
      <c r="M59" s="3">
        <v>46665</v>
      </c>
      <c r="N59" t="s">
        <v>1634</v>
      </c>
      <c r="O59" s="4">
        <v>0.8</v>
      </c>
      <c r="P59">
        <v>0</v>
      </c>
      <c r="Q59">
        <v>0</v>
      </c>
    </row>
    <row r="60" spans="1:17" x14ac:dyDescent="0.25">
      <c r="A60">
        <v>41091</v>
      </c>
      <c r="B60" t="s">
        <v>1635</v>
      </c>
      <c r="C60" t="s">
        <v>1636</v>
      </c>
      <c r="D60" s="3">
        <v>32903</v>
      </c>
      <c r="E60" t="s">
        <v>1401</v>
      </c>
      <c r="G60" s="3">
        <v>45603</v>
      </c>
      <c r="H60" t="s">
        <v>1637</v>
      </c>
      <c r="J60" t="s">
        <v>1409</v>
      </c>
      <c r="K60" t="s">
        <v>52</v>
      </c>
      <c r="L60" s="3">
        <v>47450</v>
      </c>
      <c r="M60" s="3">
        <v>47386</v>
      </c>
      <c r="N60" t="s">
        <v>1638</v>
      </c>
      <c r="O60" s="4">
        <v>1</v>
      </c>
      <c r="P60">
        <v>0</v>
      </c>
      <c r="Q60">
        <v>0</v>
      </c>
    </row>
    <row r="61" spans="1:17" x14ac:dyDescent="0.25">
      <c r="A61">
        <v>38579</v>
      </c>
      <c r="B61" t="s">
        <v>1639</v>
      </c>
      <c r="C61" t="s">
        <v>1640</v>
      </c>
      <c r="D61" s="3">
        <v>25028</v>
      </c>
      <c r="E61" t="s">
        <v>1401</v>
      </c>
      <c r="G61" s="3">
        <v>45035</v>
      </c>
      <c r="H61" t="s">
        <v>1641</v>
      </c>
      <c r="J61" t="s">
        <v>1409</v>
      </c>
      <c r="K61" t="s">
        <v>70</v>
      </c>
      <c r="L61" s="3">
        <v>47664</v>
      </c>
      <c r="M61" s="3">
        <v>46447</v>
      </c>
      <c r="N61" t="s">
        <v>1642</v>
      </c>
      <c r="O61" s="4">
        <v>1</v>
      </c>
      <c r="P61">
        <v>0</v>
      </c>
      <c r="Q61">
        <v>0</v>
      </c>
    </row>
    <row r="62" spans="1:17" x14ac:dyDescent="0.25">
      <c r="A62">
        <v>36154</v>
      </c>
      <c r="B62" t="s">
        <v>1518</v>
      </c>
      <c r="C62" t="s">
        <v>1640</v>
      </c>
      <c r="D62" s="3">
        <v>35578</v>
      </c>
      <c r="E62" t="s">
        <v>1401</v>
      </c>
      <c r="G62" s="3">
        <v>44214</v>
      </c>
      <c r="H62" t="s">
        <v>1643</v>
      </c>
      <c r="J62" t="s">
        <v>1611</v>
      </c>
      <c r="K62" t="s">
        <v>73</v>
      </c>
      <c r="L62" s="3">
        <v>46055</v>
      </c>
      <c r="M62" s="3">
        <v>45930</v>
      </c>
      <c r="N62" t="s">
        <v>1644</v>
      </c>
      <c r="O62" s="4">
        <v>0.8</v>
      </c>
      <c r="P62">
        <v>0</v>
      </c>
      <c r="Q62">
        <v>0</v>
      </c>
    </row>
    <row r="63" spans="1:17" x14ac:dyDescent="0.25">
      <c r="A63">
        <v>39651</v>
      </c>
      <c r="B63" t="s">
        <v>1645</v>
      </c>
      <c r="C63" t="s">
        <v>1646</v>
      </c>
      <c r="D63" s="3">
        <v>32321</v>
      </c>
      <c r="E63" t="s">
        <v>1401</v>
      </c>
      <c r="G63" s="3">
        <v>45208</v>
      </c>
      <c r="H63" t="s">
        <v>1647</v>
      </c>
      <c r="J63" t="s">
        <v>1409</v>
      </c>
      <c r="K63" t="s">
        <v>64</v>
      </c>
      <c r="L63" s="3">
        <v>47051</v>
      </c>
      <c r="M63" s="3">
        <v>47027</v>
      </c>
      <c r="N63" t="s">
        <v>1648</v>
      </c>
      <c r="O63" s="4">
        <v>1</v>
      </c>
      <c r="P63">
        <v>0</v>
      </c>
      <c r="Q63">
        <v>0</v>
      </c>
    </row>
    <row r="64" spans="1:17" x14ac:dyDescent="0.25">
      <c r="A64">
        <v>22244</v>
      </c>
      <c r="B64" t="s">
        <v>1649</v>
      </c>
      <c r="C64" t="s">
        <v>1650</v>
      </c>
      <c r="D64" s="3">
        <v>27824</v>
      </c>
      <c r="E64" t="s">
        <v>1401</v>
      </c>
      <c r="F64">
        <v>449</v>
      </c>
      <c r="G64" s="3">
        <v>39587</v>
      </c>
      <c r="H64" t="s">
        <v>1651</v>
      </c>
      <c r="J64" t="s">
        <v>1520</v>
      </c>
      <c r="K64" t="s">
        <v>61</v>
      </c>
      <c r="L64" s="3">
        <v>46032</v>
      </c>
      <c r="M64" s="3">
        <v>46742</v>
      </c>
      <c r="N64" t="s">
        <v>1652</v>
      </c>
      <c r="O64" s="4">
        <v>1</v>
      </c>
      <c r="P64">
        <v>0</v>
      </c>
      <c r="Q64">
        <v>0</v>
      </c>
    </row>
    <row r="65" spans="1:17" x14ac:dyDescent="0.25">
      <c r="A65">
        <v>37662</v>
      </c>
      <c r="B65" t="s">
        <v>1653</v>
      </c>
      <c r="C65" t="s">
        <v>1350</v>
      </c>
      <c r="D65" s="3">
        <v>31215</v>
      </c>
      <c r="E65" t="s">
        <v>1401</v>
      </c>
      <c r="G65" s="3">
        <v>44719</v>
      </c>
      <c r="H65" t="s">
        <v>1654</v>
      </c>
      <c r="J65" t="s">
        <v>1460</v>
      </c>
      <c r="K65" t="s">
        <v>55</v>
      </c>
      <c r="L65" s="3">
        <v>46560</v>
      </c>
      <c r="M65" s="3">
        <v>46518</v>
      </c>
      <c r="N65" t="s">
        <v>1655</v>
      </c>
      <c r="O65" s="4">
        <v>0.8</v>
      </c>
      <c r="P65">
        <v>0</v>
      </c>
      <c r="Q65">
        <v>0</v>
      </c>
    </row>
    <row r="66" spans="1:17" x14ac:dyDescent="0.25">
      <c r="A66">
        <v>29539</v>
      </c>
      <c r="B66" t="s">
        <v>1656</v>
      </c>
      <c r="C66" t="s">
        <v>1350</v>
      </c>
      <c r="D66" s="3">
        <v>32280</v>
      </c>
      <c r="E66" t="s">
        <v>1657</v>
      </c>
      <c r="F66">
        <v>366</v>
      </c>
      <c r="G66" s="3">
        <v>41981</v>
      </c>
      <c r="H66" t="s">
        <v>1658</v>
      </c>
      <c r="J66" t="s">
        <v>1659</v>
      </c>
      <c r="K66" t="s">
        <v>52</v>
      </c>
      <c r="L66" s="3">
        <v>47341</v>
      </c>
      <c r="M66" s="3">
        <v>47449</v>
      </c>
      <c r="N66" t="s">
        <v>1660</v>
      </c>
      <c r="O66" s="4">
        <v>0.8</v>
      </c>
      <c r="P66">
        <v>0</v>
      </c>
      <c r="Q66">
        <v>0</v>
      </c>
    </row>
    <row r="67" spans="1:17" x14ac:dyDescent="0.25">
      <c r="A67">
        <v>27209</v>
      </c>
      <c r="B67" t="s">
        <v>1661</v>
      </c>
      <c r="C67" t="s">
        <v>1350</v>
      </c>
      <c r="D67" s="3">
        <v>23065</v>
      </c>
      <c r="E67" t="s">
        <v>1401</v>
      </c>
      <c r="F67">
        <v>175</v>
      </c>
      <c r="G67" s="3">
        <v>40973</v>
      </c>
      <c r="H67" t="s">
        <v>1662</v>
      </c>
      <c r="J67" t="s">
        <v>1419</v>
      </c>
      <c r="K67" t="s">
        <v>70</v>
      </c>
      <c r="L67" s="3">
        <v>46960</v>
      </c>
      <c r="M67" s="3">
        <v>46210</v>
      </c>
      <c r="N67" t="s">
        <v>1663</v>
      </c>
      <c r="O67" s="4">
        <v>1</v>
      </c>
      <c r="P67">
        <v>0</v>
      </c>
      <c r="Q67">
        <v>1</v>
      </c>
    </row>
    <row r="68" spans="1:17" x14ac:dyDescent="0.25">
      <c r="A68">
        <v>26384</v>
      </c>
      <c r="B68" t="s">
        <v>1664</v>
      </c>
      <c r="C68" t="s">
        <v>1350</v>
      </c>
      <c r="D68" s="3">
        <v>28045</v>
      </c>
      <c r="E68" t="s">
        <v>1401</v>
      </c>
      <c r="F68">
        <v>54</v>
      </c>
      <c r="G68" s="3">
        <v>40700</v>
      </c>
      <c r="H68" t="s">
        <v>1665</v>
      </c>
      <c r="J68" t="s">
        <v>1524</v>
      </c>
      <c r="K68" t="s">
        <v>70</v>
      </c>
      <c r="L68" s="3">
        <v>46230</v>
      </c>
      <c r="M68" s="3">
        <v>46097</v>
      </c>
      <c r="N68" t="s">
        <v>1666</v>
      </c>
      <c r="O68" s="4">
        <v>0.8</v>
      </c>
      <c r="P68">
        <v>0</v>
      </c>
      <c r="Q68">
        <v>0</v>
      </c>
    </row>
    <row r="69" spans="1:17" x14ac:dyDescent="0.25">
      <c r="A69">
        <v>26198</v>
      </c>
      <c r="B69" t="s">
        <v>1667</v>
      </c>
      <c r="C69" t="s">
        <v>1350</v>
      </c>
      <c r="D69" s="3">
        <v>28199</v>
      </c>
      <c r="E69" t="s">
        <v>1401</v>
      </c>
      <c r="F69">
        <v>615</v>
      </c>
      <c r="G69" s="3">
        <v>40637</v>
      </c>
      <c r="H69" t="s">
        <v>1668</v>
      </c>
      <c r="J69" t="s">
        <v>1433</v>
      </c>
      <c r="K69" t="s">
        <v>64</v>
      </c>
      <c r="L69" s="3">
        <v>45993</v>
      </c>
      <c r="M69" s="3">
        <v>47408</v>
      </c>
      <c r="N69" t="s">
        <v>1669</v>
      </c>
      <c r="O69" s="4">
        <v>0.8</v>
      </c>
      <c r="P69">
        <v>0</v>
      </c>
      <c r="Q69">
        <v>1</v>
      </c>
    </row>
    <row r="70" spans="1:17" x14ac:dyDescent="0.25">
      <c r="A70">
        <v>36289</v>
      </c>
      <c r="B70" t="s">
        <v>1670</v>
      </c>
      <c r="C70" t="s">
        <v>1671</v>
      </c>
      <c r="D70" s="3">
        <v>28212</v>
      </c>
      <c r="E70" t="s">
        <v>1401</v>
      </c>
      <c r="G70" s="3">
        <v>44284</v>
      </c>
      <c r="H70" t="s">
        <v>1672</v>
      </c>
      <c r="J70" t="s">
        <v>1442</v>
      </c>
      <c r="K70" t="s">
        <v>58</v>
      </c>
      <c r="L70" s="3">
        <v>46127</v>
      </c>
      <c r="M70" s="3">
        <v>45930</v>
      </c>
      <c r="N70" t="s">
        <v>1673</v>
      </c>
      <c r="O70" s="4">
        <v>1</v>
      </c>
      <c r="P70">
        <v>0</v>
      </c>
      <c r="Q70">
        <v>1</v>
      </c>
    </row>
    <row r="71" spans="1:17" x14ac:dyDescent="0.25">
      <c r="A71">
        <v>31776</v>
      </c>
      <c r="B71" t="s">
        <v>1674</v>
      </c>
      <c r="C71" t="s">
        <v>1671</v>
      </c>
      <c r="D71" s="3">
        <v>30376</v>
      </c>
      <c r="E71" t="s">
        <v>1401</v>
      </c>
      <c r="F71">
        <v>294</v>
      </c>
      <c r="G71" s="3">
        <v>42933</v>
      </c>
      <c r="H71" t="s">
        <v>1675</v>
      </c>
      <c r="J71" t="s">
        <v>1419</v>
      </c>
      <c r="K71" t="s">
        <v>52</v>
      </c>
      <c r="L71" s="3">
        <v>46515</v>
      </c>
      <c r="M71" s="3">
        <v>46477</v>
      </c>
      <c r="N71" t="s">
        <v>1676</v>
      </c>
      <c r="O71" s="4">
        <v>1</v>
      </c>
      <c r="P71">
        <v>0</v>
      </c>
      <c r="Q71">
        <v>0</v>
      </c>
    </row>
    <row r="72" spans="1:17" x14ac:dyDescent="0.25">
      <c r="A72">
        <v>21892</v>
      </c>
      <c r="B72" t="s">
        <v>1677</v>
      </c>
      <c r="C72" t="s">
        <v>1671</v>
      </c>
      <c r="D72" s="3">
        <v>29470</v>
      </c>
      <c r="E72" t="s">
        <v>1401</v>
      </c>
      <c r="F72">
        <v>81</v>
      </c>
      <c r="G72" s="3">
        <v>39524</v>
      </c>
      <c r="H72" t="s">
        <v>1678</v>
      </c>
      <c r="J72" t="s">
        <v>1427</v>
      </c>
      <c r="K72" t="s">
        <v>67</v>
      </c>
      <c r="L72" s="3">
        <v>72686</v>
      </c>
      <c r="M72" s="3">
        <v>46925</v>
      </c>
      <c r="N72" t="s">
        <v>1679</v>
      </c>
      <c r="O72" s="4">
        <v>1</v>
      </c>
      <c r="P72">
        <v>0</v>
      </c>
      <c r="Q72">
        <v>0</v>
      </c>
    </row>
    <row r="73" spans="1:17" x14ac:dyDescent="0.25">
      <c r="A73">
        <v>13257</v>
      </c>
      <c r="B73" t="s">
        <v>1680</v>
      </c>
      <c r="C73" t="s">
        <v>1671</v>
      </c>
      <c r="D73" s="3">
        <v>26636</v>
      </c>
      <c r="E73" t="s">
        <v>1401</v>
      </c>
      <c r="F73">
        <v>237</v>
      </c>
      <c r="G73" s="3">
        <v>36998</v>
      </c>
      <c r="I73">
        <v>92300557</v>
      </c>
      <c r="J73" t="s">
        <v>1507</v>
      </c>
      <c r="K73" t="s">
        <v>64</v>
      </c>
      <c r="L73" s="3">
        <v>72686</v>
      </c>
      <c r="M73" s="3">
        <v>46182</v>
      </c>
      <c r="N73" t="s">
        <v>1681</v>
      </c>
      <c r="O73" s="4">
        <v>0.8</v>
      </c>
      <c r="P73">
        <v>0</v>
      </c>
      <c r="Q73">
        <v>0</v>
      </c>
    </row>
    <row r="74" spans="1:17" x14ac:dyDescent="0.25">
      <c r="A74">
        <v>7748</v>
      </c>
      <c r="B74" t="s">
        <v>1682</v>
      </c>
      <c r="C74" t="s">
        <v>1683</v>
      </c>
      <c r="D74" s="3">
        <v>25262</v>
      </c>
      <c r="E74" t="s">
        <v>1401</v>
      </c>
      <c r="F74">
        <v>164</v>
      </c>
      <c r="G74" s="3">
        <v>34932</v>
      </c>
      <c r="I74">
        <v>32496401543</v>
      </c>
      <c r="J74" t="s">
        <v>1455</v>
      </c>
      <c r="K74" t="s">
        <v>73</v>
      </c>
      <c r="L74" s="3">
        <v>73050</v>
      </c>
      <c r="M74" s="3">
        <v>47170</v>
      </c>
      <c r="N74" t="s">
        <v>1684</v>
      </c>
      <c r="O74" s="4">
        <v>0.8</v>
      </c>
      <c r="P74">
        <v>0</v>
      </c>
      <c r="Q74">
        <v>0</v>
      </c>
    </row>
    <row r="75" spans="1:17" x14ac:dyDescent="0.25">
      <c r="A75">
        <v>37216</v>
      </c>
      <c r="B75" t="s">
        <v>1685</v>
      </c>
      <c r="C75" t="s">
        <v>1686</v>
      </c>
      <c r="D75" s="3">
        <v>26618</v>
      </c>
      <c r="E75" t="s">
        <v>1401</v>
      </c>
      <c r="G75" s="3">
        <v>44664</v>
      </c>
      <c r="H75" t="s">
        <v>1687</v>
      </c>
      <c r="I75">
        <v>32477920791</v>
      </c>
      <c r="J75" t="s">
        <v>1409</v>
      </c>
      <c r="K75" t="s">
        <v>64</v>
      </c>
      <c r="L75" s="3">
        <v>47237</v>
      </c>
      <c r="M75" s="3">
        <v>47230</v>
      </c>
      <c r="N75" t="s">
        <v>1688</v>
      </c>
      <c r="O75" s="4">
        <v>1</v>
      </c>
      <c r="P75">
        <v>0</v>
      </c>
      <c r="Q75">
        <v>0</v>
      </c>
    </row>
    <row r="76" spans="1:17" x14ac:dyDescent="0.25">
      <c r="A76">
        <v>25487</v>
      </c>
      <c r="B76" t="s">
        <v>1689</v>
      </c>
      <c r="C76" t="s">
        <v>1690</v>
      </c>
      <c r="D76" s="3">
        <v>24366</v>
      </c>
      <c r="E76" t="s">
        <v>1401</v>
      </c>
      <c r="F76">
        <v>479</v>
      </c>
      <c r="G76" s="3">
        <v>40385</v>
      </c>
      <c r="H76" t="s">
        <v>1691</v>
      </c>
      <c r="J76" t="s">
        <v>1477</v>
      </c>
      <c r="K76" t="s">
        <v>67</v>
      </c>
      <c r="L76" s="3">
        <v>73050</v>
      </c>
      <c r="M76" s="3">
        <v>73050</v>
      </c>
      <c r="N76" t="s">
        <v>1692</v>
      </c>
      <c r="O76" s="4">
        <v>0.8</v>
      </c>
      <c r="P76">
        <v>0</v>
      </c>
      <c r="Q76">
        <v>0</v>
      </c>
    </row>
    <row r="77" spans="1:17" x14ac:dyDescent="0.25">
      <c r="A77">
        <v>19675</v>
      </c>
      <c r="B77" t="s">
        <v>1693</v>
      </c>
      <c r="C77" t="s">
        <v>1694</v>
      </c>
      <c r="D77" s="3">
        <v>25000</v>
      </c>
      <c r="E77" t="s">
        <v>1401</v>
      </c>
      <c r="F77">
        <v>345</v>
      </c>
      <c r="G77" s="3">
        <v>38929</v>
      </c>
      <c r="H77" t="s">
        <v>1695</v>
      </c>
      <c r="J77" t="s">
        <v>1507</v>
      </c>
      <c r="K77" t="s">
        <v>64</v>
      </c>
      <c r="L77" s="3">
        <v>72686</v>
      </c>
      <c r="M77" s="3">
        <v>46181</v>
      </c>
      <c r="N77" t="s">
        <v>1696</v>
      </c>
      <c r="O77" s="4">
        <v>1</v>
      </c>
      <c r="P77">
        <v>0</v>
      </c>
      <c r="Q77">
        <v>0</v>
      </c>
    </row>
    <row r="78" spans="1:17" x14ac:dyDescent="0.25">
      <c r="A78">
        <v>32951</v>
      </c>
      <c r="B78" t="s">
        <v>1697</v>
      </c>
      <c r="C78" t="s">
        <v>1698</v>
      </c>
      <c r="D78" s="3">
        <v>26191</v>
      </c>
      <c r="E78" t="s">
        <v>1401</v>
      </c>
      <c r="F78">
        <v>20</v>
      </c>
      <c r="G78" s="3">
        <v>43304</v>
      </c>
      <c r="H78" t="s">
        <v>1699</v>
      </c>
      <c r="J78" t="s">
        <v>1419</v>
      </c>
      <c r="K78" t="s">
        <v>73</v>
      </c>
      <c r="L78" s="3">
        <v>46828</v>
      </c>
      <c r="M78" s="3">
        <v>46810</v>
      </c>
      <c r="N78" t="s">
        <v>1700</v>
      </c>
      <c r="O78" s="4">
        <v>1</v>
      </c>
      <c r="P78">
        <v>0</v>
      </c>
      <c r="Q78">
        <v>1</v>
      </c>
    </row>
    <row r="79" spans="1:17" x14ac:dyDescent="0.25">
      <c r="A79">
        <v>14261</v>
      </c>
      <c r="B79" t="s">
        <v>1577</v>
      </c>
      <c r="C79" t="s">
        <v>1701</v>
      </c>
      <c r="D79" s="3">
        <v>26466</v>
      </c>
      <c r="E79" t="s">
        <v>1401</v>
      </c>
      <c r="F79">
        <v>424</v>
      </c>
      <c r="G79" s="3">
        <v>37284</v>
      </c>
      <c r="H79" t="s">
        <v>1702</v>
      </c>
      <c r="J79" t="s">
        <v>1703</v>
      </c>
      <c r="K79" t="s">
        <v>58</v>
      </c>
      <c r="L79" s="3">
        <v>45923</v>
      </c>
      <c r="M79" s="3">
        <v>46064</v>
      </c>
      <c r="N79" t="s">
        <v>1704</v>
      </c>
      <c r="O79" s="4">
        <v>0.8</v>
      </c>
      <c r="P79">
        <v>0</v>
      </c>
      <c r="Q79">
        <v>0</v>
      </c>
    </row>
    <row r="80" spans="1:17" x14ac:dyDescent="0.25">
      <c r="A80">
        <v>42145</v>
      </c>
      <c r="B80" t="s">
        <v>1705</v>
      </c>
      <c r="C80" t="s">
        <v>1706</v>
      </c>
      <c r="D80" s="3">
        <v>36894</v>
      </c>
      <c r="E80" t="s">
        <v>1401</v>
      </c>
      <c r="G80" s="3">
        <v>45874</v>
      </c>
      <c r="H80" t="s">
        <v>1707</v>
      </c>
      <c r="J80" t="s">
        <v>1414</v>
      </c>
      <c r="K80" t="s">
        <v>67</v>
      </c>
      <c r="L80" s="3">
        <v>1</v>
      </c>
      <c r="M80" s="3">
        <v>1</v>
      </c>
      <c r="N80" t="s">
        <v>1708</v>
      </c>
      <c r="O80" s="4">
        <v>1</v>
      </c>
      <c r="P80">
        <v>0</v>
      </c>
      <c r="Q80">
        <v>0</v>
      </c>
    </row>
    <row r="81" spans="1:17" x14ac:dyDescent="0.25">
      <c r="A81">
        <v>40222</v>
      </c>
      <c r="B81" t="s">
        <v>1709</v>
      </c>
      <c r="C81" t="s">
        <v>1710</v>
      </c>
      <c r="D81" s="3">
        <v>35955</v>
      </c>
      <c r="E81" t="s">
        <v>1401</v>
      </c>
      <c r="G81" s="3">
        <v>45349</v>
      </c>
      <c r="H81" t="s">
        <v>1711</v>
      </c>
      <c r="J81" t="s">
        <v>1409</v>
      </c>
      <c r="K81" t="s">
        <v>52</v>
      </c>
      <c r="L81" s="3">
        <v>47194</v>
      </c>
      <c r="M81" s="3">
        <v>47161</v>
      </c>
      <c r="N81" t="s">
        <v>1712</v>
      </c>
      <c r="O81" s="4">
        <v>1</v>
      </c>
      <c r="P81">
        <v>0</v>
      </c>
      <c r="Q81">
        <v>0</v>
      </c>
    </row>
    <row r="82" spans="1:17" x14ac:dyDescent="0.25">
      <c r="A82">
        <v>40134</v>
      </c>
      <c r="B82" t="s">
        <v>1713</v>
      </c>
      <c r="C82" t="s">
        <v>1710</v>
      </c>
      <c r="D82" s="3">
        <v>34917</v>
      </c>
      <c r="E82" t="s">
        <v>1401</v>
      </c>
      <c r="G82" s="3">
        <v>45364</v>
      </c>
      <c r="H82" t="s">
        <v>1714</v>
      </c>
      <c r="J82" t="s">
        <v>1409</v>
      </c>
      <c r="K82" t="s">
        <v>52</v>
      </c>
      <c r="L82" s="3">
        <v>47210</v>
      </c>
      <c r="M82" s="3">
        <v>47141</v>
      </c>
      <c r="N82" t="s">
        <v>1715</v>
      </c>
      <c r="O82" s="4">
        <v>1</v>
      </c>
      <c r="P82">
        <v>0</v>
      </c>
      <c r="Q82">
        <v>0</v>
      </c>
    </row>
    <row r="83" spans="1:17" x14ac:dyDescent="0.25">
      <c r="A83">
        <v>39829</v>
      </c>
      <c r="B83" t="s">
        <v>1716</v>
      </c>
      <c r="C83" t="s">
        <v>1717</v>
      </c>
      <c r="D83" s="3">
        <v>32321</v>
      </c>
      <c r="E83" t="s">
        <v>1401</v>
      </c>
      <c r="G83" s="3">
        <v>45264</v>
      </c>
      <c r="H83" t="s">
        <v>1718</v>
      </c>
      <c r="J83" t="s">
        <v>1409</v>
      </c>
      <c r="K83" t="s">
        <v>73</v>
      </c>
      <c r="L83" s="3">
        <v>47107</v>
      </c>
      <c r="M83" s="3">
        <v>47072</v>
      </c>
      <c r="N83" t="s">
        <v>1719</v>
      </c>
      <c r="O83" s="4">
        <v>1</v>
      </c>
      <c r="P83">
        <v>0</v>
      </c>
      <c r="Q83">
        <v>0</v>
      </c>
    </row>
    <row r="84" spans="1:17" x14ac:dyDescent="0.25">
      <c r="A84">
        <v>25679</v>
      </c>
      <c r="B84" t="s">
        <v>1720</v>
      </c>
      <c r="C84" t="s">
        <v>1721</v>
      </c>
      <c r="D84" s="3">
        <v>24380</v>
      </c>
      <c r="E84" t="s">
        <v>1401</v>
      </c>
      <c r="F84">
        <v>42</v>
      </c>
      <c r="G84" s="3">
        <v>40455</v>
      </c>
      <c r="H84" t="s">
        <v>1722</v>
      </c>
      <c r="I84">
        <v>92203627</v>
      </c>
      <c r="J84" t="s">
        <v>1723</v>
      </c>
      <c r="K84" t="s">
        <v>61</v>
      </c>
      <c r="L84" s="3">
        <v>46167</v>
      </c>
      <c r="M84" s="3">
        <v>46609</v>
      </c>
      <c r="N84" t="s">
        <v>1724</v>
      </c>
      <c r="O84" s="4">
        <v>0.8</v>
      </c>
      <c r="P84">
        <v>0</v>
      </c>
      <c r="Q84">
        <v>0</v>
      </c>
    </row>
    <row r="85" spans="1:17" x14ac:dyDescent="0.25">
      <c r="A85">
        <v>31550</v>
      </c>
      <c r="B85" t="s">
        <v>1725</v>
      </c>
      <c r="C85" t="s">
        <v>1726</v>
      </c>
      <c r="D85" s="3">
        <v>34332</v>
      </c>
      <c r="E85" t="s">
        <v>1401</v>
      </c>
      <c r="F85">
        <v>248</v>
      </c>
      <c r="G85" s="3">
        <v>42828</v>
      </c>
      <c r="H85" t="s">
        <v>1727</v>
      </c>
      <c r="J85" t="s">
        <v>1588</v>
      </c>
      <c r="K85" t="s">
        <v>52</v>
      </c>
      <c r="L85" s="3">
        <v>46455</v>
      </c>
      <c r="M85" s="3">
        <v>46453</v>
      </c>
      <c r="N85" t="s">
        <v>1728</v>
      </c>
      <c r="O85" s="4">
        <v>1</v>
      </c>
      <c r="P85">
        <v>0</v>
      </c>
      <c r="Q85">
        <v>0</v>
      </c>
    </row>
    <row r="86" spans="1:17" x14ac:dyDescent="0.25">
      <c r="A86">
        <v>38688</v>
      </c>
      <c r="B86" t="s">
        <v>1729</v>
      </c>
      <c r="C86" t="s">
        <v>1730</v>
      </c>
      <c r="D86" s="3">
        <v>34749</v>
      </c>
      <c r="E86" t="s">
        <v>1401</v>
      </c>
      <c r="G86" s="3">
        <v>45027</v>
      </c>
      <c r="H86" t="s">
        <v>1731</v>
      </c>
      <c r="J86" t="s">
        <v>1460</v>
      </c>
      <c r="K86" t="s">
        <v>70</v>
      </c>
      <c r="L86" s="3">
        <v>46869</v>
      </c>
      <c r="M86" s="3">
        <v>46776</v>
      </c>
      <c r="N86" t="s">
        <v>1732</v>
      </c>
      <c r="O86" s="4">
        <v>1</v>
      </c>
      <c r="P86">
        <v>0</v>
      </c>
      <c r="Q86">
        <v>0</v>
      </c>
    </row>
    <row r="87" spans="1:17" x14ac:dyDescent="0.25">
      <c r="A87">
        <v>41101</v>
      </c>
      <c r="B87" t="s">
        <v>1733</v>
      </c>
      <c r="C87" t="s">
        <v>1734</v>
      </c>
      <c r="D87" s="3">
        <v>35419</v>
      </c>
      <c r="E87" t="s">
        <v>1401</v>
      </c>
      <c r="G87" s="3">
        <v>45618</v>
      </c>
      <c r="H87" t="s">
        <v>1735</v>
      </c>
      <c r="J87" t="s">
        <v>1409</v>
      </c>
      <c r="K87" t="s">
        <v>52</v>
      </c>
      <c r="L87" s="3">
        <v>47463</v>
      </c>
      <c r="M87" s="3">
        <v>47364</v>
      </c>
      <c r="N87" t="s">
        <v>1736</v>
      </c>
      <c r="O87" s="4">
        <v>1</v>
      </c>
      <c r="P87">
        <v>0</v>
      </c>
      <c r="Q87">
        <v>0</v>
      </c>
    </row>
    <row r="88" spans="1:17" x14ac:dyDescent="0.25">
      <c r="A88">
        <v>32458</v>
      </c>
      <c r="B88" t="s">
        <v>1737</v>
      </c>
      <c r="C88" t="s">
        <v>1738</v>
      </c>
      <c r="D88" s="3">
        <v>24440</v>
      </c>
      <c r="E88" t="s">
        <v>1401</v>
      </c>
      <c r="F88">
        <v>168</v>
      </c>
      <c r="G88" s="3">
        <v>43150</v>
      </c>
      <c r="H88" t="s">
        <v>1739</v>
      </c>
      <c r="I88">
        <v>489745145</v>
      </c>
      <c r="J88" t="s">
        <v>1414</v>
      </c>
      <c r="K88" t="s">
        <v>70</v>
      </c>
      <c r="L88" s="3">
        <v>46595</v>
      </c>
      <c r="M88" s="3">
        <v>47594</v>
      </c>
      <c r="N88" t="s">
        <v>1740</v>
      </c>
      <c r="O88" s="4">
        <v>1</v>
      </c>
      <c r="P88">
        <v>0</v>
      </c>
      <c r="Q88">
        <v>1</v>
      </c>
    </row>
    <row r="89" spans="1:17" x14ac:dyDescent="0.25">
      <c r="A89">
        <v>30292</v>
      </c>
      <c r="B89" t="s">
        <v>1741</v>
      </c>
      <c r="C89" t="s">
        <v>1742</v>
      </c>
      <c r="D89" s="3">
        <v>31065</v>
      </c>
      <c r="E89" t="s">
        <v>1401</v>
      </c>
      <c r="F89">
        <v>369</v>
      </c>
      <c r="G89" s="3">
        <v>42282</v>
      </c>
      <c r="H89" t="s">
        <v>1743</v>
      </c>
      <c r="J89" t="s">
        <v>1481</v>
      </c>
      <c r="K89" t="s">
        <v>52</v>
      </c>
      <c r="L89" s="3">
        <v>73050</v>
      </c>
      <c r="M89" s="3">
        <v>73050</v>
      </c>
      <c r="N89" t="s">
        <v>1744</v>
      </c>
      <c r="O89" s="4">
        <v>1</v>
      </c>
      <c r="P89">
        <v>0</v>
      </c>
      <c r="Q89">
        <v>0</v>
      </c>
    </row>
    <row r="90" spans="1:17" x14ac:dyDescent="0.25">
      <c r="A90">
        <v>40939</v>
      </c>
      <c r="B90" t="s">
        <v>1745</v>
      </c>
      <c r="C90" t="s">
        <v>1746</v>
      </c>
      <c r="D90" s="3">
        <v>37866</v>
      </c>
      <c r="E90" t="s">
        <v>1401</v>
      </c>
      <c r="G90" s="3">
        <v>45530</v>
      </c>
      <c r="H90" t="s">
        <v>1747</v>
      </c>
      <c r="J90" t="s">
        <v>1409</v>
      </c>
      <c r="K90" t="s">
        <v>64</v>
      </c>
      <c r="L90" s="3">
        <v>47373</v>
      </c>
      <c r="M90" s="3">
        <v>47348</v>
      </c>
      <c r="N90" t="s">
        <v>1748</v>
      </c>
      <c r="O90" s="4">
        <v>1</v>
      </c>
      <c r="P90">
        <v>0</v>
      </c>
      <c r="Q90">
        <v>0</v>
      </c>
    </row>
    <row r="91" spans="1:17" x14ac:dyDescent="0.25">
      <c r="A91">
        <v>38550</v>
      </c>
      <c r="B91" t="s">
        <v>1639</v>
      </c>
      <c r="C91" t="s">
        <v>1749</v>
      </c>
      <c r="D91" s="3">
        <v>29647</v>
      </c>
      <c r="E91" t="s">
        <v>1401</v>
      </c>
      <c r="G91" s="3">
        <v>44984</v>
      </c>
      <c r="H91" t="s">
        <v>1750</v>
      </c>
      <c r="J91" t="s">
        <v>1516</v>
      </c>
      <c r="K91" t="s">
        <v>61</v>
      </c>
      <c r="L91" s="3">
        <v>46826</v>
      </c>
      <c r="M91" s="3">
        <v>46735</v>
      </c>
      <c r="N91" t="s">
        <v>1751</v>
      </c>
      <c r="O91" s="4">
        <v>0.8</v>
      </c>
      <c r="P91">
        <v>0</v>
      </c>
      <c r="Q91">
        <v>0</v>
      </c>
    </row>
    <row r="92" spans="1:17" x14ac:dyDescent="0.25">
      <c r="A92">
        <v>31165</v>
      </c>
      <c r="B92" t="s">
        <v>1752</v>
      </c>
      <c r="C92" t="s">
        <v>1753</v>
      </c>
      <c r="D92" s="3">
        <v>27145</v>
      </c>
      <c r="E92" t="s">
        <v>1401</v>
      </c>
      <c r="F92">
        <v>50</v>
      </c>
      <c r="G92" s="3">
        <v>42646</v>
      </c>
      <c r="H92" t="s">
        <v>1754</v>
      </c>
      <c r="J92" t="s">
        <v>1433</v>
      </c>
      <c r="K92" t="s">
        <v>73</v>
      </c>
      <c r="L92" s="3">
        <v>46238</v>
      </c>
      <c r="M92" s="3">
        <v>46210</v>
      </c>
      <c r="N92" t="s">
        <v>1755</v>
      </c>
      <c r="O92" s="4">
        <v>1</v>
      </c>
      <c r="P92">
        <v>0</v>
      </c>
      <c r="Q92">
        <v>0</v>
      </c>
    </row>
    <row r="93" spans="1:17" x14ac:dyDescent="0.25">
      <c r="A93">
        <v>8393</v>
      </c>
      <c r="B93" t="s">
        <v>1756</v>
      </c>
      <c r="C93" t="s">
        <v>1757</v>
      </c>
      <c r="D93" s="3">
        <v>26380</v>
      </c>
      <c r="E93" t="s">
        <v>1401</v>
      </c>
      <c r="F93">
        <v>272</v>
      </c>
      <c r="G93" s="3">
        <v>35219</v>
      </c>
      <c r="J93" t="s">
        <v>1507</v>
      </c>
      <c r="K93" t="s">
        <v>67</v>
      </c>
      <c r="L93" s="3">
        <v>73050</v>
      </c>
      <c r="M93" s="3">
        <v>45909</v>
      </c>
      <c r="N93" t="s">
        <v>1758</v>
      </c>
      <c r="O93" s="4">
        <v>0.8</v>
      </c>
      <c r="P93">
        <v>0</v>
      </c>
      <c r="Q93">
        <v>0</v>
      </c>
    </row>
    <row r="94" spans="1:17" x14ac:dyDescent="0.25">
      <c r="A94">
        <v>4793</v>
      </c>
      <c r="B94" t="s">
        <v>1759</v>
      </c>
      <c r="C94" t="s">
        <v>1757</v>
      </c>
      <c r="D94" s="3">
        <v>25160</v>
      </c>
      <c r="E94" t="s">
        <v>1401</v>
      </c>
      <c r="F94">
        <v>210</v>
      </c>
      <c r="G94" s="3">
        <v>32951</v>
      </c>
      <c r="H94" t="s">
        <v>1760</v>
      </c>
      <c r="J94" t="s">
        <v>1723</v>
      </c>
      <c r="K94" t="s">
        <v>73</v>
      </c>
      <c r="L94" s="3">
        <v>47588</v>
      </c>
      <c r="M94" s="3">
        <v>46453</v>
      </c>
      <c r="N94" t="s">
        <v>1761</v>
      </c>
      <c r="O94" s="4">
        <v>0.5</v>
      </c>
      <c r="P94">
        <v>0</v>
      </c>
      <c r="Q94">
        <v>1</v>
      </c>
    </row>
    <row r="95" spans="1:17" x14ac:dyDescent="0.25">
      <c r="A95">
        <v>40110</v>
      </c>
      <c r="B95" t="s">
        <v>1762</v>
      </c>
      <c r="C95" t="s">
        <v>1757</v>
      </c>
      <c r="D95" s="3">
        <v>26869</v>
      </c>
      <c r="E95" t="s">
        <v>1401</v>
      </c>
      <c r="G95" s="3">
        <v>45335</v>
      </c>
      <c r="H95" t="s">
        <v>1763</v>
      </c>
      <c r="I95">
        <v>93577730</v>
      </c>
      <c r="J95" t="s">
        <v>1409</v>
      </c>
      <c r="K95" t="s">
        <v>61</v>
      </c>
      <c r="L95" s="3">
        <v>47180</v>
      </c>
      <c r="M95" s="3">
        <v>47141</v>
      </c>
      <c r="N95" t="s">
        <v>1764</v>
      </c>
      <c r="O95" s="4">
        <v>0.6</v>
      </c>
      <c r="P95">
        <v>1</v>
      </c>
      <c r="Q95">
        <v>0</v>
      </c>
    </row>
    <row r="96" spans="1:17" x14ac:dyDescent="0.25">
      <c r="A96">
        <v>36559</v>
      </c>
      <c r="B96" t="s">
        <v>1765</v>
      </c>
      <c r="C96" t="s">
        <v>1757</v>
      </c>
      <c r="D96" s="3">
        <v>27176</v>
      </c>
      <c r="E96" t="s">
        <v>1401</v>
      </c>
      <c r="G96" s="3">
        <v>44347</v>
      </c>
      <c r="H96" t="s">
        <v>1766</v>
      </c>
      <c r="J96" t="s">
        <v>1611</v>
      </c>
      <c r="K96" t="s">
        <v>64</v>
      </c>
      <c r="L96" s="3">
        <v>46188</v>
      </c>
      <c r="M96" s="3">
        <v>46145</v>
      </c>
      <c r="N96" t="s">
        <v>1767</v>
      </c>
      <c r="O96" s="4">
        <v>1</v>
      </c>
      <c r="P96">
        <v>0</v>
      </c>
      <c r="Q96">
        <v>1</v>
      </c>
    </row>
    <row r="97" spans="1:17" x14ac:dyDescent="0.25">
      <c r="A97">
        <v>20612</v>
      </c>
      <c r="B97" t="s">
        <v>1768</v>
      </c>
      <c r="C97" t="s">
        <v>1757</v>
      </c>
      <c r="D97" s="3">
        <v>26097</v>
      </c>
      <c r="E97" t="s">
        <v>1401</v>
      </c>
      <c r="F97">
        <v>334</v>
      </c>
      <c r="G97" s="3">
        <v>39188</v>
      </c>
      <c r="H97" t="s">
        <v>1769</v>
      </c>
      <c r="J97" t="s">
        <v>1427</v>
      </c>
      <c r="K97" t="s">
        <v>67</v>
      </c>
      <c r="L97" s="3">
        <v>46042</v>
      </c>
      <c r="M97" s="3">
        <v>46418</v>
      </c>
      <c r="N97" t="s">
        <v>1770</v>
      </c>
      <c r="O97" s="4">
        <v>0.8</v>
      </c>
      <c r="P97">
        <v>0</v>
      </c>
      <c r="Q97">
        <v>1</v>
      </c>
    </row>
    <row r="98" spans="1:17" x14ac:dyDescent="0.25">
      <c r="A98">
        <v>29370</v>
      </c>
      <c r="B98" t="s">
        <v>1771</v>
      </c>
      <c r="C98" t="s">
        <v>1772</v>
      </c>
      <c r="D98" s="3">
        <v>29675</v>
      </c>
      <c r="E98" t="s">
        <v>1401</v>
      </c>
      <c r="F98">
        <v>375</v>
      </c>
      <c r="G98" s="3">
        <v>41904</v>
      </c>
      <c r="H98" t="s">
        <v>1773</v>
      </c>
      <c r="J98" t="s">
        <v>1460</v>
      </c>
      <c r="K98" t="s">
        <v>55</v>
      </c>
      <c r="L98" s="3">
        <v>47427</v>
      </c>
      <c r="M98" s="3">
        <v>47338</v>
      </c>
      <c r="N98" t="s">
        <v>1774</v>
      </c>
      <c r="O98" s="4">
        <v>0.8</v>
      </c>
      <c r="P98">
        <v>0</v>
      </c>
      <c r="Q98">
        <v>0</v>
      </c>
    </row>
    <row r="99" spans="1:17" x14ac:dyDescent="0.25">
      <c r="A99">
        <v>36543</v>
      </c>
      <c r="B99" t="s">
        <v>1775</v>
      </c>
      <c r="C99" t="s">
        <v>1776</v>
      </c>
      <c r="D99" s="3">
        <v>35351</v>
      </c>
      <c r="E99" t="s">
        <v>1401</v>
      </c>
      <c r="G99" s="3">
        <v>44347</v>
      </c>
      <c r="H99" t="s">
        <v>1777</v>
      </c>
      <c r="J99" t="s">
        <v>1409</v>
      </c>
      <c r="K99" t="s">
        <v>73</v>
      </c>
      <c r="L99" s="3">
        <v>46189</v>
      </c>
      <c r="M99" s="3">
        <v>46133</v>
      </c>
      <c r="N99" t="s">
        <v>1778</v>
      </c>
      <c r="O99" s="4">
        <v>0.6</v>
      </c>
      <c r="P99">
        <v>1</v>
      </c>
      <c r="Q99">
        <v>0</v>
      </c>
    </row>
    <row r="100" spans="1:17" x14ac:dyDescent="0.25">
      <c r="A100">
        <v>38731</v>
      </c>
      <c r="B100" t="s">
        <v>1779</v>
      </c>
      <c r="C100" t="s">
        <v>1780</v>
      </c>
      <c r="D100" s="3">
        <v>23866</v>
      </c>
      <c r="E100" t="s">
        <v>1401</v>
      </c>
      <c r="G100" s="3">
        <v>45062</v>
      </c>
      <c r="H100" t="s">
        <v>1781</v>
      </c>
      <c r="J100" t="s">
        <v>1409</v>
      </c>
      <c r="K100" t="s">
        <v>61</v>
      </c>
      <c r="L100" s="3">
        <v>46895</v>
      </c>
      <c r="M100" s="3">
        <v>47594</v>
      </c>
      <c r="N100" t="s">
        <v>1782</v>
      </c>
      <c r="O100" s="4">
        <v>0.5</v>
      </c>
      <c r="P100">
        <v>1</v>
      </c>
      <c r="Q100">
        <v>0</v>
      </c>
    </row>
    <row r="101" spans="1:17" x14ac:dyDescent="0.25">
      <c r="A101">
        <v>35709</v>
      </c>
      <c r="B101" t="s">
        <v>1783</v>
      </c>
      <c r="C101" t="s">
        <v>1784</v>
      </c>
      <c r="D101" s="3">
        <v>24400</v>
      </c>
      <c r="E101" t="s">
        <v>1401</v>
      </c>
      <c r="F101">
        <v>393</v>
      </c>
      <c r="G101" s="3">
        <v>44075</v>
      </c>
      <c r="I101">
        <v>492421081</v>
      </c>
      <c r="J101" t="s">
        <v>1460</v>
      </c>
      <c r="K101" t="s">
        <v>58</v>
      </c>
      <c r="L101" s="3">
        <v>46905</v>
      </c>
      <c r="M101" s="3">
        <v>46853</v>
      </c>
      <c r="N101" t="s">
        <v>1785</v>
      </c>
      <c r="O101" s="4">
        <v>0.8</v>
      </c>
      <c r="P101">
        <v>0</v>
      </c>
      <c r="Q101">
        <v>0</v>
      </c>
    </row>
    <row r="102" spans="1:17" x14ac:dyDescent="0.25">
      <c r="A102">
        <v>38580</v>
      </c>
      <c r="B102" t="s">
        <v>1786</v>
      </c>
      <c r="C102" t="s">
        <v>1787</v>
      </c>
      <c r="D102" s="3">
        <v>36424</v>
      </c>
      <c r="E102" t="s">
        <v>1401</v>
      </c>
      <c r="G102" s="3">
        <v>44998</v>
      </c>
      <c r="H102" t="s">
        <v>1788</v>
      </c>
      <c r="J102" t="s">
        <v>1409</v>
      </c>
      <c r="K102" t="s">
        <v>70</v>
      </c>
      <c r="L102" s="3">
        <v>46840</v>
      </c>
      <c r="M102" s="3">
        <v>46760</v>
      </c>
      <c r="N102" t="s">
        <v>1789</v>
      </c>
      <c r="O102" s="4">
        <v>1</v>
      </c>
      <c r="P102">
        <v>0</v>
      </c>
      <c r="Q102">
        <v>0</v>
      </c>
    </row>
    <row r="103" spans="1:17" x14ac:dyDescent="0.25">
      <c r="A103">
        <v>35379</v>
      </c>
      <c r="B103" t="s">
        <v>1513</v>
      </c>
      <c r="C103" t="s">
        <v>1790</v>
      </c>
      <c r="D103" s="3">
        <v>27962</v>
      </c>
      <c r="E103" t="s">
        <v>1401</v>
      </c>
      <c r="F103">
        <v>350</v>
      </c>
      <c r="G103" s="3">
        <v>43969</v>
      </c>
      <c r="H103" t="s">
        <v>1791</v>
      </c>
      <c r="J103" t="s">
        <v>1447</v>
      </c>
      <c r="K103" t="s">
        <v>58</v>
      </c>
      <c r="L103" s="3">
        <v>47485</v>
      </c>
      <c r="M103" s="3">
        <v>47441</v>
      </c>
      <c r="N103" t="s">
        <v>1792</v>
      </c>
      <c r="O103" s="4">
        <v>1</v>
      </c>
      <c r="P103">
        <v>0</v>
      </c>
      <c r="Q103">
        <v>1</v>
      </c>
    </row>
    <row r="104" spans="1:17" x14ac:dyDescent="0.25">
      <c r="A104">
        <v>41671</v>
      </c>
      <c r="B104" t="s">
        <v>1793</v>
      </c>
      <c r="C104" t="s">
        <v>1794</v>
      </c>
      <c r="D104" s="3">
        <v>32357</v>
      </c>
      <c r="E104" t="s">
        <v>1401</v>
      </c>
      <c r="G104" s="3">
        <v>45783</v>
      </c>
      <c r="H104" t="s">
        <v>1795</v>
      </c>
      <c r="J104" t="s">
        <v>1409</v>
      </c>
      <c r="K104" t="s">
        <v>55</v>
      </c>
      <c r="L104" s="3">
        <v>47628</v>
      </c>
      <c r="M104" s="3">
        <v>47518</v>
      </c>
      <c r="N104" t="s">
        <v>1796</v>
      </c>
      <c r="O104" s="4">
        <v>1</v>
      </c>
      <c r="P104">
        <v>0</v>
      </c>
      <c r="Q104">
        <v>0</v>
      </c>
    </row>
    <row r="105" spans="1:17" x14ac:dyDescent="0.25">
      <c r="A105">
        <v>28071</v>
      </c>
      <c r="B105" t="s">
        <v>1797</v>
      </c>
      <c r="C105" t="s">
        <v>1798</v>
      </c>
      <c r="D105" s="3">
        <v>30399</v>
      </c>
      <c r="E105" t="s">
        <v>1401</v>
      </c>
      <c r="F105">
        <v>602</v>
      </c>
      <c r="G105" s="3">
        <v>41372</v>
      </c>
      <c r="H105" t="s">
        <v>1799</v>
      </c>
      <c r="J105" t="s">
        <v>1659</v>
      </c>
      <c r="K105" t="s">
        <v>70</v>
      </c>
      <c r="L105" s="3">
        <v>46817</v>
      </c>
      <c r="M105" s="3">
        <v>46735</v>
      </c>
      <c r="N105" t="s">
        <v>1800</v>
      </c>
      <c r="O105" s="4">
        <v>0.8</v>
      </c>
      <c r="P105">
        <v>0</v>
      </c>
      <c r="Q105">
        <v>0</v>
      </c>
    </row>
    <row r="106" spans="1:17" x14ac:dyDescent="0.25">
      <c r="A106">
        <v>40856</v>
      </c>
      <c r="B106" t="s">
        <v>1801</v>
      </c>
      <c r="C106" t="s">
        <v>1802</v>
      </c>
      <c r="D106" s="3">
        <v>31148</v>
      </c>
      <c r="E106" t="s">
        <v>1401</v>
      </c>
      <c r="G106" s="3">
        <v>45538</v>
      </c>
      <c r="H106" t="s">
        <v>1803</v>
      </c>
      <c r="J106" t="s">
        <v>1409</v>
      </c>
      <c r="K106" t="s">
        <v>64</v>
      </c>
      <c r="L106" s="3">
        <v>46847</v>
      </c>
      <c r="M106" s="3">
        <v>46684</v>
      </c>
      <c r="N106" t="s">
        <v>1804</v>
      </c>
      <c r="O106" s="4">
        <v>1</v>
      </c>
      <c r="P106">
        <v>0</v>
      </c>
      <c r="Q106">
        <v>0</v>
      </c>
    </row>
    <row r="107" spans="1:17" x14ac:dyDescent="0.25">
      <c r="A107">
        <v>5813</v>
      </c>
      <c r="B107" t="s">
        <v>1805</v>
      </c>
      <c r="C107" t="s">
        <v>1806</v>
      </c>
      <c r="D107" s="3">
        <v>24961</v>
      </c>
      <c r="E107" t="s">
        <v>1401</v>
      </c>
      <c r="F107">
        <v>19</v>
      </c>
      <c r="G107" s="3">
        <v>33742</v>
      </c>
      <c r="H107" t="s">
        <v>1807</v>
      </c>
      <c r="J107" t="s">
        <v>1703</v>
      </c>
      <c r="K107" t="s">
        <v>73</v>
      </c>
      <c r="L107" s="3">
        <v>72686</v>
      </c>
      <c r="M107" s="3">
        <v>46308</v>
      </c>
      <c r="N107" t="s">
        <v>1808</v>
      </c>
      <c r="O107" s="4">
        <v>0.8</v>
      </c>
      <c r="P107">
        <v>0</v>
      </c>
      <c r="Q107">
        <v>1</v>
      </c>
    </row>
    <row r="108" spans="1:17" x14ac:dyDescent="0.25">
      <c r="A108">
        <v>14070</v>
      </c>
      <c r="B108" t="s">
        <v>1809</v>
      </c>
      <c r="C108" t="s">
        <v>1806</v>
      </c>
      <c r="D108" s="3">
        <v>26839</v>
      </c>
      <c r="E108" t="s">
        <v>1401</v>
      </c>
      <c r="F108">
        <v>208</v>
      </c>
      <c r="G108" s="3">
        <v>37214</v>
      </c>
      <c r="H108" t="s">
        <v>1810</v>
      </c>
      <c r="J108" t="s">
        <v>1703</v>
      </c>
      <c r="K108" t="s">
        <v>70</v>
      </c>
      <c r="L108" s="3">
        <v>72686</v>
      </c>
      <c r="M108" s="3">
        <v>46887</v>
      </c>
      <c r="N108" t="s">
        <v>1811</v>
      </c>
      <c r="O108" s="4">
        <v>0.8</v>
      </c>
      <c r="P108">
        <v>0</v>
      </c>
      <c r="Q108">
        <v>0</v>
      </c>
    </row>
    <row r="109" spans="1:17" x14ac:dyDescent="0.25">
      <c r="A109">
        <v>39145</v>
      </c>
      <c r="B109" t="s">
        <v>1812</v>
      </c>
      <c r="C109" t="s">
        <v>1813</v>
      </c>
      <c r="D109" s="3">
        <v>27446</v>
      </c>
      <c r="E109" t="s">
        <v>1401</v>
      </c>
      <c r="G109" s="3">
        <v>45166</v>
      </c>
      <c r="H109" t="s">
        <v>1814</v>
      </c>
      <c r="J109" t="s">
        <v>1409</v>
      </c>
      <c r="K109" t="s">
        <v>61</v>
      </c>
      <c r="L109" s="3">
        <v>47371</v>
      </c>
      <c r="M109" s="3">
        <v>47351</v>
      </c>
      <c r="N109" t="s">
        <v>1815</v>
      </c>
      <c r="O109" s="4">
        <v>1</v>
      </c>
      <c r="P109">
        <v>0</v>
      </c>
      <c r="Q109">
        <v>0</v>
      </c>
    </row>
    <row r="110" spans="1:17" x14ac:dyDescent="0.25">
      <c r="A110">
        <v>41918</v>
      </c>
      <c r="B110" t="s">
        <v>1816</v>
      </c>
      <c r="C110" t="s">
        <v>1817</v>
      </c>
      <c r="D110" s="3">
        <v>30683</v>
      </c>
      <c r="E110" t="s">
        <v>1401</v>
      </c>
      <c r="G110" s="3">
        <v>45831</v>
      </c>
      <c r="H110" t="s">
        <v>1818</v>
      </c>
      <c r="J110" t="s">
        <v>1409</v>
      </c>
      <c r="K110" t="s">
        <v>61</v>
      </c>
      <c r="L110" s="3">
        <v>47673</v>
      </c>
      <c r="M110" s="3">
        <v>47608</v>
      </c>
      <c r="N110" t="s">
        <v>1819</v>
      </c>
      <c r="O110" s="4">
        <v>1</v>
      </c>
      <c r="P110">
        <v>0</v>
      </c>
      <c r="Q110">
        <v>0</v>
      </c>
    </row>
    <row r="111" spans="1:17" x14ac:dyDescent="0.25">
      <c r="A111">
        <v>37509</v>
      </c>
      <c r="B111" t="s">
        <v>1820</v>
      </c>
      <c r="C111" t="s">
        <v>1821</v>
      </c>
      <c r="D111" s="3">
        <v>32284</v>
      </c>
      <c r="E111" t="s">
        <v>1401</v>
      </c>
      <c r="G111" s="3">
        <v>44670</v>
      </c>
      <c r="H111" t="s">
        <v>1822</v>
      </c>
      <c r="J111" t="s">
        <v>1442</v>
      </c>
      <c r="K111" t="s">
        <v>55</v>
      </c>
      <c r="L111" s="3">
        <v>46515</v>
      </c>
      <c r="M111" s="3">
        <v>46470</v>
      </c>
      <c r="N111" t="s">
        <v>1823</v>
      </c>
      <c r="O111" s="4">
        <v>1</v>
      </c>
      <c r="P111">
        <v>0</v>
      </c>
      <c r="Q111">
        <v>0</v>
      </c>
    </row>
    <row r="112" spans="1:17" x14ac:dyDescent="0.25">
      <c r="A112">
        <v>16282</v>
      </c>
      <c r="B112" t="s">
        <v>1824</v>
      </c>
      <c r="C112" t="s">
        <v>1825</v>
      </c>
      <c r="D112" s="3">
        <v>26137</v>
      </c>
      <c r="E112" t="s">
        <v>1401</v>
      </c>
      <c r="F112">
        <v>273</v>
      </c>
      <c r="G112" s="3">
        <v>37886</v>
      </c>
      <c r="H112" t="s">
        <v>1826</v>
      </c>
      <c r="J112" t="s">
        <v>1507</v>
      </c>
      <c r="K112" t="s">
        <v>64</v>
      </c>
      <c r="L112" s="3">
        <v>72686</v>
      </c>
      <c r="M112" s="3">
        <v>47498</v>
      </c>
      <c r="N112" t="s">
        <v>1827</v>
      </c>
      <c r="O112" s="4">
        <v>0.8</v>
      </c>
      <c r="P112">
        <v>0</v>
      </c>
      <c r="Q112">
        <v>0</v>
      </c>
    </row>
    <row r="113" spans="1:17" x14ac:dyDescent="0.25">
      <c r="A113">
        <v>17954</v>
      </c>
      <c r="B113" t="s">
        <v>1762</v>
      </c>
      <c r="C113" t="s">
        <v>1828</v>
      </c>
      <c r="D113" s="3">
        <v>24694</v>
      </c>
      <c r="E113" t="s">
        <v>1401</v>
      </c>
      <c r="F113">
        <v>171</v>
      </c>
      <c r="G113" s="3">
        <v>38404</v>
      </c>
      <c r="H113" t="s">
        <v>1829</v>
      </c>
      <c r="I113">
        <v>92306884</v>
      </c>
      <c r="J113" t="s">
        <v>1570</v>
      </c>
      <c r="K113" t="s">
        <v>73</v>
      </c>
      <c r="L113" s="3">
        <v>47316</v>
      </c>
      <c r="M113" s="3">
        <v>47306</v>
      </c>
      <c r="N113" t="s">
        <v>1830</v>
      </c>
      <c r="O113" s="4">
        <v>0.8</v>
      </c>
      <c r="P113">
        <v>0</v>
      </c>
      <c r="Q113">
        <v>0</v>
      </c>
    </row>
    <row r="114" spans="1:17" x14ac:dyDescent="0.25">
      <c r="A114">
        <v>41632</v>
      </c>
      <c r="B114" t="s">
        <v>1831</v>
      </c>
      <c r="C114" t="s">
        <v>1832</v>
      </c>
      <c r="D114" s="3">
        <v>24767</v>
      </c>
      <c r="E114" t="s">
        <v>1401</v>
      </c>
      <c r="G114" s="3">
        <v>45720</v>
      </c>
      <c r="H114" t="s">
        <v>1833</v>
      </c>
      <c r="J114" t="s">
        <v>1409</v>
      </c>
      <c r="K114" t="s">
        <v>55</v>
      </c>
      <c r="L114" s="3">
        <v>47562</v>
      </c>
      <c r="M114" s="3">
        <v>47533</v>
      </c>
      <c r="N114" t="s">
        <v>1834</v>
      </c>
      <c r="O114" s="4">
        <v>1</v>
      </c>
      <c r="P114">
        <v>0</v>
      </c>
      <c r="Q114">
        <v>0</v>
      </c>
    </row>
    <row r="115" spans="1:17" x14ac:dyDescent="0.25">
      <c r="A115">
        <v>36505</v>
      </c>
      <c r="B115" t="s">
        <v>1835</v>
      </c>
      <c r="C115" t="s">
        <v>1836</v>
      </c>
      <c r="D115" s="3">
        <v>35806</v>
      </c>
      <c r="E115" t="s">
        <v>1401</v>
      </c>
      <c r="G115" s="3">
        <v>44333</v>
      </c>
      <c r="H115" t="s">
        <v>1837</v>
      </c>
      <c r="I115" t="s">
        <v>1838</v>
      </c>
      <c r="J115" t="s">
        <v>1409</v>
      </c>
      <c r="K115" t="s">
        <v>64</v>
      </c>
      <c r="L115" s="3">
        <v>46174</v>
      </c>
      <c r="M115" s="3">
        <v>46097</v>
      </c>
      <c r="N115" t="s">
        <v>1839</v>
      </c>
      <c r="O115" s="4">
        <v>1</v>
      </c>
      <c r="P115">
        <v>0</v>
      </c>
      <c r="Q115">
        <v>0</v>
      </c>
    </row>
    <row r="116" spans="1:17" x14ac:dyDescent="0.25">
      <c r="A116">
        <v>16546</v>
      </c>
      <c r="B116" t="s">
        <v>1840</v>
      </c>
      <c r="C116" t="s">
        <v>1841</v>
      </c>
      <c r="D116" s="3">
        <v>24253</v>
      </c>
      <c r="E116" t="s">
        <v>1401</v>
      </c>
      <c r="F116">
        <v>380</v>
      </c>
      <c r="G116" s="3">
        <v>37991</v>
      </c>
      <c r="H116" t="s">
        <v>1842</v>
      </c>
      <c r="J116" t="s">
        <v>1485</v>
      </c>
      <c r="K116" t="s">
        <v>61</v>
      </c>
      <c r="L116" s="3">
        <v>47671</v>
      </c>
      <c r="M116" s="3">
        <v>46726</v>
      </c>
      <c r="N116" t="s">
        <v>1843</v>
      </c>
      <c r="O116" s="4">
        <v>0.5</v>
      </c>
      <c r="P116">
        <v>0</v>
      </c>
      <c r="Q116">
        <v>0</v>
      </c>
    </row>
    <row r="117" spans="1:17" x14ac:dyDescent="0.25">
      <c r="A117">
        <v>35026</v>
      </c>
      <c r="B117" t="s">
        <v>1844</v>
      </c>
      <c r="C117" t="s">
        <v>1845</v>
      </c>
      <c r="D117" s="3">
        <v>32327</v>
      </c>
      <c r="E117" t="s">
        <v>1401</v>
      </c>
      <c r="F117">
        <v>399</v>
      </c>
      <c r="G117" s="3">
        <v>43850</v>
      </c>
      <c r="H117" t="s">
        <v>1846</v>
      </c>
      <c r="J117" t="s">
        <v>1460</v>
      </c>
      <c r="K117" t="s">
        <v>67</v>
      </c>
      <c r="L117" s="3">
        <v>47434</v>
      </c>
      <c r="M117" s="3">
        <v>47377</v>
      </c>
      <c r="N117" t="s">
        <v>1847</v>
      </c>
      <c r="O117" s="4">
        <v>0.8</v>
      </c>
      <c r="P117">
        <v>0</v>
      </c>
      <c r="Q117">
        <v>0</v>
      </c>
    </row>
    <row r="118" spans="1:17" x14ac:dyDescent="0.25">
      <c r="A118">
        <v>9158</v>
      </c>
      <c r="B118" t="s">
        <v>1000</v>
      </c>
      <c r="C118" t="s">
        <v>1848</v>
      </c>
      <c r="D118" s="3">
        <v>26119</v>
      </c>
      <c r="E118" t="s">
        <v>1401</v>
      </c>
      <c r="F118">
        <v>180</v>
      </c>
      <c r="G118" s="3">
        <v>35513</v>
      </c>
      <c r="I118">
        <v>93572444</v>
      </c>
      <c r="J118" t="s">
        <v>1507</v>
      </c>
      <c r="K118" t="s">
        <v>67</v>
      </c>
      <c r="L118" s="3">
        <v>72686</v>
      </c>
      <c r="M118" s="3">
        <v>46834</v>
      </c>
      <c r="N118" t="s">
        <v>1849</v>
      </c>
      <c r="O118" s="4">
        <v>1</v>
      </c>
      <c r="P118">
        <v>0</v>
      </c>
      <c r="Q118">
        <v>0</v>
      </c>
    </row>
    <row r="119" spans="1:17" x14ac:dyDescent="0.25">
      <c r="A119">
        <v>21383</v>
      </c>
      <c r="B119" t="s">
        <v>1850</v>
      </c>
      <c r="C119" t="s">
        <v>1848</v>
      </c>
      <c r="D119" s="3">
        <v>26590</v>
      </c>
      <c r="E119" t="s">
        <v>1401</v>
      </c>
      <c r="F119">
        <v>291</v>
      </c>
      <c r="G119" s="3">
        <v>39356</v>
      </c>
      <c r="H119" t="s">
        <v>1851</v>
      </c>
      <c r="I119">
        <v>92303180</v>
      </c>
      <c r="J119" t="s">
        <v>1477</v>
      </c>
      <c r="K119" t="s">
        <v>64</v>
      </c>
      <c r="L119" s="3">
        <v>72686</v>
      </c>
      <c r="M119" s="3">
        <v>47533</v>
      </c>
      <c r="N119" t="s">
        <v>1852</v>
      </c>
      <c r="O119" s="4">
        <v>0.8</v>
      </c>
      <c r="P119">
        <v>0</v>
      </c>
      <c r="Q119">
        <v>0</v>
      </c>
    </row>
    <row r="120" spans="1:17" x14ac:dyDescent="0.25">
      <c r="A120">
        <v>13345</v>
      </c>
      <c r="B120" t="s">
        <v>1853</v>
      </c>
      <c r="C120" t="s">
        <v>1848</v>
      </c>
      <c r="D120" s="3">
        <v>25829</v>
      </c>
      <c r="E120" t="s">
        <v>1401</v>
      </c>
      <c r="F120">
        <v>578</v>
      </c>
      <c r="G120" s="3">
        <v>37018</v>
      </c>
      <c r="H120" t="s">
        <v>1854</v>
      </c>
      <c r="J120" t="s">
        <v>1516</v>
      </c>
      <c r="K120" t="s">
        <v>64</v>
      </c>
      <c r="L120" s="3">
        <v>47607</v>
      </c>
      <c r="M120" s="3">
        <v>46005</v>
      </c>
      <c r="N120" t="s">
        <v>1855</v>
      </c>
      <c r="O120" s="4">
        <v>1</v>
      </c>
      <c r="P120">
        <v>0</v>
      </c>
      <c r="Q120">
        <v>0</v>
      </c>
    </row>
    <row r="121" spans="1:17" x14ac:dyDescent="0.25">
      <c r="A121">
        <v>42164</v>
      </c>
      <c r="B121" t="s">
        <v>1856</v>
      </c>
      <c r="C121" t="s">
        <v>1857</v>
      </c>
      <c r="D121" s="3">
        <v>30767</v>
      </c>
      <c r="E121" t="s">
        <v>1401</v>
      </c>
      <c r="G121" s="3">
        <v>45870</v>
      </c>
      <c r="H121" t="s">
        <v>1858</v>
      </c>
      <c r="I121" t="s">
        <v>1859</v>
      </c>
      <c r="J121" t="s">
        <v>1860</v>
      </c>
      <c r="K121" t="s">
        <v>52</v>
      </c>
      <c r="L121" s="3">
        <v>46301</v>
      </c>
      <c r="M121" s="3">
        <v>47644</v>
      </c>
      <c r="N121" t="s">
        <v>1861</v>
      </c>
      <c r="O121" s="4">
        <v>1</v>
      </c>
      <c r="P121">
        <v>0</v>
      </c>
      <c r="Q121">
        <v>0</v>
      </c>
    </row>
    <row r="122" spans="1:17" x14ac:dyDescent="0.25">
      <c r="A122">
        <v>15626</v>
      </c>
      <c r="B122" t="s">
        <v>1862</v>
      </c>
      <c r="C122" t="s">
        <v>1863</v>
      </c>
      <c r="D122" s="3">
        <v>29917</v>
      </c>
      <c r="E122" t="s">
        <v>1401</v>
      </c>
      <c r="F122">
        <v>556</v>
      </c>
      <c r="G122" s="3">
        <v>37718</v>
      </c>
      <c r="H122" t="s">
        <v>1864</v>
      </c>
      <c r="J122" t="s">
        <v>1524</v>
      </c>
      <c r="K122" t="s">
        <v>55</v>
      </c>
      <c r="L122" s="3">
        <v>47650</v>
      </c>
      <c r="M122" s="3">
        <v>46466</v>
      </c>
      <c r="N122" t="s">
        <v>1865</v>
      </c>
      <c r="O122" s="4">
        <v>0.8</v>
      </c>
      <c r="P122">
        <v>0</v>
      </c>
      <c r="Q122">
        <v>0</v>
      </c>
    </row>
    <row r="123" spans="1:17" x14ac:dyDescent="0.25">
      <c r="A123">
        <v>8016</v>
      </c>
      <c r="B123" t="s">
        <v>1866</v>
      </c>
      <c r="C123" t="s">
        <v>1867</v>
      </c>
      <c r="D123" s="3">
        <v>24555</v>
      </c>
      <c r="E123" t="s">
        <v>1657</v>
      </c>
      <c r="F123">
        <v>100</v>
      </c>
      <c r="G123" s="3">
        <v>35065</v>
      </c>
      <c r="H123" t="s">
        <v>1868</v>
      </c>
      <c r="J123" t="s">
        <v>1703</v>
      </c>
      <c r="K123" t="s">
        <v>52</v>
      </c>
      <c r="L123" s="3">
        <v>72686</v>
      </c>
      <c r="M123" s="3">
        <v>46146</v>
      </c>
      <c r="N123" t="s">
        <v>1869</v>
      </c>
      <c r="O123" s="4">
        <v>0.8</v>
      </c>
      <c r="P123">
        <v>0</v>
      </c>
      <c r="Q123">
        <v>0</v>
      </c>
    </row>
    <row r="124" spans="1:17" x14ac:dyDescent="0.25">
      <c r="A124">
        <v>26137</v>
      </c>
      <c r="B124" t="s">
        <v>1870</v>
      </c>
      <c r="C124" t="s">
        <v>1867</v>
      </c>
      <c r="D124" s="3">
        <v>22939</v>
      </c>
      <c r="E124" t="s">
        <v>1401</v>
      </c>
      <c r="F124">
        <v>61</v>
      </c>
      <c r="G124" s="3">
        <v>40623</v>
      </c>
      <c r="H124" t="s">
        <v>1871</v>
      </c>
      <c r="J124" t="s">
        <v>1481</v>
      </c>
      <c r="K124" t="s">
        <v>67</v>
      </c>
      <c r="L124" s="3">
        <v>45948</v>
      </c>
      <c r="M124" s="3">
        <v>46046</v>
      </c>
      <c r="N124" t="s">
        <v>1872</v>
      </c>
      <c r="O124" s="4">
        <v>0.8</v>
      </c>
      <c r="P124">
        <v>0</v>
      </c>
      <c r="Q124">
        <v>0</v>
      </c>
    </row>
    <row r="125" spans="1:17" x14ac:dyDescent="0.25">
      <c r="A125">
        <v>36625</v>
      </c>
      <c r="B125" t="s">
        <v>1873</v>
      </c>
      <c r="C125" t="s">
        <v>1874</v>
      </c>
      <c r="D125" s="3">
        <v>30329</v>
      </c>
      <c r="E125" t="s">
        <v>1401</v>
      </c>
      <c r="G125" s="3">
        <v>44389</v>
      </c>
      <c r="H125" t="s">
        <v>1875</v>
      </c>
      <c r="J125" t="s">
        <v>1447</v>
      </c>
      <c r="K125" t="s">
        <v>64</v>
      </c>
      <c r="L125" s="3">
        <v>46293</v>
      </c>
      <c r="M125" s="3">
        <v>46260</v>
      </c>
      <c r="N125" t="s">
        <v>1876</v>
      </c>
      <c r="O125" s="4">
        <v>1</v>
      </c>
      <c r="P125">
        <v>0</v>
      </c>
      <c r="Q125">
        <v>0</v>
      </c>
    </row>
    <row r="126" spans="1:17" x14ac:dyDescent="0.25">
      <c r="A126">
        <v>39889</v>
      </c>
      <c r="B126" t="s">
        <v>1877</v>
      </c>
      <c r="C126" t="s">
        <v>1878</v>
      </c>
      <c r="D126" s="3">
        <v>28307</v>
      </c>
      <c r="E126" t="s">
        <v>1401</v>
      </c>
      <c r="G126" s="3">
        <v>45293</v>
      </c>
      <c r="H126" t="s">
        <v>1879</v>
      </c>
      <c r="J126" t="s">
        <v>1409</v>
      </c>
      <c r="K126" t="s">
        <v>67</v>
      </c>
      <c r="L126" s="3">
        <v>47140</v>
      </c>
      <c r="M126" s="3">
        <v>47090</v>
      </c>
      <c r="N126" t="s">
        <v>1880</v>
      </c>
      <c r="O126" s="4">
        <v>1</v>
      </c>
      <c r="P126">
        <v>0</v>
      </c>
      <c r="Q126">
        <v>0</v>
      </c>
    </row>
    <row r="127" spans="1:17" x14ac:dyDescent="0.25">
      <c r="A127">
        <v>23481</v>
      </c>
      <c r="B127" t="s">
        <v>1881</v>
      </c>
      <c r="C127" t="s">
        <v>1882</v>
      </c>
      <c r="D127" s="3">
        <v>29923</v>
      </c>
      <c r="E127" t="s">
        <v>1401</v>
      </c>
      <c r="F127">
        <v>533</v>
      </c>
      <c r="G127" s="3">
        <v>39881</v>
      </c>
      <c r="H127" t="s">
        <v>1883</v>
      </c>
      <c r="J127" t="s">
        <v>1524</v>
      </c>
      <c r="K127" t="s">
        <v>55</v>
      </c>
      <c r="L127" s="3">
        <v>46987</v>
      </c>
      <c r="M127" s="3">
        <v>46916</v>
      </c>
      <c r="N127" t="s">
        <v>1884</v>
      </c>
      <c r="O127" s="4">
        <v>1</v>
      </c>
      <c r="P127">
        <v>0</v>
      </c>
      <c r="Q127">
        <v>1</v>
      </c>
    </row>
    <row r="128" spans="1:17" x14ac:dyDescent="0.25">
      <c r="A128">
        <v>31601</v>
      </c>
      <c r="B128" t="s">
        <v>1885</v>
      </c>
      <c r="C128" t="s">
        <v>1886</v>
      </c>
      <c r="D128" s="3">
        <v>32979</v>
      </c>
      <c r="E128" t="s">
        <v>1401</v>
      </c>
      <c r="F128">
        <v>225</v>
      </c>
      <c r="G128" s="3">
        <v>42843</v>
      </c>
      <c r="H128" t="s">
        <v>1887</v>
      </c>
      <c r="J128" t="s">
        <v>1481</v>
      </c>
      <c r="K128" t="s">
        <v>52</v>
      </c>
      <c r="L128" s="3">
        <v>46434</v>
      </c>
      <c r="M128" s="3">
        <v>46418</v>
      </c>
      <c r="N128" t="s">
        <v>1888</v>
      </c>
      <c r="O128" s="4">
        <v>1</v>
      </c>
      <c r="P128">
        <v>0</v>
      </c>
      <c r="Q128">
        <v>0</v>
      </c>
    </row>
    <row r="129" spans="1:17" x14ac:dyDescent="0.25">
      <c r="A129">
        <v>28690</v>
      </c>
      <c r="B129" t="s">
        <v>1889</v>
      </c>
      <c r="C129" t="s">
        <v>1890</v>
      </c>
      <c r="D129" s="3">
        <v>28385</v>
      </c>
      <c r="E129" t="s">
        <v>1401</v>
      </c>
      <c r="F129">
        <v>184</v>
      </c>
      <c r="G129" s="3">
        <v>41617</v>
      </c>
      <c r="H129" t="s">
        <v>1891</v>
      </c>
      <c r="I129">
        <v>92315307</v>
      </c>
      <c r="J129" t="s">
        <v>1627</v>
      </c>
      <c r="K129" t="s">
        <v>58</v>
      </c>
      <c r="L129" s="3">
        <v>47034</v>
      </c>
      <c r="M129" s="3">
        <v>46925</v>
      </c>
      <c r="N129" t="s">
        <v>1892</v>
      </c>
      <c r="O129" s="4">
        <v>0.5</v>
      </c>
      <c r="P129">
        <v>0</v>
      </c>
      <c r="Q129">
        <v>0</v>
      </c>
    </row>
    <row r="130" spans="1:17" x14ac:dyDescent="0.25">
      <c r="A130">
        <v>37345</v>
      </c>
      <c r="B130" t="s">
        <v>1893</v>
      </c>
      <c r="C130" t="s">
        <v>1894</v>
      </c>
      <c r="D130" s="3">
        <v>35891</v>
      </c>
      <c r="E130" t="s">
        <v>1401</v>
      </c>
      <c r="G130" s="3">
        <v>44655</v>
      </c>
      <c r="H130" t="s">
        <v>1895</v>
      </c>
      <c r="J130" t="s">
        <v>1409</v>
      </c>
      <c r="K130" t="s">
        <v>73</v>
      </c>
      <c r="L130" s="3">
        <v>46502</v>
      </c>
      <c r="M130" s="3">
        <v>46400</v>
      </c>
      <c r="N130" t="s">
        <v>1896</v>
      </c>
      <c r="O130" s="4">
        <v>1</v>
      </c>
      <c r="P130">
        <v>0</v>
      </c>
      <c r="Q130">
        <v>0</v>
      </c>
    </row>
    <row r="131" spans="1:17" x14ac:dyDescent="0.25">
      <c r="A131">
        <v>17566</v>
      </c>
      <c r="B131" t="s">
        <v>1897</v>
      </c>
      <c r="C131" t="s">
        <v>1898</v>
      </c>
      <c r="D131" s="3">
        <v>22889</v>
      </c>
      <c r="E131" t="s">
        <v>1401</v>
      </c>
      <c r="F131">
        <v>312</v>
      </c>
      <c r="G131" s="3">
        <v>38222</v>
      </c>
      <c r="H131" t="s">
        <v>1899</v>
      </c>
      <c r="J131" t="s">
        <v>1507</v>
      </c>
      <c r="K131" t="s">
        <v>55</v>
      </c>
      <c r="L131" s="3">
        <v>72686</v>
      </c>
      <c r="M131" s="3">
        <v>47163</v>
      </c>
      <c r="N131" t="s">
        <v>1900</v>
      </c>
      <c r="O131" s="4">
        <v>0.8</v>
      </c>
      <c r="P131">
        <v>0</v>
      </c>
      <c r="Q131">
        <v>1</v>
      </c>
    </row>
    <row r="132" spans="1:17" x14ac:dyDescent="0.25">
      <c r="A132">
        <v>37254</v>
      </c>
      <c r="B132" t="s">
        <v>1901</v>
      </c>
      <c r="C132" t="s">
        <v>1902</v>
      </c>
      <c r="D132" s="3">
        <v>36729</v>
      </c>
      <c r="E132" t="s">
        <v>1401</v>
      </c>
      <c r="G132" s="3">
        <v>44585</v>
      </c>
      <c r="H132" t="s">
        <v>1903</v>
      </c>
      <c r="J132" t="s">
        <v>1419</v>
      </c>
      <c r="K132" t="s">
        <v>64</v>
      </c>
      <c r="L132" s="3">
        <v>46425</v>
      </c>
      <c r="M132" s="3">
        <v>46033</v>
      </c>
      <c r="N132" t="s">
        <v>1904</v>
      </c>
      <c r="O132" s="4">
        <v>1</v>
      </c>
      <c r="P132">
        <v>0</v>
      </c>
      <c r="Q132">
        <v>0</v>
      </c>
    </row>
    <row r="133" spans="1:17" x14ac:dyDescent="0.25">
      <c r="A133">
        <v>36513</v>
      </c>
      <c r="B133" t="s">
        <v>1262</v>
      </c>
      <c r="C133" t="s">
        <v>1905</v>
      </c>
      <c r="D133" s="3">
        <v>35422</v>
      </c>
      <c r="E133" t="s">
        <v>1401</v>
      </c>
      <c r="G133" s="3">
        <v>44333</v>
      </c>
      <c r="H133" t="s">
        <v>1906</v>
      </c>
      <c r="J133" t="s">
        <v>1460</v>
      </c>
      <c r="K133" t="s">
        <v>64</v>
      </c>
      <c r="L133" s="3">
        <v>46174</v>
      </c>
      <c r="M133" s="3">
        <v>46124</v>
      </c>
      <c r="N133" t="s">
        <v>1907</v>
      </c>
      <c r="O133" s="4">
        <v>1</v>
      </c>
      <c r="P133">
        <v>0</v>
      </c>
      <c r="Q133">
        <v>0</v>
      </c>
    </row>
    <row r="134" spans="1:17" x14ac:dyDescent="0.25">
      <c r="A134">
        <v>36428</v>
      </c>
      <c r="B134" t="s">
        <v>1908</v>
      </c>
      <c r="C134" t="s">
        <v>1909</v>
      </c>
      <c r="D134" s="3">
        <v>33510</v>
      </c>
      <c r="E134" t="s">
        <v>1401</v>
      </c>
      <c r="G134" s="3">
        <v>44312</v>
      </c>
      <c r="H134" t="s">
        <v>1910</v>
      </c>
      <c r="J134" t="s">
        <v>1442</v>
      </c>
      <c r="K134" t="s">
        <v>73</v>
      </c>
      <c r="L134" s="3">
        <v>46152</v>
      </c>
      <c r="M134" s="3">
        <v>46084</v>
      </c>
      <c r="N134" t="s">
        <v>1911</v>
      </c>
      <c r="O134" s="4">
        <v>1</v>
      </c>
      <c r="P134">
        <v>0</v>
      </c>
      <c r="Q134">
        <v>1</v>
      </c>
    </row>
    <row r="135" spans="1:17" x14ac:dyDescent="0.25">
      <c r="A135">
        <v>41357</v>
      </c>
      <c r="B135" t="s">
        <v>1912</v>
      </c>
      <c r="C135" t="s">
        <v>1232</v>
      </c>
      <c r="D135" s="3">
        <v>35947</v>
      </c>
      <c r="E135" t="s">
        <v>1401</v>
      </c>
      <c r="G135" s="3">
        <v>45692</v>
      </c>
      <c r="H135" t="s">
        <v>1913</v>
      </c>
      <c r="J135" t="s">
        <v>1409</v>
      </c>
      <c r="K135" t="s">
        <v>55</v>
      </c>
      <c r="L135" s="3">
        <v>47538</v>
      </c>
      <c r="M135" s="3">
        <v>47407</v>
      </c>
      <c r="N135" t="s">
        <v>1914</v>
      </c>
      <c r="O135" s="4">
        <v>1</v>
      </c>
      <c r="P135">
        <v>0</v>
      </c>
      <c r="Q135">
        <v>0</v>
      </c>
    </row>
    <row r="136" spans="1:17" x14ac:dyDescent="0.25">
      <c r="A136">
        <v>39712</v>
      </c>
      <c r="B136" t="s">
        <v>1069</v>
      </c>
      <c r="C136" t="s">
        <v>1232</v>
      </c>
      <c r="D136" s="3">
        <v>35461</v>
      </c>
      <c r="E136" t="s">
        <v>1401</v>
      </c>
      <c r="G136" s="3">
        <v>45236</v>
      </c>
      <c r="H136" t="s">
        <v>1915</v>
      </c>
      <c r="J136" t="s">
        <v>1409</v>
      </c>
      <c r="K136" t="s">
        <v>55</v>
      </c>
      <c r="L136" s="3">
        <v>47077</v>
      </c>
      <c r="M136" s="3">
        <v>47034</v>
      </c>
      <c r="N136" t="s">
        <v>1916</v>
      </c>
      <c r="O136" s="4">
        <v>1</v>
      </c>
      <c r="P136">
        <v>0</v>
      </c>
      <c r="Q136">
        <v>0</v>
      </c>
    </row>
    <row r="137" spans="1:17" x14ac:dyDescent="0.25">
      <c r="A137">
        <v>13398</v>
      </c>
      <c r="B137" t="s">
        <v>1649</v>
      </c>
      <c r="C137" t="s">
        <v>1232</v>
      </c>
      <c r="D137" s="3">
        <v>28371</v>
      </c>
      <c r="E137" t="s">
        <v>1401</v>
      </c>
      <c r="F137">
        <v>340</v>
      </c>
      <c r="G137" s="3">
        <v>37047</v>
      </c>
      <c r="H137" t="s">
        <v>1917</v>
      </c>
      <c r="J137" t="s">
        <v>1575</v>
      </c>
      <c r="K137" t="s">
        <v>52</v>
      </c>
      <c r="L137" s="3">
        <v>45892</v>
      </c>
      <c r="M137" s="3">
        <v>46028</v>
      </c>
      <c r="N137" t="s">
        <v>1918</v>
      </c>
      <c r="O137" s="4">
        <v>1</v>
      </c>
      <c r="P137">
        <v>0</v>
      </c>
      <c r="Q137">
        <v>0</v>
      </c>
    </row>
    <row r="138" spans="1:17" x14ac:dyDescent="0.25">
      <c r="A138">
        <v>39930</v>
      </c>
      <c r="B138" t="s">
        <v>1919</v>
      </c>
      <c r="C138" t="s">
        <v>1920</v>
      </c>
      <c r="D138" s="3">
        <v>33604</v>
      </c>
      <c r="E138" t="s">
        <v>1401</v>
      </c>
      <c r="G138" s="3">
        <v>45307</v>
      </c>
      <c r="H138" t="s">
        <v>1921</v>
      </c>
      <c r="J138" t="s">
        <v>1409</v>
      </c>
      <c r="K138" t="s">
        <v>61</v>
      </c>
      <c r="L138" s="3">
        <v>47154</v>
      </c>
      <c r="M138" s="3">
        <v>47100</v>
      </c>
      <c r="N138" t="s">
        <v>1922</v>
      </c>
      <c r="O138" s="4">
        <v>1</v>
      </c>
      <c r="P138">
        <v>0</v>
      </c>
      <c r="Q138">
        <v>0</v>
      </c>
    </row>
    <row r="139" spans="1:17" x14ac:dyDescent="0.25">
      <c r="A139">
        <v>32169</v>
      </c>
      <c r="B139" t="s">
        <v>1923</v>
      </c>
      <c r="C139" t="s">
        <v>1924</v>
      </c>
      <c r="D139" s="3">
        <v>25554</v>
      </c>
      <c r="E139" t="s">
        <v>1401</v>
      </c>
      <c r="F139">
        <v>46</v>
      </c>
      <c r="G139" s="3">
        <v>43031</v>
      </c>
      <c r="H139" t="s">
        <v>1925</v>
      </c>
      <c r="J139" t="s">
        <v>1419</v>
      </c>
      <c r="K139" t="s">
        <v>67</v>
      </c>
      <c r="L139" s="3">
        <v>46637</v>
      </c>
      <c r="M139" s="3">
        <v>46637</v>
      </c>
      <c r="N139" t="s">
        <v>1926</v>
      </c>
      <c r="O139" s="4">
        <v>1</v>
      </c>
      <c r="P139">
        <v>0</v>
      </c>
      <c r="Q139">
        <v>1</v>
      </c>
    </row>
    <row r="140" spans="1:17" x14ac:dyDescent="0.25">
      <c r="A140">
        <v>39528</v>
      </c>
      <c r="B140" t="s">
        <v>1927</v>
      </c>
      <c r="C140" t="s">
        <v>1928</v>
      </c>
      <c r="D140" s="3">
        <v>32358</v>
      </c>
      <c r="E140" t="s">
        <v>1401</v>
      </c>
      <c r="G140" s="3">
        <v>45236</v>
      </c>
      <c r="H140" t="s">
        <v>1929</v>
      </c>
      <c r="J140" t="s">
        <v>1409</v>
      </c>
      <c r="K140" t="s">
        <v>61</v>
      </c>
      <c r="L140" s="3">
        <v>47077</v>
      </c>
      <c r="M140" s="3">
        <v>46981</v>
      </c>
      <c r="N140" t="s">
        <v>1930</v>
      </c>
      <c r="O140" s="4">
        <v>1</v>
      </c>
      <c r="P140">
        <v>0</v>
      </c>
      <c r="Q140">
        <v>0</v>
      </c>
    </row>
    <row r="141" spans="1:17" x14ac:dyDescent="0.25">
      <c r="A141">
        <v>22625</v>
      </c>
      <c r="B141" t="s">
        <v>1931</v>
      </c>
      <c r="C141" t="s">
        <v>1932</v>
      </c>
      <c r="D141" s="3">
        <v>28070</v>
      </c>
      <c r="E141" t="s">
        <v>1401</v>
      </c>
      <c r="F141">
        <v>537</v>
      </c>
      <c r="G141" s="3">
        <v>39643</v>
      </c>
      <c r="H141" t="s">
        <v>1933</v>
      </c>
      <c r="J141" t="s">
        <v>1627</v>
      </c>
      <c r="K141" t="s">
        <v>55</v>
      </c>
      <c r="L141" s="3">
        <v>47610</v>
      </c>
      <c r="M141" s="3">
        <v>46637</v>
      </c>
      <c r="N141" t="s">
        <v>1934</v>
      </c>
      <c r="O141" s="4">
        <v>1</v>
      </c>
      <c r="P141">
        <v>0</v>
      </c>
      <c r="Q141">
        <v>0</v>
      </c>
    </row>
    <row r="142" spans="1:17" x14ac:dyDescent="0.25">
      <c r="A142">
        <v>5599</v>
      </c>
      <c r="B142" t="s">
        <v>1935</v>
      </c>
      <c r="C142" t="s">
        <v>1936</v>
      </c>
      <c r="D142" s="3">
        <v>24551</v>
      </c>
      <c r="E142" t="s">
        <v>1401</v>
      </c>
      <c r="F142">
        <v>386</v>
      </c>
      <c r="G142" s="3">
        <v>33609</v>
      </c>
      <c r="H142" t="s">
        <v>1937</v>
      </c>
      <c r="I142">
        <v>93572595</v>
      </c>
      <c r="J142" t="s">
        <v>1507</v>
      </c>
      <c r="K142" t="s">
        <v>67</v>
      </c>
      <c r="L142" s="3">
        <v>73050</v>
      </c>
      <c r="M142" s="3">
        <v>46853</v>
      </c>
      <c r="N142" t="s">
        <v>1938</v>
      </c>
      <c r="O142" s="4">
        <v>1</v>
      </c>
      <c r="P142">
        <v>0</v>
      </c>
      <c r="Q142">
        <v>0</v>
      </c>
    </row>
    <row r="143" spans="1:17" x14ac:dyDescent="0.25">
      <c r="A143">
        <v>41721</v>
      </c>
      <c r="B143" t="s">
        <v>1939</v>
      </c>
      <c r="C143" t="s">
        <v>1936</v>
      </c>
      <c r="D143" s="3">
        <v>26073</v>
      </c>
      <c r="E143" t="s">
        <v>1401</v>
      </c>
      <c r="G143" s="3">
        <v>45749</v>
      </c>
      <c r="H143" t="s">
        <v>1940</v>
      </c>
      <c r="J143" t="s">
        <v>1409</v>
      </c>
      <c r="K143" t="s">
        <v>64</v>
      </c>
      <c r="L143" s="3">
        <v>47594</v>
      </c>
      <c r="M143" s="3">
        <v>47503</v>
      </c>
      <c r="N143" t="s">
        <v>1941</v>
      </c>
      <c r="O143" s="4">
        <v>1</v>
      </c>
      <c r="P143">
        <v>0</v>
      </c>
      <c r="Q143">
        <v>0</v>
      </c>
    </row>
    <row r="144" spans="1:17" x14ac:dyDescent="0.25">
      <c r="A144">
        <v>40005</v>
      </c>
      <c r="B144" t="s">
        <v>1942</v>
      </c>
      <c r="C144" t="s">
        <v>1943</v>
      </c>
      <c r="D144" s="3">
        <v>33365</v>
      </c>
      <c r="E144" t="s">
        <v>1401</v>
      </c>
      <c r="G144" s="3">
        <v>45307</v>
      </c>
      <c r="H144" t="s">
        <v>1944</v>
      </c>
      <c r="J144" t="s">
        <v>1945</v>
      </c>
      <c r="K144" t="s">
        <v>61</v>
      </c>
      <c r="L144" s="3">
        <v>47154</v>
      </c>
      <c r="M144" s="3">
        <v>47126</v>
      </c>
      <c r="N144" t="s">
        <v>1946</v>
      </c>
      <c r="O144" s="4">
        <v>1</v>
      </c>
      <c r="P144">
        <v>0</v>
      </c>
      <c r="Q144">
        <v>0</v>
      </c>
    </row>
    <row r="145" spans="1:17" x14ac:dyDescent="0.25">
      <c r="A145">
        <v>36820</v>
      </c>
      <c r="B145" t="s">
        <v>1947</v>
      </c>
      <c r="C145" t="s">
        <v>1943</v>
      </c>
      <c r="D145" s="3">
        <v>22295</v>
      </c>
      <c r="E145" t="s">
        <v>1401</v>
      </c>
      <c r="G145" s="3">
        <v>44473</v>
      </c>
      <c r="H145" t="s">
        <v>1948</v>
      </c>
      <c r="I145">
        <v>93720791</v>
      </c>
      <c r="J145" t="s">
        <v>1409</v>
      </c>
      <c r="K145" t="s">
        <v>67</v>
      </c>
      <c r="L145" s="3">
        <v>46300</v>
      </c>
      <c r="M145" s="3">
        <v>46236</v>
      </c>
      <c r="N145" t="s">
        <v>1949</v>
      </c>
      <c r="O145" s="4">
        <v>0.8</v>
      </c>
      <c r="P145">
        <v>0</v>
      </c>
      <c r="Q145">
        <v>1</v>
      </c>
    </row>
    <row r="146" spans="1:17" x14ac:dyDescent="0.25">
      <c r="A146">
        <v>14665</v>
      </c>
      <c r="B146" t="s">
        <v>1950</v>
      </c>
      <c r="C146" t="s">
        <v>1943</v>
      </c>
      <c r="D146" s="3">
        <v>29490</v>
      </c>
      <c r="E146" t="s">
        <v>1401</v>
      </c>
      <c r="F146">
        <v>558</v>
      </c>
      <c r="G146" s="3">
        <v>37424</v>
      </c>
      <c r="H146" t="s">
        <v>1951</v>
      </c>
      <c r="J146" t="s">
        <v>1524</v>
      </c>
      <c r="K146" t="s">
        <v>55</v>
      </c>
      <c r="L146" s="3">
        <v>45915</v>
      </c>
      <c r="M146" s="3">
        <v>46273</v>
      </c>
      <c r="N146" t="s">
        <v>1952</v>
      </c>
      <c r="O146" s="4">
        <v>1</v>
      </c>
      <c r="P146">
        <v>0</v>
      </c>
      <c r="Q146">
        <v>0</v>
      </c>
    </row>
    <row r="147" spans="1:17" x14ac:dyDescent="0.25">
      <c r="A147">
        <v>6310</v>
      </c>
      <c r="B147" t="s">
        <v>1953</v>
      </c>
      <c r="C147" t="s">
        <v>1954</v>
      </c>
      <c r="D147" s="3">
        <v>23504</v>
      </c>
      <c r="E147" t="s">
        <v>1401</v>
      </c>
      <c r="F147">
        <v>289</v>
      </c>
      <c r="G147" s="3">
        <v>34078</v>
      </c>
      <c r="J147" t="s">
        <v>1575</v>
      </c>
      <c r="K147" t="s">
        <v>70</v>
      </c>
      <c r="L147" s="3">
        <v>72686</v>
      </c>
      <c r="M147" s="3">
        <v>46140</v>
      </c>
      <c r="N147" t="s">
        <v>1955</v>
      </c>
      <c r="O147" s="4">
        <v>1</v>
      </c>
      <c r="P147">
        <v>0</v>
      </c>
      <c r="Q147">
        <v>0</v>
      </c>
    </row>
    <row r="148" spans="1:17" x14ac:dyDescent="0.25">
      <c r="A148">
        <v>5061</v>
      </c>
      <c r="B148" t="s">
        <v>1518</v>
      </c>
      <c r="C148" t="s">
        <v>1954</v>
      </c>
      <c r="D148" s="3">
        <v>24557</v>
      </c>
      <c r="E148" t="s">
        <v>1401</v>
      </c>
      <c r="F148">
        <v>649</v>
      </c>
      <c r="G148" s="3">
        <v>33287</v>
      </c>
      <c r="I148">
        <v>93300995</v>
      </c>
      <c r="J148" t="s">
        <v>1516</v>
      </c>
      <c r="K148" t="s">
        <v>64</v>
      </c>
      <c r="L148" s="3">
        <v>47672</v>
      </c>
      <c r="M148" s="3">
        <v>46665</v>
      </c>
      <c r="N148" t="s">
        <v>1956</v>
      </c>
      <c r="O148" s="4">
        <v>1</v>
      </c>
      <c r="P148">
        <v>0</v>
      </c>
      <c r="Q148">
        <v>0</v>
      </c>
    </row>
    <row r="149" spans="1:17" x14ac:dyDescent="0.25">
      <c r="A149">
        <v>36336</v>
      </c>
      <c r="B149" t="s">
        <v>1957</v>
      </c>
      <c r="C149" t="s">
        <v>1954</v>
      </c>
      <c r="D149" s="3">
        <v>29706</v>
      </c>
      <c r="E149" t="s">
        <v>1401</v>
      </c>
      <c r="G149" s="3">
        <v>44284</v>
      </c>
      <c r="H149" t="s">
        <v>1958</v>
      </c>
      <c r="J149" t="s">
        <v>1516</v>
      </c>
      <c r="K149" t="s">
        <v>73</v>
      </c>
      <c r="L149" s="3">
        <v>46125</v>
      </c>
      <c r="M149" s="3">
        <v>45985</v>
      </c>
      <c r="N149" t="s">
        <v>1959</v>
      </c>
      <c r="O149" s="4">
        <v>0.8</v>
      </c>
      <c r="P149">
        <v>0</v>
      </c>
      <c r="Q149">
        <v>1</v>
      </c>
    </row>
    <row r="150" spans="1:17" x14ac:dyDescent="0.25">
      <c r="A150">
        <v>22052</v>
      </c>
      <c r="B150" t="s">
        <v>1661</v>
      </c>
      <c r="C150" t="s">
        <v>1954</v>
      </c>
      <c r="D150" s="3">
        <v>23387</v>
      </c>
      <c r="E150" t="s">
        <v>1401</v>
      </c>
      <c r="F150">
        <v>131</v>
      </c>
      <c r="G150" s="3">
        <v>39538</v>
      </c>
      <c r="H150" t="s">
        <v>1960</v>
      </c>
      <c r="I150">
        <v>93306518</v>
      </c>
      <c r="J150" t="s">
        <v>1524</v>
      </c>
      <c r="K150" t="s">
        <v>70</v>
      </c>
      <c r="L150" s="3">
        <v>47616</v>
      </c>
      <c r="M150" s="3">
        <v>47568</v>
      </c>
      <c r="N150" t="s">
        <v>1961</v>
      </c>
      <c r="O150" s="4">
        <v>0.8</v>
      </c>
      <c r="P150">
        <v>0</v>
      </c>
      <c r="Q150">
        <v>0</v>
      </c>
    </row>
    <row r="151" spans="1:17" x14ac:dyDescent="0.25">
      <c r="A151">
        <v>19087</v>
      </c>
      <c r="B151" t="s">
        <v>1962</v>
      </c>
      <c r="C151" t="s">
        <v>1954</v>
      </c>
      <c r="D151" s="3">
        <v>29547</v>
      </c>
      <c r="E151" t="s">
        <v>1401</v>
      </c>
      <c r="F151">
        <v>562</v>
      </c>
      <c r="G151" s="3">
        <v>38789</v>
      </c>
      <c r="H151" t="s">
        <v>1963</v>
      </c>
      <c r="J151" t="s">
        <v>1659</v>
      </c>
      <c r="K151" t="s">
        <v>58</v>
      </c>
      <c r="L151" s="3">
        <v>47635</v>
      </c>
      <c r="M151" s="3">
        <v>47608</v>
      </c>
      <c r="N151" t="s">
        <v>1964</v>
      </c>
      <c r="O151" s="4">
        <v>1</v>
      </c>
      <c r="P151">
        <v>0</v>
      </c>
      <c r="Q151">
        <v>1</v>
      </c>
    </row>
    <row r="152" spans="1:17" x14ac:dyDescent="0.25">
      <c r="A152">
        <v>16094</v>
      </c>
      <c r="B152" t="s">
        <v>1965</v>
      </c>
      <c r="C152" t="s">
        <v>1954</v>
      </c>
      <c r="D152" s="3">
        <v>24895</v>
      </c>
      <c r="E152" t="s">
        <v>1401</v>
      </c>
      <c r="F152">
        <v>579</v>
      </c>
      <c r="G152" s="3">
        <v>37830</v>
      </c>
      <c r="H152" t="s">
        <v>1966</v>
      </c>
      <c r="J152" t="s">
        <v>1524</v>
      </c>
      <c r="K152" t="s">
        <v>64</v>
      </c>
      <c r="L152" s="3">
        <v>47678</v>
      </c>
      <c r="M152" s="3">
        <v>46686</v>
      </c>
      <c r="N152" t="s">
        <v>1967</v>
      </c>
      <c r="O152" s="4">
        <v>0.8</v>
      </c>
      <c r="P152">
        <v>0</v>
      </c>
      <c r="Q152">
        <v>0</v>
      </c>
    </row>
    <row r="153" spans="1:17" x14ac:dyDescent="0.25">
      <c r="A153">
        <v>15219</v>
      </c>
      <c r="B153" t="s">
        <v>1968</v>
      </c>
      <c r="C153" t="s">
        <v>1954</v>
      </c>
      <c r="D153" s="3">
        <v>29607</v>
      </c>
      <c r="E153" t="s">
        <v>1401</v>
      </c>
      <c r="F153">
        <v>314</v>
      </c>
      <c r="G153" s="3">
        <v>37543</v>
      </c>
      <c r="H153" t="s">
        <v>1969</v>
      </c>
      <c r="J153" t="s">
        <v>1507</v>
      </c>
      <c r="K153" t="s">
        <v>55</v>
      </c>
      <c r="L153" s="3">
        <v>72686</v>
      </c>
      <c r="M153" s="3">
        <v>46693</v>
      </c>
      <c r="N153" t="s">
        <v>1970</v>
      </c>
      <c r="O153" s="4">
        <v>0.8</v>
      </c>
      <c r="P153">
        <v>0</v>
      </c>
      <c r="Q153">
        <v>1</v>
      </c>
    </row>
    <row r="154" spans="1:17" x14ac:dyDescent="0.25">
      <c r="A154">
        <v>36507</v>
      </c>
      <c r="B154" t="s">
        <v>1971</v>
      </c>
      <c r="C154" t="s">
        <v>1972</v>
      </c>
      <c r="D154" s="3">
        <v>25171</v>
      </c>
      <c r="E154" t="s">
        <v>1401</v>
      </c>
      <c r="G154" s="3">
        <v>44347</v>
      </c>
      <c r="H154" t="s">
        <v>1973</v>
      </c>
      <c r="J154" t="s">
        <v>1419</v>
      </c>
      <c r="K154" t="s">
        <v>67</v>
      </c>
      <c r="L154" s="3">
        <v>46190</v>
      </c>
      <c r="M154" s="3">
        <v>46119</v>
      </c>
      <c r="N154" t="s">
        <v>1974</v>
      </c>
      <c r="O154" s="4">
        <v>1</v>
      </c>
      <c r="P154">
        <v>0</v>
      </c>
      <c r="Q154">
        <v>1</v>
      </c>
    </row>
    <row r="155" spans="1:17" x14ac:dyDescent="0.25">
      <c r="A155">
        <v>40422</v>
      </c>
      <c r="B155" t="s">
        <v>1975</v>
      </c>
      <c r="C155" t="s">
        <v>1976</v>
      </c>
      <c r="D155" s="3">
        <v>20716</v>
      </c>
      <c r="E155" t="s">
        <v>1401</v>
      </c>
      <c r="G155" s="3">
        <v>45407</v>
      </c>
      <c r="H155" t="s">
        <v>1977</v>
      </c>
      <c r="J155" t="s">
        <v>1978</v>
      </c>
      <c r="K155" t="s">
        <v>73</v>
      </c>
      <c r="L155" s="3">
        <v>1</v>
      </c>
      <c r="M155" s="3">
        <v>1</v>
      </c>
      <c r="N155" t="s">
        <v>1979</v>
      </c>
      <c r="O155" s="4">
        <v>1</v>
      </c>
      <c r="P155">
        <v>0</v>
      </c>
      <c r="Q155">
        <v>0</v>
      </c>
    </row>
    <row r="156" spans="1:17" x14ac:dyDescent="0.25">
      <c r="A156">
        <v>33488</v>
      </c>
      <c r="B156" t="s">
        <v>1980</v>
      </c>
      <c r="C156" t="s">
        <v>1981</v>
      </c>
      <c r="D156" s="3">
        <v>34182</v>
      </c>
      <c r="E156" t="s">
        <v>1401</v>
      </c>
      <c r="F156">
        <v>430</v>
      </c>
      <c r="G156" s="3">
        <v>43486</v>
      </c>
      <c r="H156" t="s">
        <v>1982</v>
      </c>
      <c r="J156" t="s">
        <v>1419</v>
      </c>
      <c r="K156" t="s">
        <v>58</v>
      </c>
      <c r="L156" s="3">
        <v>47139</v>
      </c>
      <c r="M156" s="3">
        <v>46897</v>
      </c>
      <c r="N156" t="s">
        <v>1983</v>
      </c>
      <c r="O156" s="4">
        <v>0.8</v>
      </c>
      <c r="P156">
        <v>0</v>
      </c>
      <c r="Q156">
        <v>1</v>
      </c>
    </row>
    <row r="157" spans="1:17" x14ac:dyDescent="0.25">
      <c r="A157">
        <v>35862</v>
      </c>
      <c r="B157" t="s">
        <v>1984</v>
      </c>
      <c r="C157" t="s">
        <v>1985</v>
      </c>
      <c r="D157" s="3">
        <v>23710</v>
      </c>
      <c r="E157" t="s">
        <v>1401</v>
      </c>
      <c r="F157">
        <v>224</v>
      </c>
      <c r="G157" s="3">
        <v>44123</v>
      </c>
      <c r="H157" t="s">
        <v>1986</v>
      </c>
      <c r="I157" t="s">
        <v>1987</v>
      </c>
      <c r="J157" t="s">
        <v>1414</v>
      </c>
      <c r="K157" t="s">
        <v>70</v>
      </c>
      <c r="L157" s="3">
        <v>47573</v>
      </c>
      <c r="M157" s="3">
        <v>47533</v>
      </c>
      <c r="N157" t="s">
        <v>1988</v>
      </c>
      <c r="O157" s="4">
        <v>1</v>
      </c>
      <c r="P157">
        <v>0</v>
      </c>
      <c r="Q157">
        <v>1</v>
      </c>
    </row>
    <row r="158" spans="1:17" x14ac:dyDescent="0.25">
      <c r="A158">
        <v>33640</v>
      </c>
      <c r="B158" t="s">
        <v>1989</v>
      </c>
      <c r="C158" t="s">
        <v>1985</v>
      </c>
      <c r="D158" s="3">
        <v>25094</v>
      </c>
      <c r="E158" t="s">
        <v>1401</v>
      </c>
      <c r="F158">
        <v>167</v>
      </c>
      <c r="G158" s="3">
        <v>43528</v>
      </c>
      <c r="H158" t="s">
        <v>1990</v>
      </c>
      <c r="I158">
        <v>486762575</v>
      </c>
      <c r="J158" t="s">
        <v>1447</v>
      </c>
      <c r="K158" t="s">
        <v>67</v>
      </c>
      <c r="L158" s="3">
        <v>47141</v>
      </c>
      <c r="M158" s="3">
        <v>47141</v>
      </c>
      <c r="N158" t="s">
        <v>1991</v>
      </c>
      <c r="O158" s="4">
        <v>1</v>
      </c>
      <c r="P158">
        <v>0</v>
      </c>
      <c r="Q158">
        <v>0</v>
      </c>
    </row>
    <row r="159" spans="1:17" x14ac:dyDescent="0.25">
      <c r="A159">
        <v>32369</v>
      </c>
      <c r="B159" t="s">
        <v>1992</v>
      </c>
      <c r="C159" t="s">
        <v>1985</v>
      </c>
      <c r="D159" s="3">
        <v>25527</v>
      </c>
      <c r="E159" t="s">
        <v>1401</v>
      </c>
      <c r="F159">
        <v>60</v>
      </c>
      <c r="G159" s="3">
        <v>43108</v>
      </c>
      <c r="H159" t="s">
        <v>1993</v>
      </c>
      <c r="I159" t="s">
        <v>1994</v>
      </c>
      <c r="J159" t="s">
        <v>1460</v>
      </c>
      <c r="K159" t="s">
        <v>58</v>
      </c>
      <c r="L159" s="3">
        <v>46593</v>
      </c>
      <c r="M159" s="3">
        <v>46546</v>
      </c>
      <c r="N159" t="s">
        <v>1995</v>
      </c>
      <c r="O159" s="4">
        <v>0.8</v>
      </c>
      <c r="P159">
        <v>0</v>
      </c>
      <c r="Q159">
        <v>0</v>
      </c>
    </row>
    <row r="160" spans="1:17" x14ac:dyDescent="0.25">
      <c r="A160">
        <v>21582</v>
      </c>
      <c r="B160" t="s">
        <v>1996</v>
      </c>
      <c r="C160" t="s">
        <v>1985</v>
      </c>
      <c r="D160" s="3">
        <v>24762</v>
      </c>
      <c r="E160" t="s">
        <v>1401</v>
      </c>
      <c r="F160">
        <v>317</v>
      </c>
      <c r="G160" s="3">
        <v>39433</v>
      </c>
      <c r="H160" t="s">
        <v>1997</v>
      </c>
      <c r="K160" t="s">
        <v>67</v>
      </c>
      <c r="L160" s="3">
        <v>72686</v>
      </c>
      <c r="M160" s="3">
        <v>47338</v>
      </c>
      <c r="N160" t="s">
        <v>1998</v>
      </c>
      <c r="O160" s="4">
        <v>0.8</v>
      </c>
      <c r="P160">
        <v>0</v>
      </c>
      <c r="Q160">
        <v>1</v>
      </c>
    </row>
    <row r="161" spans="1:17" x14ac:dyDescent="0.25">
      <c r="A161">
        <v>21506</v>
      </c>
      <c r="B161" t="s">
        <v>1999</v>
      </c>
      <c r="C161" t="s">
        <v>1985</v>
      </c>
      <c r="D161" s="3">
        <v>22969</v>
      </c>
      <c r="E161" t="s">
        <v>1401</v>
      </c>
      <c r="F161">
        <v>166</v>
      </c>
      <c r="G161" s="3">
        <v>39405</v>
      </c>
      <c r="H161" t="s">
        <v>2000</v>
      </c>
      <c r="J161" t="s">
        <v>1427</v>
      </c>
      <c r="K161" t="s">
        <v>67</v>
      </c>
      <c r="L161" s="3">
        <v>47602</v>
      </c>
      <c r="M161" s="3">
        <v>46476</v>
      </c>
      <c r="N161" t="s">
        <v>2001</v>
      </c>
      <c r="O161" s="4">
        <v>1</v>
      </c>
      <c r="P161">
        <v>0</v>
      </c>
      <c r="Q161">
        <v>1</v>
      </c>
    </row>
    <row r="162" spans="1:17" x14ac:dyDescent="0.25">
      <c r="A162">
        <v>19848</v>
      </c>
      <c r="B162" t="s">
        <v>2002</v>
      </c>
      <c r="C162" t="s">
        <v>1985</v>
      </c>
      <c r="D162" s="3">
        <v>22573</v>
      </c>
      <c r="E162" t="s">
        <v>1401</v>
      </c>
      <c r="F162">
        <v>353</v>
      </c>
      <c r="G162" s="3">
        <v>38992</v>
      </c>
      <c r="I162">
        <v>92313309</v>
      </c>
      <c r="J162" t="s">
        <v>1481</v>
      </c>
      <c r="K162" t="s">
        <v>67</v>
      </c>
      <c r="L162" s="3">
        <v>72686</v>
      </c>
      <c r="M162" s="3">
        <v>47034</v>
      </c>
      <c r="N162" t="s">
        <v>2003</v>
      </c>
      <c r="O162" s="4">
        <v>1</v>
      </c>
      <c r="P162">
        <v>0</v>
      </c>
      <c r="Q162">
        <v>1</v>
      </c>
    </row>
    <row r="163" spans="1:17" x14ac:dyDescent="0.25">
      <c r="A163">
        <v>16275</v>
      </c>
      <c r="B163" t="s">
        <v>2004</v>
      </c>
      <c r="C163" t="s">
        <v>1985</v>
      </c>
      <c r="D163" s="3">
        <v>25880</v>
      </c>
      <c r="E163" t="s">
        <v>1401</v>
      </c>
      <c r="F163">
        <v>420</v>
      </c>
      <c r="G163" s="3">
        <v>37886</v>
      </c>
      <c r="H163" t="s">
        <v>2005</v>
      </c>
      <c r="J163" t="s">
        <v>1507</v>
      </c>
      <c r="K163" t="s">
        <v>70</v>
      </c>
      <c r="L163" s="3">
        <v>72686</v>
      </c>
      <c r="M163" s="3">
        <v>46820</v>
      </c>
      <c r="N163" t="s">
        <v>2006</v>
      </c>
      <c r="O163" s="4">
        <v>0.8</v>
      </c>
      <c r="P163">
        <v>0</v>
      </c>
      <c r="Q163">
        <v>0</v>
      </c>
    </row>
    <row r="164" spans="1:17" x14ac:dyDescent="0.25">
      <c r="A164">
        <v>15726</v>
      </c>
      <c r="B164" t="s">
        <v>2007</v>
      </c>
      <c r="C164" t="s">
        <v>1985</v>
      </c>
      <c r="D164" s="3">
        <v>29405</v>
      </c>
      <c r="E164" t="s">
        <v>1401</v>
      </c>
      <c r="F164">
        <v>501</v>
      </c>
      <c r="G164" s="3">
        <v>37767</v>
      </c>
      <c r="H164" t="s">
        <v>2008</v>
      </c>
      <c r="J164" t="s">
        <v>1627</v>
      </c>
      <c r="K164" t="s">
        <v>55</v>
      </c>
      <c r="L164" s="3">
        <v>45969</v>
      </c>
      <c r="M164" s="3">
        <v>46686</v>
      </c>
      <c r="N164" t="s">
        <v>2009</v>
      </c>
      <c r="O164" s="4">
        <v>1</v>
      </c>
      <c r="P164">
        <v>0</v>
      </c>
      <c r="Q164">
        <v>1</v>
      </c>
    </row>
    <row r="165" spans="1:17" x14ac:dyDescent="0.25">
      <c r="A165">
        <v>39529</v>
      </c>
      <c r="B165" t="s">
        <v>2010</v>
      </c>
      <c r="C165" t="s">
        <v>2011</v>
      </c>
      <c r="D165" s="3">
        <v>23786</v>
      </c>
      <c r="E165" t="s">
        <v>1401</v>
      </c>
      <c r="G165" s="3">
        <v>45286</v>
      </c>
      <c r="H165" t="s">
        <v>2012</v>
      </c>
      <c r="J165" t="s">
        <v>1611</v>
      </c>
      <c r="K165" t="s">
        <v>61</v>
      </c>
      <c r="L165" s="3">
        <v>45934</v>
      </c>
      <c r="M165" s="3">
        <v>47621</v>
      </c>
      <c r="N165" t="s">
        <v>2013</v>
      </c>
      <c r="O165" s="4">
        <v>0.8</v>
      </c>
      <c r="P165">
        <v>0</v>
      </c>
      <c r="Q165">
        <v>0</v>
      </c>
    </row>
    <row r="166" spans="1:17" x14ac:dyDescent="0.25">
      <c r="A166">
        <v>26197</v>
      </c>
      <c r="B166" t="s">
        <v>2014</v>
      </c>
      <c r="C166" t="s">
        <v>2015</v>
      </c>
      <c r="D166" s="3">
        <v>25815</v>
      </c>
      <c r="E166" t="s">
        <v>1401</v>
      </c>
      <c r="F166">
        <v>8</v>
      </c>
      <c r="G166" s="3">
        <v>40637</v>
      </c>
      <c r="H166" t="s">
        <v>2016</v>
      </c>
      <c r="J166" t="s">
        <v>1477</v>
      </c>
      <c r="K166" t="s">
        <v>61</v>
      </c>
      <c r="L166" s="3">
        <v>46043</v>
      </c>
      <c r="M166" s="3">
        <v>46014</v>
      </c>
      <c r="N166" t="s">
        <v>2017</v>
      </c>
      <c r="O166" s="4">
        <v>1</v>
      </c>
      <c r="P166">
        <v>0</v>
      </c>
      <c r="Q166">
        <v>0</v>
      </c>
    </row>
    <row r="167" spans="1:17" x14ac:dyDescent="0.25">
      <c r="A167">
        <v>11866</v>
      </c>
      <c r="B167" t="s">
        <v>2018</v>
      </c>
      <c r="C167" t="s">
        <v>2019</v>
      </c>
      <c r="D167" s="3">
        <v>25467</v>
      </c>
      <c r="E167" t="s">
        <v>1401</v>
      </c>
      <c r="F167">
        <v>165</v>
      </c>
      <c r="G167" s="3">
        <v>36542</v>
      </c>
      <c r="H167" t="s">
        <v>2020</v>
      </c>
      <c r="J167" t="s">
        <v>1575</v>
      </c>
      <c r="K167" t="s">
        <v>73</v>
      </c>
      <c r="L167" s="3">
        <v>47338</v>
      </c>
      <c r="M167" s="3">
        <v>47251</v>
      </c>
      <c r="N167" t="s">
        <v>2021</v>
      </c>
      <c r="O167" s="4">
        <v>0.8</v>
      </c>
      <c r="P167">
        <v>0</v>
      </c>
      <c r="Q167">
        <v>0</v>
      </c>
    </row>
    <row r="168" spans="1:17" x14ac:dyDescent="0.25">
      <c r="A168">
        <v>6092</v>
      </c>
      <c r="B168" t="s">
        <v>2022</v>
      </c>
      <c r="C168" t="s">
        <v>2019</v>
      </c>
      <c r="D168" s="3">
        <v>23986</v>
      </c>
      <c r="E168" t="s">
        <v>1401</v>
      </c>
      <c r="F168">
        <v>216</v>
      </c>
      <c r="G168" s="3">
        <v>33868</v>
      </c>
      <c r="H168" t="s">
        <v>2023</v>
      </c>
      <c r="I168">
        <v>93285775</v>
      </c>
      <c r="J168" t="s">
        <v>1575</v>
      </c>
      <c r="K168" t="s">
        <v>67</v>
      </c>
      <c r="L168" s="3">
        <v>72686</v>
      </c>
      <c r="M168" s="3">
        <v>72686</v>
      </c>
      <c r="N168" t="s">
        <v>2024</v>
      </c>
      <c r="O168" s="4">
        <v>0.8</v>
      </c>
      <c r="P168">
        <v>0</v>
      </c>
      <c r="Q168">
        <v>0</v>
      </c>
    </row>
    <row r="169" spans="1:17" x14ac:dyDescent="0.25">
      <c r="A169">
        <v>31361</v>
      </c>
      <c r="B169" t="s">
        <v>2025</v>
      </c>
      <c r="C169" t="s">
        <v>2019</v>
      </c>
      <c r="D169" s="3">
        <v>28695</v>
      </c>
      <c r="E169" t="s">
        <v>1401</v>
      </c>
      <c r="F169">
        <v>228</v>
      </c>
      <c r="G169" s="3">
        <v>42751</v>
      </c>
      <c r="H169" t="s">
        <v>2026</v>
      </c>
      <c r="J169" t="s">
        <v>1419</v>
      </c>
      <c r="K169" t="s">
        <v>58</v>
      </c>
      <c r="L169" s="3">
        <v>46754</v>
      </c>
      <c r="M169" s="3">
        <v>46960</v>
      </c>
      <c r="N169" t="s">
        <v>2027</v>
      </c>
      <c r="O169" s="4">
        <v>1</v>
      </c>
      <c r="P169">
        <v>0</v>
      </c>
      <c r="Q169">
        <v>0</v>
      </c>
    </row>
    <row r="170" spans="1:17" x14ac:dyDescent="0.25">
      <c r="A170">
        <v>26331</v>
      </c>
      <c r="B170" t="s">
        <v>2028</v>
      </c>
      <c r="C170" t="s">
        <v>2019</v>
      </c>
      <c r="D170" s="3">
        <v>23837</v>
      </c>
      <c r="E170" t="s">
        <v>1401</v>
      </c>
      <c r="F170">
        <v>511</v>
      </c>
      <c r="G170" s="3">
        <v>40679</v>
      </c>
      <c r="H170" t="s">
        <v>2029</v>
      </c>
      <c r="J170" t="s">
        <v>1627</v>
      </c>
      <c r="K170" t="s">
        <v>55</v>
      </c>
      <c r="L170" s="3">
        <v>46162</v>
      </c>
      <c r="M170" s="3">
        <v>47337</v>
      </c>
      <c r="N170" t="s">
        <v>2030</v>
      </c>
      <c r="O170" s="4">
        <v>0.8</v>
      </c>
      <c r="P170">
        <v>0</v>
      </c>
      <c r="Q170">
        <v>0</v>
      </c>
    </row>
    <row r="171" spans="1:17" x14ac:dyDescent="0.25">
      <c r="A171">
        <v>22202</v>
      </c>
      <c r="B171" t="s">
        <v>2031</v>
      </c>
      <c r="C171" t="s">
        <v>2019</v>
      </c>
      <c r="D171" s="3">
        <v>28068</v>
      </c>
      <c r="E171" t="s">
        <v>1401</v>
      </c>
      <c r="F171">
        <v>302</v>
      </c>
      <c r="G171" s="3">
        <v>39573</v>
      </c>
      <c r="H171" t="s">
        <v>2032</v>
      </c>
      <c r="J171" t="s">
        <v>1570</v>
      </c>
      <c r="K171" t="s">
        <v>67</v>
      </c>
      <c r="L171" s="3">
        <v>45886</v>
      </c>
      <c r="M171" s="3">
        <v>46797</v>
      </c>
      <c r="N171" t="s">
        <v>2033</v>
      </c>
      <c r="O171" s="4">
        <v>0.8</v>
      </c>
      <c r="P171">
        <v>1</v>
      </c>
      <c r="Q171">
        <v>1</v>
      </c>
    </row>
    <row r="172" spans="1:17" x14ac:dyDescent="0.25">
      <c r="A172">
        <v>32611</v>
      </c>
      <c r="B172" t="s">
        <v>2034</v>
      </c>
      <c r="C172" t="s">
        <v>2035</v>
      </c>
      <c r="D172" s="3">
        <v>30873</v>
      </c>
      <c r="E172" t="s">
        <v>1401</v>
      </c>
      <c r="F172">
        <v>292</v>
      </c>
      <c r="G172" s="3">
        <v>43178</v>
      </c>
      <c r="H172" t="s">
        <v>2036</v>
      </c>
      <c r="J172" t="s">
        <v>1588</v>
      </c>
      <c r="K172" t="s">
        <v>64</v>
      </c>
      <c r="L172" s="3">
        <v>46685</v>
      </c>
      <c r="M172" s="3">
        <v>46672</v>
      </c>
      <c r="N172" t="s">
        <v>2037</v>
      </c>
      <c r="O172" s="4">
        <v>1</v>
      </c>
      <c r="P172">
        <v>0</v>
      </c>
      <c r="Q172">
        <v>1</v>
      </c>
    </row>
    <row r="173" spans="1:17" x14ac:dyDescent="0.25">
      <c r="A173">
        <v>41619</v>
      </c>
      <c r="B173" t="s">
        <v>2038</v>
      </c>
      <c r="C173" t="s">
        <v>2039</v>
      </c>
      <c r="D173" s="3">
        <v>33204</v>
      </c>
      <c r="E173" t="s">
        <v>1401</v>
      </c>
      <c r="G173" s="3">
        <v>45770</v>
      </c>
      <c r="H173" t="s">
        <v>2040</v>
      </c>
      <c r="J173" t="s">
        <v>1409</v>
      </c>
      <c r="K173" t="s">
        <v>55</v>
      </c>
      <c r="L173" s="3">
        <v>47050</v>
      </c>
      <c r="M173" s="3">
        <v>47044</v>
      </c>
      <c r="N173" t="s">
        <v>2041</v>
      </c>
      <c r="O173" s="4">
        <v>1</v>
      </c>
      <c r="P173">
        <v>0</v>
      </c>
      <c r="Q173">
        <v>0</v>
      </c>
    </row>
    <row r="174" spans="1:17" x14ac:dyDescent="0.25">
      <c r="A174">
        <v>42082</v>
      </c>
      <c r="B174" t="s">
        <v>2042</v>
      </c>
      <c r="C174" t="s">
        <v>2043</v>
      </c>
      <c r="D174" s="3">
        <v>37796</v>
      </c>
      <c r="E174" t="s">
        <v>1401</v>
      </c>
      <c r="G174" s="3">
        <v>45853</v>
      </c>
      <c r="H174" t="s">
        <v>2044</v>
      </c>
      <c r="J174" t="s">
        <v>1409</v>
      </c>
      <c r="K174" t="s">
        <v>52</v>
      </c>
      <c r="L174" s="3">
        <v>1</v>
      </c>
      <c r="M174" s="3">
        <v>1</v>
      </c>
      <c r="N174" t="s">
        <v>2045</v>
      </c>
      <c r="O174" s="4">
        <v>1</v>
      </c>
      <c r="P174">
        <v>0</v>
      </c>
      <c r="Q174">
        <v>0</v>
      </c>
    </row>
    <row r="175" spans="1:17" x14ac:dyDescent="0.25">
      <c r="A175">
        <v>28910</v>
      </c>
      <c r="B175" t="s">
        <v>2046</v>
      </c>
      <c r="C175" t="s">
        <v>2047</v>
      </c>
      <c r="D175" s="3">
        <v>30034</v>
      </c>
      <c r="E175" t="s">
        <v>1401</v>
      </c>
      <c r="F175">
        <v>144</v>
      </c>
      <c r="G175" s="3">
        <v>41743</v>
      </c>
      <c r="H175" t="s">
        <v>2048</v>
      </c>
      <c r="J175" t="s">
        <v>1659</v>
      </c>
      <c r="K175" t="s">
        <v>55</v>
      </c>
      <c r="L175" s="3">
        <v>47216</v>
      </c>
      <c r="M175" s="3">
        <v>47195</v>
      </c>
      <c r="N175" t="s">
        <v>2049</v>
      </c>
      <c r="O175" s="4">
        <v>0.8</v>
      </c>
      <c r="P175">
        <v>0</v>
      </c>
      <c r="Q175">
        <v>0</v>
      </c>
    </row>
    <row r="176" spans="1:17" x14ac:dyDescent="0.25">
      <c r="A176">
        <v>41482</v>
      </c>
      <c r="B176" t="s">
        <v>2050</v>
      </c>
      <c r="C176" t="s">
        <v>2051</v>
      </c>
      <c r="D176" s="3">
        <v>28837</v>
      </c>
      <c r="E176" t="s">
        <v>1401</v>
      </c>
      <c r="G176" s="3">
        <v>45735</v>
      </c>
      <c r="H176" t="s">
        <v>2052</v>
      </c>
      <c r="J176" t="s">
        <v>1409</v>
      </c>
      <c r="K176" t="s">
        <v>55</v>
      </c>
      <c r="L176" s="3">
        <v>47579</v>
      </c>
      <c r="M176" s="3">
        <v>47460</v>
      </c>
      <c r="N176" t="s">
        <v>2053</v>
      </c>
      <c r="O176" s="4">
        <v>1</v>
      </c>
      <c r="P176">
        <v>0</v>
      </c>
      <c r="Q176">
        <v>0</v>
      </c>
    </row>
    <row r="177" spans="1:17" x14ac:dyDescent="0.25">
      <c r="A177">
        <v>25873</v>
      </c>
      <c r="B177" t="s">
        <v>2054</v>
      </c>
      <c r="C177" t="s">
        <v>2051</v>
      </c>
      <c r="D177" s="3">
        <v>29202</v>
      </c>
      <c r="E177" t="s">
        <v>1401</v>
      </c>
      <c r="F177">
        <v>105</v>
      </c>
      <c r="G177" s="3">
        <v>40525</v>
      </c>
      <c r="H177" t="s">
        <v>2055</v>
      </c>
      <c r="J177" t="s">
        <v>1659</v>
      </c>
      <c r="K177" t="s">
        <v>58</v>
      </c>
      <c r="L177" s="3">
        <v>45922</v>
      </c>
      <c r="M177" s="3">
        <v>45916</v>
      </c>
      <c r="N177" t="s">
        <v>2056</v>
      </c>
      <c r="O177" s="4">
        <v>0.5</v>
      </c>
      <c r="P177">
        <v>0</v>
      </c>
      <c r="Q177">
        <v>1</v>
      </c>
    </row>
    <row r="178" spans="1:17" x14ac:dyDescent="0.25">
      <c r="A178">
        <v>39532</v>
      </c>
      <c r="B178" t="s">
        <v>2057</v>
      </c>
      <c r="C178" t="s">
        <v>2058</v>
      </c>
      <c r="D178" s="3">
        <v>36632</v>
      </c>
      <c r="E178" t="s">
        <v>1401</v>
      </c>
      <c r="F178">
        <v>87</v>
      </c>
      <c r="G178" s="3">
        <v>45208</v>
      </c>
      <c r="H178" t="s">
        <v>2059</v>
      </c>
      <c r="J178" t="s">
        <v>1409</v>
      </c>
      <c r="K178" t="s">
        <v>61</v>
      </c>
      <c r="L178" s="3">
        <v>47049</v>
      </c>
      <c r="M178" s="3">
        <v>46981</v>
      </c>
      <c r="N178" t="s">
        <v>2060</v>
      </c>
      <c r="O178" s="4">
        <v>1</v>
      </c>
      <c r="P178">
        <v>0</v>
      </c>
      <c r="Q178">
        <v>0</v>
      </c>
    </row>
    <row r="179" spans="1:17" x14ac:dyDescent="0.25">
      <c r="A179">
        <v>31634</v>
      </c>
      <c r="B179" t="s">
        <v>2061</v>
      </c>
      <c r="C179" t="s">
        <v>2062</v>
      </c>
      <c r="D179" s="3">
        <v>34483</v>
      </c>
      <c r="E179" t="s">
        <v>1401</v>
      </c>
      <c r="F179">
        <v>111</v>
      </c>
      <c r="G179" s="3">
        <v>42863</v>
      </c>
      <c r="H179" t="s">
        <v>2063</v>
      </c>
      <c r="J179" t="s">
        <v>1627</v>
      </c>
      <c r="K179" t="s">
        <v>58</v>
      </c>
      <c r="L179" s="3">
        <v>46488</v>
      </c>
      <c r="M179" s="3">
        <v>46469</v>
      </c>
      <c r="N179" t="s">
        <v>2064</v>
      </c>
      <c r="O179" s="4">
        <v>1</v>
      </c>
      <c r="P179">
        <v>0</v>
      </c>
      <c r="Q179">
        <v>0</v>
      </c>
    </row>
    <row r="180" spans="1:17" x14ac:dyDescent="0.25">
      <c r="A180">
        <v>10326</v>
      </c>
      <c r="B180" t="s">
        <v>2065</v>
      </c>
      <c r="C180" t="s">
        <v>2066</v>
      </c>
      <c r="D180" s="3">
        <v>28038</v>
      </c>
      <c r="E180" t="s">
        <v>1401</v>
      </c>
      <c r="F180">
        <v>534</v>
      </c>
      <c r="G180" s="3">
        <v>35948</v>
      </c>
      <c r="H180" t="s">
        <v>2067</v>
      </c>
      <c r="J180" t="s">
        <v>1627</v>
      </c>
      <c r="K180" t="s">
        <v>55</v>
      </c>
      <c r="L180" s="3">
        <v>45928</v>
      </c>
      <c r="M180" s="3">
        <v>46623</v>
      </c>
      <c r="N180" t="s">
        <v>2068</v>
      </c>
      <c r="O180" s="4">
        <v>0.5</v>
      </c>
      <c r="P180">
        <v>0</v>
      </c>
      <c r="Q180">
        <v>0</v>
      </c>
    </row>
    <row r="181" spans="1:17" x14ac:dyDescent="0.25">
      <c r="A181">
        <v>26959</v>
      </c>
      <c r="B181" t="s">
        <v>2069</v>
      </c>
      <c r="C181" t="s">
        <v>2066</v>
      </c>
      <c r="D181" s="3">
        <v>25346</v>
      </c>
      <c r="E181" t="s">
        <v>1401</v>
      </c>
      <c r="F181">
        <v>39</v>
      </c>
      <c r="G181" s="3">
        <v>40861</v>
      </c>
      <c r="H181" t="s">
        <v>2070</v>
      </c>
      <c r="J181" t="s">
        <v>1723</v>
      </c>
      <c r="K181" t="s">
        <v>52</v>
      </c>
      <c r="L181" s="3">
        <v>46259</v>
      </c>
      <c r="M181" s="3">
        <v>46210</v>
      </c>
      <c r="N181" t="s">
        <v>2071</v>
      </c>
      <c r="O181" s="4">
        <v>0.8</v>
      </c>
      <c r="P181">
        <v>0</v>
      </c>
      <c r="Q181">
        <v>0</v>
      </c>
    </row>
    <row r="182" spans="1:17" x14ac:dyDescent="0.25">
      <c r="A182">
        <v>28830</v>
      </c>
      <c r="B182" t="s">
        <v>2072</v>
      </c>
      <c r="C182" t="s">
        <v>2073</v>
      </c>
      <c r="D182" s="3">
        <v>29494</v>
      </c>
      <c r="E182" t="s">
        <v>1401</v>
      </c>
      <c r="F182">
        <v>619</v>
      </c>
      <c r="G182" s="3">
        <v>41722</v>
      </c>
      <c r="H182" t="s">
        <v>2074</v>
      </c>
      <c r="J182" t="s">
        <v>1516</v>
      </c>
      <c r="K182" t="s">
        <v>61</v>
      </c>
      <c r="L182" s="3">
        <v>47108</v>
      </c>
      <c r="M182" s="3">
        <v>47034</v>
      </c>
      <c r="N182" t="s">
        <v>2075</v>
      </c>
      <c r="O182" s="4">
        <v>0.8</v>
      </c>
      <c r="P182">
        <v>0</v>
      </c>
      <c r="Q182">
        <v>0</v>
      </c>
    </row>
    <row r="183" spans="1:17" x14ac:dyDescent="0.25">
      <c r="A183">
        <v>42113</v>
      </c>
      <c r="B183" t="s">
        <v>2076</v>
      </c>
      <c r="C183" t="s">
        <v>2077</v>
      </c>
      <c r="D183" s="3">
        <v>28657</v>
      </c>
      <c r="E183" t="s">
        <v>1401</v>
      </c>
      <c r="G183" s="3">
        <v>45860</v>
      </c>
      <c r="H183" t="s">
        <v>2078</v>
      </c>
      <c r="J183" t="s">
        <v>1409</v>
      </c>
      <c r="K183" t="s">
        <v>67</v>
      </c>
      <c r="L183" s="3">
        <v>1</v>
      </c>
      <c r="M183" s="3">
        <v>1</v>
      </c>
      <c r="N183" t="s">
        <v>2079</v>
      </c>
      <c r="O183" s="4">
        <v>1</v>
      </c>
      <c r="P183">
        <v>0</v>
      </c>
      <c r="Q183">
        <v>0</v>
      </c>
    </row>
    <row r="184" spans="1:17" x14ac:dyDescent="0.25">
      <c r="A184">
        <v>40036</v>
      </c>
      <c r="B184" t="s">
        <v>2080</v>
      </c>
      <c r="C184" t="s">
        <v>2081</v>
      </c>
      <c r="D184" s="3">
        <v>28723</v>
      </c>
      <c r="E184" t="s">
        <v>1401</v>
      </c>
      <c r="G184" s="3">
        <v>45364</v>
      </c>
      <c r="H184" t="s">
        <v>2082</v>
      </c>
      <c r="J184" t="s">
        <v>1409</v>
      </c>
      <c r="K184" t="s">
        <v>52</v>
      </c>
      <c r="L184" s="3">
        <v>47210</v>
      </c>
      <c r="M184" s="3">
        <v>47092</v>
      </c>
      <c r="N184" t="s">
        <v>2083</v>
      </c>
      <c r="O184" s="4">
        <v>1</v>
      </c>
      <c r="P184">
        <v>0</v>
      </c>
      <c r="Q184">
        <v>0</v>
      </c>
    </row>
    <row r="185" spans="1:17" x14ac:dyDescent="0.25">
      <c r="A185">
        <v>41296</v>
      </c>
      <c r="B185" t="s">
        <v>2084</v>
      </c>
      <c r="C185" t="s">
        <v>2085</v>
      </c>
      <c r="D185" s="3">
        <v>36719</v>
      </c>
      <c r="E185" t="s">
        <v>1401</v>
      </c>
      <c r="G185" s="3">
        <v>45618</v>
      </c>
      <c r="H185" t="s">
        <v>2086</v>
      </c>
      <c r="J185" t="s">
        <v>1409</v>
      </c>
      <c r="K185" t="s">
        <v>61</v>
      </c>
      <c r="L185" s="3">
        <v>47462</v>
      </c>
      <c r="M185" s="3">
        <v>47433</v>
      </c>
      <c r="N185" t="s">
        <v>2087</v>
      </c>
      <c r="O185" s="4">
        <v>1</v>
      </c>
      <c r="P185">
        <v>0</v>
      </c>
      <c r="Q185">
        <v>0</v>
      </c>
    </row>
    <row r="186" spans="1:17" x14ac:dyDescent="0.25">
      <c r="A186">
        <v>31111</v>
      </c>
      <c r="B186" t="s">
        <v>2088</v>
      </c>
      <c r="C186" t="s">
        <v>2089</v>
      </c>
      <c r="D186" s="3">
        <v>28962</v>
      </c>
      <c r="E186" t="s">
        <v>1401</v>
      </c>
      <c r="F186">
        <v>419</v>
      </c>
      <c r="G186" s="3">
        <v>42604</v>
      </c>
      <c r="H186" t="s">
        <v>2090</v>
      </c>
      <c r="I186">
        <v>486365426</v>
      </c>
      <c r="J186" t="s">
        <v>1433</v>
      </c>
      <c r="K186" t="s">
        <v>58</v>
      </c>
      <c r="L186" s="3">
        <v>46316</v>
      </c>
      <c r="M186" s="3">
        <v>46181</v>
      </c>
      <c r="N186" t="s">
        <v>2091</v>
      </c>
      <c r="O186" s="4">
        <v>1</v>
      </c>
      <c r="P186">
        <v>0</v>
      </c>
      <c r="Q186">
        <v>1</v>
      </c>
    </row>
    <row r="187" spans="1:17" x14ac:dyDescent="0.25">
      <c r="A187">
        <v>28794</v>
      </c>
      <c r="B187" t="s">
        <v>2092</v>
      </c>
      <c r="C187" t="s">
        <v>2093</v>
      </c>
      <c r="D187" s="3">
        <v>31809</v>
      </c>
      <c r="E187" t="s">
        <v>1401</v>
      </c>
      <c r="F187">
        <v>41</v>
      </c>
      <c r="G187" s="3">
        <v>41701</v>
      </c>
      <c r="H187" t="s">
        <v>2094</v>
      </c>
      <c r="J187" t="s">
        <v>1588</v>
      </c>
      <c r="K187" t="s">
        <v>73</v>
      </c>
      <c r="L187" s="3">
        <v>47128</v>
      </c>
      <c r="M187" s="3">
        <v>47077</v>
      </c>
      <c r="N187" t="s">
        <v>2095</v>
      </c>
      <c r="O187" s="4">
        <v>0.8</v>
      </c>
      <c r="P187">
        <v>0</v>
      </c>
      <c r="Q187">
        <v>1</v>
      </c>
    </row>
    <row r="188" spans="1:17" x14ac:dyDescent="0.25">
      <c r="A188">
        <v>11508</v>
      </c>
      <c r="B188" t="s">
        <v>2096</v>
      </c>
      <c r="C188" t="s">
        <v>2097</v>
      </c>
      <c r="D188" s="3">
        <v>27991</v>
      </c>
      <c r="E188" t="s">
        <v>1401</v>
      </c>
      <c r="F188">
        <v>333</v>
      </c>
      <c r="G188" s="3">
        <v>36388</v>
      </c>
      <c r="H188" t="s">
        <v>2098</v>
      </c>
      <c r="I188">
        <v>92324068</v>
      </c>
      <c r="J188" t="s">
        <v>1520</v>
      </c>
      <c r="K188" t="s">
        <v>73</v>
      </c>
      <c r="L188" s="3">
        <v>47639</v>
      </c>
      <c r="M188" s="3">
        <v>46974</v>
      </c>
      <c r="N188" t="s">
        <v>2099</v>
      </c>
      <c r="O188" s="4">
        <v>1</v>
      </c>
      <c r="P188">
        <v>0</v>
      </c>
      <c r="Q188">
        <v>0</v>
      </c>
    </row>
    <row r="189" spans="1:17" x14ac:dyDescent="0.25">
      <c r="A189">
        <v>37600</v>
      </c>
      <c r="B189" t="s">
        <v>2100</v>
      </c>
      <c r="C189" t="s">
        <v>2097</v>
      </c>
      <c r="D189" s="3">
        <v>29705</v>
      </c>
      <c r="E189" t="s">
        <v>1401</v>
      </c>
      <c r="G189" s="3">
        <v>44704</v>
      </c>
      <c r="H189" t="s">
        <v>2101</v>
      </c>
      <c r="J189" t="s">
        <v>1460</v>
      </c>
      <c r="K189" t="s">
        <v>73</v>
      </c>
      <c r="L189" s="3">
        <v>46546</v>
      </c>
      <c r="M189" s="3">
        <v>46497</v>
      </c>
      <c r="N189" t="s">
        <v>2102</v>
      </c>
      <c r="O189" s="4">
        <v>1</v>
      </c>
      <c r="P189">
        <v>0</v>
      </c>
      <c r="Q189">
        <v>0</v>
      </c>
    </row>
    <row r="190" spans="1:17" x14ac:dyDescent="0.25">
      <c r="A190">
        <v>36425</v>
      </c>
      <c r="B190" t="s">
        <v>2103</v>
      </c>
      <c r="C190" t="s">
        <v>2097</v>
      </c>
      <c r="D190" s="3">
        <v>27833</v>
      </c>
      <c r="E190" t="s">
        <v>1401</v>
      </c>
      <c r="G190" s="3">
        <v>44333</v>
      </c>
      <c r="H190" t="s">
        <v>2104</v>
      </c>
      <c r="J190" t="s">
        <v>1419</v>
      </c>
      <c r="K190" t="s">
        <v>58</v>
      </c>
      <c r="L190" s="3">
        <v>46175</v>
      </c>
      <c r="M190" s="3">
        <v>45936</v>
      </c>
      <c r="N190" t="s">
        <v>2105</v>
      </c>
      <c r="O190" s="4">
        <v>1</v>
      </c>
      <c r="P190">
        <v>0</v>
      </c>
      <c r="Q190">
        <v>1</v>
      </c>
    </row>
    <row r="191" spans="1:17" x14ac:dyDescent="0.25">
      <c r="A191">
        <v>41786</v>
      </c>
      <c r="B191" t="s">
        <v>2106</v>
      </c>
      <c r="C191" t="s">
        <v>2107</v>
      </c>
      <c r="D191" s="3">
        <v>34724</v>
      </c>
      <c r="E191" t="s">
        <v>1401</v>
      </c>
      <c r="G191" s="3">
        <v>45763</v>
      </c>
      <c r="H191" t="s">
        <v>2108</v>
      </c>
      <c r="J191" t="s">
        <v>1409</v>
      </c>
      <c r="K191" t="s">
        <v>61</v>
      </c>
      <c r="L191" s="3">
        <v>47611</v>
      </c>
      <c r="M191" s="3">
        <v>47561</v>
      </c>
      <c r="N191" t="s">
        <v>2109</v>
      </c>
      <c r="O191" s="4">
        <v>1</v>
      </c>
      <c r="P191">
        <v>0</v>
      </c>
      <c r="Q191">
        <v>0</v>
      </c>
    </row>
    <row r="192" spans="1:17" x14ac:dyDescent="0.25">
      <c r="A192">
        <v>31404</v>
      </c>
      <c r="B192" t="s">
        <v>2110</v>
      </c>
      <c r="C192" t="s">
        <v>2107</v>
      </c>
      <c r="D192" s="3">
        <v>28234</v>
      </c>
      <c r="E192" t="s">
        <v>1657</v>
      </c>
      <c r="F192">
        <v>62</v>
      </c>
      <c r="G192" s="3">
        <v>42758</v>
      </c>
      <c r="H192" t="s">
        <v>2111</v>
      </c>
      <c r="J192" t="s">
        <v>1588</v>
      </c>
      <c r="K192" t="s">
        <v>52</v>
      </c>
      <c r="L192" s="3">
        <v>46330</v>
      </c>
      <c r="M192" s="3">
        <v>46320</v>
      </c>
      <c r="N192" t="s">
        <v>2112</v>
      </c>
      <c r="O192" s="4">
        <v>1</v>
      </c>
      <c r="P192">
        <v>0</v>
      </c>
      <c r="Q192">
        <v>0</v>
      </c>
    </row>
    <row r="193" spans="1:17" x14ac:dyDescent="0.25">
      <c r="A193">
        <v>40938</v>
      </c>
      <c r="B193" t="s">
        <v>2113</v>
      </c>
      <c r="C193" t="s">
        <v>2114</v>
      </c>
      <c r="D193" s="3">
        <v>31961</v>
      </c>
      <c r="E193" t="s">
        <v>1401</v>
      </c>
      <c r="G193" s="3">
        <v>45530</v>
      </c>
      <c r="H193" t="s">
        <v>2115</v>
      </c>
      <c r="J193" t="s">
        <v>1409</v>
      </c>
      <c r="K193" t="s">
        <v>52</v>
      </c>
      <c r="L193" s="3">
        <v>47463</v>
      </c>
      <c r="M193" s="3">
        <v>46678</v>
      </c>
      <c r="N193" t="s">
        <v>2116</v>
      </c>
      <c r="O193" s="4">
        <v>1</v>
      </c>
      <c r="P193">
        <v>0</v>
      </c>
      <c r="Q193">
        <v>0</v>
      </c>
    </row>
    <row r="194" spans="1:17" x14ac:dyDescent="0.25">
      <c r="A194">
        <v>37564</v>
      </c>
      <c r="B194" t="s">
        <v>2117</v>
      </c>
      <c r="C194" t="s">
        <v>2118</v>
      </c>
      <c r="D194" s="3">
        <v>37200</v>
      </c>
      <c r="E194" t="s">
        <v>1401</v>
      </c>
      <c r="G194" s="3">
        <v>44683</v>
      </c>
      <c r="H194" t="s">
        <v>2119</v>
      </c>
      <c r="J194" t="s">
        <v>1409</v>
      </c>
      <c r="K194" t="s">
        <v>58</v>
      </c>
      <c r="L194" s="3">
        <v>46524</v>
      </c>
      <c r="M194" s="3">
        <v>46476</v>
      </c>
      <c r="N194" t="s">
        <v>2120</v>
      </c>
      <c r="O194" s="4">
        <v>0.5</v>
      </c>
      <c r="P194">
        <v>0</v>
      </c>
      <c r="Q194">
        <v>0</v>
      </c>
    </row>
    <row r="195" spans="1:17" x14ac:dyDescent="0.25">
      <c r="A195">
        <v>16623</v>
      </c>
      <c r="B195" t="s">
        <v>2121</v>
      </c>
      <c r="C195" t="s">
        <v>2122</v>
      </c>
      <c r="D195" s="3">
        <v>25363</v>
      </c>
      <c r="E195" t="s">
        <v>1401</v>
      </c>
      <c r="F195">
        <v>560</v>
      </c>
      <c r="G195" s="3">
        <v>38019</v>
      </c>
      <c r="H195" t="s">
        <v>2123</v>
      </c>
      <c r="J195" t="s">
        <v>1524</v>
      </c>
      <c r="K195" t="s">
        <v>58</v>
      </c>
      <c r="L195" s="3">
        <v>45865</v>
      </c>
      <c r="M195" s="3">
        <v>46827</v>
      </c>
      <c r="N195" t="s">
        <v>2124</v>
      </c>
      <c r="O195" s="4">
        <v>0.5</v>
      </c>
      <c r="P195">
        <v>0</v>
      </c>
      <c r="Q195">
        <v>0</v>
      </c>
    </row>
    <row r="196" spans="1:17" x14ac:dyDescent="0.25">
      <c r="A196">
        <v>39101</v>
      </c>
      <c r="B196" t="s">
        <v>2125</v>
      </c>
      <c r="C196" t="s">
        <v>2126</v>
      </c>
      <c r="D196" s="3">
        <v>29763</v>
      </c>
      <c r="E196" t="s">
        <v>1401</v>
      </c>
      <c r="G196" s="3">
        <v>45076</v>
      </c>
      <c r="H196" t="s">
        <v>2127</v>
      </c>
      <c r="J196" t="s">
        <v>1409</v>
      </c>
      <c r="K196" t="s">
        <v>61</v>
      </c>
      <c r="L196" s="3">
        <v>47048</v>
      </c>
      <c r="M196" s="3">
        <v>46959</v>
      </c>
      <c r="N196" t="s">
        <v>2128</v>
      </c>
      <c r="O196" s="4">
        <v>1</v>
      </c>
      <c r="P196">
        <v>0</v>
      </c>
      <c r="Q196">
        <v>0</v>
      </c>
    </row>
    <row r="197" spans="1:17" x14ac:dyDescent="0.25">
      <c r="A197">
        <v>37808</v>
      </c>
      <c r="B197" t="s">
        <v>2129</v>
      </c>
      <c r="C197" t="s">
        <v>2126</v>
      </c>
      <c r="D197" s="3">
        <v>29946</v>
      </c>
      <c r="E197" t="s">
        <v>1401</v>
      </c>
      <c r="G197" s="3">
        <v>44795</v>
      </c>
      <c r="H197" t="s">
        <v>2130</v>
      </c>
      <c r="J197" t="s">
        <v>1404</v>
      </c>
      <c r="K197" t="s">
        <v>58</v>
      </c>
      <c r="L197" s="3">
        <v>46637</v>
      </c>
      <c r="M197" s="3">
        <v>46504</v>
      </c>
      <c r="N197" t="s">
        <v>2131</v>
      </c>
      <c r="O197" s="4">
        <v>1</v>
      </c>
      <c r="P197">
        <v>0</v>
      </c>
      <c r="Q197">
        <v>0</v>
      </c>
    </row>
    <row r="198" spans="1:17" x14ac:dyDescent="0.25">
      <c r="A198">
        <v>37439</v>
      </c>
      <c r="B198" t="s">
        <v>2132</v>
      </c>
      <c r="C198" t="s">
        <v>2126</v>
      </c>
      <c r="D198" s="3">
        <v>35810</v>
      </c>
      <c r="E198" t="s">
        <v>1401</v>
      </c>
      <c r="G198" s="3">
        <v>44655</v>
      </c>
      <c r="H198" t="s">
        <v>2133</v>
      </c>
      <c r="J198" t="s">
        <v>1409</v>
      </c>
      <c r="K198" t="s">
        <v>64</v>
      </c>
      <c r="L198" s="3">
        <v>46497</v>
      </c>
      <c r="M198" s="3">
        <v>46445</v>
      </c>
      <c r="N198" t="s">
        <v>2134</v>
      </c>
      <c r="O198" s="4">
        <v>1</v>
      </c>
      <c r="P198">
        <v>0</v>
      </c>
      <c r="Q198">
        <v>0</v>
      </c>
    </row>
    <row r="199" spans="1:17" x14ac:dyDescent="0.25">
      <c r="A199">
        <v>35005</v>
      </c>
      <c r="B199" t="s">
        <v>2135</v>
      </c>
      <c r="C199" t="s">
        <v>2126</v>
      </c>
      <c r="D199" s="3">
        <v>31020</v>
      </c>
      <c r="E199" t="s">
        <v>1401</v>
      </c>
      <c r="F199">
        <v>450</v>
      </c>
      <c r="G199" s="3">
        <v>43850</v>
      </c>
      <c r="H199" t="s">
        <v>2136</v>
      </c>
      <c r="J199" t="s">
        <v>1460</v>
      </c>
      <c r="K199" t="s">
        <v>55</v>
      </c>
      <c r="L199" s="3">
        <v>47239</v>
      </c>
      <c r="M199" s="3">
        <v>47237</v>
      </c>
      <c r="N199" t="s">
        <v>2137</v>
      </c>
      <c r="O199" s="4">
        <v>1</v>
      </c>
      <c r="P199">
        <v>0</v>
      </c>
      <c r="Q199">
        <v>1</v>
      </c>
    </row>
    <row r="200" spans="1:17" x14ac:dyDescent="0.25">
      <c r="A200">
        <v>30623</v>
      </c>
      <c r="B200" t="s">
        <v>2046</v>
      </c>
      <c r="C200" t="s">
        <v>2126</v>
      </c>
      <c r="D200" s="3">
        <v>25613</v>
      </c>
      <c r="E200" t="s">
        <v>1401</v>
      </c>
      <c r="F200">
        <v>51</v>
      </c>
      <c r="G200" s="3">
        <v>42429</v>
      </c>
      <c r="H200" t="s">
        <v>2138</v>
      </c>
      <c r="J200" t="s">
        <v>1588</v>
      </c>
      <c r="K200" t="s">
        <v>64</v>
      </c>
      <c r="L200" s="3">
        <v>45966</v>
      </c>
      <c r="M200" s="3">
        <v>45958</v>
      </c>
      <c r="N200" t="s">
        <v>2139</v>
      </c>
      <c r="O200" s="4">
        <v>1</v>
      </c>
      <c r="P200">
        <v>0</v>
      </c>
      <c r="Q200">
        <v>1</v>
      </c>
    </row>
    <row r="201" spans="1:17" x14ac:dyDescent="0.25">
      <c r="A201">
        <v>23543</v>
      </c>
      <c r="B201" t="s">
        <v>2140</v>
      </c>
      <c r="C201" t="s">
        <v>2126</v>
      </c>
      <c r="D201" s="3">
        <v>30706</v>
      </c>
      <c r="E201" t="s">
        <v>1401</v>
      </c>
      <c r="F201">
        <v>427</v>
      </c>
      <c r="G201" s="3">
        <v>39895</v>
      </c>
      <c r="H201" t="s">
        <v>2141</v>
      </c>
      <c r="J201" t="s">
        <v>1570</v>
      </c>
      <c r="K201" t="s">
        <v>61</v>
      </c>
      <c r="L201" s="3">
        <v>46985</v>
      </c>
      <c r="M201" s="3">
        <v>46981</v>
      </c>
      <c r="N201" t="s">
        <v>2142</v>
      </c>
      <c r="O201" s="4">
        <v>1</v>
      </c>
      <c r="P201">
        <v>0</v>
      </c>
      <c r="Q201">
        <v>1</v>
      </c>
    </row>
    <row r="202" spans="1:17" x14ac:dyDescent="0.25">
      <c r="A202">
        <v>29591</v>
      </c>
      <c r="B202" t="s">
        <v>2143</v>
      </c>
      <c r="C202" t="s">
        <v>2144</v>
      </c>
      <c r="D202" s="3">
        <v>33643</v>
      </c>
      <c r="E202" t="s">
        <v>1401</v>
      </c>
      <c r="F202">
        <v>388</v>
      </c>
      <c r="G202" s="3">
        <v>42023</v>
      </c>
      <c r="H202" t="s">
        <v>2145</v>
      </c>
      <c r="J202" t="s">
        <v>1404</v>
      </c>
      <c r="K202" t="s">
        <v>61</v>
      </c>
      <c r="L202" s="3">
        <v>47399</v>
      </c>
      <c r="M202" s="3">
        <v>47369</v>
      </c>
      <c r="N202" t="s">
        <v>2146</v>
      </c>
      <c r="O202" s="4">
        <v>1</v>
      </c>
      <c r="P202">
        <v>0</v>
      </c>
      <c r="Q202">
        <v>1</v>
      </c>
    </row>
    <row r="203" spans="1:17" x14ac:dyDescent="0.25">
      <c r="A203">
        <v>26266</v>
      </c>
      <c r="B203" t="s">
        <v>2129</v>
      </c>
      <c r="C203" t="s">
        <v>2147</v>
      </c>
      <c r="D203" s="3">
        <v>31706</v>
      </c>
      <c r="E203" t="s">
        <v>1401</v>
      </c>
      <c r="F203">
        <v>36</v>
      </c>
      <c r="G203" s="3">
        <v>40658</v>
      </c>
      <c r="H203" t="s">
        <v>2148</v>
      </c>
      <c r="J203" t="s">
        <v>1477</v>
      </c>
      <c r="K203" t="s">
        <v>58</v>
      </c>
      <c r="L203" s="3">
        <v>72686</v>
      </c>
      <c r="M203" s="3">
        <v>46838</v>
      </c>
      <c r="N203" t="s">
        <v>2149</v>
      </c>
      <c r="O203" s="4">
        <v>0.8</v>
      </c>
      <c r="P203">
        <v>0</v>
      </c>
      <c r="Q203">
        <v>1</v>
      </c>
    </row>
    <row r="204" spans="1:17" x14ac:dyDescent="0.25">
      <c r="A204">
        <v>20954</v>
      </c>
      <c r="B204" t="s">
        <v>2150</v>
      </c>
      <c r="C204" t="s">
        <v>2147</v>
      </c>
      <c r="D204" s="3">
        <v>28705</v>
      </c>
      <c r="E204" t="s">
        <v>1401</v>
      </c>
      <c r="F204">
        <v>244</v>
      </c>
      <c r="G204" s="3">
        <v>39272</v>
      </c>
      <c r="H204" t="s">
        <v>2151</v>
      </c>
      <c r="J204" t="s">
        <v>1427</v>
      </c>
      <c r="K204" t="s">
        <v>70</v>
      </c>
      <c r="L204" s="3">
        <v>46680</v>
      </c>
      <c r="M204" s="3">
        <v>46679</v>
      </c>
      <c r="N204" t="s">
        <v>2152</v>
      </c>
      <c r="O204" s="4">
        <v>1</v>
      </c>
      <c r="P204">
        <v>0</v>
      </c>
      <c r="Q204">
        <v>1</v>
      </c>
    </row>
    <row r="205" spans="1:17" x14ac:dyDescent="0.25">
      <c r="A205">
        <v>39831</v>
      </c>
      <c r="B205" t="s">
        <v>2153</v>
      </c>
      <c r="C205" t="s">
        <v>2154</v>
      </c>
      <c r="D205" s="3">
        <v>35158</v>
      </c>
      <c r="E205" t="s">
        <v>1401</v>
      </c>
      <c r="G205" s="3">
        <v>45264</v>
      </c>
      <c r="H205" t="s">
        <v>2155</v>
      </c>
      <c r="J205" t="s">
        <v>1409</v>
      </c>
      <c r="K205" t="s">
        <v>70</v>
      </c>
      <c r="L205" s="3">
        <v>47106</v>
      </c>
      <c r="M205" s="3">
        <v>47072</v>
      </c>
      <c r="N205" t="s">
        <v>2156</v>
      </c>
      <c r="O205" s="4">
        <v>0.5</v>
      </c>
      <c r="P205">
        <v>0</v>
      </c>
      <c r="Q205">
        <v>0</v>
      </c>
    </row>
    <row r="206" spans="1:17" x14ac:dyDescent="0.25">
      <c r="A206">
        <v>33986</v>
      </c>
      <c r="B206" t="s">
        <v>2157</v>
      </c>
      <c r="C206" t="s">
        <v>2158</v>
      </c>
      <c r="D206" s="3">
        <v>31149</v>
      </c>
      <c r="E206" t="s">
        <v>1401</v>
      </c>
      <c r="F206">
        <v>163</v>
      </c>
      <c r="G206" s="3">
        <v>43605</v>
      </c>
      <c r="H206" t="s">
        <v>2159</v>
      </c>
      <c r="J206" t="s">
        <v>1433</v>
      </c>
      <c r="K206" t="s">
        <v>64</v>
      </c>
      <c r="L206" s="3">
        <v>47162</v>
      </c>
      <c r="M206" s="3">
        <v>47126</v>
      </c>
      <c r="N206" t="s">
        <v>2160</v>
      </c>
      <c r="O206" s="4">
        <v>0.8</v>
      </c>
      <c r="P206">
        <v>0</v>
      </c>
      <c r="Q206">
        <v>1</v>
      </c>
    </row>
    <row r="207" spans="1:17" x14ac:dyDescent="0.25">
      <c r="A207">
        <v>38648</v>
      </c>
      <c r="B207" t="s">
        <v>2161</v>
      </c>
      <c r="C207" t="s">
        <v>2162</v>
      </c>
      <c r="D207" s="3">
        <v>34795</v>
      </c>
      <c r="E207" t="s">
        <v>1401</v>
      </c>
      <c r="G207" s="3">
        <v>45027</v>
      </c>
      <c r="H207" t="s">
        <v>2163</v>
      </c>
      <c r="J207" t="s">
        <v>1409</v>
      </c>
      <c r="K207" t="s">
        <v>73</v>
      </c>
      <c r="L207" s="3">
        <v>46874</v>
      </c>
      <c r="M207" s="3">
        <v>46774</v>
      </c>
      <c r="N207" t="s">
        <v>2164</v>
      </c>
      <c r="O207" s="4">
        <v>1</v>
      </c>
      <c r="P207">
        <v>0</v>
      </c>
      <c r="Q207">
        <v>0</v>
      </c>
    </row>
    <row r="208" spans="1:17" x14ac:dyDescent="0.25">
      <c r="A208">
        <v>39779</v>
      </c>
      <c r="B208" t="s">
        <v>2165</v>
      </c>
      <c r="C208" t="s">
        <v>2166</v>
      </c>
      <c r="D208" s="3">
        <v>33855</v>
      </c>
      <c r="E208" t="s">
        <v>1401</v>
      </c>
      <c r="G208" s="3">
        <v>45250</v>
      </c>
      <c r="H208" t="s">
        <v>2167</v>
      </c>
      <c r="J208" t="s">
        <v>1409</v>
      </c>
      <c r="K208" t="s">
        <v>55</v>
      </c>
      <c r="L208" s="3">
        <v>47093</v>
      </c>
      <c r="M208" s="3">
        <v>47051</v>
      </c>
      <c r="N208" t="s">
        <v>2168</v>
      </c>
      <c r="O208" s="4">
        <v>1</v>
      </c>
      <c r="P208">
        <v>0</v>
      </c>
      <c r="Q208">
        <v>0</v>
      </c>
    </row>
    <row r="209" spans="1:17" x14ac:dyDescent="0.25">
      <c r="A209">
        <v>37179</v>
      </c>
      <c r="B209" t="s">
        <v>2169</v>
      </c>
      <c r="C209" t="s">
        <v>2170</v>
      </c>
      <c r="D209" s="3">
        <v>35029</v>
      </c>
      <c r="E209" t="s">
        <v>1401</v>
      </c>
      <c r="G209" s="3">
        <v>44571</v>
      </c>
      <c r="H209" t="s">
        <v>2171</v>
      </c>
      <c r="J209" t="s">
        <v>1485</v>
      </c>
      <c r="K209" t="s">
        <v>55</v>
      </c>
      <c r="L209" s="3">
        <v>46411</v>
      </c>
      <c r="M209" s="3">
        <v>46340</v>
      </c>
      <c r="N209" t="s">
        <v>2172</v>
      </c>
      <c r="O209" s="4">
        <v>1</v>
      </c>
      <c r="P209">
        <v>0</v>
      </c>
      <c r="Q209">
        <v>1</v>
      </c>
    </row>
    <row r="210" spans="1:17" x14ac:dyDescent="0.25">
      <c r="A210">
        <v>34286</v>
      </c>
      <c r="B210" t="s">
        <v>2173</v>
      </c>
      <c r="C210" t="s">
        <v>2174</v>
      </c>
      <c r="D210" s="3">
        <v>31192</v>
      </c>
      <c r="E210" t="s">
        <v>1401</v>
      </c>
      <c r="F210">
        <v>385</v>
      </c>
      <c r="G210" s="3">
        <v>43724</v>
      </c>
      <c r="H210" t="s">
        <v>2175</v>
      </c>
      <c r="I210">
        <v>485827666</v>
      </c>
      <c r="J210" t="s">
        <v>1442</v>
      </c>
      <c r="K210" t="s">
        <v>67</v>
      </c>
      <c r="L210" s="3">
        <v>47280</v>
      </c>
      <c r="M210" s="3">
        <v>47216</v>
      </c>
      <c r="N210" t="s">
        <v>2176</v>
      </c>
      <c r="O210" s="4">
        <v>1</v>
      </c>
      <c r="P210">
        <v>0</v>
      </c>
      <c r="Q210">
        <v>0</v>
      </c>
    </row>
    <row r="211" spans="1:17" x14ac:dyDescent="0.25">
      <c r="A211">
        <v>21812</v>
      </c>
      <c r="B211" t="s">
        <v>2177</v>
      </c>
      <c r="C211" t="s">
        <v>2178</v>
      </c>
      <c r="D211" s="3">
        <v>29324</v>
      </c>
      <c r="E211" t="s">
        <v>1401</v>
      </c>
      <c r="F211">
        <v>441</v>
      </c>
      <c r="G211" s="3">
        <v>39496</v>
      </c>
      <c r="H211" t="s">
        <v>2179</v>
      </c>
      <c r="J211" t="s">
        <v>1477</v>
      </c>
      <c r="K211" t="s">
        <v>52</v>
      </c>
      <c r="L211" s="3">
        <v>72686</v>
      </c>
      <c r="M211" s="3">
        <v>46672</v>
      </c>
      <c r="N211" t="s">
        <v>2180</v>
      </c>
      <c r="O211" s="4">
        <v>1</v>
      </c>
      <c r="P211">
        <v>0</v>
      </c>
      <c r="Q211">
        <v>1</v>
      </c>
    </row>
    <row r="212" spans="1:17" x14ac:dyDescent="0.25">
      <c r="A212">
        <v>26960</v>
      </c>
      <c r="B212" t="s">
        <v>1416</v>
      </c>
      <c r="C212" t="s">
        <v>2181</v>
      </c>
      <c r="D212" s="3">
        <v>32970</v>
      </c>
      <c r="E212" t="s">
        <v>1401</v>
      </c>
      <c r="F212">
        <v>411</v>
      </c>
      <c r="G212" s="3">
        <v>40861</v>
      </c>
      <c r="I212">
        <v>485002480</v>
      </c>
      <c r="J212" t="s">
        <v>1659</v>
      </c>
      <c r="K212" t="s">
        <v>58</v>
      </c>
      <c r="L212" s="3">
        <v>45952</v>
      </c>
      <c r="M212" s="3">
        <v>45944</v>
      </c>
      <c r="N212" t="s">
        <v>2182</v>
      </c>
      <c r="O212" s="4">
        <v>0.8</v>
      </c>
      <c r="P212">
        <v>0</v>
      </c>
      <c r="Q212">
        <v>0</v>
      </c>
    </row>
    <row r="213" spans="1:17" x14ac:dyDescent="0.25">
      <c r="A213">
        <v>39379</v>
      </c>
      <c r="B213" t="s">
        <v>2183</v>
      </c>
      <c r="C213" t="s">
        <v>2184</v>
      </c>
      <c r="D213" s="3">
        <v>31775</v>
      </c>
      <c r="E213" t="s">
        <v>1401</v>
      </c>
      <c r="F213">
        <v>28</v>
      </c>
      <c r="G213" s="3">
        <v>45194</v>
      </c>
      <c r="H213" t="s">
        <v>2185</v>
      </c>
      <c r="J213" t="s">
        <v>1409</v>
      </c>
      <c r="K213" t="s">
        <v>61</v>
      </c>
      <c r="L213" s="3">
        <v>47036</v>
      </c>
      <c r="M213" s="3">
        <v>46946</v>
      </c>
      <c r="N213" t="s">
        <v>2186</v>
      </c>
      <c r="O213" s="4">
        <v>1</v>
      </c>
      <c r="P213">
        <v>0</v>
      </c>
      <c r="Q213">
        <v>0</v>
      </c>
    </row>
    <row r="214" spans="1:17" x14ac:dyDescent="0.25">
      <c r="A214">
        <v>31150</v>
      </c>
      <c r="B214" t="s">
        <v>2187</v>
      </c>
      <c r="C214" t="s">
        <v>2188</v>
      </c>
      <c r="D214" s="3">
        <v>28226</v>
      </c>
      <c r="E214" t="s">
        <v>1401</v>
      </c>
      <c r="F214">
        <v>33</v>
      </c>
      <c r="G214" s="3">
        <v>42643</v>
      </c>
      <c r="H214" t="s">
        <v>2189</v>
      </c>
      <c r="I214">
        <v>94306073</v>
      </c>
      <c r="J214" t="s">
        <v>1627</v>
      </c>
      <c r="K214" t="s">
        <v>64</v>
      </c>
      <c r="L214" s="3">
        <v>46286</v>
      </c>
      <c r="M214" s="3">
        <v>46187</v>
      </c>
      <c r="N214" t="s">
        <v>2190</v>
      </c>
      <c r="O214" s="4">
        <v>1</v>
      </c>
      <c r="P214">
        <v>0</v>
      </c>
      <c r="Q214">
        <v>0</v>
      </c>
    </row>
    <row r="215" spans="1:17" x14ac:dyDescent="0.25">
      <c r="A215">
        <v>28737</v>
      </c>
      <c r="B215" t="s">
        <v>2191</v>
      </c>
      <c r="C215" t="s">
        <v>2192</v>
      </c>
      <c r="D215" s="3">
        <v>27642</v>
      </c>
      <c r="E215" t="s">
        <v>1401</v>
      </c>
      <c r="F215">
        <v>17</v>
      </c>
      <c r="G215" s="3">
        <v>41680</v>
      </c>
      <c r="H215" t="s">
        <v>2193</v>
      </c>
      <c r="J215" t="s">
        <v>1588</v>
      </c>
      <c r="K215" t="s">
        <v>73</v>
      </c>
      <c r="L215" s="3">
        <v>47174</v>
      </c>
      <c r="M215" s="3">
        <v>47615</v>
      </c>
      <c r="N215" t="s">
        <v>2194</v>
      </c>
      <c r="O215" s="4">
        <v>1</v>
      </c>
      <c r="P215">
        <v>0</v>
      </c>
      <c r="Q215">
        <v>1</v>
      </c>
    </row>
    <row r="216" spans="1:17" x14ac:dyDescent="0.25">
      <c r="A216">
        <v>26521</v>
      </c>
      <c r="B216" t="s">
        <v>2195</v>
      </c>
      <c r="C216" t="s">
        <v>2196</v>
      </c>
      <c r="D216" s="3">
        <v>32073</v>
      </c>
      <c r="E216" t="s">
        <v>1401</v>
      </c>
      <c r="F216">
        <v>307</v>
      </c>
      <c r="G216" s="3">
        <v>40728</v>
      </c>
      <c r="H216" t="s">
        <v>2197</v>
      </c>
      <c r="J216" t="s">
        <v>1481</v>
      </c>
      <c r="K216" t="s">
        <v>58</v>
      </c>
      <c r="L216" s="3">
        <v>72686</v>
      </c>
      <c r="M216" s="3">
        <v>47135</v>
      </c>
      <c r="N216" t="s">
        <v>2198</v>
      </c>
      <c r="O216" s="4">
        <v>0.8</v>
      </c>
      <c r="P216">
        <v>0</v>
      </c>
      <c r="Q216">
        <v>1</v>
      </c>
    </row>
    <row r="217" spans="1:17" x14ac:dyDescent="0.25">
      <c r="A217">
        <v>41838</v>
      </c>
      <c r="B217" t="s">
        <v>2199</v>
      </c>
      <c r="C217" t="s">
        <v>2200</v>
      </c>
      <c r="D217" s="3">
        <v>37565</v>
      </c>
      <c r="E217" t="s">
        <v>1401</v>
      </c>
      <c r="G217" s="3">
        <v>45783</v>
      </c>
      <c r="H217" t="s">
        <v>2201</v>
      </c>
      <c r="J217" t="s">
        <v>1409</v>
      </c>
      <c r="K217" t="s">
        <v>67</v>
      </c>
      <c r="L217" s="3">
        <v>47629</v>
      </c>
      <c r="M217" s="3">
        <v>47596</v>
      </c>
      <c r="N217" t="s">
        <v>2202</v>
      </c>
      <c r="O217" s="4">
        <v>1</v>
      </c>
      <c r="P217">
        <v>0</v>
      </c>
      <c r="Q217">
        <v>0</v>
      </c>
    </row>
    <row r="218" spans="1:17" x14ac:dyDescent="0.25">
      <c r="A218">
        <v>36838</v>
      </c>
      <c r="B218" t="s">
        <v>2203</v>
      </c>
      <c r="C218" t="s">
        <v>2200</v>
      </c>
      <c r="D218" s="3">
        <v>36488</v>
      </c>
      <c r="E218" t="s">
        <v>1401</v>
      </c>
      <c r="G218" s="3">
        <v>44480</v>
      </c>
      <c r="H218" t="s">
        <v>2204</v>
      </c>
      <c r="J218" t="s">
        <v>1447</v>
      </c>
      <c r="K218" t="s">
        <v>52</v>
      </c>
      <c r="L218" s="3">
        <v>47338</v>
      </c>
      <c r="M218" s="3">
        <v>47350</v>
      </c>
      <c r="N218" t="s">
        <v>2205</v>
      </c>
      <c r="O218" s="4">
        <v>0.8</v>
      </c>
      <c r="P218">
        <v>0</v>
      </c>
      <c r="Q218">
        <v>1</v>
      </c>
    </row>
    <row r="219" spans="1:17" x14ac:dyDescent="0.25">
      <c r="A219">
        <v>42141</v>
      </c>
      <c r="B219" t="s">
        <v>2206</v>
      </c>
      <c r="C219" t="s">
        <v>2207</v>
      </c>
      <c r="D219" s="3">
        <v>34485</v>
      </c>
      <c r="E219" t="s">
        <v>1401</v>
      </c>
      <c r="G219" s="3">
        <v>45868</v>
      </c>
      <c r="H219" t="s">
        <v>2208</v>
      </c>
      <c r="J219" t="s">
        <v>1414</v>
      </c>
      <c r="K219" t="s">
        <v>61</v>
      </c>
      <c r="L219" s="3">
        <v>47428</v>
      </c>
      <c r="M219" s="3">
        <v>47243</v>
      </c>
      <c r="N219" t="s">
        <v>2209</v>
      </c>
      <c r="O219" s="4">
        <v>1</v>
      </c>
      <c r="P219">
        <v>0</v>
      </c>
      <c r="Q219">
        <v>0</v>
      </c>
    </row>
    <row r="220" spans="1:17" x14ac:dyDescent="0.25">
      <c r="A220">
        <v>41949</v>
      </c>
      <c r="B220" t="s">
        <v>2210</v>
      </c>
      <c r="C220" t="s">
        <v>2207</v>
      </c>
      <c r="D220" s="3">
        <v>32049</v>
      </c>
      <c r="E220" t="s">
        <v>1401</v>
      </c>
      <c r="G220" s="3">
        <v>45845</v>
      </c>
      <c r="H220" t="s">
        <v>2211</v>
      </c>
      <c r="J220" t="s">
        <v>1409</v>
      </c>
      <c r="K220" t="s">
        <v>61</v>
      </c>
      <c r="L220" s="3">
        <v>47688</v>
      </c>
      <c r="M220" s="3">
        <v>47616</v>
      </c>
      <c r="N220" t="s">
        <v>2212</v>
      </c>
      <c r="O220" s="4">
        <v>1</v>
      </c>
      <c r="P220">
        <v>0</v>
      </c>
      <c r="Q220">
        <v>0</v>
      </c>
    </row>
    <row r="221" spans="1:17" x14ac:dyDescent="0.25">
      <c r="A221">
        <v>21121</v>
      </c>
      <c r="B221" t="s">
        <v>2213</v>
      </c>
      <c r="C221" t="s">
        <v>2207</v>
      </c>
      <c r="D221" s="3">
        <v>30571</v>
      </c>
      <c r="E221" t="s">
        <v>1401</v>
      </c>
      <c r="F221">
        <v>309</v>
      </c>
      <c r="G221" s="3">
        <v>39286</v>
      </c>
      <c r="H221" t="s">
        <v>2214</v>
      </c>
      <c r="J221" t="s">
        <v>1427</v>
      </c>
      <c r="K221" t="s">
        <v>64</v>
      </c>
      <c r="L221" s="3">
        <v>72686</v>
      </c>
      <c r="M221" s="3">
        <v>46504</v>
      </c>
      <c r="N221" t="s">
        <v>2215</v>
      </c>
      <c r="O221" s="4">
        <v>1</v>
      </c>
      <c r="P221">
        <v>0</v>
      </c>
      <c r="Q221">
        <v>0</v>
      </c>
    </row>
    <row r="222" spans="1:17" x14ac:dyDescent="0.25">
      <c r="A222">
        <v>26695</v>
      </c>
      <c r="B222" t="s">
        <v>2216</v>
      </c>
      <c r="C222" t="s">
        <v>2217</v>
      </c>
      <c r="D222" s="3">
        <v>31035</v>
      </c>
      <c r="E222" t="s">
        <v>1401</v>
      </c>
      <c r="F222">
        <v>119</v>
      </c>
      <c r="G222" s="3">
        <v>40771</v>
      </c>
      <c r="H222" t="s">
        <v>2218</v>
      </c>
      <c r="J222" t="s">
        <v>1520</v>
      </c>
      <c r="K222" t="s">
        <v>61</v>
      </c>
      <c r="L222" s="3">
        <v>46085</v>
      </c>
      <c r="M222" s="3">
        <v>46028</v>
      </c>
      <c r="N222" t="s">
        <v>2219</v>
      </c>
      <c r="O222" s="4">
        <v>1</v>
      </c>
      <c r="P222">
        <v>0</v>
      </c>
      <c r="Q222">
        <v>1</v>
      </c>
    </row>
    <row r="223" spans="1:17" x14ac:dyDescent="0.25">
      <c r="A223">
        <v>31635</v>
      </c>
      <c r="B223" t="s">
        <v>2220</v>
      </c>
      <c r="C223" t="s">
        <v>2221</v>
      </c>
      <c r="D223" s="3">
        <v>34219</v>
      </c>
      <c r="E223" t="s">
        <v>1401</v>
      </c>
      <c r="F223">
        <v>238</v>
      </c>
      <c r="G223" s="3">
        <v>42863</v>
      </c>
      <c r="H223" t="s">
        <v>2222</v>
      </c>
      <c r="J223" t="s">
        <v>1447</v>
      </c>
      <c r="K223" t="s">
        <v>58</v>
      </c>
      <c r="L223" s="3">
        <v>46377</v>
      </c>
      <c r="M223" s="3">
        <v>46369</v>
      </c>
      <c r="N223" t="s">
        <v>2223</v>
      </c>
      <c r="O223" s="4">
        <v>1</v>
      </c>
      <c r="P223">
        <v>0</v>
      </c>
      <c r="Q223">
        <v>1</v>
      </c>
    </row>
    <row r="224" spans="1:17" x14ac:dyDescent="0.25">
      <c r="A224">
        <v>31118</v>
      </c>
      <c r="B224" t="s">
        <v>2224</v>
      </c>
      <c r="C224" t="s">
        <v>1365</v>
      </c>
      <c r="D224" s="3">
        <v>30190</v>
      </c>
      <c r="E224" t="s">
        <v>1401</v>
      </c>
      <c r="F224">
        <v>13</v>
      </c>
      <c r="G224" s="3">
        <v>42618</v>
      </c>
      <c r="H224" t="s">
        <v>2225</v>
      </c>
      <c r="J224" t="s">
        <v>1433</v>
      </c>
      <c r="K224" t="s">
        <v>70</v>
      </c>
      <c r="L224" s="3">
        <v>46218</v>
      </c>
      <c r="M224" s="3">
        <v>46182</v>
      </c>
      <c r="N224" t="s">
        <v>2226</v>
      </c>
      <c r="O224" s="4">
        <v>1</v>
      </c>
      <c r="P224">
        <v>0</v>
      </c>
      <c r="Q224">
        <v>0</v>
      </c>
    </row>
    <row r="225" spans="1:17" x14ac:dyDescent="0.25">
      <c r="A225">
        <v>27786</v>
      </c>
      <c r="B225" t="s">
        <v>2227</v>
      </c>
      <c r="C225" t="s">
        <v>2228</v>
      </c>
      <c r="D225" s="3">
        <v>24757</v>
      </c>
      <c r="E225" t="s">
        <v>1401</v>
      </c>
      <c r="F225">
        <v>96</v>
      </c>
      <c r="G225" s="3">
        <v>41253</v>
      </c>
      <c r="H225" t="s">
        <v>2229</v>
      </c>
      <c r="J225" t="s">
        <v>1481</v>
      </c>
      <c r="K225" t="s">
        <v>70</v>
      </c>
      <c r="L225" s="3">
        <v>46735</v>
      </c>
      <c r="M225" s="3">
        <v>46254</v>
      </c>
      <c r="N225" t="s">
        <v>2230</v>
      </c>
      <c r="O225" s="4">
        <v>1</v>
      </c>
      <c r="P225">
        <v>0</v>
      </c>
      <c r="Q225">
        <v>1</v>
      </c>
    </row>
    <row r="226" spans="1:17" x14ac:dyDescent="0.25">
      <c r="A226">
        <v>40403</v>
      </c>
      <c r="B226" t="s">
        <v>2231</v>
      </c>
      <c r="C226" t="s">
        <v>2232</v>
      </c>
      <c r="D226" s="3">
        <v>28898</v>
      </c>
      <c r="E226" t="s">
        <v>1401</v>
      </c>
      <c r="G226" s="3">
        <v>45481</v>
      </c>
      <c r="H226" t="s">
        <v>2233</v>
      </c>
      <c r="J226" t="s">
        <v>1409</v>
      </c>
      <c r="K226" t="s">
        <v>52</v>
      </c>
      <c r="L226" s="3">
        <v>45959</v>
      </c>
      <c r="M226" s="3">
        <v>45923</v>
      </c>
      <c r="N226" t="s">
        <v>2234</v>
      </c>
      <c r="O226" s="4">
        <v>1</v>
      </c>
      <c r="P226">
        <v>0</v>
      </c>
      <c r="Q226">
        <v>0</v>
      </c>
    </row>
    <row r="227" spans="1:17" x14ac:dyDescent="0.25">
      <c r="A227">
        <v>40143</v>
      </c>
      <c r="B227" t="s">
        <v>2235</v>
      </c>
      <c r="C227" t="s">
        <v>2236</v>
      </c>
      <c r="D227" s="3">
        <v>33333</v>
      </c>
      <c r="E227" t="s">
        <v>1401</v>
      </c>
      <c r="G227" s="3">
        <v>45335</v>
      </c>
      <c r="H227" t="s">
        <v>2237</v>
      </c>
      <c r="J227" t="s">
        <v>1409</v>
      </c>
      <c r="K227" t="s">
        <v>61</v>
      </c>
      <c r="L227" s="3">
        <v>47181</v>
      </c>
      <c r="M227" s="3">
        <v>47143</v>
      </c>
      <c r="N227" t="s">
        <v>2238</v>
      </c>
      <c r="O227" s="4">
        <v>1</v>
      </c>
      <c r="P227">
        <v>0</v>
      </c>
      <c r="Q227">
        <v>0</v>
      </c>
    </row>
    <row r="228" spans="1:17" x14ac:dyDescent="0.25">
      <c r="A228">
        <v>37908</v>
      </c>
      <c r="B228" t="s">
        <v>2239</v>
      </c>
      <c r="C228" t="s">
        <v>2236</v>
      </c>
      <c r="D228" s="3">
        <v>33185</v>
      </c>
      <c r="E228" t="s">
        <v>1401</v>
      </c>
      <c r="G228" s="3">
        <v>44823</v>
      </c>
      <c r="H228" t="s">
        <v>2240</v>
      </c>
      <c r="J228" t="s">
        <v>1460</v>
      </c>
      <c r="K228" t="s">
        <v>67</v>
      </c>
      <c r="L228" s="3">
        <v>46664</v>
      </c>
      <c r="M228" s="3">
        <v>46518</v>
      </c>
      <c r="N228" t="s">
        <v>2241</v>
      </c>
      <c r="O228" s="4">
        <v>1</v>
      </c>
      <c r="P228">
        <v>0</v>
      </c>
      <c r="Q228">
        <v>0</v>
      </c>
    </row>
    <row r="229" spans="1:17" x14ac:dyDescent="0.25">
      <c r="A229">
        <v>21160</v>
      </c>
      <c r="B229" t="s">
        <v>2242</v>
      </c>
      <c r="C229" t="s">
        <v>2243</v>
      </c>
      <c r="D229" s="3">
        <v>24630</v>
      </c>
      <c r="E229" t="s">
        <v>1401</v>
      </c>
      <c r="F229">
        <v>403</v>
      </c>
      <c r="G229" s="3">
        <v>39300</v>
      </c>
      <c r="H229" t="s">
        <v>2244</v>
      </c>
      <c r="I229">
        <v>93285584</v>
      </c>
      <c r="J229" t="s">
        <v>1427</v>
      </c>
      <c r="K229" t="s">
        <v>67</v>
      </c>
      <c r="L229" s="3">
        <v>72686</v>
      </c>
      <c r="M229" s="3">
        <v>46476</v>
      </c>
      <c r="N229" t="s">
        <v>2245</v>
      </c>
      <c r="O229" s="4">
        <v>1</v>
      </c>
      <c r="P229">
        <v>0</v>
      </c>
      <c r="Q229">
        <v>1</v>
      </c>
    </row>
    <row r="230" spans="1:17" x14ac:dyDescent="0.25">
      <c r="A230">
        <v>29646</v>
      </c>
      <c r="B230" t="s">
        <v>2034</v>
      </c>
      <c r="C230" t="s">
        <v>2246</v>
      </c>
      <c r="D230" s="3">
        <v>30289</v>
      </c>
      <c r="E230" t="s">
        <v>1401</v>
      </c>
      <c r="F230">
        <v>455</v>
      </c>
      <c r="G230" s="3">
        <v>42051</v>
      </c>
      <c r="H230" t="s">
        <v>2247</v>
      </c>
      <c r="J230" t="s">
        <v>1485</v>
      </c>
      <c r="K230" t="s">
        <v>52</v>
      </c>
      <c r="L230" s="3">
        <v>47471</v>
      </c>
      <c r="M230" s="3">
        <v>47462</v>
      </c>
      <c r="N230" t="s">
        <v>2248</v>
      </c>
      <c r="O230" s="4">
        <v>1</v>
      </c>
      <c r="P230">
        <v>0</v>
      </c>
      <c r="Q230">
        <v>1</v>
      </c>
    </row>
    <row r="231" spans="1:17" x14ac:dyDescent="0.25">
      <c r="A231">
        <v>40969</v>
      </c>
      <c r="B231" t="s">
        <v>1881</v>
      </c>
      <c r="C231" t="s">
        <v>2249</v>
      </c>
      <c r="D231" s="3">
        <v>37138</v>
      </c>
      <c r="E231" t="s">
        <v>1401</v>
      </c>
      <c r="G231" s="3">
        <v>45544</v>
      </c>
      <c r="H231" t="s">
        <v>2250</v>
      </c>
      <c r="J231" t="s">
        <v>1409</v>
      </c>
      <c r="K231" t="s">
        <v>67</v>
      </c>
      <c r="L231" s="3">
        <v>47390</v>
      </c>
      <c r="M231" s="3">
        <v>47357</v>
      </c>
      <c r="N231" t="s">
        <v>2251</v>
      </c>
      <c r="O231" s="4">
        <v>1</v>
      </c>
      <c r="P231">
        <v>0</v>
      </c>
      <c r="Q231">
        <v>0</v>
      </c>
    </row>
    <row r="232" spans="1:17" x14ac:dyDescent="0.25">
      <c r="A232">
        <v>35216</v>
      </c>
      <c r="B232" t="s">
        <v>2252</v>
      </c>
      <c r="C232" t="s">
        <v>2253</v>
      </c>
      <c r="D232" s="3">
        <v>36459</v>
      </c>
      <c r="E232" t="s">
        <v>1401</v>
      </c>
      <c r="F232">
        <v>421</v>
      </c>
      <c r="G232" s="3">
        <v>43892</v>
      </c>
      <c r="H232" t="s">
        <v>2254</v>
      </c>
      <c r="J232" t="s">
        <v>1442</v>
      </c>
      <c r="K232" t="s">
        <v>73</v>
      </c>
      <c r="L232" s="3">
        <v>47611</v>
      </c>
      <c r="M232" s="3">
        <v>47441</v>
      </c>
      <c r="N232" t="s">
        <v>2255</v>
      </c>
      <c r="O232" s="4">
        <v>1</v>
      </c>
      <c r="P232">
        <v>0</v>
      </c>
      <c r="Q232">
        <v>1</v>
      </c>
    </row>
    <row r="233" spans="1:17" x14ac:dyDescent="0.25">
      <c r="A233">
        <v>37131</v>
      </c>
      <c r="B233" t="s">
        <v>2256</v>
      </c>
      <c r="C233" t="s">
        <v>2257</v>
      </c>
      <c r="D233" s="3">
        <v>29117</v>
      </c>
      <c r="E233" t="s">
        <v>1401</v>
      </c>
      <c r="G233" s="3">
        <v>44585</v>
      </c>
      <c r="H233" t="s">
        <v>2258</v>
      </c>
      <c r="J233" t="s">
        <v>1414</v>
      </c>
      <c r="K233" t="s">
        <v>64</v>
      </c>
      <c r="L233" s="3">
        <v>46431</v>
      </c>
      <c r="M233" s="3">
        <v>46210</v>
      </c>
      <c r="N233" t="s">
        <v>2259</v>
      </c>
      <c r="O233" s="4">
        <v>1</v>
      </c>
      <c r="P233">
        <v>0</v>
      </c>
      <c r="Q233">
        <v>0</v>
      </c>
    </row>
    <row r="234" spans="1:17" x14ac:dyDescent="0.25">
      <c r="A234">
        <v>37313</v>
      </c>
      <c r="B234" t="s">
        <v>2260</v>
      </c>
      <c r="C234" t="s">
        <v>2261</v>
      </c>
      <c r="D234" s="3">
        <v>27618</v>
      </c>
      <c r="E234" t="s">
        <v>1401</v>
      </c>
      <c r="G234" s="3">
        <v>44704</v>
      </c>
      <c r="H234" t="s">
        <v>2262</v>
      </c>
      <c r="J234" t="s">
        <v>1414</v>
      </c>
      <c r="K234" t="s">
        <v>55</v>
      </c>
      <c r="L234" s="3">
        <v>46546</v>
      </c>
      <c r="M234" s="3">
        <v>46431</v>
      </c>
      <c r="N234" t="s">
        <v>2263</v>
      </c>
      <c r="O234" s="4">
        <v>1</v>
      </c>
      <c r="P234">
        <v>0</v>
      </c>
      <c r="Q234">
        <v>0</v>
      </c>
    </row>
    <row r="235" spans="1:17" x14ac:dyDescent="0.25">
      <c r="A235">
        <v>31668</v>
      </c>
      <c r="B235" t="s">
        <v>2264</v>
      </c>
      <c r="C235" t="s">
        <v>2265</v>
      </c>
      <c r="D235" s="3">
        <v>25181</v>
      </c>
      <c r="E235" t="s">
        <v>1401</v>
      </c>
      <c r="F235">
        <v>269</v>
      </c>
      <c r="G235" s="3">
        <v>42877</v>
      </c>
      <c r="H235" t="s">
        <v>2266</v>
      </c>
      <c r="I235" t="s">
        <v>2267</v>
      </c>
      <c r="J235" t="s">
        <v>1419</v>
      </c>
      <c r="K235" t="s">
        <v>52</v>
      </c>
      <c r="L235" s="3">
        <v>46454</v>
      </c>
      <c r="M235" s="3">
        <v>47470</v>
      </c>
      <c r="N235" t="s">
        <v>2268</v>
      </c>
      <c r="O235" s="4">
        <v>0.8</v>
      </c>
      <c r="P235">
        <v>0</v>
      </c>
      <c r="Q235">
        <v>0</v>
      </c>
    </row>
    <row r="236" spans="1:17" x14ac:dyDescent="0.25">
      <c r="A236">
        <v>35334</v>
      </c>
      <c r="B236" t="s">
        <v>2269</v>
      </c>
      <c r="C236" t="s">
        <v>2270</v>
      </c>
      <c r="D236" s="3">
        <v>33578</v>
      </c>
      <c r="E236" t="s">
        <v>1401</v>
      </c>
      <c r="F236">
        <v>114</v>
      </c>
      <c r="G236" s="3">
        <v>43944</v>
      </c>
      <c r="H236" t="s">
        <v>2271</v>
      </c>
      <c r="I236">
        <v>92788949</v>
      </c>
      <c r="J236" t="s">
        <v>1460</v>
      </c>
      <c r="K236" t="s">
        <v>58</v>
      </c>
      <c r="L236" s="3">
        <v>46384</v>
      </c>
      <c r="M236" s="3">
        <v>46378</v>
      </c>
      <c r="N236" t="s">
        <v>2272</v>
      </c>
      <c r="O236" s="4">
        <v>1</v>
      </c>
      <c r="P236">
        <v>0</v>
      </c>
      <c r="Q236">
        <v>1</v>
      </c>
    </row>
    <row r="237" spans="1:17" x14ac:dyDescent="0.25">
      <c r="A237">
        <v>33600</v>
      </c>
      <c r="B237" t="s">
        <v>2273</v>
      </c>
      <c r="C237" t="s">
        <v>2274</v>
      </c>
      <c r="D237" s="3">
        <v>30867</v>
      </c>
      <c r="E237" t="s">
        <v>1401</v>
      </c>
      <c r="F237">
        <v>268</v>
      </c>
      <c r="G237" s="3">
        <v>43514</v>
      </c>
      <c r="H237" t="s">
        <v>2275</v>
      </c>
      <c r="J237" t="s">
        <v>1460</v>
      </c>
      <c r="K237" t="s">
        <v>64</v>
      </c>
      <c r="L237" s="3">
        <v>47135</v>
      </c>
      <c r="M237" s="3">
        <v>47072</v>
      </c>
      <c r="N237" t="s">
        <v>2276</v>
      </c>
      <c r="O237" s="4">
        <v>1</v>
      </c>
      <c r="P237">
        <v>0</v>
      </c>
      <c r="Q237">
        <v>1</v>
      </c>
    </row>
    <row r="238" spans="1:17" x14ac:dyDescent="0.25">
      <c r="A238">
        <v>30389</v>
      </c>
      <c r="B238" t="s">
        <v>2277</v>
      </c>
      <c r="C238" t="s">
        <v>2274</v>
      </c>
      <c r="D238" s="3">
        <v>34452</v>
      </c>
      <c r="E238" t="s">
        <v>1401</v>
      </c>
      <c r="F238">
        <v>374</v>
      </c>
      <c r="G238" s="3">
        <v>42324</v>
      </c>
      <c r="H238" t="s">
        <v>2278</v>
      </c>
      <c r="K238" t="s">
        <v>73</v>
      </c>
      <c r="L238" s="3">
        <v>45993</v>
      </c>
      <c r="M238" s="3">
        <v>45993</v>
      </c>
      <c r="N238" t="s">
        <v>2279</v>
      </c>
      <c r="O238" s="4">
        <v>0.5</v>
      </c>
      <c r="P238">
        <v>0</v>
      </c>
      <c r="Q238">
        <v>1</v>
      </c>
    </row>
    <row r="239" spans="1:17" x14ac:dyDescent="0.25">
      <c r="A239">
        <v>38633</v>
      </c>
      <c r="B239" t="s">
        <v>2280</v>
      </c>
      <c r="C239" t="s">
        <v>2281</v>
      </c>
      <c r="D239" s="3">
        <v>32105</v>
      </c>
      <c r="E239" t="s">
        <v>1401</v>
      </c>
      <c r="G239" s="3">
        <v>44970</v>
      </c>
      <c r="H239" t="s">
        <v>2282</v>
      </c>
      <c r="J239" t="s">
        <v>1409</v>
      </c>
      <c r="K239" t="s">
        <v>70</v>
      </c>
      <c r="L239" s="3">
        <v>46810</v>
      </c>
      <c r="M239" s="3">
        <v>46770</v>
      </c>
      <c r="N239" t="s">
        <v>2283</v>
      </c>
      <c r="O239" s="4">
        <v>0.6</v>
      </c>
      <c r="P239">
        <v>1</v>
      </c>
      <c r="Q239">
        <v>0</v>
      </c>
    </row>
    <row r="240" spans="1:17" x14ac:dyDescent="0.25">
      <c r="A240">
        <v>34325</v>
      </c>
      <c r="B240" t="s">
        <v>2284</v>
      </c>
      <c r="C240" t="s">
        <v>2285</v>
      </c>
      <c r="D240" s="3">
        <v>30816</v>
      </c>
      <c r="E240" t="s">
        <v>1401</v>
      </c>
      <c r="G240" s="3">
        <v>43710</v>
      </c>
      <c r="H240" t="s">
        <v>2286</v>
      </c>
      <c r="J240" t="s">
        <v>1414</v>
      </c>
      <c r="K240" t="s">
        <v>67</v>
      </c>
      <c r="L240" s="3">
        <v>47267</v>
      </c>
      <c r="M240" s="3">
        <v>47216</v>
      </c>
      <c r="N240" t="s">
        <v>2287</v>
      </c>
      <c r="O240" s="4">
        <v>1</v>
      </c>
      <c r="P240">
        <v>0</v>
      </c>
      <c r="Q240">
        <v>0</v>
      </c>
    </row>
    <row r="241" spans="1:17" x14ac:dyDescent="0.25">
      <c r="A241">
        <v>38047</v>
      </c>
      <c r="B241" t="s">
        <v>2288</v>
      </c>
      <c r="C241" t="s">
        <v>2289</v>
      </c>
      <c r="D241" s="3">
        <v>27600</v>
      </c>
      <c r="E241" t="s">
        <v>1401</v>
      </c>
      <c r="G241" s="3">
        <v>44867</v>
      </c>
      <c r="H241" t="s">
        <v>2290</v>
      </c>
      <c r="J241" t="s">
        <v>1409</v>
      </c>
      <c r="K241" t="s">
        <v>61</v>
      </c>
      <c r="L241" s="3">
        <v>46831</v>
      </c>
      <c r="M241" s="3">
        <v>46084</v>
      </c>
      <c r="N241" t="s">
        <v>2291</v>
      </c>
      <c r="O241" s="4">
        <v>1</v>
      </c>
      <c r="P241">
        <v>0</v>
      </c>
      <c r="Q241">
        <v>0</v>
      </c>
    </row>
    <row r="242" spans="1:17" x14ac:dyDescent="0.25">
      <c r="A242">
        <v>36577</v>
      </c>
      <c r="B242" t="s">
        <v>2292</v>
      </c>
      <c r="C242" t="s">
        <v>2293</v>
      </c>
      <c r="D242" s="3">
        <v>27133</v>
      </c>
      <c r="E242" t="s">
        <v>1401</v>
      </c>
      <c r="G242" s="3">
        <v>44389</v>
      </c>
      <c r="H242" t="s">
        <v>2294</v>
      </c>
      <c r="I242" t="s">
        <v>2295</v>
      </c>
      <c r="J242" t="s">
        <v>1442</v>
      </c>
      <c r="K242" t="s">
        <v>70</v>
      </c>
      <c r="L242" s="3">
        <v>46231</v>
      </c>
      <c r="M242" s="3">
        <v>46140</v>
      </c>
      <c r="N242" t="s">
        <v>2296</v>
      </c>
      <c r="O242" s="4">
        <v>1</v>
      </c>
      <c r="P242">
        <v>0</v>
      </c>
      <c r="Q242">
        <v>0</v>
      </c>
    </row>
    <row r="243" spans="1:17" x14ac:dyDescent="0.25">
      <c r="A243">
        <v>12684</v>
      </c>
      <c r="B243" t="s">
        <v>2297</v>
      </c>
      <c r="C243" t="s">
        <v>2293</v>
      </c>
      <c r="D243" s="3">
        <v>23480</v>
      </c>
      <c r="E243" t="s">
        <v>1401</v>
      </c>
      <c r="F243">
        <v>633</v>
      </c>
      <c r="G243" s="3">
        <v>36815</v>
      </c>
      <c r="H243" t="s">
        <v>2298</v>
      </c>
      <c r="J243" t="s">
        <v>1524</v>
      </c>
      <c r="K243" t="s">
        <v>58</v>
      </c>
      <c r="L243" s="3">
        <v>45963</v>
      </c>
      <c r="M243" s="3">
        <v>45944</v>
      </c>
      <c r="N243" t="s">
        <v>2299</v>
      </c>
      <c r="O243" s="4">
        <v>0.5</v>
      </c>
      <c r="P243">
        <v>0</v>
      </c>
      <c r="Q243">
        <v>0</v>
      </c>
    </row>
    <row r="244" spans="1:17" x14ac:dyDescent="0.25">
      <c r="A244">
        <v>11021</v>
      </c>
      <c r="B244" t="s">
        <v>2300</v>
      </c>
      <c r="C244" t="s">
        <v>2301</v>
      </c>
      <c r="D244" s="3">
        <v>23986</v>
      </c>
      <c r="E244" t="s">
        <v>1401</v>
      </c>
      <c r="F244">
        <v>181</v>
      </c>
      <c r="G244" s="3">
        <v>36227</v>
      </c>
      <c r="H244" t="s">
        <v>2302</v>
      </c>
      <c r="I244">
        <v>93622072</v>
      </c>
      <c r="J244" t="s">
        <v>1507</v>
      </c>
      <c r="K244" t="s">
        <v>67</v>
      </c>
      <c r="L244" s="3">
        <v>73050</v>
      </c>
      <c r="M244" s="3">
        <v>45902</v>
      </c>
      <c r="N244" t="s">
        <v>2303</v>
      </c>
      <c r="O244" s="4">
        <v>1</v>
      </c>
      <c r="P244">
        <v>0</v>
      </c>
      <c r="Q244">
        <v>0</v>
      </c>
    </row>
    <row r="245" spans="1:17" x14ac:dyDescent="0.25">
      <c r="A245">
        <v>39929</v>
      </c>
      <c r="B245" t="s">
        <v>2304</v>
      </c>
      <c r="C245" t="s">
        <v>2305</v>
      </c>
      <c r="D245" s="3">
        <v>30553</v>
      </c>
      <c r="E245" t="s">
        <v>1401</v>
      </c>
      <c r="G245" s="3">
        <v>45299</v>
      </c>
      <c r="H245" t="s">
        <v>2306</v>
      </c>
      <c r="J245" t="s">
        <v>1409</v>
      </c>
      <c r="K245" t="s">
        <v>61</v>
      </c>
      <c r="L245" s="3">
        <v>46530</v>
      </c>
      <c r="M245" s="3">
        <v>45999</v>
      </c>
      <c r="N245" t="s">
        <v>2307</v>
      </c>
      <c r="O245" s="4">
        <v>1</v>
      </c>
      <c r="P245">
        <v>0</v>
      </c>
      <c r="Q245">
        <v>0</v>
      </c>
    </row>
    <row r="246" spans="1:17" x14ac:dyDescent="0.25">
      <c r="A246">
        <v>20653</v>
      </c>
      <c r="B246" t="s">
        <v>2308</v>
      </c>
      <c r="C246" t="s">
        <v>2309</v>
      </c>
      <c r="D246" s="3">
        <v>29923</v>
      </c>
      <c r="E246" t="s">
        <v>1401</v>
      </c>
      <c r="F246">
        <v>341</v>
      </c>
      <c r="G246" s="3">
        <v>39204</v>
      </c>
      <c r="H246" t="s">
        <v>2310</v>
      </c>
      <c r="J246" t="s">
        <v>1427</v>
      </c>
      <c r="K246" t="s">
        <v>55</v>
      </c>
      <c r="L246" s="3">
        <v>72686</v>
      </c>
      <c r="M246" s="3">
        <v>46191</v>
      </c>
      <c r="N246" t="s">
        <v>2311</v>
      </c>
      <c r="O246" s="4">
        <v>1</v>
      </c>
      <c r="P246">
        <v>0</v>
      </c>
      <c r="Q246">
        <v>0</v>
      </c>
    </row>
    <row r="247" spans="1:17" x14ac:dyDescent="0.25">
      <c r="A247">
        <v>25994</v>
      </c>
      <c r="B247" t="s">
        <v>2312</v>
      </c>
      <c r="C247" t="s">
        <v>2313</v>
      </c>
      <c r="D247" s="3">
        <v>27418</v>
      </c>
      <c r="E247" t="s">
        <v>1401</v>
      </c>
      <c r="F247">
        <v>138</v>
      </c>
      <c r="G247" s="3">
        <v>40567</v>
      </c>
      <c r="H247" t="s">
        <v>2314</v>
      </c>
      <c r="J247" t="s">
        <v>1442</v>
      </c>
      <c r="K247" t="s">
        <v>70</v>
      </c>
      <c r="L247" s="3">
        <v>46063</v>
      </c>
      <c r="M247" s="3">
        <v>46497</v>
      </c>
      <c r="N247" t="s">
        <v>2315</v>
      </c>
      <c r="O247" s="4">
        <v>0.8</v>
      </c>
      <c r="P247">
        <v>0</v>
      </c>
      <c r="Q247">
        <v>0</v>
      </c>
    </row>
    <row r="248" spans="1:17" x14ac:dyDescent="0.25">
      <c r="A248">
        <v>20376</v>
      </c>
      <c r="B248" t="s">
        <v>2316</v>
      </c>
      <c r="C248" t="s">
        <v>2313</v>
      </c>
      <c r="D248" s="3">
        <v>26892</v>
      </c>
      <c r="E248" t="s">
        <v>1401</v>
      </c>
      <c r="F248">
        <v>155</v>
      </c>
      <c r="G248" s="3">
        <v>39132</v>
      </c>
      <c r="H248" t="s">
        <v>2317</v>
      </c>
      <c r="J248" t="s">
        <v>1507</v>
      </c>
      <c r="K248" t="s">
        <v>67</v>
      </c>
      <c r="L248" s="3">
        <v>45951</v>
      </c>
      <c r="M248" s="3">
        <v>46364</v>
      </c>
      <c r="N248" t="s">
        <v>2318</v>
      </c>
      <c r="O248" s="4">
        <v>1</v>
      </c>
      <c r="P248">
        <v>0</v>
      </c>
      <c r="Q248">
        <v>1</v>
      </c>
    </row>
    <row r="249" spans="1:17" x14ac:dyDescent="0.25">
      <c r="A249">
        <v>31731</v>
      </c>
      <c r="B249" t="s">
        <v>2319</v>
      </c>
      <c r="C249" t="s">
        <v>2320</v>
      </c>
      <c r="D249" s="3">
        <v>28290</v>
      </c>
      <c r="E249" t="s">
        <v>1401</v>
      </c>
      <c r="F249">
        <v>202</v>
      </c>
      <c r="G249" s="3">
        <v>42919</v>
      </c>
      <c r="H249" t="s">
        <v>2321</v>
      </c>
      <c r="J249" t="s">
        <v>1945</v>
      </c>
      <c r="K249" t="s">
        <v>58</v>
      </c>
      <c r="L249" s="3">
        <v>46466</v>
      </c>
      <c r="M249" s="3">
        <v>46460</v>
      </c>
      <c r="N249" t="s">
        <v>2322</v>
      </c>
      <c r="O249" s="4">
        <v>1</v>
      </c>
      <c r="P249">
        <v>0</v>
      </c>
      <c r="Q249">
        <v>0</v>
      </c>
    </row>
    <row r="250" spans="1:17" x14ac:dyDescent="0.25">
      <c r="A250">
        <v>35493</v>
      </c>
      <c r="B250" t="s">
        <v>2323</v>
      </c>
      <c r="C250" t="s">
        <v>2324</v>
      </c>
      <c r="D250" s="3">
        <v>28007</v>
      </c>
      <c r="E250" t="s">
        <v>1401</v>
      </c>
      <c r="F250">
        <v>282</v>
      </c>
      <c r="G250" s="3">
        <v>44039</v>
      </c>
      <c r="H250" t="s">
        <v>2325</v>
      </c>
      <c r="J250" t="s">
        <v>1414</v>
      </c>
      <c r="K250" t="s">
        <v>73</v>
      </c>
      <c r="L250" s="3">
        <v>47568</v>
      </c>
      <c r="M250" s="3">
        <v>47561</v>
      </c>
      <c r="N250" t="s">
        <v>2326</v>
      </c>
      <c r="O250" s="4">
        <v>1</v>
      </c>
      <c r="P250">
        <v>0</v>
      </c>
      <c r="Q250">
        <v>1</v>
      </c>
    </row>
    <row r="251" spans="1:17" x14ac:dyDescent="0.25">
      <c r="A251">
        <v>40486</v>
      </c>
      <c r="B251" t="s">
        <v>2327</v>
      </c>
      <c r="C251" t="s">
        <v>2328</v>
      </c>
      <c r="D251" s="3">
        <v>36922</v>
      </c>
      <c r="E251" t="s">
        <v>1401</v>
      </c>
      <c r="G251" s="3">
        <v>45427</v>
      </c>
      <c r="H251" t="s">
        <v>2329</v>
      </c>
      <c r="J251" t="s">
        <v>1409</v>
      </c>
      <c r="K251" t="s">
        <v>61</v>
      </c>
      <c r="L251" s="3">
        <v>47273</v>
      </c>
      <c r="M251" s="3">
        <v>47230</v>
      </c>
      <c r="N251" t="s">
        <v>2330</v>
      </c>
      <c r="O251" s="4">
        <v>1</v>
      </c>
      <c r="P251">
        <v>0</v>
      </c>
      <c r="Q251">
        <v>0</v>
      </c>
    </row>
    <row r="252" spans="1:17" x14ac:dyDescent="0.25">
      <c r="A252">
        <v>8918</v>
      </c>
      <c r="B252" t="s">
        <v>2331</v>
      </c>
      <c r="C252" t="s">
        <v>2332</v>
      </c>
      <c r="D252" s="3">
        <v>23172</v>
      </c>
      <c r="E252" t="s">
        <v>1401</v>
      </c>
      <c r="F252">
        <v>429</v>
      </c>
      <c r="G252" s="3">
        <v>35394</v>
      </c>
      <c r="H252" t="s">
        <v>2333</v>
      </c>
      <c r="J252" t="s">
        <v>1723</v>
      </c>
      <c r="K252" t="s">
        <v>64</v>
      </c>
      <c r="L252" s="3">
        <v>46000</v>
      </c>
      <c r="M252" s="3">
        <v>46019</v>
      </c>
      <c r="N252" t="s">
        <v>2334</v>
      </c>
      <c r="O252" s="4">
        <v>0.8</v>
      </c>
      <c r="P252">
        <v>0</v>
      </c>
      <c r="Q252">
        <v>0</v>
      </c>
    </row>
    <row r="253" spans="1:17" x14ac:dyDescent="0.25">
      <c r="A253">
        <v>3926</v>
      </c>
      <c r="B253" t="s">
        <v>1518</v>
      </c>
      <c r="C253" t="s">
        <v>2332</v>
      </c>
      <c r="D253" s="3">
        <v>21648</v>
      </c>
      <c r="E253" t="s">
        <v>1401</v>
      </c>
      <c r="F253">
        <v>306</v>
      </c>
      <c r="G253" s="3">
        <v>29885</v>
      </c>
      <c r="H253" t="s">
        <v>2335</v>
      </c>
      <c r="I253">
        <v>93240876</v>
      </c>
      <c r="J253" t="s">
        <v>1538</v>
      </c>
      <c r="K253" t="s">
        <v>55</v>
      </c>
      <c r="L253" s="3">
        <v>72686</v>
      </c>
      <c r="M253" s="3">
        <v>46827</v>
      </c>
      <c r="N253" t="s">
        <v>2336</v>
      </c>
      <c r="O253" s="4">
        <v>1</v>
      </c>
      <c r="P253">
        <v>0</v>
      </c>
      <c r="Q253">
        <v>0</v>
      </c>
    </row>
    <row r="254" spans="1:17" x14ac:dyDescent="0.25">
      <c r="A254">
        <v>36845</v>
      </c>
      <c r="B254" t="s">
        <v>2337</v>
      </c>
      <c r="C254" t="s">
        <v>2332</v>
      </c>
      <c r="D254" s="3">
        <v>21595</v>
      </c>
      <c r="E254" t="s">
        <v>1401</v>
      </c>
      <c r="G254" s="3">
        <v>44440</v>
      </c>
      <c r="J254" t="s">
        <v>1978</v>
      </c>
      <c r="K254" t="s">
        <v>73</v>
      </c>
      <c r="L254" s="3">
        <v>45948</v>
      </c>
      <c r="M254" s="3">
        <v>45930</v>
      </c>
      <c r="N254" t="s">
        <v>2338</v>
      </c>
      <c r="O254" s="4">
        <v>1</v>
      </c>
      <c r="P254">
        <v>0</v>
      </c>
      <c r="Q254">
        <v>0</v>
      </c>
    </row>
    <row r="255" spans="1:17" x14ac:dyDescent="0.25">
      <c r="A255">
        <v>21382</v>
      </c>
      <c r="B255" t="s">
        <v>2339</v>
      </c>
      <c r="C255" t="s">
        <v>2332</v>
      </c>
      <c r="D255" s="3">
        <v>27768</v>
      </c>
      <c r="E255" t="s">
        <v>1401</v>
      </c>
      <c r="F255">
        <v>281</v>
      </c>
      <c r="G255" s="3">
        <v>39356</v>
      </c>
      <c r="H255" t="s">
        <v>2340</v>
      </c>
      <c r="J255" t="s">
        <v>1427</v>
      </c>
      <c r="K255" t="s">
        <v>70</v>
      </c>
      <c r="L255" s="3">
        <v>72686</v>
      </c>
      <c r="M255" s="3">
        <v>46838</v>
      </c>
      <c r="N255" t="s">
        <v>2341</v>
      </c>
      <c r="O255" s="4">
        <v>1</v>
      </c>
      <c r="P255">
        <v>0</v>
      </c>
      <c r="Q255">
        <v>1</v>
      </c>
    </row>
    <row r="256" spans="1:17" x14ac:dyDescent="0.25">
      <c r="A256">
        <v>38555</v>
      </c>
      <c r="B256" t="s">
        <v>2342</v>
      </c>
      <c r="C256" t="s">
        <v>2343</v>
      </c>
      <c r="D256" s="3">
        <v>31437</v>
      </c>
      <c r="E256" t="s">
        <v>1401</v>
      </c>
      <c r="G256" s="3">
        <v>44984</v>
      </c>
      <c r="H256" t="s">
        <v>2344</v>
      </c>
      <c r="J256" t="s">
        <v>1414</v>
      </c>
      <c r="K256" t="s">
        <v>58</v>
      </c>
      <c r="L256" s="3">
        <v>46825</v>
      </c>
      <c r="M256" s="3">
        <v>46735</v>
      </c>
      <c r="N256" t="s">
        <v>2345</v>
      </c>
      <c r="O256" s="4">
        <v>1</v>
      </c>
      <c r="P256">
        <v>0</v>
      </c>
      <c r="Q256">
        <v>0</v>
      </c>
    </row>
    <row r="257" spans="1:17" x14ac:dyDescent="0.25">
      <c r="A257">
        <v>40591</v>
      </c>
      <c r="B257" t="s">
        <v>2346</v>
      </c>
      <c r="C257" t="s">
        <v>2347</v>
      </c>
      <c r="D257" s="3">
        <v>27167</v>
      </c>
      <c r="E257" t="s">
        <v>1401</v>
      </c>
      <c r="G257" s="3">
        <v>45450</v>
      </c>
      <c r="H257" t="s">
        <v>2348</v>
      </c>
      <c r="J257" t="s">
        <v>1409</v>
      </c>
      <c r="K257" t="s">
        <v>52</v>
      </c>
      <c r="L257" s="3">
        <v>47286</v>
      </c>
      <c r="M257" s="3">
        <v>47267</v>
      </c>
      <c r="N257" t="s">
        <v>2349</v>
      </c>
      <c r="O257" s="4">
        <v>1</v>
      </c>
      <c r="P257">
        <v>0</v>
      </c>
      <c r="Q257">
        <v>0</v>
      </c>
    </row>
    <row r="258" spans="1:17" x14ac:dyDescent="0.25">
      <c r="A258">
        <v>40443</v>
      </c>
      <c r="B258" t="s">
        <v>2350</v>
      </c>
      <c r="C258" t="s">
        <v>2347</v>
      </c>
      <c r="D258" s="3">
        <v>37624</v>
      </c>
      <c r="E258" t="s">
        <v>1401</v>
      </c>
      <c r="G258" s="3">
        <v>45408</v>
      </c>
      <c r="H258" t="s">
        <v>2351</v>
      </c>
      <c r="J258" t="s">
        <v>1409</v>
      </c>
      <c r="K258" t="s">
        <v>55</v>
      </c>
      <c r="L258" s="3">
        <v>47245</v>
      </c>
      <c r="M258" s="3">
        <v>47225</v>
      </c>
      <c r="N258" t="s">
        <v>2352</v>
      </c>
      <c r="O258" s="4">
        <v>1</v>
      </c>
      <c r="P258">
        <v>0</v>
      </c>
      <c r="Q258">
        <v>0</v>
      </c>
    </row>
    <row r="259" spans="1:17" x14ac:dyDescent="0.25">
      <c r="A259">
        <v>39988</v>
      </c>
      <c r="B259" t="s">
        <v>2353</v>
      </c>
      <c r="C259" t="s">
        <v>2347</v>
      </c>
      <c r="D259" s="3">
        <v>30468</v>
      </c>
      <c r="E259" t="s">
        <v>1401</v>
      </c>
      <c r="G259" s="3">
        <v>45321</v>
      </c>
      <c r="H259" t="s">
        <v>2354</v>
      </c>
      <c r="J259" t="s">
        <v>1409</v>
      </c>
      <c r="K259" t="s">
        <v>61</v>
      </c>
      <c r="L259" s="3">
        <v>47164</v>
      </c>
      <c r="M259" s="3">
        <v>47092</v>
      </c>
      <c r="N259" t="s">
        <v>2355</v>
      </c>
      <c r="O259" s="4">
        <v>1</v>
      </c>
      <c r="P259">
        <v>0</v>
      </c>
      <c r="Q259">
        <v>0</v>
      </c>
    </row>
    <row r="260" spans="1:17" x14ac:dyDescent="0.25">
      <c r="A260">
        <v>35495</v>
      </c>
      <c r="B260" t="s">
        <v>2356</v>
      </c>
      <c r="C260" t="s">
        <v>2347</v>
      </c>
      <c r="D260" s="3">
        <v>34121</v>
      </c>
      <c r="E260" t="s">
        <v>1401</v>
      </c>
      <c r="F260">
        <v>22</v>
      </c>
      <c r="G260" s="3">
        <v>44025</v>
      </c>
      <c r="H260" t="s">
        <v>2357</v>
      </c>
      <c r="J260" t="s">
        <v>1414</v>
      </c>
      <c r="K260" t="s">
        <v>64</v>
      </c>
      <c r="L260" s="3">
        <v>47554</v>
      </c>
      <c r="M260" s="3">
        <v>47547</v>
      </c>
      <c r="N260" t="s">
        <v>2358</v>
      </c>
      <c r="O260" s="4">
        <v>1</v>
      </c>
      <c r="P260">
        <v>0</v>
      </c>
      <c r="Q260">
        <v>0</v>
      </c>
    </row>
    <row r="261" spans="1:17" x14ac:dyDescent="0.25">
      <c r="A261">
        <v>35494</v>
      </c>
      <c r="B261" t="s">
        <v>2359</v>
      </c>
      <c r="C261" t="s">
        <v>2360</v>
      </c>
      <c r="D261" s="3">
        <v>29509</v>
      </c>
      <c r="E261" t="s">
        <v>1401</v>
      </c>
      <c r="F261">
        <v>260</v>
      </c>
      <c r="G261" s="3">
        <v>44039</v>
      </c>
      <c r="H261" t="s">
        <v>2361</v>
      </c>
      <c r="J261" t="s">
        <v>1460</v>
      </c>
      <c r="K261" t="s">
        <v>58</v>
      </c>
      <c r="L261" s="3">
        <v>47617</v>
      </c>
      <c r="M261" s="3">
        <v>47579</v>
      </c>
      <c r="N261" t="s">
        <v>2362</v>
      </c>
      <c r="O261" s="4">
        <v>0.8</v>
      </c>
      <c r="P261">
        <v>0</v>
      </c>
      <c r="Q261">
        <v>0</v>
      </c>
    </row>
    <row r="262" spans="1:17" x14ac:dyDescent="0.25">
      <c r="A262">
        <v>22143</v>
      </c>
      <c r="B262" t="s">
        <v>2363</v>
      </c>
      <c r="C262" t="s">
        <v>2360</v>
      </c>
      <c r="D262" s="3">
        <v>29586</v>
      </c>
      <c r="E262" t="s">
        <v>1401</v>
      </c>
      <c r="F262">
        <v>514</v>
      </c>
      <c r="G262" s="3">
        <v>39552</v>
      </c>
      <c r="H262" t="s">
        <v>2364</v>
      </c>
      <c r="I262">
        <v>32479391613</v>
      </c>
      <c r="J262" t="s">
        <v>1524</v>
      </c>
      <c r="K262" t="s">
        <v>58</v>
      </c>
      <c r="L262" s="3">
        <v>47665</v>
      </c>
      <c r="M262" s="3">
        <v>46665</v>
      </c>
      <c r="N262" t="s">
        <v>2365</v>
      </c>
      <c r="O262" s="4">
        <v>0.8</v>
      </c>
      <c r="P262">
        <v>0</v>
      </c>
      <c r="Q262">
        <v>0</v>
      </c>
    </row>
    <row r="263" spans="1:17" x14ac:dyDescent="0.25">
      <c r="A263">
        <v>39985</v>
      </c>
      <c r="B263" t="s">
        <v>2366</v>
      </c>
      <c r="C263" t="s">
        <v>2367</v>
      </c>
      <c r="D263" s="3">
        <v>35670</v>
      </c>
      <c r="E263" t="s">
        <v>1401</v>
      </c>
      <c r="G263" s="3">
        <v>45321</v>
      </c>
      <c r="H263" t="s">
        <v>2368</v>
      </c>
      <c r="J263" t="s">
        <v>1409</v>
      </c>
      <c r="K263" t="s">
        <v>61</v>
      </c>
      <c r="L263" s="3">
        <v>47165</v>
      </c>
      <c r="M263" s="3">
        <v>47105</v>
      </c>
      <c r="N263" t="s">
        <v>2369</v>
      </c>
      <c r="O263" s="4">
        <v>1</v>
      </c>
      <c r="P263">
        <v>0</v>
      </c>
      <c r="Q263">
        <v>0</v>
      </c>
    </row>
    <row r="264" spans="1:17" x14ac:dyDescent="0.25">
      <c r="A264">
        <v>18624</v>
      </c>
      <c r="B264" t="s">
        <v>2370</v>
      </c>
      <c r="C264" t="s">
        <v>2371</v>
      </c>
      <c r="D264" s="3">
        <v>22884</v>
      </c>
      <c r="E264" t="s">
        <v>1401</v>
      </c>
      <c r="F264">
        <v>634</v>
      </c>
      <c r="G264" s="3">
        <v>38593</v>
      </c>
      <c r="H264" t="s">
        <v>2372</v>
      </c>
      <c r="I264" t="s">
        <v>2373</v>
      </c>
      <c r="J264" t="s">
        <v>1524</v>
      </c>
      <c r="K264" t="s">
        <v>55</v>
      </c>
      <c r="L264" s="3">
        <v>46007</v>
      </c>
      <c r="M264" s="3">
        <v>46065</v>
      </c>
      <c r="N264" t="s">
        <v>2374</v>
      </c>
      <c r="O264" s="4">
        <v>0.5</v>
      </c>
      <c r="P264">
        <v>0</v>
      </c>
      <c r="Q264">
        <v>0</v>
      </c>
    </row>
    <row r="265" spans="1:17" x14ac:dyDescent="0.25">
      <c r="A265">
        <v>18141</v>
      </c>
      <c r="B265" t="s">
        <v>2375</v>
      </c>
      <c r="C265" t="s">
        <v>2376</v>
      </c>
      <c r="D265" s="3">
        <v>24596</v>
      </c>
      <c r="E265" t="s">
        <v>1401</v>
      </c>
      <c r="F265">
        <v>68</v>
      </c>
      <c r="G265" s="3">
        <v>38460</v>
      </c>
      <c r="H265" t="s">
        <v>2377</v>
      </c>
      <c r="J265" t="s">
        <v>1485</v>
      </c>
      <c r="K265" t="s">
        <v>61</v>
      </c>
      <c r="L265" s="3">
        <v>47527</v>
      </c>
      <c r="M265" s="3">
        <v>47524</v>
      </c>
      <c r="N265" t="s">
        <v>2378</v>
      </c>
      <c r="O265" s="4">
        <v>0.5</v>
      </c>
      <c r="P265">
        <v>0</v>
      </c>
      <c r="Q265">
        <v>0</v>
      </c>
    </row>
    <row r="266" spans="1:17" x14ac:dyDescent="0.25">
      <c r="A266">
        <v>41032</v>
      </c>
      <c r="B266" t="s">
        <v>2379</v>
      </c>
      <c r="C266" t="s">
        <v>2380</v>
      </c>
      <c r="D266" s="3">
        <v>36725</v>
      </c>
      <c r="E266" t="s">
        <v>1401</v>
      </c>
      <c r="G266" s="3">
        <v>45559</v>
      </c>
      <c r="H266" t="s">
        <v>2381</v>
      </c>
      <c r="J266" t="s">
        <v>1409</v>
      </c>
      <c r="K266" t="s">
        <v>58</v>
      </c>
      <c r="L266" s="3">
        <v>47404</v>
      </c>
      <c r="M266" s="3">
        <v>47371</v>
      </c>
      <c r="N266" t="s">
        <v>2382</v>
      </c>
      <c r="O266" s="4">
        <v>1</v>
      </c>
      <c r="P266">
        <v>0</v>
      </c>
      <c r="Q266">
        <v>0</v>
      </c>
    </row>
    <row r="267" spans="1:17" x14ac:dyDescent="0.25">
      <c r="A267">
        <v>11120</v>
      </c>
      <c r="B267" t="s">
        <v>2383</v>
      </c>
      <c r="C267" t="s">
        <v>2384</v>
      </c>
      <c r="D267" s="3">
        <v>24187</v>
      </c>
      <c r="E267" t="s">
        <v>1401</v>
      </c>
      <c r="F267">
        <v>325</v>
      </c>
      <c r="G267" s="3">
        <v>36262</v>
      </c>
      <c r="H267" t="s">
        <v>2385</v>
      </c>
      <c r="J267" t="s">
        <v>1703</v>
      </c>
      <c r="K267" t="s">
        <v>73</v>
      </c>
      <c r="L267" s="3">
        <v>45938</v>
      </c>
      <c r="M267" s="3">
        <v>46938</v>
      </c>
      <c r="N267" t="s">
        <v>2386</v>
      </c>
      <c r="O267" s="4">
        <v>0.8</v>
      </c>
      <c r="P267">
        <v>0</v>
      </c>
      <c r="Q267">
        <v>1</v>
      </c>
    </row>
    <row r="268" spans="1:17" x14ac:dyDescent="0.25">
      <c r="A268">
        <v>26334</v>
      </c>
      <c r="B268" t="s">
        <v>2387</v>
      </c>
      <c r="C268" t="s">
        <v>2388</v>
      </c>
      <c r="D268" s="3">
        <v>23313</v>
      </c>
      <c r="E268" t="s">
        <v>1401</v>
      </c>
      <c r="F268">
        <v>257</v>
      </c>
      <c r="G268" s="3">
        <v>40679</v>
      </c>
      <c r="H268" t="s">
        <v>2389</v>
      </c>
      <c r="J268" t="s">
        <v>1538</v>
      </c>
      <c r="K268" t="s">
        <v>58</v>
      </c>
      <c r="L268" s="3">
        <v>72686</v>
      </c>
      <c r="M268" s="3">
        <v>46140</v>
      </c>
      <c r="N268" t="s">
        <v>2390</v>
      </c>
      <c r="O268" s="4">
        <v>0.8</v>
      </c>
      <c r="P268">
        <v>0</v>
      </c>
      <c r="Q268">
        <v>1</v>
      </c>
    </row>
    <row r="269" spans="1:17" x14ac:dyDescent="0.25">
      <c r="A269">
        <v>16899</v>
      </c>
      <c r="B269" t="s">
        <v>2391</v>
      </c>
      <c r="C269" t="s">
        <v>2388</v>
      </c>
      <c r="D269" s="3">
        <v>23057</v>
      </c>
      <c r="E269" t="s">
        <v>1401</v>
      </c>
      <c r="F269">
        <v>423</v>
      </c>
      <c r="G269" s="3">
        <v>38103</v>
      </c>
      <c r="H269" t="s">
        <v>2392</v>
      </c>
      <c r="J269" t="s">
        <v>1427</v>
      </c>
      <c r="K269" t="s">
        <v>67</v>
      </c>
      <c r="L269" s="3">
        <v>72686</v>
      </c>
      <c r="M269" s="3">
        <v>47201</v>
      </c>
      <c r="N269" t="s">
        <v>2393</v>
      </c>
      <c r="O269" s="4">
        <v>0.8</v>
      </c>
      <c r="P269">
        <v>0</v>
      </c>
      <c r="Q269">
        <v>0</v>
      </c>
    </row>
    <row r="270" spans="1:17" x14ac:dyDescent="0.25">
      <c r="A270">
        <v>37258</v>
      </c>
      <c r="B270" t="s">
        <v>2394</v>
      </c>
      <c r="C270" t="s">
        <v>2395</v>
      </c>
      <c r="D270" s="3">
        <v>30517</v>
      </c>
      <c r="E270" t="s">
        <v>1401</v>
      </c>
      <c r="G270" s="3">
        <v>44599</v>
      </c>
      <c r="H270" t="s">
        <v>2396</v>
      </c>
      <c r="J270" t="s">
        <v>1409</v>
      </c>
      <c r="K270" t="s">
        <v>58</v>
      </c>
      <c r="L270" s="3">
        <v>46440</v>
      </c>
      <c r="M270" s="3">
        <v>46340</v>
      </c>
      <c r="N270" t="s">
        <v>2397</v>
      </c>
      <c r="O270" s="4">
        <v>1</v>
      </c>
      <c r="P270">
        <v>0</v>
      </c>
      <c r="Q270">
        <v>0</v>
      </c>
    </row>
    <row r="271" spans="1:17" x14ac:dyDescent="0.25">
      <c r="A271">
        <v>40590</v>
      </c>
      <c r="B271" t="s">
        <v>2398</v>
      </c>
      <c r="C271" t="s">
        <v>2399</v>
      </c>
      <c r="D271" s="3">
        <v>31306</v>
      </c>
      <c r="E271" t="s">
        <v>1401</v>
      </c>
      <c r="G271" s="3">
        <v>45464</v>
      </c>
      <c r="H271" t="s">
        <v>2400</v>
      </c>
      <c r="J271" t="s">
        <v>1409</v>
      </c>
      <c r="K271" t="s">
        <v>55</v>
      </c>
      <c r="L271" s="3">
        <v>47300</v>
      </c>
      <c r="M271" s="3">
        <v>47243</v>
      </c>
      <c r="N271" t="s">
        <v>2401</v>
      </c>
      <c r="O271" s="4">
        <v>1</v>
      </c>
      <c r="P271">
        <v>0</v>
      </c>
      <c r="Q271">
        <v>0</v>
      </c>
    </row>
    <row r="272" spans="1:17" x14ac:dyDescent="0.25">
      <c r="A272">
        <v>39654</v>
      </c>
      <c r="B272" t="s">
        <v>2402</v>
      </c>
      <c r="C272" t="s">
        <v>2403</v>
      </c>
      <c r="D272" s="3">
        <v>35555</v>
      </c>
      <c r="E272" t="s">
        <v>1401</v>
      </c>
      <c r="G272" s="3">
        <v>45222</v>
      </c>
      <c r="H272" t="s">
        <v>2404</v>
      </c>
      <c r="J272" t="s">
        <v>1409</v>
      </c>
      <c r="K272" t="s">
        <v>64</v>
      </c>
      <c r="L272" s="3">
        <v>47065</v>
      </c>
      <c r="M272" s="3">
        <v>47016</v>
      </c>
      <c r="N272" t="s">
        <v>2405</v>
      </c>
      <c r="O272" s="4">
        <v>1</v>
      </c>
      <c r="P272">
        <v>0</v>
      </c>
      <c r="Q272">
        <v>0</v>
      </c>
    </row>
    <row r="273" spans="1:17" x14ac:dyDescent="0.25">
      <c r="A273">
        <v>39581</v>
      </c>
      <c r="B273" t="s">
        <v>2406</v>
      </c>
      <c r="C273" t="s">
        <v>2407</v>
      </c>
      <c r="D273" s="3">
        <v>36481</v>
      </c>
      <c r="E273" t="s">
        <v>1401</v>
      </c>
      <c r="G273" s="3">
        <v>45194</v>
      </c>
      <c r="H273" t="s">
        <v>2408</v>
      </c>
      <c r="J273" t="s">
        <v>1447</v>
      </c>
      <c r="K273" t="s">
        <v>70</v>
      </c>
      <c r="L273" s="3">
        <v>47036</v>
      </c>
      <c r="M273" s="3">
        <v>47009</v>
      </c>
      <c r="N273" t="s">
        <v>2409</v>
      </c>
      <c r="O273" s="4">
        <v>0.5</v>
      </c>
      <c r="P273">
        <v>0</v>
      </c>
      <c r="Q273">
        <v>0</v>
      </c>
    </row>
    <row r="274" spans="1:17" x14ac:dyDescent="0.25">
      <c r="A274">
        <v>20375</v>
      </c>
      <c r="B274" t="s">
        <v>2410</v>
      </c>
      <c r="C274" t="s">
        <v>2411</v>
      </c>
      <c r="D274" s="3">
        <v>27391</v>
      </c>
      <c r="E274" t="s">
        <v>1657</v>
      </c>
      <c r="F274">
        <v>402</v>
      </c>
      <c r="G274" s="3">
        <v>39132</v>
      </c>
      <c r="H274" t="s">
        <v>2412</v>
      </c>
      <c r="J274" t="s">
        <v>1507</v>
      </c>
      <c r="K274" t="s">
        <v>52</v>
      </c>
      <c r="L274" s="3">
        <v>72686</v>
      </c>
      <c r="M274" s="3">
        <v>46427</v>
      </c>
      <c r="N274" t="s">
        <v>2413</v>
      </c>
      <c r="O274" s="4">
        <v>1</v>
      </c>
      <c r="P274">
        <v>0</v>
      </c>
      <c r="Q274">
        <v>0</v>
      </c>
    </row>
    <row r="275" spans="1:17" x14ac:dyDescent="0.25">
      <c r="A275">
        <v>28995</v>
      </c>
      <c r="B275" t="s">
        <v>2414</v>
      </c>
      <c r="C275" t="s">
        <v>2415</v>
      </c>
      <c r="D275" s="3">
        <v>22706</v>
      </c>
      <c r="E275" t="s">
        <v>1401</v>
      </c>
      <c r="F275">
        <v>55</v>
      </c>
      <c r="G275" s="3">
        <v>41771</v>
      </c>
      <c r="H275" t="s">
        <v>2416</v>
      </c>
      <c r="J275" t="s">
        <v>1419</v>
      </c>
      <c r="K275" t="s">
        <v>61</v>
      </c>
      <c r="L275" s="3">
        <v>45543</v>
      </c>
      <c r="M275" s="3">
        <v>45306</v>
      </c>
      <c r="N275" t="s">
        <v>2417</v>
      </c>
      <c r="O275" s="4">
        <v>0.8</v>
      </c>
      <c r="P275">
        <v>0</v>
      </c>
      <c r="Q275">
        <v>0</v>
      </c>
    </row>
    <row r="276" spans="1:17" x14ac:dyDescent="0.25">
      <c r="A276">
        <v>27865</v>
      </c>
      <c r="B276" t="s">
        <v>2418</v>
      </c>
      <c r="C276" t="s">
        <v>2419</v>
      </c>
      <c r="D276" s="3">
        <v>25648</v>
      </c>
      <c r="E276" t="s">
        <v>1401</v>
      </c>
      <c r="F276">
        <v>221</v>
      </c>
      <c r="G276" s="3">
        <v>41313</v>
      </c>
      <c r="H276" t="s">
        <v>2420</v>
      </c>
      <c r="J276" t="s">
        <v>1481</v>
      </c>
      <c r="K276" t="s">
        <v>70</v>
      </c>
      <c r="L276" s="3">
        <v>46166</v>
      </c>
      <c r="M276" s="3">
        <v>47135</v>
      </c>
      <c r="N276" t="s">
        <v>2421</v>
      </c>
      <c r="O276" s="4">
        <v>1</v>
      </c>
      <c r="P276">
        <v>0</v>
      </c>
      <c r="Q276">
        <v>1</v>
      </c>
    </row>
    <row r="277" spans="1:17" x14ac:dyDescent="0.25">
      <c r="A277">
        <v>28072</v>
      </c>
      <c r="B277" t="s">
        <v>2422</v>
      </c>
      <c r="C277" t="s">
        <v>2423</v>
      </c>
      <c r="D277" s="3">
        <v>25585</v>
      </c>
      <c r="E277" t="s">
        <v>1401</v>
      </c>
      <c r="F277">
        <v>179</v>
      </c>
      <c r="G277" s="3">
        <v>41372</v>
      </c>
      <c r="H277" t="s">
        <v>2424</v>
      </c>
      <c r="J277" t="s">
        <v>1520</v>
      </c>
      <c r="K277" t="s">
        <v>73</v>
      </c>
      <c r="L277" s="3">
        <v>46877</v>
      </c>
      <c r="M277" s="3">
        <v>47083</v>
      </c>
      <c r="N277" t="s">
        <v>2425</v>
      </c>
      <c r="O277" s="4">
        <v>1</v>
      </c>
      <c r="P277">
        <v>0</v>
      </c>
      <c r="Q277">
        <v>0</v>
      </c>
    </row>
    <row r="278" spans="1:17" x14ac:dyDescent="0.25">
      <c r="A278">
        <v>39014</v>
      </c>
      <c r="B278" t="s">
        <v>2426</v>
      </c>
      <c r="C278" t="s">
        <v>2427</v>
      </c>
      <c r="D278" s="3">
        <v>36757</v>
      </c>
      <c r="E278" t="s">
        <v>1401</v>
      </c>
      <c r="G278" s="3">
        <v>45076</v>
      </c>
      <c r="H278" t="s">
        <v>2428</v>
      </c>
      <c r="J278" t="s">
        <v>1447</v>
      </c>
      <c r="K278" t="s">
        <v>55</v>
      </c>
      <c r="L278" s="3">
        <v>46923</v>
      </c>
      <c r="M278" s="3">
        <v>46860</v>
      </c>
      <c r="N278" t="s">
        <v>2429</v>
      </c>
      <c r="O278" s="4">
        <v>1</v>
      </c>
      <c r="P278">
        <v>0</v>
      </c>
      <c r="Q278">
        <v>0</v>
      </c>
    </row>
    <row r="279" spans="1:17" x14ac:dyDescent="0.25">
      <c r="A279">
        <v>12024</v>
      </c>
      <c r="B279" t="s">
        <v>2430</v>
      </c>
      <c r="C279" t="s">
        <v>2431</v>
      </c>
      <c r="D279" s="3">
        <v>23853</v>
      </c>
      <c r="E279" t="s">
        <v>1401</v>
      </c>
      <c r="F279">
        <v>214</v>
      </c>
      <c r="G279" s="3">
        <v>36612</v>
      </c>
      <c r="H279" t="s">
        <v>2432</v>
      </c>
      <c r="I279">
        <v>92312370</v>
      </c>
      <c r="J279" t="s">
        <v>1659</v>
      </c>
      <c r="K279" t="s">
        <v>73</v>
      </c>
      <c r="L279" s="3">
        <v>47400</v>
      </c>
      <c r="M279" s="3">
        <v>47399</v>
      </c>
      <c r="N279" t="s">
        <v>2433</v>
      </c>
      <c r="O279" s="4">
        <v>0.8</v>
      </c>
      <c r="P279">
        <v>0</v>
      </c>
      <c r="Q279">
        <v>0</v>
      </c>
    </row>
    <row r="280" spans="1:17" x14ac:dyDescent="0.25">
      <c r="A280">
        <v>36624</v>
      </c>
      <c r="B280" t="s">
        <v>2434</v>
      </c>
      <c r="C280" t="s">
        <v>2431</v>
      </c>
      <c r="D280" s="3">
        <v>24255</v>
      </c>
      <c r="E280" t="s">
        <v>1401</v>
      </c>
      <c r="G280" s="3">
        <v>44375</v>
      </c>
      <c r="H280" t="s">
        <v>2435</v>
      </c>
      <c r="I280">
        <v>3254255856</v>
      </c>
      <c r="J280" t="s">
        <v>1460</v>
      </c>
      <c r="K280" t="s">
        <v>52</v>
      </c>
      <c r="L280" s="3">
        <v>46208</v>
      </c>
      <c r="M280" s="3">
        <v>46138</v>
      </c>
      <c r="N280" t="s">
        <v>2436</v>
      </c>
      <c r="O280" s="4">
        <v>1</v>
      </c>
      <c r="P280">
        <v>0</v>
      </c>
      <c r="Q280">
        <v>1</v>
      </c>
    </row>
    <row r="281" spans="1:17" x14ac:dyDescent="0.25">
      <c r="A281">
        <v>28165</v>
      </c>
      <c r="B281" t="s">
        <v>1562</v>
      </c>
      <c r="C281" t="s">
        <v>2431</v>
      </c>
      <c r="D281" s="3">
        <v>25640</v>
      </c>
      <c r="E281" t="s">
        <v>1401</v>
      </c>
      <c r="F281">
        <v>3</v>
      </c>
      <c r="G281" s="3">
        <v>41421</v>
      </c>
      <c r="H281" t="s">
        <v>2437</v>
      </c>
      <c r="I281">
        <v>55427502</v>
      </c>
      <c r="J281" t="s">
        <v>1723</v>
      </c>
      <c r="K281" t="s">
        <v>70</v>
      </c>
      <c r="L281" s="3">
        <v>46777</v>
      </c>
      <c r="M281" s="3">
        <v>46763</v>
      </c>
      <c r="N281" t="s">
        <v>2438</v>
      </c>
      <c r="O281" s="4">
        <v>1</v>
      </c>
      <c r="P281">
        <v>0</v>
      </c>
      <c r="Q281">
        <v>0</v>
      </c>
    </row>
    <row r="282" spans="1:17" x14ac:dyDescent="0.25">
      <c r="A282">
        <v>20402</v>
      </c>
      <c r="B282" t="s">
        <v>2439</v>
      </c>
      <c r="C282" t="s">
        <v>2431</v>
      </c>
      <c r="D282" s="3">
        <v>23889</v>
      </c>
      <c r="E282" t="s">
        <v>1401</v>
      </c>
      <c r="F282">
        <v>172</v>
      </c>
      <c r="G282" s="3">
        <v>39146</v>
      </c>
      <c r="H282" t="s">
        <v>2440</v>
      </c>
      <c r="I282">
        <v>55424915</v>
      </c>
      <c r="J282" t="s">
        <v>1524</v>
      </c>
      <c r="K282" t="s">
        <v>70</v>
      </c>
      <c r="L282" s="3">
        <v>47629</v>
      </c>
      <c r="M282" s="3">
        <v>46378</v>
      </c>
      <c r="N282" t="s">
        <v>2441</v>
      </c>
      <c r="O282" s="4">
        <v>0.8</v>
      </c>
      <c r="P282">
        <v>0</v>
      </c>
      <c r="Q282">
        <v>0</v>
      </c>
    </row>
    <row r="283" spans="1:17" x14ac:dyDescent="0.25">
      <c r="A283">
        <v>18139</v>
      </c>
      <c r="B283" t="s">
        <v>2442</v>
      </c>
      <c r="C283" t="s">
        <v>2431</v>
      </c>
      <c r="D283" s="3">
        <v>24575</v>
      </c>
      <c r="E283" t="s">
        <v>1401</v>
      </c>
      <c r="F283">
        <v>348</v>
      </c>
      <c r="G283" s="3">
        <v>38460</v>
      </c>
      <c r="H283" t="s">
        <v>2443</v>
      </c>
      <c r="J283" t="s">
        <v>1507</v>
      </c>
      <c r="K283" t="s">
        <v>55</v>
      </c>
      <c r="L283" s="3">
        <v>72686</v>
      </c>
      <c r="M283" s="3">
        <v>46467</v>
      </c>
      <c r="N283" t="s">
        <v>2444</v>
      </c>
      <c r="O283" s="4">
        <v>0.8</v>
      </c>
      <c r="P283">
        <v>0</v>
      </c>
      <c r="Q283">
        <v>0</v>
      </c>
    </row>
    <row r="284" spans="1:17" x14ac:dyDescent="0.25">
      <c r="A284">
        <v>15282</v>
      </c>
      <c r="B284" t="s">
        <v>2445</v>
      </c>
      <c r="C284" t="s">
        <v>2446</v>
      </c>
      <c r="D284" s="3">
        <v>26952</v>
      </c>
      <c r="E284" t="s">
        <v>1401</v>
      </c>
      <c r="F284">
        <v>373</v>
      </c>
      <c r="G284" s="3">
        <v>37564</v>
      </c>
      <c r="H284" t="s">
        <v>2447</v>
      </c>
      <c r="J284" t="s">
        <v>1723</v>
      </c>
      <c r="K284" t="s">
        <v>64</v>
      </c>
      <c r="L284" s="3">
        <v>47639</v>
      </c>
      <c r="M284" s="3">
        <v>46201</v>
      </c>
      <c r="N284" t="s">
        <v>2448</v>
      </c>
      <c r="O284" s="4">
        <v>1</v>
      </c>
      <c r="P284">
        <v>0</v>
      </c>
      <c r="Q284">
        <v>0</v>
      </c>
    </row>
    <row r="285" spans="1:17" x14ac:dyDescent="0.25">
      <c r="A285">
        <v>31733</v>
      </c>
      <c r="B285" t="s">
        <v>2449</v>
      </c>
      <c r="C285" t="s">
        <v>1369</v>
      </c>
      <c r="D285" s="3">
        <v>30582</v>
      </c>
      <c r="E285" t="s">
        <v>1657</v>
      </c>
      <c r="F285">
        <v>231</v>
      </c>
      <c r="G285" s="3">
        <v>42919</v>
      </c>
      <c r="H285" t="s">
        <v>2450</v>
      </c>
      <c r="I285">
        <v>477594505</v>
      </c>
      <c r="J285" t="s">
        <v>1516</v>
      </c>
      <c r="K285" t="s">
        <v>52</v>
      </c>
      <c r="L285" s="3">
        <v>46537</v>
      </c>
      <c r="M285" s="3">
        <v>46497</v>
      </c>
      <c r="N285" t="s">
        <v>2451</v>
      </c>
      <c r="O285" s="4">
        <v>1</v>
      </c>
      <c r="P285">
        <v>0</v>
      </c>
      <c r="Q285">
        <v>1</v>
      </c>
    </row>
    <row r="286" spans="1:17" x14ac:dyDescent="0.25">
      <c r="A286">
        <v>19810</v>
      </c>
      <c r="B286" t="s">
        <v>2452</v>
      </c>
      <c r="C286" t="s">
        <v>2453</v>
      </c>
      <c r="D286" s="3">
        <v>26051</v>
      </c>
      <c r="E286" t="s">
        <v>1401</v>
      </c>
      <c r="F286">
        <v>161</v>
      </c>
      <c r="G286" s="3">
        <v>38971</v>
      </c>
      <c r="H286" t="s">
        <v>2454</v>
      </c>
      <c r="J286" t="s">
        <v>1703</v>
      </c>
      <c r="K286" t="s">
        <v>52</v>
      </c>
      <c r="L286" s="3">
        <v>72686</v>
      </c>
      <c r="M286" s="3">
        <v>46820</v>
      </c>
      <c r="N286" t="s">
        <v>2455</v>
      </c>
      <c r="O286" s="4">
        <v>0.8</v>
      </c>
      <c r="P286">
        <v>0</v>
      </c>
      <c r="Q286">
        <v>0</v>
      </c>
    </row>
    <row r="287" spans="1:17" x14ac:dyDescent="0.25">
      <c r="A287">
        <v>21509</v>
      </c>
      <c r="B287" t="s">
        <v>2456</v>
      </c>
      <c r="C287" t="s">
        <v>2457</v>
      </c>
      <c r="D287" s="3">
        <v>30190</v>
      </c>
      <c r="E287" t="s">
        <v>1401</v>
      </c>
      <c r="F287">
        <v>274</v>
      </c>
      <c r="G287" s="3">
        <v>39405</v>
      </c>
      <c r="H287" t="s">
        <v>2458</v>
      </c>
      <c r="J287" t="s">
        <v>1477</v>
      </c>
      <c r="K287" t="s">
        <v>52</v>
      </c>
      <c r="L287" s="3">
        <v>72686</v>
      </c>
      <c r="M287" s="3">
        <v>46201</v>
      </c>
      <c r="N287" t="s">
        <v>2459</v>
      </c>
      <c r="O287" s="4">
        <v>1</v>
      </c>
      <c r="P287">
        <v>0</v>
      </c>
      <c r="Q287">
        <v>0</v>
      </c>
    </row>
    <row r="288" spans="1:17" x14ac:dyDescent="0.25">
      <c r="A288">
        <v>19520</v>
      </c>
      <c r="B288" t="s">
        <v>2460</v>
      </c>
      <c r="C288" t="s">
        <v>2457</v>
      </c>
      <c r="D288" s="3">
        <v>29721</v>
      </c>
      <c r="E288" t="s">
        <v>1401</v>
      </c>
      <c r="F288">
        <v>52</v>
      </c>
      <c r="G288" s="3">
        <v>38908</v>
      </c>
      <c r="H288" t="s">
        <v>2461</v>
      </c>
      <c r="I288">
        <v>55613250</v>
      </c>
      <c r="J288" t="s">
        <v>1419</v>
      </c>
      <c r="K288" t="s">
        <v>70</v>
      </c>
      <c r="L288" s="3">
        <v>45923</v>
      </c>
      <c r="M288" s="3">
        <v>46005</v>
      </c>
      <c r="N288" t="s">
        <v>2462</v>
      </c>
      <c r="O288" s="4">
        <v>0.8</v>
      </c>
      <c r="P288">
        <v>0</v>
      </c>
      <c r="Q288">
        <v>0</v>
      </c>
    </row>
    <row r="289" spans="1:17" x14ac:dyDescent="0.25">
      <c r="A289">
        <v>27673</v>
      </c>
      <c r="B289" t="s">
        <v>2463</v>
      </c>
      <c r="C289" t="s">
        <v>2464</v>
      </c>
      <c r="D289" s="3">
        <v>27365</v>
      </c>
      <c r="E289" t="s">
        <v>1401</v>
      </c>
      <c r="F289">
        <v>315</v>
      </c>
      <c r="G289" s="3">
        <v>41204</v>
      </c>
      <c r="H289" t="s">
        <v>2465</v>
      </c>
      <c r="J289" t="s">
        <v>1481</v>
      </c>
      <c r="K289" t="s">
        <v>61</v>
      </c>
      <c r="L289" s="3">
        <v>46505</v>
      </c>
      <c r="M289" s="3">
        <v>46497</v>
      </c>
      <c r="N289" t="s">
        <v>2466</v>
      </c>
      <c r="O289" s="4">
        <v>1</v>
      </c>
      <c r="P289">
        <v>0</v>
      </c>
      <c r="Q289">
        <v>0</v>
      </c>
    </row>
    <row r="290" spans="1:17" x14ac:dyDescent="0.25">
      <c r="A290">
        <v>24155</v>
      </c>
      <c r="B290" t="s">
        <v>2467</v>
      </c>
      <c r="C290" t="s">
        <v>2464</v>
      </c>
      <c r="D290" s="3">
        <v>26728</v>
      </c>
      <c r="E290" t="s">
        <v>1401</v>
      </c>
      <c r="F290">
        <v>507</v>
      </c>
      <c r="G290" s="3">
        <v>40000</v>
      </c>
      <c r="H290" t="s">
        <v>2468</v>
      </c>
      <c r="J290" t="s">
        <v>1481</v>
      </c>
      <c r="K290" t="s">
        <v>58</v>
      </c>
      <c r="L290" s="3">
        <v>73050</v>
      </c>
      <c r="M290" s="3">
        <v>46279</v>
      </c>
      <c r="N290" t="s">
        <v>2469</v>
      </c>
      <c r="O290" s="4">
        <v>0.8</v>
      </c>
      <c r="P290">
        <v>0</v>
      </c>
      <c r="Q290">
        <v>1</v>
      </c>
    </row>
    <row r="291" spans="1:17" x14ac:dyDescent="0.25">
      <c r="A291">
        <v>14072</v>
      </c>
      <c r="B291" t="s">
        <v>2470</v>
      </c>
      <c r="C291" t="s">
        <v>2464</v>
      </c>
      <c r="D291" s="3">
        <v>28506</v>
      </c>
      <c r="E291" t="s">
        <v>1401</v>
      </c>
      <c r="F291">
        <v>249</v>
      </c>
      <c r="G291" s="3">
        <v>37214</v>
      </c>
      <c r="H291" t="s">
        <v>2471</v>
      </c>
      <c r="J291" t="s">
        <v>1507</v>
      </c>
      <c r="K291" t="s">
        <v>73</v>
      </c>
      <c r="L291" s="3">
        <v>45840</v>
      </c>
      <c r="M291" s="3">
        <v>46152</v>
      </c>
      <c r="N291" t="s">
        <v>2472</v>
      </c>
      <c r="O291" s="4">
        <v>0.8</v>
      </c>
      <c r="P291">
        <v>0</v>
      </c>
      <c r="Q291">
        <v>0</v>
      </c>
    </row>
    <row r="292" spans="1:17" x14ac:dyDescent="0.25">
      <c r="A292">
        <v>39633</v>
      </c>
      <c r="B292" t="s">
        <v>2473</v>
      </c>
      <c r="C292" t="s">
        <v>2474</v>
      </c>
      <c r="D292" s="3">
        <v>36852</v>
      </c>
      <c r="E292" t="s">
        <v>1401</v>
      </c>
      <c r="G292" s="3">
        <v>45236</v>
      </c>
      <c r="H292" t="s">
        <v>2475</v>
      </c>
      <c r="J292" t="s">
        <v>1409</v>
      </c>
      <c r="K292" t="s">
        <v>73</v>
      </c>
      <c r="L292" s="3">
        <v>47077</v>
      </c>
      <c r="M292" s="3">
        <v>47016</v>
      </c>
      <c r="N292" t="s">
        <v>2476</v>
      </c>
      <c r="O292" s="4">
        <v>0.9</v>
      </c>
      <c r="P292">
        <v>0</v>
      </c>
      <c r="Q292">
        <v>0</v>
      </c>
    </row>
    <row r="293" spans="1:17" x14ac:dyDescent="0.25">
      <c r="A293">
        <v>40414</v>
      </c>
      <c r="B293" t="s">
        <v>2477</v>
      </c>
      <c r="C293" t="s">
        <v>2478</v>
      </c>
      <c r="D293" s="3">
        <v>37300</v>
      </c>
      <c r="E293" t="s">
        <v>1401</v>
      </c>
      <c r="G293" s="3">
        <v>45408</v>
      </c>
      <c r="H293" t="s">
        <v>2479</v>
      </c>
      <c r="J293" t="s">
        <v>1409</v>
      </c>
      <c r="K293" t="s">
        <v>67</v>
      </c>
      <c r="L293" s="3">
        <v>47259</v>
      </c>
      <c r="M293" s="3">
        <v>47216</v>
      </c>
      <c r="N293" t="s">
        <v>2480</v>
      </c>
      <c r="O293" s="4">
        <v>1</v>
      </c>
      <c r="P293">
        <v>0</v>
      </c>
      <c r="Q293">
        <v>0</v>
      </c>
    </row>
    <row r="294" spans="1:17" x14ac:dyDescent="0.25">
      <c r="A294">
        <v>40200</v>
      </c>
      <c r="B294" t="s">
        <v>2481</v>
      </c>
      <c r="C294" t="s">
        <v>2482</v>
      </c>
      <c r="D294" s="3">
        <v>33970</v>
      </c>
      <c r="E294" t="s">
        <v>1401</v>
      </c>
      <c r="G294" s="3">
        <v>45345</v>
      </c>
      <c r="H294" t="s">
        <v>2483</v>
      </c>
      <c r="J294" t="s">
        <v>1409</v>
      </c>
      <c r="K294" t="s">
        <v>52</v>
      </c>
      <c r="L294" s="3">
        <v>46719</v>
      </c>
      <c r="M294" s="3">
        <v>46616</v>
      </c>
      <c r="N294" t="s">
        <v>2484</v>
      </c>
      <c r="O294" s="4">
        <v>1</v>
      </c>
      <c r="P294">
        <v>0</v>
      </c>
      <c r="Q294">
        <v>0</v>
      </c>
    </row>
    <row r="295" spans="1:17" x14ac:dyDescent="0.25">
      <c r="A295">
        <v>36429</v>
      </c>
      <c r="B295" t="s">
        <v>2485</v>
      </c>
      <c r="C295" t="s">
        <v>2486</v>
      </c>
      <c r="D295" s="3">
        <v>31748</v>
      </c>
      <c r="E295" t="s">
        <v>1401</v>
      </c>
      <c r="G295" s="3">
        <v>44312</v>
      </c>
      <c r="H295" t="s">
        <v>2487</v>
      </c>
      <c r="J295" t="s">
        <v>1404</v>
      </c>
      <c r="K295" t="s">
        <v>64</v>
      </c>
      <c r="L295" s="3">
        <v>46152</v>
      </c>
      <c r="M295" s="3">
        <v>46897</v>
      </c>
      <c r="N295" t="s">
        <v>2488</v>
      </c>
      <c r="O295" s="4">
        <v>0.8</v>
      </c>
      <c r="P295">
        <v>0</v>
      </c>
      <c r="Q295">
        <v>0</v>
      </c>
    </row>
    <row r="296" spans="1:17" x14ac:dyDescent="0.25">
      <c r="A296">
        <v>42002</v>
      </c>
      <c r="B296" t="s">
        <v>2489</v>
      </c>
      <c r="C296" t="s">
        <v>2490</v>
      </c>
      <c r="D296" s="3">
        <v>37670</v>
      </c>
      <c r="E296" t="s">
        <v>1401</v>
      </c>
      <c r="G296" s="3">
        <v>45814</v>
      </c>
      <c r="H296" t="s">
        <v>2491</v>
      </c>
      <c r="J296" t="s">
        <v>1409</v>
      </c>
      <c r="K296" t="s">
        <v>58</v>
      </c>
      <c r="L296" s="3">
        <v>47660</v>
      </c>
      <c r="M296" s="3">
        <v>47622</v>
      </c>
      <c r="N296" t="s">
        <v>2492</v>
      </c>
      <c r="O296" s="4">
        <v>1</v>
      </c>
      <c r="P296">
        <v>0</v>
      </c>
      <c r="Q296">
        <v>0</v>
      </c>
    </row>
    <row r="297" spans="1:17" x14ac:dyDescent="0.25">
      <c r="A297">
        <v>34044</v>
      </c>
      <c r="B297" t="s">
        <v>2493</v>
      </c>
      <c r="C297" t="s">
        <v>2490</v>
      </c>
      <c r="D297" s="3">
        <v>34969</v>
      </c>
      <c r="E297" t="s">
        <v>1401</v>
      </c>
      <c r="F297">
        <v>300</v>
      </c>
      <c r="G297" s="3">
        <v>43640</v>
      </c>
      <c r="H297" t="s">
        <v>2494</v>
      </c>
      <c r="I297">
        <v>494587601</v>
      </c>
      <c r="J297" t="s">
        <v>1485</v>
      </c>
      <c r="K297" t="s">
        <v>61</v>
      </c>
      <c r="L297" s="3">
        <v>47215</v>
      </c>
      <c r="M297" s="3">
        <v>47170</v>
      </c>
      <c r="N297" t="s">
        <v>2495</v>
      </c>
      <c r="O297" s="4">
        <v>1</v>
      </c>
      <c r="P297">
        <v>0</v>
      </c>
      <c r="Q297">
        <v>0</v>
      </c>
    </row>
    <row r="298" spans="1:17" x14ac:dyDescent="0.25">
      <c r="A298">
        <v>31092</v>
      </c>
      <c r="B298" t="s">
        <v>2496</v>
      </c>
      <c r="C298" t="s">
        <v>2490</v>
      </c>
      <c r="D298" s="3">
        <v>34149</v>
      </c>
      <c r="E298" t="s">
        <v>1401</v>
      </c>
      <c r="F298">
        <v>389</v>
      </c>
      <c r="G298" s="3">
        <v>42604</v>
      </c>
      <c r="H298" t="s">
        <v>2497</v>
      </c>
      <c r="J298" t="s">
        <v>1419</v>
      </c>
      <c r="K298" t="s">
        <v>73</v>
      </c>
      <c r="L298" s="3">
        <v>46081</v>
      </c>
      <c r="M298" s="3">
        <v>46056</v>
      </c>
      <c r="N298" t="s">
        <v>2498</v>
      </c>
      <c r="O298" s="4">
        <v>1</v>
      </c>
      <c r="P298">
        <v>0</v>
      </c>
      <c r="Q298">
        <v>1</v>
      </c>
    </row>
    <row r="299" spans="1:17" x14ac:dyDescent="0.25">
      <c r="A299">
        <v>37809</v>
      </c>
      <c r="B299" t="s">
        <v>1580</v>
      </c>
      <c r="C299" t="s">
        <v>2499</v>
      </c>
      <c r="D299" s="3">
        <v>30433</v>
      </c>
      <c r="E299" t="s">
        <v>1401</v>
      </c>
      <c r="G299" s="3">
        <v>44809</v>
      </c>
      <c r="H299" t="s">
        <v>2500</v>
      </c>
      <c r="J299" t="s">
        <v>1409</v>
      </c>
      <c r="K299" t="s">
        <v>67</v>
      </c>
      <c r="L299" s="3">
        <v>46650</v>
      </c>
      <c r="M299" s="3">
        <v>46504</v>
      </c>
      <c r="N299" t="s">
        <v>2501</v>
      </c>
      <c r="O299" s="4">
        <v>1</v>
      </c>
      <c r="P299">
        <v>0</v>
      </c>
      <c r="Q299">
        <v>0</v>
      </c>
    </row>
    <row r="300" spans="1:17" x14ac:dyDescent="0.25">
      <c r="A300">
        <v>34664</v>
      </c>
      <c r="B300" t="s">
        <v>2502</v>
      </c>
      <c r="C300" t="s">
        <v>2499</v>
      </c>
      <c r="D300" s="3">
        <v>34283</v>
      </c>
      <c r="E300" t="s">
        <v>1401</v>
      </c>
      <c r="F300">
        <v>158</v>
      </c>
      <c r="G300" s="3">
        <v>43781</v>
      </c>
      <c r="H300" t="s">
        <v>2503</v>
      </c>
      <c r="J300" t="s">
        <v>1442</v>
      </c>
      <c r="K300" t="s">
        <v>67</v>
      </c>
      <c r="L300" s="3">
        <v>47357</v>
      </c>
      <c r="M300" s="3">
        <v>47357</v>
      </c>
      <c r="N300" t="s">
        <v>2504</v>
      </c>
      <c r="O300" s="4">
        <v>1</v>
      </c>
      <c r="P300">
        <v>0</v>
      </c>
      <c r="Q300">
        <v>1</v>
      </c>
    </row>
    <row r="301" spans="1:17" x14ac:dyDescent="0.25">
      <c r="A301">
        <v>32542</v>
      </c>
      <c r="B301" t="s">
        <v>2505</v>
      </c>
      <c r="C301" t="s">
        <v>2499</v>
      </c>
      <c r="D301" s="3">
        <v>31239</v>
      </c>
      <c r="E301" t="s">
        <v>1401</v>
      </c>
      <c r="F301">
        <v>239</v>
      </c>
      <c r="G301" s="3">
        <v>43150</v>
      </c>
      <c r="H301" t="s">
        <v>2506</v>
      </c>
      <c r="I301" t="s">
        <v>2507</v>
      </c>
      <c r="J301" t="s">
        <v>1455</v>
      </c>
      <c r="K301" t="s">
        <v>52</v>
      </c>
      <c r="L301" s="3">
        <v>46673</v>
      </c>
      <c r="M301" s="3">
        <v>46665</v>
      </c>
      <c r="N301" t="s">
        <v>2508</v>
      </c>
      <c r="O301" s="4">
        <v>0.8</v>
      </c>
      <c r="P301">
        <v>0</v>
      </c>
      <c r="Q301">
        <v>0</v>
      </c>
    </row>
    <row r="302" spans="1:17" x14ac:dyDescent="0.25">
      <c r="A302">
        <v>31659</v>
      </c>
      <c r="B302" t="s">
        <v>2509</v>
      </c>
      <c r="C302" t="s">
        <v>1363</v>
      </c>
      <c r="D302" s="3">
        <v>32677</v>
      </c>
      <c r="E302" t="s">
        <v>1401</v>
      </c>
      <c r="F302">
        <v>44</v>
      </c>
      <c r="G302" s="3">
        <v>42877</v>
      </c>
      <c r="H302" t="s">
        <v>2510</v>
      </c>
      <c r="J302" t="s">
        <v>1611</v>
      </c>
      <c r="K302" t="s">
        <v>55</v>
      </c>
      <c r="L302" s="3">
        <v>46461</v>
      </c>
      <c r="M302" s="3">
        <v>46460</v>
      </c>
      <c r="N302" t="s">
        <v>2511</v>
      </c>
      <c r="O302" s="4">
        <v>1</v>
      </c>
      <c r="P302">
        <v>0</v>
      </c>
      <c r="Q302">
        <v>0</v>
      </c>
    </row>
    <row r="303" spans="1:17" x14ac:dyDescent="0.25">
      <c r="A303">
        <v>20400</v>
      </c>
      <c r="B303" t="s">
        <v>2512</v>
      </c>
      <c r="C303" t="s">
        <v>1363</v>
      </c>
      <c r="D303" s="3">
        <v>23779</v>
      </c>
      <c r="E303" t="s">
        <v>1401</v>
      </c>
      <c r="F303">
        <v>157</v>
      </c>
      <c r="G303" s="3">
        <v>39146</v>
      </c>
      <c r="H303" t="s">
        <v>2513</v>
      </c>
      <c r="J303" t="s">
        <v>1538</v>
      </c>
      <c r="K303" t="s">
        <v>52</v>
      </c>
      <c r="L303" s="3">
        <v>72686</v>
      </c>
      <c r="M303" s="3">
        <v>46343</v>
      </c>
      <c r="N303" t="s">
        <v>2514</v>
      </c>
      <c r="O303" s="4">
        <v>0.8</v>
      </c>
      <c r="P303">
        <v>0</v>
      </c>
      <c r="Q303">
        <v>0</v>
      </c>
    </row>
    <row r="304" spans="1:17" x14ac:dyDescent="0.25">
      <c r="A304">
        <v>20404</v>
      </c>
      <c r="B304" t="s">
        <v>1399</v>
      </c>
      <c r="C304" t="s">
        <v>1363</v>
      </c>
      <c r="D304" s="3">
        <v>26247</v>
      </c>
      <c r="E304" t="s">
        <v>1401</v>
      </c>
      <c r="F304">
        <v>218</v>
      </c>
      <c r="G304" s="3">
        <v>39146</v>
      </c>
      <c r="H304" t="s">
        <v>2515</v>
      </c>
      <c r="J304" t="s">
        <v>1485</v>
      </c>
      <c r="K304" t="s">
        <v>61</v>
      </c>
      <c r="L304" s="3">
        <v>45956</v>
      </c>
      <c r="M304" s="3">
        <v>46306</v>
      </c>
      <c r="N304" t="s">
        <v>2516</v>
      </c>
      <c r="O304" s="4">
        <v>1</v>
      </c>
      <c r="P304">
        <v>0</v>
      </c>
      <c r="Q304">
        <v>0</v>
      </c>
    </row>
    <row r="305" spans="1:17" x14ac:dyDescent="0.25">
      <c r="A305">
        <v>12514</v>
      </c>
      <c r="B305" t="s">
        <v>2292</v>
      </c>
      <c r="C305" t="s">
        <v>1363</v>
      </c>
      <c r="D305" s="3">
        <v>28745</v>
      </c>
      <c r="E305" t="s">
        <v>1401</v>
      </c>
      <c r="F305">
        <v>417</v>
      </c>
      <c r="G305" s="3">
        <v>36759</v>
      </c>
      <c r="H305" t="s">
        <v>2517</v>
      </c>
      <c r="J305" t="s">
        <v>1455</v>
      </c>
      <c r="K305" t="s">
        <v>73</v>
      </c>
      <c r="L305" s="3">
        <v>47356</v>
      </c>
      <c r="M305" s="3">
        <v>47351</v>
      </c>
      <c r="N305" t="s">
        <v>2518</v>
      </c>
      <c r="O305" s="4">
        <v>0.8</v>
      </c>
      <c r="P305">
        <v>0</v>
      </c>
      <c r="Q305">
        <v>0</v>
      </c>
    </row>
    <row r="306" spans="1:17" x14ac:dyDescent="0.25">
      <c r="A306">
        <v>41690</v>
      </c>
      <c r="B306" t="s">
        <v>2519</v>
      </c>
      <c r="C306" t="s">
        <v>2520</v>
      </c>
      <c r="D306" s="3">
        <v>31471</v>
      </c>
      <c r="E306" t="s">
        <v>1401</v>
      </c>
      <c r="G306" s="3">
        <v>45783</v>
      </c>
      <c r="H306" t="s">
        <v>2521</v>
      </c>
      <c r="J306" t="s">
        <v>1409</v>
      </c>
      <c r="K306" t="s">
        <v>70</v>
      </c>
      <c r="L306" s="3">
        <v>47628</v>
      </c>
      <c r="M306" s="3">
        <v>47524</v>
      </c>
      <c r="N306" t="s">
        <v>2522</v>
      </c>
      <c r="O306" s="4">
        <v>1</v>
      </c>
      <c r="P306">
        <v>0</v>
      </c>
      <c r="Q306">
        <v>0</v>
      </c>
    </row>
    <row r="307" spans="1:17" x14ac:dyDescent="0.25">
      <c r="A307">
        <v>39859</v>
      </c>
      <c r="B307" t="s">
        <v>2523</v>
      </c>
      <c r="C307" t="s">
        <v>2520</v>
      </c>
      <c r="D307" s="3">
        <v>29906</v>
      </c>
      <c r="E307" t="s">
        <v>1401</v>
      </c>
      <c r="G307" s="3">
        <v>45264</v>
      </c>
      <c r="H307" t="s">
        <v>2524</v>
      </c>
      <c r="J307" t="s">
        <v>1409</v>
      </c>
      <c r="K307" t="s">
        <v>55</v>
      </c>
      <c r="L307" s="3">
        <v>47106</v>
      </c>
      <c r="M307" s="3">
        <v>47083</v>
      </c>
      <c r="N307" t="s">
        <v>2525</v>
      </c>
      <c r="O307" s="4">
        <v>1</v>
      </c>
      <c r="P307">
        <v>0</v>
      </c>
      <c r="Q307">
        <v>0</v>
      </c>
    </row>
    <row r="308" spans="1:17" x14ac:dyDescent="0.25">
      <c r="A308">
        <v>39019</v>
      </c>
      <c r="B308" t="s">
        <v>2526</v>
      </c>
      <c r="C308" t="s">
        <v>2520</v>
      </c>
      <c r="D308" s="3">
        <v>30913</v>
      </c>
      <c r="E308" t="s">
        <v>1401</v>
      </c>
      <c r="G308" s="3">
        <v>45061</v>
      </c>
      <c r="H308" t="s">
        <v>2527</v>
      </c>
      <c r="J308" t="s">
        <v>1520</v>
      </c>
      <c r="K308" t="s">
        <v>73</v>
      </c>
      <c r="L308" s="3">
        <v>46904</v>
      </c>
      <c r="M308" s="3">
        <v>46862</v>
      </c>
      <c r="N308" t="s">
        <v>2528</v>
      </c>
      <c r="O308" s="4">
        <v>1</v>
      </c>
      <c r="P308">
        <v>0</v>
      </c>
      <c r="Q308">
        <v>0</v>
      </c>
    </row>
    <row r="309" spans="1:17" x14ac:dyDescent="0.25">
      <c r="A309">
        <v>37794</v>
      </c>
      <c r="B309" t="s">
        <v>1716</v>
      </c>
      <c r="C309" t="s">
        <v>2529</v>
      </c>
      <c r="D309" s="3">
        <v>33202</v>
      </c>
      <c r="E309" t="s">
        <v>1401</v>
      </c>
      <c r="G309" s="3">
        <v>44790</v>
      </c>
      <c r="H309" t="s">
        <v>2530</v>
      </c>
      <c r="J309" t="s">
        <v>1409</v>
      </c>
      <c r="K309" t="s">
        <v>67</v>
      </c>
      <c r="L309" s="3">
        <v>46421</v>
      </c>
      <c r="M309" s="3">
        <v>46120</v>
      </c>
      <c r="N309" t="s">
        <v>2531</v>
      </c>
      <c r="O309" s="4">
        <v>1</v>
      </c>
      <c r="P309">
        <v>0</v>
      </c>
      <c r="Q309">
        <v>0</v>
      </c>
    </row>
    <row r="310" spans="1:17" x14ac:dyDescent="0.25">
      <c r="A310">
        <v>38475</v>
      </c>
      <c r="B310" t="s">
        <v>1989</v>
      </c>
      <c r="C310" t="s">
        <v>2532</v>
      </c>
      <c r="D310" s="3">
        <v>27197</v>
      </c>
      <c r="E310" t="s">
        <v>1401</v>
      </c>
      <c r="G310" s="3">
        <v>44942</v>
      </c>
      <c r="H310" t="s">
        <v>2533</v>
      </c>
      <c r="J310" t="s">
        <v>1447</v>
      </c>
      <c r="K310" t="s">
        <v>70</v>
      </c>
      <c r="L310" s="3">
        <v>46782</v>
      </c>
      <c r="M310" s="3">
        <v>46665</v>
      </c>
      <c r="N310" t="s">
        <v>2534</v>
      </c>
      <c r="O310" s="4">
        <v>1</v>
      </c>
      <c r="P310">
        <v>0</v>
      </c>
      <c r="Q310">
        <v>0</v>
      </c>
    </row>
    <row r="311" spans="1:17" x14ac:dyDescent="0.25">
      <c r="A311">
        <v>15220</v>
      </c>
      <c r="B311" t="s">
        <v>2535</v>
      </c>
      <c r="C311" t="s">
        <v>2532</v>
      </c>
      <c r="D311" s="3">
        <v>26171</v>
      </c>
      <c r="E311" t="s">
        <v>1401</v>
      </c>
      <c r="F311">
        <v>383</v>
      </c>
      <c r="G311" s="3">
        <v>37543</v>
      </c>
      <c r="H311" t="s">
        <v>2536</v>
      </c>
      <c r="J311" t="s">
        <v>1575</v>
      </c>
      <c r="K311" t="s">
        <v>52</v>
      </c>
      <c r="L311" s="3">
        <v>45902</v>
      </c>
      <c r="M311" s="3">
        <v>46434</v>
      </c>
      <c r="N311" t="s">
        <v>2537</v>
      </c>
      <c r="O311" s="4">
        <v>0.8</v>
      </c>
      <c r="P311">
        <v>0</v>
      </c>
      <c r="Q311">
        <v>0</v>
      </c>
    </row>
    <row r="312" spans="1:17" x14ac:dyDescent="0.25">
      <c r="A312">
        <v>29778</v>
      </c>
      <c r="B312" t="s">
        <v>2538</v>
      </c>
      <c r="C312" t="s">
        <v>2539</v>
      </c>
      <c r="D312" s="3">
        <v>24404</v>
      </c>
      <c r="E312" t="s">
        <v>1401</v>
      </c>
      <c r="F312">
        <v>173</v>
      </c>
      <c r="G312" s="3">
        <v>42107</v>
      </c>
      <c r="H312" t="s">
        <v>2540</v>
      </c>
      <c r="I312">
        <v>56371827</v>
      </c>
      <c r="J312" t="s">
        <v>1520</v>
      </c>
      <c r="K312" t="s">
        <v>64</v>
      </c>
      <c r="L312" s="3">
        <v>47322</v>
      </c>
      <c r="M312" s="3">
        <v>47306</v>
      </c>
      <c r="N312" t="s">
        <v>2541</v>
      </c>
      <c r="O312" s="4">
        <v>0.8</v>
      </c>
      <c r="P312">
        <v>0</v>
      </c>
      <c r="Q312">
        <v>0</v>
      </c>
    </row>
    <row r="313" spans="1:17" x14ac:dyDescent="0.25">
      <c r="A313">
        <v>22240</v>
      </c>
      <c r="B313" t="s">
        <v>2542</v>
      </c>
      <c r="C313" t="s">
        <v>2543</v>
      </c>
      <c r="D313" s="3">
        <v>26235</v>
      </c>
      <c r="E313" t="s">
        <v>1401</v>
      </c>
      <c r="F313">
        <v>422</v>
      </c>
      <c r="G313" s="3">
        <v>39587</v>
      </c>
      <c r="H313" t="s">
        <v>2544</v>
      </c>
      <c r="J313" t="s">
        <v>1427</v>
      </c>
      <c r="K313" t="s">
        <v>70</v>
      </c>
      <c r="L313" s="3">
        <v>72686</v>
      </c>
      <c r="M313" s="3">
        <v>46897</v>
      </c>
      <c r="N313" t="s">
        <v>2545</v>
      </c>
      <c r="O313" s="4">
        <v>0.8</v>
      </c>
      <c r="P313">
        <v>0</v>
      </c>
      <c r="Q313">
        <v>0</v>
      </c>
    </row>
    <row r="314" spans="1:17" x14ac:dyDescent="0.25">
      <c r="A314">
        <v>5080</v>
      </c>
      <c r="B314" t="s">
        <v>1984</v>
      </c>
      <c r="C314" t="s">
        <v>2546</v>
      </c>
      <c r="D314" s="3">
        <v>24420</v>
      </c>
      <c r="E314" t="s">
        <v>1401</v>
      </c>
      <c r="F314">
        <v>313</v>
      </c>
      <c r="G314" s="3">
        <v>33308</v>
      </c>
      <c r="H314" t="s">
        <v>2547</v>
      </c>
      <c r="I314">
        <v>92370122</v>
      </c>
      <c r="J314" t="s">
        <v>1520</v>
      </c>
      <c r="K314" t="s">
        <v>58</v>
      </c>
      <c r="L314" s="3">
        <v>47635</v>
      </c>
      <c r="M314" s="3">
        <v>46882</v>
      </c>
      <c r="N314" t="s">
        <v>2548</v>
      </c>
      <c r="O314" s="4">
        <v>0.5</v>
      </c>
      <c r="P314">
        <v>0</v>
      </c>
      <c r="Q314">
        <v>0</v>
      </c>
    </row>
    <row r="315" spans="1:17" x14ac:dyDescent="0.25">
      <c r="A315">
        <v>42044</v>
      </c>
      <c r="B315" t="s">
        <v>2549</v>
      </c>
      <c r="C315" t="s">
        <v>2550</v>
      </c>
      <c r="D315" s="3">
        <v>33500</v>
      </c>
      <c r="E315" t="s">
        <v>1401</v>
      </c>
      <c r="G315" s="3">
        <v>45854</v>
      </c>
      <c r="H315" t="s">
        <v>2551</v>
      </c>
      <c r="J315" t="s">
        <v>1409</v>
      </c>
      <c r="K315" t="s">
        <v>52</v>
      </c>
      <c r="L315" s="3">
        <v>46678</v>
      </c>
      <c r="M315" s="3">
        <v>46606</v>
      </c>
      <c r="N315" t="s">
        <v>2552</v>
      </c>
      <c r="O315" s="4">
        <v>1</v>
      </c>
      <c r="P315">
        <v>0</v>
      </c>
      <c r="Q315">
        <v>0</v>
      </c>
    </row>
    <row r="316" spans="1:17" x14ac:dyDescent="0.25">
      <c r="A316">
        <v>35246</v>
      </c>
      <c r="B316" t="s">
        <v>1277</v>
      </c>
      <c r="C316" t="s">
        <v>2553</v>
      </c>
      <c r="D316" s="3">
        <v>25938</v>
      </c>
      <c r="E316" t="s">
        <v>1401</v>
      </c>
      <c r="F316">
        <v>160</v>
      </c>
      <c r="G316" s="3">
        <v>43906</v>
      </c>
      <c r="H316" t="s">
        <v>2554</v>
      </c>
      <c r="J316" t="s">
        <v>1460</v>
      </c>
      <c r="K316" t="s">
        <v>58</v>
      </c>
      <c r="L316" s="3">
        <v>47517</v>
      </c>
      <c r="M316" s="3">
        <v>47441</v>
      </c>
      <c r="N316" t="s">
        <v>2555</v>
      </c>
      <c r="O316" s="4">
        <v>1</v>
      </c>
      <c r="P316">
        <v>0</v>
      </c>
      <c r="Q316">
        <v>1</v>
      </c>
    </row>
    <row r="317" spans="1:17" x14ac:dyDescent="0.25">
      <c r="A317">
        <v>42146</v>
      </c>
      <c r="B317" t="s">
        <v>2556</v>
      </c>
      <c r="C317" t="s">
        <v>2557</v>
      </c>
      <c r="D317" s="3">
        <v>34251</v>
      </c>
      <c r="E317" t="s">
        <v>1401</v>
      </c>
      <c r="G317" s="3">
        <v>45874</v>
      </c>
      <c r="H317" t="s">
        <v>2558</v>
      </c>
      <c r="J317" t="s">
        <v>1414</v>
      </c>
      <c r="K317" t="s">
        <v>67</v>
      </c>
      <c r="L317" s="3">
        <v>1</v>
      </c>
      <c r="M317" s="3">
        <v>1</v>
      </c>
      <c r="N317" t="s">
        <v>2559</v>
      </c>
      <c r="O317" s="4">
        <v>1</v>
      </c>
      <c r="P317">
        <v>0</v>
      </c>
      <c r="Q317">
        <v>0</v>
      </c>
    </row>
    <row r="318" spans="1:17" x14ac:dyDescent="0.25">
      <c r="A318">
        <v>36626</v>
      </c>
      <c r="B318" t="s">
        <v>2560</v>
      </c>
      <c r="C318" t="s">
        <v>2561</v>
      </c>
      <c r="D318" s="3">
        <v>35465</v>
      </c>
      <c r="E318" t="s">
        <v>1401</v>
      </c>
      <c r="G318" s="3">
        <v>44389</v>
      </c>
      <c r="H318" t="s">
        <v>2562</v>
      </c>
      <c r="J318" t="s">
        <v>1447</v>
      </c>
      <c r="K318" t="s">
        <v>70</v>
      </c>
      <c r="L318" s="3">
        <v>46230</v>
      </c>
      <c r="M318" s="3">
        <v>46126</v>
      </c>
      <c r="N318" t="s">
        <v>2563</v>
      </c>
      <c r="O318" s="4">
        <v>1</v>
      </c>
      <c r="P318">
        <v>0</v>
      </c>
      <c r="Q318">
        <v>1</v>
      </c>
    </row>
    <row r="319" spans="1:17" x14ac:dyDescent="0.25">
      <c r="A319">
        <v>19249</v>
      </c>
      <c r="B319" t="s">
        <v>2564</v>
      </c>
      <c r="C319" t="s">
        <v>2561</v>
      </c>
      <c r="D319" s="3">
        <v>30809</v>
      </c>
      <c r="E319" t="s">
        <v>1401</v>
      </c>
      <c r="F319">
        <v>297</v>
      </c>
      <c r="G319" s="3">
        <v>38852</v>
      </c>
      <c r="H319" t="s">
        <v>2565</v>
      </c>
      <c r="J319" t="s">
        <v>1570</v>
      </c>
      <c r="K319" t="s">
        <v>73</v>
      </c>
      <c r="L319" s="3">
        <v>45889</v>
      </c>
      <c r="M319" s="3">
        <v>46000</v>
      </c>
      <c r="N319" t="s">
        <v>2566</v>
      </c>
      <c r="O319" s="4">
        <v>1</v>
      </c>
      <c r="P319">
        <v>0</v>
      </c>
      <c r="Q319">
        <v>0</v>
      </c>
    </row>
    <row r="320" spans="1:17" x14ac:dyDescent="0.25">
      <c r="A320">
        <v>34328</v>
      </c>
      <c r="B320" t="s">
        <v>2567</v>
      </c>
      <c r="C320" t="s">
        <v>2568</v>
      </c>
      <c r="D320" s="3">
        <v>27707</v>
      </c>
      <c r="E320" t="s">
        <v>1401</v>
      </c>
      <c r="F320">
        <v>445</v>
      </c>
      <c r="G320" s="3">
        <v>43710</v>
      </c>
      <c r="H320" t="s">
        <v>2569</v>
      </c>
      <c r="I320">
        <v>32496141860</v>
      </c>
      <c r="J320" t="s">
        <v>1481</v>
      </c>
      <c r="K320" t="s">
        <v>64</v>
      </c>
      <c r="L320" s="3">
        <v>48784</v>
      </c>
      <c r="M320" s="3">
        <v>46892</v>
      </c>
      <c r="N320" t="s">
        <v>2570</v>
      </c>
      <c r="O320" s="4">
        <v>1</v>
      </c>
      <c r="P320">
        <v>0</v>
      </c>
      <c r="Q320">
        <v>1</v>
      </c>
    </row>
    <row r="321" spans="1:17" x14ac:dyDescent="0.25">
      <c r="A321">
        <v>16971</v>
      </c>
      <c r="B321" t="s">
        <v>2571</v>
      </c>
      <c r="C321" t="s">
        <v>2568</v>
      </c>
      <c r="D321" s="3">
        <v>26011</v>
      </c>
      <c r="E321" t="s">
        <v>1401</v>
      </c>
      <c r="F321">
        <v>384</v>
      </c>
      <c r="G321" s="3">
        <v>38124</v>
      </c>
      <c r="H321" t="s">
        <v>2572</v>
      </c>
      <c r="J321" t="s">
        <v>1575</v>
      </c>
      <c r="K321" t="s">
        <v>55</v>
      </c>
      <c r="L321" s="3">
        <v>72686</v>
      </c>
      <c r="M321" s="3">
        <v>47231</v>
      </c>
      <c r="N321" t="s">
        <v>2573</v>
      </c>
      <c r="O321" s="4">
        <v>1</v>
      </c>
      <c r="P321">
        <v>0</v>
      </c>
      <c r="Q321">
        <v>1</v>
      </c>
    </row>
    <row r="322" spans="1:17" x14ac:dyDescent="0.25">
      <c r="A322">
        <v>23924</v>
      </c>
      <c r="B322" t="s">
        <v>2574</v>
      </c>
      <c r="C322" t="s">
        <v>2575</v>
      </c>
      <c r="D322" s="3">
        <v>26572</v>
      </c>
      <c r="E322" t="s">
        <v>1401</v>
      </c>
      <c r="F322">
        <v>75</v>
      </c>
      <c r="G322" s="3">
        <v>39979</v>
      </c>
      <c r="H322" t="s">
        <v>2576</v>
      </c>
      <c r="J322" t="s">
        <v>1427</v>
      </c>
      <c r="K322" t="s">
        <v>61</v>
      </c>
      <c r="L322" s="3">
        <v>47362</v>
      </c>
      <c r="M322" s="3">
        <v>46399</v>
      </c>
      <c r="N322" t="s">
        <v>2577</v>
      </c>
      <c r="O322" s="4">
        <v>1</v>
      </c>
      <c r="P322">
        <v>0</v>
      </c>
      <c r="Q322">
        <v>1</v>
      </c>
    </row>
    <row r="323" spans="1:17" x14ac:dyDescent="0.25">
      <c r="A323">
        <v>40264</v>
      </c>
      <c r="B323" t="s">
        <v>2578</v>
      </c>
      <c r="C323" t="s">
        <v>2579</v>
      </c>
      <c r="D323" s="3">
        <v>32793</v>
      </c>
      <c r="E323" t="s">
        <v>1401</v>
      </c>
      <c r="G323" s="3">
        <v>45364</v>
      </c>
      <c r="H323" t="s">
        <v>2580</v>
      </c>
      <c r="J323" t="s">
        <v>1409</v>
      </c>
      <c r="K323" t="s">
        <v>61</v>
      </c>
      <c r="L323" s="3">
        <v>47224</v>
      </c>
      <c r="M323" s="3">
        <v>47167</v>
      </c>
      <c r="N323" t="s">
        <v>2581</v>
      </c>
      <c r="O323" s="4">
        <v>1</v>
      </c>
      <c r="P323">
        <v>0</v>
      </c>
      <c r="Q323">
        <v>0</v>
      </c>
    </row>
    <row r="324" spans="1:17" x14ac:dyDescent="0.25">
      <c r="A324">
        <v>39927</v>
      </c>
      <c r="B324" t="s">
        <v>2582</v>
      </c>
      <c r="C324" t="s">
        <v>2583</v>
      </c>
      <c r="D324" s="3">
        <v>34161</v>
      </c>
      <c r="E324" t="s">
        <v>1401</v>
      </c>
      <c r="G324" s="3">
        <v>45307</v>
      </c>
      <c r="H324" t="s">
        <v>2584</v>
      </c>
      <c r="J324" t="s">
        <v>1409</v>
      </c>
      <c r="K324" t="s">
        <v>61</v>
      </c>
      <c r="L324" s="3">
        <v>47150</v>
      </c>
      <c r="M324" s="3">
        <v>47092</v>
      </c>
      <c r="N324" t="s">
        <v>2585</v>
      </c>
      <c r="O324" s="4">
        <v>1</v>
      </c>
      <c r="P324">
        <v>0</v>
      </c>
      <c r="Q324">
        <v>0</v>
      </c>
    </row>
    <row r="325" spans="1:17" x14ac:dyDescent="0.25">
      <c r="A325">
        <v>41344</v>
      </c>
      <c r="B325" t="s">
        <v>2586</v>
      </c>
      <c r="C325" t="s">
        <v>2587</v>
      </c>
      <c r="D325" s="3">
        <v>34983</v>
      </c>
      <c r="E325" t="s">
        <v>1401</v>
      </c>
      <c r="G325" s="3">
        <v>45663</v>
      </c>
      <c r="H325" t="s">
        <v>2588</v>
      </c>
      <c r="J325" t="s">
        <v>1409</v>
      </c>
      <c r="K325" t="s">
        <v>58</v>
      </c>
      <c r="L325" s="3">
        <v>46391</v>
      </c>
      <c r="M325" s="3">
        <v>46389</v>
      </c>
      <c r="N325" t="s">
        <v>2589</v>
      </c>
      <c r="O325" s="4">
        <v>1</v>
      </c>
      <c r="P325">
        <v>0</v>
      </c>
      <c r="Q325">
        <v>0</v>
      </c>
    </row>
    <row r="326" spans="1:17" x14ac:dyDescent="0.25">
      <c r="A326">
        <v>36569</v>
      </c>
      <c r="B326" t="s">
        <v>2590</v>
      </c>
      <c r="C326" t="s">
        <v>2591</v>
      </c>
      <c r="D326" s="3">
        <v>35752</v>
      </c>
      <c r="E326" t="s">
        <v>1401</v>
      </c>
      <c r="G326" s="3">
        <v>44347</v>
      </c>
      <c r="H326" t="s">
        <v>2592</v>
      </c>
      <c r="J326" t="s">
        <v>1409</v>
      </c>
      <c r="K326" t="s">
        <v>58</v>
      </c>
      <c r="L326" s="3">
        <v>46188</v>
      </c>
      <c r="M326" s="3">
        <v>46145</v>
      </c>
      <c r="N326" t="s">
        <v>2593</v>
      </c>
      <c r="O326" s="4">
        <v>0.8</v>
      </c>
      <c r="P326">
        <v>0</v>
      </c>
      <c r="Q326">
        <v>1</v>
      </c>
    </row>
    <row r="327" spans="1:17" x14ac:dyDescent="0.25">
      <c r="A327">
        <v>19251</v>
      </c>
      <c r="B327" t="s">
        <v>2594</v>
      </c>
      <c r="C327" t="s">
        <v>2595</v>
      </c>
      <c r="D327" s="3">
        <v>24261</v>
      </c>
      <c r="E327" t="s">
        <v>1401</v>
      </c>
      <c r="G327" s="3">
        <v>38852</v>
      </c>
      <c r="H327" t="s">
        <v>2596</v>
      </c>
      <c r="J327" t="s">
        <v>1460</v>
      </c>
      <c r="K327" t="s">
        <v>52</v>
      </c>
      <c r="L327" s="3">
        <v>47637</v>
      </c>
      <c r="M327" s="3">
        <v>47628</v>
      </c>
      <c r="N327" t="s">
        <v>2597</v>
      </c>
      <c r="O327" s="4">
        <v>0.8</v>
      </c>
      <c r="P327">
        <v>0</v>
      </c>
      <c r="Q327">
        <v>0</v>
      </c>
    </row>
    <row r="328" spans="1:17" x14ac:dyDescent="0.25">
      <c r="A328">
        <v>19766</v>
      </c>
      <c r="B328" t="s">
        <v>2598</v>
      </c>
      <c r="C328" t="s">
        <v>2599</v>
      </c>
      <c r="D328" s="3">
        <v>22649</v>
      </c>
      <c r="E328" t="s">
        <v>1401</v>
      </c>
      <c r="G328" s="3">
        <v>38957</v>
      </c>
      <c r="H328" t="s">
        <v>2600</v>
      </c>
      <c r="J328" t="s">
        <v>1404</v>
      </c>
      <c r="K328" t="s">
        <v>55</v>
      </c>
      <c r="L328" s="3">
        <v>47497</v>
      </c>
      <c r="M328" s="3">
        <v>47470</v>
      </c>
      <c r="N328" t="s">
        <v>2601</v>
      </c>
      <c r="O328" s="4">
        <v>1</v>
      </c>
      <c r="P328">
        <v>0</v>
      </c>
      <c r="Q328">
        <v>0</v>
      </c>
    </row>
    <row r="329" spans="1:17" x14ac:dyDescent="0.25">
      <c r="A329">
        <v>4608</v>
      </c>
      <c r="B329" t="s">
        <v>2602</v>
      </c>
      <c r="C329" t="s">
        <v>2603</v>
      </c>
      <c r="D329" s="3">
        <v>23029</v>
      </c>
      <c r="E329" t="s">
        <v>1401</v>
      </c>
      <c r="F329">
        <v>410</v>
      </c>
      <c r="G329" s="3">
        <v>32644</v>
      </c>
      <c r="H329" t="s">
        <v>2604</v>
      </c>
      <c r="J329" t="s">
        <v>1529</v>
      </c>
      <c r="K329" t="s">
        <v>73</v>
      </c>
      <c r="L329" s="3">
        <v>47573</v>
      </c>
      <c r="M329" s="3">
        <v>46306</v>
      </c>
      <c r="N329" t="s">
        <v>2605</v>
      </c>
      <c r="O329" s="4">
        <v>0.8</v>
      </c>
      <c r="P329">
        <v>0</v>
      </c>
      <c r="Q329">
        <v>0</v>
      </c>
    </row>
    <row r="330" spans="1:17" x14ac:dyDescent="0.25">
      <c r="A330">
        <v>30901</v>
      </c>
      <c r="B330" t="s">
        <v>2606</v>
      </c>
      <c r="C330" t="s">
        <v>2603</v>
      </c>
      <c r="D330" s="3">
        <v>25679</v>
      </c>
      <c r="E330" t="s">
        <v>1401</v>
      </c>
      <c r="F330">
        <v>187</v>
      </c>
      <c r="G330" s="3">
        <v>42534</v>
      </c>
      <c r="H330" t="s">
        <v>2607</v>
      </c>
      <c r="J330" t="s">
        <v>1516</v>
      </c>
      <c r="K330" t="s">
        <v>70</v>
      </c>
      <c r="L330" s="3">
        <v>46134</v>
      </c>
      <c r="M330" s="3">
        <v>46097</v>
      </c>
      <c r="N330" t="s">
        <v>2608</v>
      </c>
      <c r="O330" s="4">
        <v>1</v>
      </c>
      <c r="P330">
        <v>0</v>
      </c>
      <c r="Q330">
        <v>0</v>
      </c>
    </row>
    <row r="331" spans="1:17" x14ac:dyDescent="0.25">
      <c r="A331">
        <v>27577</v>
      </c>
      <c r="B331" t="s">
        <v>2609</v>
      </c>
      <c r="C331" t="s">
        <v>2603</v>
      </c>
      <c r="D331" s="3">
        <v>25646</v>
      </c>
      <c r="E331" t="s">
        <v>1401</v>
      </c>
      <c r="F331">
        <v>72</v>
      </c>
      <c r="G331" s="3">
        <v>41113</v>
      </c>
      <c r="H331" t="s">
        <v>2610</v>
      </c>
      <c r="J331" t="s">
        <v>1481</v>
      </c>
      <c r="K331" t="s">
        <v>61</v>
      </c>
      <c r="L331" s="3">
        <v>1</v>
      </c>
      <c r="M331" s="3">
        <v>46427</v>
      </c>
      <c r="N331" t="s">
        <v>2611</v>
      </c>
      <c r="O331" s="4">
        <v>1</v>
      </c>
      <c r="P331">
        <v>0</v>
      </c>
      <c r="Q331">
        <v>0</v>
      </c>
    </row>
    <row r="332" spans="1:17" x14ac:dyDescent="0.25">
      <c r="A332">
        <v>22767</v>
      </c>
      <c r="B332" t="s">
        <v>2612</v>
      </c>
      <c r="C332" t="s">
        <v>2603</v>
      </c>
      <c r="D332" s="3">
        <v>30532</v>
      </c>
      <c r="E332" t="s">
        <v>1401</v>
      </c>
      <c r="F332">
        <v>80</v>
      </c>
      <c r="G332" s="3">
        <v>39664</v>
      </c>
      <c r="H332" t="s">
        <v>2613</v>
      </c>
      <c r="J332" t="s">
        <v>1477</v>
      </c>
      <c r="K332" t="s">
        <v>52</v>
      </c>
      <c r="L332" s="3">
        <v>72686</v>
      </c>
      <c r="M332" s="3">
        <v>46679</v>
      </c>
      <c r="N332" t="s">
        <v>2614</v>
      </c>
      <c r="O332" s="4">
        <v>1</v>
      </c>
      <c r="P332">
        <v>0</v>
      </c>
      <c r="Q332">
        <v>0</v>
      </c>
    </row>
    <row r="333" spans="1:17" x14ac:dyDescent="0.25">
      <c r="A333">
        <v>39677</v>
      </c>
      <c r="B333" t="s">
        <v>2615</v>
      </c>
      <c r="C333" t="s">
        <v>2616</v>
      </c>
      <c r="D333" s="3">
        <v>36222</v>
      </c>
      <c r="E333" t="s">
        <v>1401</v>
      </c>
      <c r="G333" s="3">
        <v>45222</v>
      </c>
      <c r="H333" t="s">
        <v>2617</v>
      </c>
      <c r="J333" t="s">
        <v>1409</v>
      </c>
      <c r="K333" t="s">
        <v>64</v>
      </c>
      <c r="L333" s="3">
        <v>47064</v>
      </c>
      <c r="M333" s="3">
        <v>47030</v>
      </c>
      <c r="N333" t="s">
        <v>2618</v>
      </c>
      <c r="O333" s="4">
        <v>1</v>
      </c>
      <c r="P333">
        <v>0</v>
      </c>
      <c r="Q333">
        <v>0</v>
      </c>
    </row>
    <row r="334" spans="1:17" x14ac:dyDescent="0.25">
      <c r="A334">
        <v>8391</v>
      </c>
      <c r="B334" t="s">
        <v>2619</v>
      </c>
      <c r="C334" t="s">
        <v>2620</v>
      </c>
      <c r="D334" s="3">
        <v>25627</v>
      </c>
      <c r="E334" t="s">
        <v>1401</v>
      </c>
      <c r="F334">
        <v>508</v>
      </c>
      <c r="G334" s="3">
        <v>35219</v>
      </c>
      <c r="I334">
        <v>474276343</v>
      </c>
      <c r="J334" t="s">
        <v>1524</v>
      </c>
      <c r="K334" t="s">
        <v>58</v>
      </c>
      <c r="L334" s="3">
        <v>47566</v>
      </c>
      <c r="M334" s="3">
        <v>47561</v>
      </c>
      <c r="N334" t="s">
        <v>2621</v>
      </c>
      <c r="O334" s="4">
        <v>0.8</v>
      </c>
      <c r="P334">
        <v>0</v>
      </c>
      <c r="Q334">
        <v>1</v>
      </c>
    </row>
    <row r="335" spans="1:17" x14ac:dyDescent="0.25">
      <c r="A335">
        <v>4720</v>
      </c>
      <c r="B335" t="s">
        <v>1975</v>
      </c>
      <c r="C335" t="s">
        <v>2622</v>
      </c>
      <c r="D335" s="3">
        <v>24146</v>
      </c>
      <c r="E335" t="s">
        <v>1401</v>
      </c>
      <c r="F335">
        <v>509</v>
      </c>
      <c r="G335" s="3">
        <v>32797</v>
      </c>
      <c r="J335" t="s">
        <v>1524</v>
      </c>
      <c r="K335" t="s">
        <v>58</v>
      </c>
      <c r="L335" s="3">
        <v>47602</v>
      </c>
      <c r="M335" s="3">
        <v>46399</v>
      </c>
      <c r="N335" t="s">
        <v>2623</v>
      </c>
      <c r="O335" s="4">
        <v>0.8</v>
      </c>
      <c r="P335">
        <v>0</v>
      </c>
      <c r="Q335">
        <v>0</v>
      </c>
    </row>
    <row r="336" spans="1:17" x14ac:dyDescent="0.25">
      <c r="A336">
        <v>39358</v>
      </c>
      <c r="B336" t="s">
        <v>2624</v>
      </c>
      <c r="C336" t="s">
        <v>2625</v>
      </c>
      <c r="D336" s="3">
        <v>29195</v>
      </c>
      <c r="E336" t="s">
        <v>1401</v>
      </c>
      <c r="G336" s="3">
        <v>45124</v>
      </c>
      <c r="H336" t="s">
        <v>2626</v>
      </c>
      <c r="J336" t="s">
        <v>1409</v>
      </c>
      <c r="K336" t="s">
        <v>61</v>
      </c>
      <c r="L336" s="3">
        <v>47526</v>
      </c>
      <c r="M336" s="3">
        <v>47460</v>
      </c>
      <c r="N336" t="s">
        <v>2627</v>
      </c>
      <c r="O336" s="4">
        <v>1</v>
      </c>
      <c r="P336">
        <v>0</v>
      </c>
      <c r="Q336">
        <v>0</v>
      </c>
    </row>
    <row r="337" spans="1:17" x14ac:dyDescent="0.25">
      <c r="A337">
        <v>21424</v>
      </c>
      <c r="B337" t="s">
        <v>2628</v>
      </c>
      <c r="C337" t="s">
        <v>2629</v>
      </c>
      <c r="D337" s="3">
        <v>27407</v>
      </c>
      <c r="E337" t="s">
        <v>1401</v>
      </c>
      <c r="F337">
        <v>118</v>
      </c>
      <c r="G337" s="3">
        <v>39370</v>
      </c>
      <c r="H337" t="s">
        <v>2630</v>
      </c>
      <c r="J337" t="s">
        <v>1570</v>
      </c>
      <c r="K337" t="s">
        <v>70</v>
      </c>
      <c r="L337" s="3">
        <v>47094</v>
      </c>
      <c r="M337" s="3">
        <v>47083</v>
      </c>
      <c r="N337" t="s">
        <v>2631</v>
      </c>
      <c r="O337" s="4">
        <v>1</v>
      </c>
      <c r="P337">
        <v>0</v>
      </c>
      <c r="Q337">
        <v>1</v>
      </c>
    </row>
    <row r="338" spans="1:17" x14ac:dyDescent="0.25">
      <c r="A338">
        <v>26102</v>
      </c>
      <c r="B338" t="s">
        <v>2632</v>
      </c>
      <c r="C338" t="s">
        <v>2633</v>
      </c>
      <c r="D338" s="3">
        <v>31566</v>
      </c>
      <c r="E338" t="s">
        <v>1401</v>
      </c>
      <c r="F338">
        <v>207</v>
      </c>
      <c r="G338" s="3">
        <v>40602</v>
      </c>
      <c r="H338" t="s">
        <v>2634</v>
      </c>
      <c r="J338" t="s">
        <v>1433</v>
      </c>
      <c r="K338" t="s">
        <v>70</v>
      </c>
      <c r="L338" s="3">
        <v>47548</v>
      </c>
      <c r="M338" s="3">
        <v>47533</v>
      </c>
      <c r="N338" t="s">
        <v>2635</v>
      </c>
      <c r="O338" s="4">
        <v>0.8</v>
      </c>
      <c r="P338">
        <v>0</v>
      </c>
      <c r="Q338">
        <v>0</v>
      </c>
    </row>
    <row r="339" spans="1:17" x14ac:dyDescent="0.25">
      <c r="A339">
        <v>41162</v>
      </c>
      <c r="B339" t="s">
        <v>2636</v>
      </c>
      <c r="C339" t="s">
        <v>2637</v>
      </c>
      <c r="D339" s="3">
        <v>28323</v>
      </c>
      <c r="E339" t="s">
        <v>1401</v>
      </c>
      <c r="G339" s="3">
        <v>45603</v>
      </c>
      <c r="H339" t="s">
        <v>2638</v>
      </c>
      <c r="J339" t="s">
        <v>1409</v>
      </c>
      <c r="K339" t="s">
        <v>52</v>
      </c>
      <c r="L339" s="3">
        <v>47448</v>
      </c>
      <c r="M339" s="3">
        <v>47407</v>
      </c>
      <c r="N339" t="s">
        <v>2639</v>
      </c>
      <c r="O339" s="4">
        <v>1</v>
      </c>
      <c r="P339">
        <v>0</v>
      </c>
      <c r="Q339">
        <v>0</v>
      </c>
    </row>
    <row r="340" spans="1:17" x14ac:dyDescent="0.25">
      <c r="A340">
        <v>30271</v>
      </c>
      <c r="B340" t="s">
        <v>1965</v>
      </c>
      <c r="C340" t="s">
        <v>2637</v>
      </c>
      <c r="D340" s="3">
        <v>31836</v>
      </c>
      <c r="E340" t="s">
        <v>1401</v>
      </c>
      <c r="F340">
        <v>266</v>
      </c>
      <c r="G340" s="3">
        <v>42268</v>
      </c>
      <c r="H340" t="s">
        <v>2640</v>
      </c>
      <c r="J340" t="s">
        <v>1529</v>
      </c>
      <c r="K340" t="s">
        <v>70</v>
      </c>
      <c r="L340" s="3">
        <v>47576</v>
      </c>
      <c r="M340" s="3">
        <v>47524</v>
      </c>
      <c r="N340" t="s">
        <v>2641</v>
      </c>
      <c r="O340" s="4">
        <v>1</v>
      </c>
      <c r="P340">
        <v>0</v>
      </c>
      <c r="Q340">
        <v>1</v>
      </c>
    </row>
    <row r="341" spans="1:17" x14ac:dyDescent="0.25">
      <c r="A341">
        <v>16095</v>
      </c>
      <c r="B341" t="s">
        <v>2642</v>
      </c>
      <c r="C341" t="s">
        <v>2637</v>
      </c>
      <c r="D341" s="3">
        <v>27290</v>
      </c>
      <c r="E341" t="s">
        <v>1401</v>
      </c>
      <c r="F341">
        <v>198</v>
      </c>
      <c r="G341" s="3">
        <v>37830</v>
      </c>
      <c r="H341" t="s">
        <v>2643</v>
      </c>
      <c r="J341" t="s">
        <v>1723</v>
      </c>
      <c r="K341" t="s">
        <v>64</v>
      </c>
      <c r="L341" s="3">
        <v>47611</v>
      </c>
      <c r="M341" s="3">
        <v>46518</v>
      </c>
      <c r="N341" t="s">
        <v>2644</v>
      </c>
      <c r="O341" s="4">
        <v>1</v>
      </c>
      <c r="P341">
        <v>0</v>
      </c>
      <c r="Q341">
        <v>0</v>
      </c>
    </row>
    <row r="342" spans="1:17" x14ac:dyDescent="0.25">
      <c r="A342">
        <v>39267</v>
      </c>
      <c r="B342" t="s">
        <v>1466</v>
      </c>
      <c r="C342" t="s">
        <v>2645</v>
      </c>
      <c r="D342" s="3">
        <v>36104</v>
      </c>
      <c r="E342" t="s">
        <v>1401</v>
      </c>
      <c r="G342" s="3">
        <v>45173</v>
      </c>
      <c r="H342" t="s">
        <v>2646</v>
      </c>
      <c r="J342" t="s">
        <v>1409</v>
      </c>
      <c r="K342" t="s">
        <v>61</v>
      </c>
      <c r="L342" s="3">
        <v>47014</v>
      </c>
      <c r="M342" s="3">
        <v>46903</v>
      </c>
      <c r="N342" t="s">
        <v>2647</v>
      </c>
      <c r="O342" s="4">
        <v>1</v>
      </c>
      <c r="P342">
        <v>0</v>
      </c>
      <c r="Q342">
        <v>0</v>
      </c>
    </row>
    <row r="343" spans="1:17" x14ac:dyDescent="0.25">
      <c r="A343">
        <v>38808</v>
      </c>
      <c r="B343" t="s">
        <v>2648</v>
      </c>
      <c r="C343" t="s">
        <v>2645</v>
      </c>
      <c r="D343" s="3">
        <v>30718</v>
      </c>
      <c r="E343" t="s">
        <v>1401</v>
      </c>
      <c r="G343" s="3">
        <v>45090</v>
      </c>
      <c r="H343" t="s">
        <v>2649</v>
      </c>
      <c r="J343" t="s">
        <v>1419</v>
      </c>
      <c r="K343" t="s">
        <v>70</v>
      </c>
      <c r="L343" s="3">
        <v>46933</v>
      </c>
      <c r="M343" s="3">
        <v>46810</v>
      </c>
      <c r="N343" t="s">
        <v>2650</v>
      </c>
      <c r="O343" s="4">
        <v>1</v>
      </c>
      <c r="P343">
        <v>0</v>
      </c>
      <c r="Q343">
        <v>0</v>
      </c>
    </row>
    <row r="344" spans="1:17" x14ac:dyDescent="0.25">
      <c r="A344">
        <v>11023</v>
      </c>
      <c r="B344" t="s">
        <v>2651</v>
      </c>
      <c r="C344" t="s">
        <v>2652</v>
      </c>
      <c r="D344" s="3">
        <v>27316</v>
      </c>
      <c r="E344" t="s">
        <v>1401</v>
      </c>
      <c r="F344">
        <v>9</v>
      </c>
      <c r="G344" s="3">
        <v>36227</v>
      </c>
      <c r="H344" t="s">
        <v>2653</v>
      </c>
      <c r="J344" t="s">
        <v>1575</v>
      </c>
      <c r="K344" t="s">
        <v>58</v>
      </c>
      <c r="L344" s="3">
        <v>46880</v>
      </c>
      <c r="M344" s="3">
        <v>46853</v>
      </c>
      <c r="N344" t="s">
        <v>2654</v>
      </c>
      <c r="O344" s="4">
        <v>0.8</v>
      </c>
      <c r="P344">
        <v>0</v>
      </c>
      <c r="Q344">
        <v>0</v>
      </c>
    </row>
    <row r="345" spans="1:17" x14ac:dyDescent="0.25">
      <c r="A345">
        <v>23880</v>
      </c>
      <c r="B345" t="s">
        <v>2655</v>
      </c>
      <c r="C345" t="s">
        <v>2656</v>
      </c>
      <c r="D345" s="3">
        <v>24328</v>
      </c>
      <c r="E345" t="s">
        <v>1401</v>
      </c>
      <c r="F345">
        <v>259</v>
      </c>
      <c r="G345" s="3">
        <v>39958</v>
      </c>
      <c r="H345" t="s">
        <v>2657</v>
      </c>
      <c r="J345" t="s">
        <v>1723</v>
      </c>
      <c r="K345" t="s">
        <v>52</v>
      </c>
      <c r="L345" s="3">
        <v>47106</v>
      </c>
      <c r="M345" s="3">
        <v>47105</v>
      </c>
      <c r="N345" t="s">
        <v>2658</v>
      </c>
      <c r="O345" s="4">
        <v>1</v>
      </c>
      <c r="P345">
        <v>0</v>
      </c>
      <c r="Q345">
        <v>0</v>
      </c>
    </row>
    <row r="346" spans="1:17" x14ac:dyDescent="0.25">
      <c r="A346">
        <v>31689</v>
      </c>
      <c r="B346" t="s">
        <v>2659</v>
      </c>
      <c r="C346" t="s">
        <v>2660</v>
      </c>
      <c r="D346" s="3">
        <v>33354</v>
      </c>
      <c r="E346" t="s">
        <v>1401</v>
      </c>
      <c r="F346">
        <v>223</v>
      </c>
      <c r="G346" s="3">
        <v>42892</v>
      </c>
      <c r="H346" t="s">
        <v>2661</v>
      </c>
      <c r="J346" t="s">
        <v>1588</v>
      </c>
      <c r="K346" t="s">
        <v>67</v>
      </c>
      <c r="L346" s="3">
        <v>46531</v>
      </c>
      <c r="M346" s="3">
        <v>46504</v>
      </c>
      <c r="N346" t="s">
        <v>2662</v>
      </c>
      <c r="O346" s="4">
        <v>1</v>
      </c>
      <c r="P346">
        <v>0</v>
      </c>
      <c r="Q346">
        <v>1</v>
      </c>
    </row>
    <row r="347" spans="1:17" x14ac:dyDescent="0.25">
      <c r="A347">
        <v>30999</v>
      </c>
      <c r="B347" t="s">
        <v>2663</v>
      </c>
      <c r="C347" t="s">
        <v>2664</v>
      </c>
      <c r="D347" s="3">
        <v>32844</v>
      </c>
      <c r="E347" t="s">
        <v>1401</v>
      </c>
      <c r="G347" s="3">
        <v>42562</v>
      </c>
      <c r="H347" t="s">
        <v>2665</v>
      </c>
      <c r="J347" t="s">
        <v>1419</v>
      </c>
      <c r="K347" t="s">
        <v>58</v>
      </c>
      <c r="L347" s="3">
        <v>46159</v>
      </c>
      <c r="M347" s="3">
        <v>46147</v>
      </c>
      <c r="N347" t="s">
        <v>2666</v>
      </c>
      <c r="O347" s="4">
        <v>1</v>
      </c>
      <c r="P347">
        <v>0</v>
      </c>
      <c r="Q347">
        <v>0</v>
      </c>
    </row>
    <row r="348" spans="1:17" x14ac:dyDescent="0.25">
      <c r="A348">
        <v>40645</v>
      </c>
      <c r="B348" t="s">
        <v>2667</v>
      </c>
      <c r="C348" t="s">
        <v>2668</v>
      </c>
      <c r="D348" s="3">
        <v>34393</v>
      </c>
      <c r="E348" t="s">
        <v>1401</v>
      </c>
      <c r="G348" s="3">
        <v>45544</v>
      </c>
      <c r="H348" t="s">
        <v>2669</v>
      </c>
      <c r="J348" t="s">
        <v>1409</v>
      </c>
      <c r="K348" t="s">
        <v>70</v>
      </c>
      <c r="L348" s="3">
        <v>47390</v>
      </c>
      <c r="M348" s="3">
        <v>47267</v>
      </c>
      <c r="N348" t="s">
        <v>2670</v>
      </c>
      <c r="O348" s="4">
        <v>1</v>
      </c>
      <c r="P348">
        <v>0</v>
      </c>
      <c r="Q348">
        <v>0</v>
      </c>
    </row>
    <row r="349" spans="1:17" x14ac:dyDescent="0.25">
      <c r="A349">
        <v>42105</v>
      </c>
      <c r="B349" t="s">
        <v>2671</v>
      </c>
      <c r="C349" t="s">
        <v>2672</v>
      </c>
      <c r="D349" s="3">
        <v>37799</v>
      </c>
      <c r="E349" t="s">
        <v>1401</v>
      </c>
      <c r="G349" s="3">
        <v>45860</v>
      </c>
      <c r="H349" t="s">
        <v>2673</v>
      </c>
      <c r="J349" t="s">
        <v>1409</v>
      </c>
      <c r="K349" t="s">
        <v>70</v>
      </c>
      <c r="L349" s="3">
        <v>1</v>
      </c>
      <c r="M349" s="3">
        <v>1</v>
      </c>
      <c r="N349" t="s">
        <v>2674</v>
      </c>
      <c r="O349" s="4">
        <v>1</v>
      </c>
      <c r="P349">
        <v>0</v>
      </c>
      <c r="Q349">
        <v>0</v>
      </c>
    </row>
    <row r="350" spans="1:17" x14ac:dyDescent="0.25">
      <c r="A350">
        <v>38529</v>
      </c>
      <c r="B350" t="s">
        <v>2675</v>
      </c>
      <c r="C350" t="s">
        <v>2676</v>
      </c>
      <c r="D350" s="3">
        <v>30245</v>
      </c>
      <c r="E350" t="s">
        <v>1401</v>
      </c>
      <c r="G350" s="3">
        <v>44956</v>
      </c>
      <c r="H350" t="s">
        <v>2677</v>
      </c>
      <c r="J350" t="s">
        <v>1409</v>
      </c>
      <c r="K350" t="s">
        <v>70</v>
      </c>
      <c r="L350" s="3">
        <v>46796</v>
      </c>
      <c r="M350" s="3">
        <v>46644</v>
      </c>
      <c r="N350" t="s">
        <v>2678</v>
      </c>
      <c r="O350" s="4">
        <v>1</v>
      </c>
      <c r="P350">
        <v>0</v>
      </c>
      <c r="Q350">
        <v>0</v>
      </c>
    </row>
    <row r="351" spans="1:17" x14ac:dyDescent="0.25">
      <c r="A351">
        <v>29540</v>
      </c>
      <c r="B351" t="s">
        <v>2679</v>
      </c>
      <c r="C351" t="s">
        <v>2676</v>
      </c>
      <c r="D351" s="3">
        <v>28532</v>
      </c>
      <c r="E351" t="s">
        <v>1401</v>
      </c>
      <c r="F351">
        <v>330</v>
      </c>
      <c r="G351" s="3">
        <v>41981</v>
      </c>
      <c r="H351" t="s">
        <v>2680</v>
      </c>
      <c r="J351" t="s">
        <v>1516</v>
      </c>
      <c r="K351" t="s">
        <v>73</v>
      </c>
      <c r="L351" s="3">
        <v>47335</v>
      </c>
      <c r="M351" s="3">
        <v>47293</v>
      </c>
      <c r="N351" t="s">
        <v>2681</v>
      </c>
      <c r="O351" s="4">
        <v>1</v>
      </c>
      <c r="P351">
        <v>0</v>
      </c>
      <c r="Q351">
        <v>0</v>
      </c>
    </row>
    <row r="352" spans="1:17" x14ac:dyDescent="0.25">
      <c r="A352">
        <v>21738</v>
      </c>
      <c r="B352" t="s">
        <v>2682</v>
      </c>
      <c r="C352" t="s">
        <v>2676</v>
      </c>
      <c r="D352" s="3">
        <v>30888</v>
      </c>
      <c r="E352" t="s">
        <v>1401</v>
      </c>
      <c r="F352">
        <v>431</v>
      </c>
      <c r="G352" s="3">
        <v>39468</v>
      </c>
      <c r="H352" t="s">
        <v>2683</v>
      </c>
      <c r="J352" t="s">
        <v>1433</v>
      </c>
      <c r="K352" t="s">
        <v>70</v>
      </c>
      <c r="L352" s="3">
        <v>47064</v>
      </c>
      <c r="M352" s="3">
        <v>47044</v>
      </c>
      <c r="N352" t="s">
        <v>2684</v>
      </c>
      <c r="O352" s="4">
        <v>0.8</v>
      </c>
      <c r="P352">
        <v>0</v>
      </c>
      <c r="Q352">
        <v>0</v>
      </c>
    </row>
    <row r="353" spans="1:17" x14ac:dyDescent="0.25">
      <c r="A353">
        <v>13089</v>
      </c>
      <c r="B353" t="s">
        <v>1496</v>
      </c>
      <c r="C353" t="s">
        <v>2676</v>
      </c>
      <c r="D353" s="3">
        <v>29008</v>
      </c>
      <c r="E353" t="s">
        <v>1401</v>
      </c>
      <c r="F353">
        <v>140</v>
      </c>
      <c r="G353" s="3">
        <v>36948</v>
      </c>
      <c r="I353">
        <v>477886484</v>
      </c>
      <c r="J353" t="s">
        <v>1442</v>
      </c>
      <c r="K353" t="s">
        <v>61</v>
      </c>
      <c r="L353" s="3">
        <v>47635</v>
      </c>
      <c r="M353" s="3">
        <v>47615</v>
      </c>
      <c r="N353" t="s">
        <v>2685</v>
      </c>
      <c r="O353" s="4">
        <v>1</v>
      </c>
      <c r="P353">
        <v>0</v>
      </c>
      <c r="Q353">
        <v>0</v>
      </c>
    </row>
    <row r="354" spans="1:17" x14ac:dyDescent="0.25">
      <c r="A354">
        <v>39715</v>
      </c>
      <c r="B354" t="s">
        <v>2686</v>
      </c>
      <c r="C354" t="s">
        <v>2687</v>
      </c>
      <c r="D354" s="3">
        <v>29587</v>
      </c>
      <c r="E354" t="s">
        <v>1401</v>
      </c>
      <c r="G354" s="3">
        <v>45313</v>
      </c>
      <c r="H354" t="s">
        <v>2688</v>
      </c>
      <c r="J354" t="s">
        <v>1409</v>
      </c>
      <c r="K354" t="s">
        <v>64</v>
      </c>
      <c r="L354" s="3">
        <v>46313</v>
      </c>
      <c r="M354" s="3">
        <v>45873</v>
      </c>
      <c r="N354" t="s">
        <v>2689</v>
      </c>
      <c r="O354" s="4">
        <v>1</v>
      </c>
      <c r="P354">
        <v>0</v>
      </c>
      <c r="Q354">
        <v>0</v>
      </c>
    </row>
    <row r="355" spans="1:17" x14ac:dyDescent="0.25">
      <c r="A355">
        <v>39901</v>
      </c>
      <c r="B355" t="s">
        <v>2690</v>
      </c>
      <c r="C355" t="s">
        <v>2691</v>
      </c>
      <c r="D355" s="3">
        <v>34727</v>
      </c>
      <c r="E355" t="s">
        <v>1401</v>
      </c>
      <c r="G355" s="3">
        <v>45307</v>
      </c>
      <c r="H355" t="s">
        <v>2692</v>
      </c>
      <c r="J355" t="s">
        <v>1409</v>
      </c>
      <c r="K355" t="s">
        <v>61</v>
      </c>
      <c r="L355" s="3">
        <v>46999</v>
      </c>
      <c r="M355" s="3">
        <v>46999</v>
      </c>
      <c r="N355" t="s">
        <v>2693</v>
      </c>
      <c r="O355" s="4">
        <v>1</v>
      </c>
      <c r="P355">
        <v>0</v>
      </c>
      <c r="Q355">
        <v>0</v>
      </c>
    </row>
    <row r="356" spans="1:17" x14ac:dyDescent="0.25">
      <c r="A356">
        <v>33085</v>
      </c>
      <c r="B356" t="s">
        <v>1429</v>
      </c>
      <c r="C356" t="s">
        <v>2694</v>
      </c>
      <c r="D356" s="3">
        <v>33077</v>
      </c>
      <c r="E356" t="s">
        <v>1401</v>
      </c>
      <c r="G356" s="3">
        <v>43325</v>
      </c>
      <c r="H356" t="s">
        <v>2695</v>
      </c>
      <c r="J356" t="s">
        <v>1409</v>
      </c>
      <c r="K356" t="s">
        <v>64</v>
      </c>
      <c r="L356" s="3">
        <v>47294</v>
      </c>
      <c r="M356" s="3">
        <v>47233</v>
      </c>
      <c r="N356" t="s">
        <v>2696</v>
      </c>
      <c r="O356" s="4">
        <v>1</v>
      </c>
      <c r="P356">
        <v>0</v>
      </c>
      <c r="Q356">
        <v>0</v>
      </c>
    </row>
    <row r="357" spans="1:17" x14ac:dyDescent="0.25">
      <c r="A357">
        <v>39575</v>
      </c>
      <c r="B357" t="s">
        <v>2697</v>
      </c>
      <c r="C357" t="s">
        <v>2698</v>
      </c>
      <c r="D357" s="3">
        <v>35965</v>
      </c>
      <c r="E357" t="s">
        <v>1401</v>
      </c>
      <c r="G357" s="3">
        <v>45222</v>
      </c>
      <c r="H357" t="s">
        <v>2699</v>
      </c>
      <c r="J357" t="s">
        <v>1409</v>
      </c>
      <c r="K357" t="s">
        <v>70</v>
      </c>
      <c r="L357" s="3">
        <v>47064</v>
      </c>
      <c r="M357" s="3">
        <v>47009</v>
      </c>
      <c r="N357" t="s">
        <v>2700</v>
      </c>
      <c r="O357" s="4">
        <v>1</v>
      </c>
      <c r="P357">
        <v>0</v>
      </c>
      <c r="Q357">
        <v>0</v>
      </c>
    </row>
    <row r="358" spans="1:17" x14ac:dyDescent="0.25">
      <c r="A358">
        <v>40745</v>
      </c>
      <c r="B358" t="s">
        <v>2701</v>
      </c>
      <c r="C358" t="s">
        <v>2702</v>
      </c>
      <c r="D358" s="3">
        <v>33523</v>
      </c>
      <c r="E358" t="s">
        <v>1401</v>
      </c>
      <c r="G358" s="3">
        <v>45498</v>
      </c>
      <c r="H358" t="s">
        <v>2703</v>
      </c>
      <c r="J358" t="s">
        <v>1409</v>
      </c>
      <c r="K358" t="s">
        <v>55</v>
      </c>
      <c r="L358" s="3">
        <v>47342</v>
      </c>
      <c r="M358" s="3">
        <v>47594</v>
      </c>
      <c r="N358" t="s">
        <v>2704</v>
      </c>
      <c r="O358" s="4">
        <v>1</v>
      </c>
      <c r="P358">
        <v>0</v>
      </c>
      <c r="Q358">
        <v>0</v>
      </c>
    </row>
    <row r="359" spans="1:17" x14ac:dyDescent="0.25">
      <c r="A359">
        <v>19676</v>
      </c>
      <c r="B359" t="s">
        <v>2705</v>
      </c>
      <c r="C359" t="s">
        <v>2702</v>
      </c>
      <c r="D359" s="3">
        <v>30660</v>
      </c>
      <c r="E359" t="s">
        <v>1401</v>
      </c>
      <c r="F359">
        <v>347</v>
      </c>
      <c r="G359" s="3">
        <v>38929</v>
      </c>
      <c r="H359" t="s">
        <v>2706</v>
      </c>
      <c r="J359" t="s">
        <v>1481</v>
      </c>
      <c r="K359" t="s">
        <v>67</v>
      </c>
      <c r="L359" s="3">
        <v>72686</v>
      </c>
      <c r="M359" s="3">
        <v>46042</v>
      </c>
      <c r="N359" t="s">
        <v>2707</v>
      </c>
      <c r="O359" s="4">
        <v>1</v>
      </c>
      <c r="P359">
        <v>0</v>
      </c>
      <c r="Q359">
        <v>0</v>
      </c>
    </row>
    <row r="360" spans="1:17" x14ac:dyDescent="0.25">
      <c r="A360">
        <v>30321</v>
      </c>
      <c r="B360" t="s">
        <v>2708</v>
      </c>
      <c r="C360" t="s">
        <v>2709</v>
      </c>
      <c r="D360" s="3">
        <v>34204</v>
      </c>
      <c r="E360" t="s">
        <v>1401</v>
      </c>
      <c r="G360" s="3">
        <v>42296</v>
      </c>
      <c r="H360" t="s">
        <v>2710</v>
      </c>
      <c r="I360">
        <v>0</v>
      </c>
      <c r="J360" t="s">
        <v>1442</v>
      </c>
      <c r="K360" t="s">
        <v>64</v>
      </c>
      <c r="L360" s="3">
        <v>46181</v>
      </c>
      <c r="M360" s="3">
        <v>46105</v>
      </c>
      <c r="N360" t="s">
        <v>2711</v>
      </c>
      <c r="O360" s="4">
        <v>1</v>
      </c>
      <c r="P360">
        <v>0</v>
      </c>
      <c r="Q360">
        <v>1</v>
      </c>
    </row>
    <row r="361" spans="1:17" x14ac:dyDescent="0.25">
      <c r="A361">
        <v>38035</v>
      </c>
      <c r="B361" t="s">
        <v>2712</v>
      </c>
      <c r="C361" t="s">
        <v>2713</v>
      </c>
      <c r="D361" s="3">
        <v>36352</v>
      </c>
      <c r="E361" t="s">
        <v>1401</v>
      </c>
      <c r="G361" s="3">
        <v>44837</v>
      </c>
      <c r="H361" t="s">
        <v>2714</v>
      </c>
      <c r="J361" t="s">
        <v>1409</v>
      </c>
      <c r="K361" t="s">
        <v>55</v>
      </c>
      <c r="L361" s="3">
        <v>46678</v>
      </c>
      <c r="M361" s="3">
        <v>46552</v>
      </c>
      <c r="N361" t="s">
        <v>2715</v>
      </c>
      <c r="O361" s="4">
        <v>1</v>
      </c>
      <c r="P361">
        <v>0</v>
      </c>
      <c r="Q361">
        <v>0</v>
      </c>
    </row>
    <row r="362" spans="1:17" x14ac:dyDescent="0.25">
      <c r="A362">
        <v>16280</v>
      </c>
      <c r="B362" t="s">
        <v>2716</v>
      </c>
      <c r="C362" t="s">
        <v>2717</v>
      </c>
      <c r="D362" s="3">
        <v>27842</v>
      </c>
      <c r="E362" t="s">
        <v>1401</v>
      </c>
      <c r="F362">
        <v>293</v>
      </c>
      <c r="G362" s="3">
        <v>37886</v>
      </c>
      <c r="H362" t="s">
        <v>2718</v>
      </c>
      <c r="J362" t="s">
        <v>1455</v>
      </c>
      <c r="K362" t="s">
        <v>73</v>
      </c>
      <c r="L362" s="3">
        <v>47275</v>
      </c>
      <c r="M362" s="3">
        <v>47237</v>
      </c>
      <c r="N362" t="s">
        <v>2719</v>
      </c>
      <c r="O362" s="4">
        <v>0.8</v>
      </c>
      <c r="P362">
        <v>0</v>
      </c>
      <c r="Q362">
        <v>0</v>
      </c>
    </row>
    <row r="363" spans="1:17" x14ac:dyDescent="0.25">
      <c r="A363">
        <v>5718</v>
      </c>
      <c r="B363" t="s">
        <v>2720</v>
      </c>
      <c r="C363" t="s">
        <v>2721</v>
      </c>
      <c r="D363" s="3">
        <v>25098</v>
      </c>
      <c r="E363" t="s">
        <v>1401</v>
      </c>
      <c r="F363">
        <v>189</v>
      </c>
      <c r="G363" s="3">
        <v>33707</v>
      </c>
      <c r="H363" t="s">
        <v>2722</v>
      </c>
      <c r="I363">
        <v>93848830</v>
      </c>
      <c r="J363" t="s">
        <v>1723</v>
      </c>
      <c r="K363" t="s">
        <v>64</v>
      </c>
      <c r="L363" s="3">
        <v>45872</v>
      </c>
      <c r="M363" s="3">
        <v>46318</v>
      </c>
      <c r="N363" t="s">
        <v>2723</v>
      </c>
      <c r="O363" s="4">
        <v>1</v>
      </c>
      <c r="P363">
        <v>0</v>
      </c>
      <c r="Q363">
        <v>0</v>
      </c>
    </row>
    <row r="364" spans="1:17" x14ac:dyDescent="0.25">
      <c r="A364">
        <v>10782</v>
      </c>
      <c r="B364" t="s">
        <v>2724</v>
      </c>
      <c r="C364" t="s">
        <v>2725</v>
      </c>
      <c r="D364" s="3">
        <v>27384</v>
      </c>
      <c r="E364" t="s">
        <v>1401</v>
      </c>
      <c r="F364">
        <v>48</v>
      </c>
      <c r="G364" s="3">
        <v>36080</v>
      </c>
      <c r="H364" t="s">
        <v>2726</v>
      </c>
      <c r="J364" t="s">
        <v>1455</v>
      </c>
      <c r="K364" t="s">
        <v>64</v>
      </c>
      <c r="L364" s="3">
        <v>47614</v>
      </c>
      <c r="M364" s="3">
        <v>46704</v>
      </c>
      <c r="N364" t="s">
        <v>2727</v>
      </c>
      <c r="O364" s="4">
        <v>1</v>
      </c>
      <c r="P364">
        <v>0</v>
      </c>
      <c r="Q364">
        <v>0</v>
      </c>
    </row>
    <row r="365" spans="1:17" x14ac:dyDescent="0.25">
      <c r="A365">
        <v>34445</v>
      </c>
      <c r="B365" t="s">
        <v>2728</v>
      </c>
      <c r="C365" t="s">
        <v>2729</v>
      </c>
      <c r="D365" s="3">
        <v>34663</v>
      </c>
      <c r="E365" t="s">
        <v>1401</v>
      </c>
      <c r="F365">
        <v>132</v>
      </c>
      <c r="G365" s="3">
        <v>43752</v>
      </c>
      <c r="H365" t="s">
        <v>2730</v>
      </c>
      <c r="I365">
        <v>498707898</v>
      </c>
      <c r="J365" t="s">
        <v>1611</v>
      </c>
      <c r="K365" t="s">
        <v>52</v>
      </c>
      <c r="L365" s="3">
        <v>47274</v>
      </c>
      <c r="M365" s="3">
        <v>47237</v>
      </c>
      <c r="N365" t="s">
        <v>2731</v>
      </c>
      <c r="O365" s="4">
        <v>1</v>
      </c>
      <c r="P365">
        <v>0</v>
      </c>
      <c r="Q365">
        <v>1</v>
      </c>
    </row>
    <row r="366" spans="1:17" x14ac:dyDescent="0.25">
      <c r="A366">
        <v>20543</v>
      </c>
      <c r="B366" t="s">
        <v>2732</v>
      </c>
      <c r="C366" t="s">
        <v>2733</v>
      </c>
      <c r="D366" s="3">
        <v>24788</v>
      </c>
      <c r="E366" t="s">
        <v>1401</v>
      </c>
      <c r="F366">
        <v>290</v>
      </c>
      <c r="G366" s="3">
        <v>39174</v>
      </c>
      <c r="H366" t="s">
        <v>2734</v>
      </c>
      <c r="J366" t="s">
        <v>1427</v>
      </c>
      <c r="K366" t="s">
        <v>64</v>
      </c>
      <c r="L366" s="3">
        <v>72686</v>
      </c>
      <c r="M366" s="3">
        <v>72686</v>
      </c>
      <c r="N366" t="s">
        <v>2735</v>
      </c>
      <c r="O366" s="4">
        <v>0.8</v>
      </c>
      <c r="P366">
        <v>1</v>
      </c>
      <c r="Q366">
        <v>0</v>
      </c>
    </row>
    <row r="367" spans="1:17" x14ac:dyDescent="0.25">
      <c r="A367">
        <v>41871</v>
      </c>
      <c r="B367" t="s">
        <v>2736</v>
      </c>
      <c r="C367" t="s">
        <v>2737</v>
      </c>
      <c r="D367" s="3">
        <v>36357</v>
      </c>
      <c r="E367" t="s">
        <v>1401</v>
      </c>
      <c r="G367" s="3">
        <v>45798</v>
      </c>
      <c r="H367" t="s">
        <v>2738</v>
      </c>
      <c r="J367" t="s">
        <v>1409</v>
      </c>
      <c r="K367" t="s">
        <v>52</v>
      </c>
      <c r="L367" s="3">
        <v>47645</v>
      </c>
      <c r="M367" s="3">
        <v>47538</v>
      </c>
      <c r="N367" t="s">
        <v>2739</v>
      </c>
      <c r="O367" s="4">
        <v>1</v>
      </c>
      <c r="P367">
        <v>0</v>
      </c>
      <c r="Q367">
        <v>0</v>
      </c>
    </row>
    <row r="368" spans="1:17" x14ac:dyDescent="0.25">
      <c r="A368">
        <v>41685</v>
      </c>
      <c r="B368" t="s">
        <v>2740</v>
      </c>
      <c r="C368" t="s">
        <v>2741</v>
      </c>
      <c r="D368" s="3">
        <v>37767</v>
      </c>
      <c r="E368" t="s">
        <v>1401</v>
      </c>
      <c r="G368" s="3">
        <v>45735</v>
      </c>
      <c r="H368" t="s">
        <v>2742</v>
      </c>
      <c r="J368" t="s">
        <v>1409</v>
      </c>
      <c r="K368" t="s">
        <v>64</v>
      </c>
      <c r="L368" s="3">
        <v>47582</v>
      </c>
      <c r="M368" s="3">
        <v>47538</v>
      </c>
      <c r="N368" t="s">
        <v>2743</v>
      </c>
      <c r="O368" s="4">
        <v>1</v>
      </c>
      <c r="P368">
        <v>0</v>
      </c>
      <c r="Q368">
        <v>0</v>
      </c>
    </row>
    <row r="369" spans="1:17" x14ac:dyDescent="0.25">
      <c r="A369">
        <v>35761</v>
      </c>
      <c r="B369" t="s">
        <v>2712</v>
      </c>
      <c r="C369" t="s">
        <v>2744</v>
      </c>
      <c r="D369" s="3">
        <v>33856</v>
      </c>
      <c r="E369" t="s">
        <v>1401</v>
      </c>
      <c r="F369">
        <v>324</v>
      </c>
      <c r="G369" s="3">
        <v>44067</v>
      </c>
      <c r="H369" t="s">
        <v>2745</v>
      </c>
      <c r="J369" t="s">
        <v>1409</v>
      </c>
      <c r="K369" t="s">
        <v>70</v>
      </c>
      <c r="L369" s="3">
        <v>45916</v>
      </c>
      <c r="M369" s="3">
        <v>45874</v>
      </c>
      <c r="N369" t="s">
        <v>2746</v>
      </c>
      <c r="O369" s="4">
        <v>0.8</v>
      </c>
      <c r="P369">
        <v>0</v>
      </c>
      <c r="Q369">
        <v>1</v>
      </c>
    </row>
    <row r="370" spans="1:17" x14ac:dyDescent="0.25">
      <c r="A370">
        <v>36635</v>
      </c>
      <c r="B370" t="s">
        <v>2747</v>
      </c>
      <c r="C370" t="s">
        <v>2748</v>
      </c>
      <c r="D370" s="3">
        <v>34087</v>
      </c>
      <c r="E370" t="s">
        <v>1401</v>
      </c>
      <c r="G370" s="3">
        <v>44417</v>
      </c>
      <c r="H370" t="s">
        <v>2749</v>
      </c>
      <c r="J370" t="s">
        <v>1409</v>
      </c>
      <c r="K370" t="s">
        <v>64</v>
      </c>
      <c r="L370" s="3">
        <v>46257</v>
      </c>
      <c r="M370" s="3">
        <v>46147</v>
      </c>
      <c r="N370" t="s">
        <v>2750</v>
      </c>
      <c r="O370" s="4">
        <v>1</v>
      </c>
      <c r="P370">
        <v>0</v>
      </c>
      <c r="Q370">
        <v>0</v>
      </c>
    </row>
    <row r="371" spans="1:17" x14ac:dyDescent="0.25">
      <c r="A371">
        <v>35450</v>
      </c>
      <c r="B371" t="s">
        <v>2751</v>
      </c>
      <c r="C371" t="s">
        <v>2752</v>
      </c>
      <c r="D371" s="3">
        <v>30458</v>
      </c>
      <c r="E371" t="s">
        <v>1401</v>
      </c>
      <c r="F371">
        <v>400</v>
      </c>
      <c r="G371" s="3">
        <v>43997</v>
      </c>
      <c r="H371" t="s">
        <v>2753</v>
      </c>
      <c r="J371" t="s">
        <v>1447</v>
      </c>
      <c r="K371" t="s">
        <v>70</v>
      </c>
      <c r="L371" s="3">
        <v>47581</v>
      </c>
      <c r="M371" s="3">
        <v>47533</v>
      </c>
      <c r="N371" t="s">
        <v>2754</v>
      </c>
      <c r="O371" s="4">
        <v>1</v>
      </c>
      <c r="P371">
        <v>0</v>
      </c>
      <c r="Q371">
        <v>0</v>
      </c>
    </row>
    <row r="372" spans="1:17" x14ac:dyDescent="0.25">
      <c r="A372">
        <v>33757</v>
      </c>
      <c r="B372" t="s">
        <v>2755</v>
      </c>
      <c r="C372" t="s">
        <v>2752</v>
      </c>
      <c r="D372" s="3">
        <v>24507</v>
      </c>
      <c r="E372" t="s">
        <v>1401</v>
      </c>
      <c r="F372">
        <v>220</v>
      </c>
      <c r="G372" s="3">
        <v>43556</v>
      </c>
      <c r="H372" t="s">
        <v>2756</v>
      </c>
      <c r="I372">
        <v>499245846</v>
      </c>
      <c r="J372" t="s">
        <v>1460</v>
      </c>
      <c r="K372" t="s">
        <v>67</v>
      </c>
      <c r="L372" s="3">
        <v>47222</v>
      </c>
      <c r="M372" s="3">
        <v>46404</v>
      </c>
      <c r="N372" t="s">
        <v>2757</v>
      </c>
      <c r="O372" s="4">
        <v>1</v>
      </c>
      <c r="P372">
        <v>0</v>
      </c>
      <c r="Q372">
        <v>0</v>
      </c>
    </row>
    <row r="373" spans="1:17" x14ac:dyDescent="0.25">
      <c r="A373">
        <v>36354</v>
      </c>
      <c r="B373" t="s">
        <v>2758</v>
      </c>
      <c r="C373" t="s">
        <v>2759</v>
      </c>
      <c r="D373" s="3">
        <v>35740</v>
      </c>
      <c r="E373" t="s">
        <v>1401</v>
      </c>
      <c r="G373" s="3">
        <v>44298</v>
      </c>
      <c r="H373" t="s">
        <v>2760</v>
      </c>
      <c r="I373">
        <v>471573703</v>
      </c>
      <c r="J373" t="s">
        <v>1409</v>
      </c>
      <c r="K373" t="s">
        <v>58</v>
      </c>
      <c r="L373" s="3">
        <v>46138</v>
      </c>
      <c r="M373" s="3">
        <v>45923</v>
      </c>
      <c r="N373" t="s">
        <v>2761</v>
      </c>
      <c r="O373" s="4">
        <v>1</v>
      </c>
      <c r="P373">
        <v>0</v>
      </c>
      <c r="Q373">
        <v>1</v>
      </c>
    </row>
    <row r="374" spans="1:17" x14ac:dyDescent="0.25">
      <c r="A374">
        <v>14667</v>
      </c>
      <c r="B374" t="s">
        <v>2762</v>
      </c>
      <c r="C374" t="s">
        <v>2763</v>
      </c>
      <c r="D374" s="3">
        <v>26648</v>
      </c>
      <c r="E374" t="s">
        <v>1401</v>
      </c>
      <c r="F374">
        <v>190</v>
      </c>
      <c r="G374" s="3">
        <v>37424</v>
      </c>
      <c r="H374" t="s">
        <v>2764</v>
      </c>
      <c r="J374" t="s">
        <v>1703</v>
      </c>
      <c r="K374" t="s">
        <v>70</v>
      </c>
      <c r="L374" s="3">
        <v>72686</v>
      </c>
      <c r="M374" s="3">
        <v>46369</v>
      </c>
      <c r="N374" t="s">
        <v>2765</v>
      </c>
      <c r="O374" s="4">
        <v>1</v>
      </c>
      <c r="P374">
        <v>0</v>
      </c>
      <c r="Q374">
        <v>0</v>
      </c>
    </row>
    <row r="375" spans="1:17" x14ac:dyDescent="0.25">
      <c r="A375">
        <v>38205</v>
      </c>
      <c r="B375" t="s">
        <v>2766</v>
      </c>
      <c r="C375" t="s">
        <v>2767</v>
      </c>
      <c r="D375" s="3">
        <v>26731</v>
      </c>
      <c r="E375" t="s">
        <v>1401</v>
      </c>
      <c r="G375" s="3">
        <v>44893</v>
      </c>
      <c r="H375" t="s">
        <v>2768</v>
      </c>
      <c r="I375">
        <v>93280697</v>
      </c>
      <c r="J375" t="s">
        <v>1460</v>
      </c>
      <c r="K375" t="s">
        <v>64</v>
      </c>
      <c r="L375" s="3">
        <v>46734</v>
      </c>
      <c r="M375" s="3">
        <v>46616</v>
      </c>
      <c r="N375" t="s">
        <v>2769</v>
      </c>
      <c r="O375" s="4">
        <v>1</v>
      </c>
      <c r="P375">
        <v>0</v>
      </c>
      <c r="Q375">
        <v>0</v>
      </c>
    </row>
    <row r="376" spans="1:17" x14ac:dyDescent="0.25">
      <c r="A376">
        <v>32387</v>
      </c>
      <c r="B376" t="s">
        <v>2770</v>
      </c>
      <c r="C376" t="s">
        <v>2771</v>
      </c>
      <c r="D376" s="3">
        <v>23792</v>
      </c>
      <c r="E376" t="s">
        <v>1401</v>
      </c>
      <c r="F376">
        <v>217</v>
      </c>
      <c r="G376" s="3">
        <v>43108</v>
      </c>
      <c r="H376" t="s">
        <v>2772</v>
      </c>
      <c r="J376" t="s">
        <v>1419</v>
      </c>
      <c r="K376" t="s">
        <v>67</v>
      </c>
      <c r="L376" s="3">
        <v>46620</v>
      </c>
      <c r="M376" s="3">
        <v>46616</v>
      </c>
      <c r="N376" t="s">
        <v>2773</v>
      </c>
      <c r="O376" s="4">
        <v>0.8</v>
      </c>
      <c r="P376">
        <v>0</v>
      </c>
      <c r="Q376">
        <v>1</v>
      </c>
    </row>
    <row r="377" spans="1:17" x14ac:dyDescent="0.25">
      <c r="A377">
        <v>40469</v>
      </c>
      <c r="B377" t="s">
        <v>2774</v>
      </c>
      <c r="C377" t="s">
        <v>2775</v>
      </c>
      <c r="D377" s="3">
        <v>29573</v>
      </c>
      <c r="E377" t="s">
        <v>1401</v>
      </c>
      <c r="G377" s="3">
        <v>45408</v>
      </c>
      <c r="H377" t="s">
        <v>2776</v>
      </c>
      <c r="J377" t="s">
        <v>1409</v>
      </c>
      <c r="K377" t="s">
        <v>70</v>
      </c>
      <c r="L377" s="3">
        <v>47258</v>
      </c>
      <c r="M377" s="3">
        <v>47225</v>
      </c>
      <c r="N377" t="s">
        <v>2777</v>
      </c>
      <c r="O377" s="4">
        <v>1</v>
      </c>
      <c r="P377">
        <v>0</v>
      </c>
      <c r="Q377">
        <v>0</v>
      </c>
    </row>
    <row r="378" spans="1:17" x14ac:dyDescent="0.25">
      <c r="A378">
        <v>39673</v>
      </c>
      <c r="B378" t="s">
        <v>2778</v>
      </c>
      <c r="C378" t="s">
        <v>2779</v>
      </c>
      <c r="D378" s="3">
        <v>25391</v>
      </c>
      <c r="E378" t="s">
        <v>1401</v>
      </c>
      <c r="G378" s="3">
        <v>45236</v>
      </c>
      <c r="H378" t="s">
        <v>2780</v>
      </c>
      <c r="J378" t="s">
        <v>1409</v>
      </c>
      <c r="K378" t="s">
        <v>58</v>
      </c>
      <c r="L378" s="3">
        <v>47110</v>
      </c>
      <c r="M378" s="3">
        <v>47030</v>
      </c>
      <c r="N378" t="s">
        <v>2781</v>
      </c>
      <c r="O378" s="4">
        <v>1</v>
      </c>
      <c r="P378">
        <v>0</v>
      </c>
      <c r="Q378">
        <v>0</v>
      </c>
    </row>
    <row r="379" spans="1:17" x14ac:dyDescent="0.25">
      <c r="A379">
        <v>32002</v>
      </c>
      <c r="B379" t="s">
        <v>2782</v>
      </c>
      <c r="C379" t="s">
        <v>2783</v>
      </c>
      <c r="D379" s="3">
        <v>26130</v>
      </c>
      <c r="E379" t="s">
        <v>1401</v>
      </c>
      <c r="F379">
        <v>204</v>
      </c>
      <c r="G379" s="3">
        <v>42989</v>
      </c>
      <c r="H379" t="s">
        <v>2784</v>
      </c>
      <c r="J379" t="s">
        <v>1481</v>
      </c>
      <c r="K379" t="s">
        <v>67</v>
      </c>
      <c r="L379" s="3">
        <v>46518</v>
      </c>
      <c r="M379" s="3">
        <v>46511</v>
      </c>
      <c r="N379" t="s">
        <v>2785</v>
      </c>
      <c r="O379" s="4">
        <v>1</v>
      </c>
      <c r="P379">
        <v>0</v>
      </c>
      <c r="Q379">
        <v>1</v>
      </c>
    </row>
    <row r="380" spans="1:17" x14ac:dyDescent="0.25">
      <c r="A380">
        <v>29478</v>
      </c>
      <c r="B380" t="s">
        <v>2786</v>
      </c>
      <c r="C380" t="s">
        <v>2787</v>
      </c>
      <c r="D380" s="3">
        <v>21893</v>
      </c>
      <c r="E380" t="s">
        <v>1401</v>
      </c>
      <c r="F380">
        <v>437</v>
      </c>
      <c r="G380" s="3">
        <v>41946</v>
      </c>
      <c r="H380" t="s">
        <v>2788</v>
      </c>
      <c r="J380" t="s">
        <v>1538</v>
      </c>
      <c r="K380" t="s">
        <v>70</v>
      </c>
      <c r="L380" s="3">
        <v>47509</v>
      </c>
      <c r="M380" s="3">
        <v>47460</v>
      </c>
      <c r="N380" t="s">
        <v>2789</v>
      </c>
      <c r="O380" s="4">
        <v>1</v>
      </c>
      <c r="P380">
        <v>0</v>
      </c>
      <c r="Q380">
        <v>1</v>
      </c>
    </row>
    <row r="381" spans="1:17" x14ac:dyDescent="0.25">
      <c r="A381">
        <v>35395</v>
      </c>
      <c r="B381" t="s">
        <v>2790</v>
      </c>
      <c r="C381" t="s">
        <v>2791</v>
      </c>
      <c r="D381" s="3">
        <v>28038</v>
      </c>
      <c r="E381" t="s">
        <v>1401</v>
      </c>
      <c r="F381">
        <v>335</v>
      </c>
      <c r="G381" s="3">
        <v>43980</v>
      </c>
      <c r="H381" t="s">
        <v>2792</v>
      </c>
      <c r="J381" t="s">
        <v>1611</v>
      </c>
      <c r="K381" t="s">
        <v>67</v>
      </c>
      <c r="L381" s="3">
        <v>73050</v>
      </c>
      <c r="M381" s="3">
        <v>47460</v>
      </c>
      <c r="N381" t="s">
        <v>2793</v>
      </c>
      <c r="O381" s="4">
        <v>0.8</v>
      </c>
      <c r="P381">
        <v>0</v>
      </c>
      <c r="Q381">
        <v>1</v>
      </c>
    </row>
    <row r="382" spans="1:17" x14ac:dyDescent="0.25">
      <c r="A382">
        <v>17931</v>
      </c>
      <c r="B382" t="s">
        <v>2794</v>
      </c>
      <c r="C382" t="s">
        <v>2795</v>
      </c>
      <c r="D382" s="3">
        <v>25055</v>
      </c>
      <c r="E382" t="s">
        <v>1401</v>
      </c>
      <c r="F382">
        <v>53</v>
      </c>
      <c r="G382" s="3">
        <v>38390</v>
      </c>
      <c r="H382" t="s">
        <v>2796</v>
      </c>
      <c r="I382" t="s">
        <v>2797</v>
      </c>
      <c r="J382" t="s">
        <v>1427</v>
      </c>
      <c r="K382" t="s">
        <v>70</v>
      </c>
      <c r="L382" s="3">
        <v>72686</v>
      </c>
      <c r="M382" s="3">
        <v>47323</v>
      </c>
      <c r="N382" t="s">
        <v>2798</v>
      </c>
      <c r="O382" s="4">
        <v>0.5</v>
      </c>
      <c r="P382">
        <v>0</v>
      </c>
      <c r="Q382">
        <v>0</v>
      </c>
    </row>
    <row r="383" spans="1:17" x14ac:dyDescent="0.25">
      <c r="A383">
        <v>37542</v>
      </c>
      <c r="B383" t="s">
        <v>2799</v>
      </c>
      <c r="C383" t="s">
        <v>2800</v>
      </c>
      <c r="D383" s="3">
        <v>25000</v>
      </c>
      <c r="E383" t="s">
        <v>1401</v>
      </c>
      <c r="G383" s="3">
        <v>44683</v>
      </c>
      <c r="H383" t="s">
        <v>2801</v>
      </c>
      <c r="J383" t="s">
        <v>1409</v>
      </c>
      <c r="K383" t="s">
        <v>55</v>
      </c>
      <c r="L383" s="3">
        <v>46524</v>
      </c>
      <c r="M383" s="3">
        <v>46470</v>
      </c>
      <c r="N383" t="s">
        <v>2802</v>
      </c>
      <c r="O383" s="4">
        <v>1</v>
      </c>
      <c r="P383">
        <v>0</v>
      </c>
      <c r="Q383">
        <v>0</v>
      </c>
    </row>
    <row r="384" spans="1:17" x14ac:dyDescent="0.25">
      <c r="A384">
        <v>41944</v>
      </c>
      <c r="B384" t="s">
        <v>2803</v>
      </c>
      <c r="C384" t="s">
        <v>2804</v>
      </c>
      <c r="D384" s="3">
        <v>36537</v>
      </c>
      <c r="E384" t="s">
        <v>1401</v>
      </c>
      <c r="G384" s="3">
        <v>45798</v>
      </c>
      <c r="H384" t="s">
        <v>2805</v>
      </c>
      <c r="J384" t="s">
        <v>1409</v>
      </c>
      <c r="K384" t="s">
        <v>52</v>
      </c>
      <c r="L384" s="3">
        <v>47645</v>
      </c>
      <c r="M384" s="3">
        <v>47615</v>
      </c>
      <c r="N384" t="s">
        <v>2806</v>
      </c>
      <c r="O384" s="4">
        <v>1</v>
      </c>
      <c r="P384">
        <v>0</v>
      </c>
      <c r="Q384">
        <v>0</v>
      </c>
    </row>
    <row r="385" spans="1:17" x14ac:dyDescent="0.25">
      <c r="A385">
        <v>38938</v>
      </c>
      <c r="B385" t="s">
        <v>2807</v>
      </c>
      <c r="C385" t="s">
        <v>2808</v>
      </c>
      <c r="D385" s="3">
        <v>33351</v>
      </c>
      <c r="E385" t="s">
        <v>1401</v>
      </c>
      <c r="G385" s="3">
        <v>45061</v>
      </c>
      <c r="H385" t="s">
        <v>2809</v>
      </c>
      <c r="J385" t="s">
        <v>1409</v>
      </c>
      <c r="K385" t="s">
        <v>73</v>
      </c>
      <c r="L385" s="3">
        <v>46904</v>
      </c>
      <c r="M385" s="3">
        <v>46838</v>
      </c>
      <c r="N385" t="s">
        <v>2810</v>
      </c>
      <c r="O385" s="4">
        <v>1</v>
      </c>
      <c r="P385">
        <v>0</v>
      </c>
      <c r="Q385">
        <v>0</v>
      </c>
    </row>
    <row r="386" spans="1:17" x14ac:dyDescent="0.25">
      <c r="A386">
        <v>34312</v>
      </c>
      <c r="B386" t="s">
        <v>2811</v>
      </c>
      <c r="C386" t="s">
        <v>2812</v>
      </c>
      <c r="D386" s="3">
        <v>34089</v>
      </c>
      <c r="E386" t="s">
        <v>1401</v>
      </c>
      <c r="F386">
        <v>351</v>
      </c>
      <c r="G386" s="3">
        <v>43710</v>
      </c>
      <c r="H386" t="s">
        <v>2813</v>
      </c>
      <c r="I386">
        <v>488372246</v>
      </c>
      <c r="J386" t="s">
        <v>1442</v>
      </c>
      <c r="K386" t="s">
        <v>67</v>
      </c>
      <c r="L386" s="3">
        <v>47281</v>
      </c>
      <c r="M386" s="3">
        <v>47267</v>
      </c>
      <c r="N386" t="s">
        <v>2814</v>
      </c>
      <c r="O386" s="4">
        <v>1</v>
      </c>
      <c r="P386">
        <v>0</v>
      </c>
      <c r="Q386">
        <v>1</v>
      </c>
    </row>
    <row r="387" spans="1:17" x14ac:dyDescent="0.25">
      <c r="A387">
        <v>39013</v>
      </c>
      <c r="B387" t="s">
        <v>2815</v>
      </c>
      <c r="C387" t="s">
        <v>2816</v>
      </c>
      <c r="D387" s="3">
        <v>27937</v>
      </c>
      <c r="E387" t="s">
        <v>1401</v>
      </c>
      <c r="G387" s="3">
        <v>45076</v>
      </c>
      <c r="H387" t="s">
        <v>2817</v>
      </c>
      <c r="J387" t="s">
        <v>1409</v>
      </c>
      <c r="K387" t="s">
        <v>70</v>
      </c>
      <c r="L387" s="3">
        <v>46923</v>
      </c>
      <c r="M387" s="3">
        <v>46827</v>
      </c>
      <c r="N387" t="s">
        <v>2818</v>
      </c>
      <c r="O387" s="4">
        <v>1</v>
      </c>
      <c r="P387">
        <v>0</v>
      </c>
      <c r="Q387">
        <v>0</v>
      </c>
    </row>
    <row r="388" spans="1:17" x14ac:dyDescent="0.25">
      <c r="A388">
        <v>22877</v>
      </c>
      <c r="B388" t="s">
        <v>1462</v>
      </c>
      <c r="C388" t="s">
        <v>2819</v>
      </c>
      <c r="D388" s="3">
        <v>25777</v>
      </c>
      <c r="E388" t="s">
        <v>1401</v>
      </c>
      <c r="F388">
        <v>393</v>
      </c>
      <c r="G388" s="3">
        <v>39706</v>
      </c>
      <c r="H388" t="s">
        <v>2820</v>
      </c>
      <c r="J388" t="s">
        <v>1627</v>
      </c>
      <c r="K388" t="s">
        <v>70</v>
      </c>
      <c r="L388" s="3">
        <v>47665</v>
      </c>
      <c r="M388" s="3">
        <v>46791</v>
      </c>
      <c r="N388" t="s">
        <v>2821</v>
      </c>
      <c r="O388" s="4">
        <v>0.5</v>
      </c>
      <c r="P388">
        <v>0</v>
      </c>
      <c r="Q388">
        <v>0</v>
      </c>
    </row>
    <row r="389" spans="1:17" x14ac:dyDescent="0.25">
      <c r="A389">
        <v>18173</v>
      </c>
      <c r="B389" t="s">
        <v>2822</v>
      </c>
      <c r="C389" t="s">
        <v>2823</v>
      </c>
      <c r="D389" s="3">
        <v>29127</v>
      </c>
      <c r="E389" t="s">
        <v>1401</v>
      </c>
      <c r="F389">
        <v>580</v>
      </c>
      <c r="G389" s="3">
        <v>38481</v>
      </c>
      <c r="H389" t="s">
        <v>2824</v>
      </c>
      <c r="J389" t="s">
        <v>1516</v>
      </c>
      <c r="K389" t="s">
        <v>64</v>
      </c>
      <c r="L389" s="3">
        <v>47434</v>
      </c>
      <c r="M389" s="3">
        <v>47408</v>
      </c>
      <c r="N389" t="s">
        <v>2825</v>
      </c>
      <c r="O389" s="4">
        <v>1</v>
      </c>
      <c r="P389">
        <v>0</v>
      </c>
      <c r="Q389">
        <v>0</v>
      </c>
    </row>
    <row r="390" spans="1:17" x14ac:dyDescent="0.25">
      <c r="A390">
        <v>11213</v>
      </c>
      <c r="B390" t="s">
        <v>2826</v>
      </c>
      <c r="C390" t="s">
        <v>2827</v>
      </c>
      <c r="D390" s="3">
        <v>27019</v>
      </c>
      <c r="E390" t="s">
        <v>1401</v>
      </c>
      <c r="F390">
        <v>246</v>
      </c>
      <c r="G390" s="3">
        <v>36311</v>
      </c>
      <c r="H390" t="s">
        <v>2828</v>
      </c>
      <c r="J390" t="s">
        <v>1703</v>
      </c>
      <c r="K390" t="s">
        <v>55</v>
      </c>
      <c r="L390" s="3">
        <v>72686</v>
      </c>
      <c r="M390" s="3">
        <v>47189</v>
      </c>
      <c r="N390" t="s">
        <v>2829</v>
      </c>
      <c r="O390" s="4">
        <v>1</v>
      </c>
      <c r="P390">
        <v>0</v>
      </c>
      <c r="Q390">
        <v>1</v>
      </c>
    </row>
    <row r="391" spans="1:17" x14ac:dyDescent="0.25">
      <c r="A391">
        <v>4943</v>
      </c>
      <c r="B391" t="s">
        <v>2830</v>
      </c>
      <c r="C391" t="s">
        <v>2831</v>
      </c>
      <c r="D391" s="3">
        <v>22990</v>
      </c>
      <c r="E391" t="s">
        <v>1401</v>
      </c>
      <c r="F391">
        <v>368</v>
      </c>
      <c r="G391" s="3">
        <v>33098</v>
      </c>
      <c r="H391" t="s">
        <v>2832</v>
      </c>
      <c r="I391">
        <v>93290244</v>
      </c>
      <c r="J391" t="s">
        <v>1575</v>
      </c>
      <c r="K391" t="s">
        <v>70</v>
      </c>
      <c r="L391" s="3">
        <v>72686</v>
      </c>
      <c r="M391" s="3">
        <v>47046</v>
      </c>
      <c r="N391" t="s">
        <v>2833</v>
      </c>
      <c r="O391" s="4">
        <v>0.8</v>
      </c>
      <c r="P391">
        <v>0</v>
      </c>
      <c r="Q391">
        <v>0</v>
      </c>
    </row>
    <row r="392" spans="1:17" x14ac:dyDescent="0.25">
      <c r="A392">
        <v>37208</v>
      </c>
      <c r="B392" t="s">
        <v>2834</v>
      </c>
      <c r="C392" t="s">
        <v>2835</v>
      </c>
      <c r="D392" s="3">
        <v>33504</v>
      </c>
      <c r="E392" t="s">
        <v>1401</v>
      </c>
      <c r="G392" s="3">
        <v>44641</v>
      </c>
      <c r="H392" t="s">
        <v>2836</v>
      </c>
      <c r="J392" t="s">
        <v>1414</v>
      </c>
      <c r="K392" t="s">
        <v>64</v>
      </c>
      <c r="L392" s="3">
        <v>46482</v>
      </c>
      <c r="M392" s="3">
        <v>46364</v>
      </c>
      <c r="N392" t="s">
        <v>2837</v>
      </c>
      <c r="O392" s="4">
        <v>0.8</v>
      </c>
      <c r="P392">
        <v>0</v>
      </c>
      <c r="Q392">
        <v>0</v>
      </c>
    </row>
    <row r="393" spans="1:17" x14ac:dyDescent="0.25">
      <c r="A393">
        <v>40444</v>
      </c>
      <c r="B393" t="s">
        <v>1984</v>
      </c>
      <c r="C393" t="s">
        <v>2838</v>
      </c>
      <c r="D393" s="3">
        <v>34034</v>
      </c>
      <c r="E393" t="s">
        <v>1401</v>
      </c>
      <c r="G393" s="3">
        <v>45408</v>
      </c>
      <c r="H393" t="s">
        <v>2839</v>
      </c>
      <c r="J393" t="s">
        <v>1409</v>
      </c>
      <c r="K393" t="s">
        <v>70</v>
      </c>
      <c r="L393" s="3">
        <v>47253</v>
      </c>
      <c r="M393" s="3">
        <v>47225</v>
      </c>
      <c r="N393" t="s">
        <v>2840</v>
      </c>
      <c r="O393" s="4">
        <v>1</v>
      </c>
      <c r="P393">
        <v>0</v>
      </c>
      <c r="Q393">
        <v>0</v>
      </c>
    </row>
    <row r="394" spans="1:17" x14ac:dyDescent="0.25">
      <c r="A394">
        <v>39660</v>
      </c>
      <c r="B394" t="s">
        <v>2841</v>
      </c>
      <c r="C394" t="s">
        <v>2838</v>
      </c>
      <c r="D394" s="3">
        <v>32368</v>
      </c>
      <c r="E394" t="s">
        <v>1401</v>
      </c>
      <c r="G394" s="3">
        <v>45222</v>
      </c>
      <c r="H394" t="s">
        <v>2842</v>
      </c>
      <c r="J394" t="s">
        <v>1409</v>
      </c>
      <c r="K394" t="s">
        <v>55</v>
      </c>
      <c r="L394" s="3">
        <v>47064</v>
      </c>
      <c r="M394" s="3">
        <v>47027</v>
      </c>
      <c r="N394" t="s">
        <v>2843</v>
      </c>
      <c r="O394" s="4">
        <v>1</v>
      </c>
      <c r="P394">
        <v>0</v>
      </c>
      <c r="Q394">
        <v>0</v>
      </c>
    </row>
    <row r="395" spans="1:17" x14ac:dyDescent="0.25">
      <c r="A395">
        <v>35588</v>
      </c>
      <c r="B395" t="s">
        <v>2100</v>
      </c>
      <c r="C395" t="s">
        <v>2838</v>
      </c>
      <c r="D395" s="3">
        <v>33879</v>
      </c>
      <c r="E395" t="s">
        <v>1401</v>
      </c>
      <c r="F395">
        <v>435</v>
      </c>
      <c r="G395" s="3">
        <v>44039</v>
      </c>
      <c r="H395" t="s">
        <v>2844</v>
      </c>
      <c r="J395" t="s">
        <v>1414</v>
      </c>
      <c r="K395" t="s">
        <v>73</v>
      </c>
      <c r="L395" s="3">
        <v>47635</v>
      </c>
      <c r="M395" s="3">
        <v>47547</v>
      </c>
      <c r="N395" t="s">
        <v>2845</v>
      </c>
      <c r="O395" s="4">
        <v>1</v>
      </c>
      <c r="P395">
        <v>0</v>
      </c>
      <c r="Q395">
        <v>1</v>
      </c>
    </row>
    <row r="396" spans="1:17" x14ac:dyDescent="0.25">
      <c r="A396">
        <v>40652</v>
      </c>
      <c r="B396" t="s">
        <v>1984</v>
      </c>
      <c r="C396" t="s">
        <v>2846</v>
      </c>
      <c r="D396" s="3">
        <v>36483</v>
      </c>
      <c r="E396" t="s">
        <v>1401</v>
      </c>
      <c r="G396" s="3">
        <v>45470</v>
      </c>
      <c r="H396" t="s">
        <v>2847</v>
      </c>
      <c r="J396" t="s">
        <v>1409</v>
      </c>
      <c r="K396" t="s">
        <v>58</v>
      </c>
      <c r="L396" s="3">
        <v>47314</v>
      </c>
      <c r="M396" s="3">
        <v>47314</v>
      </c>
      <c r="N396" t="s">
        <v>2848</v>
      </c>
      <c r="O396" s="4">
        <v>1</v>
      </c>
      <c r="P396">
        <v>0</v>
      </c>
      <c r="Q396">
        <v>0</v>
      </c>
    </row>
    <row r="397" spans="1:17" x14ac:dyDescent="0.25">
      <c r="A397">
        <v>33965</v>
      </c>
      <c r="B397" t="s">
        <v>2849</v>
      </c>
      <c r="C397" t="s">
        <v>2850</v>
      </c>
      <c r="D397" s="3">
        <v>34310</v>
      </c>
      <c r="E397" t="s">
        <v>1401</v>
      </c>
      <c r="G397" s="3">
        <v>43605</v>
      </c>
      <c r="H397" t="s">
        <v>2851</v>
      </c>
      <c r="I397">
        <v>471897684</v>
      </c>
      <c r="J397" t="s">
        <v>1460</v>
      </c>
      <c r="K397" t="s">
        <v>64</v>
      </c>
      <c r="L397" s="3">
        <v>47202</v>
      </c>
      <c r="M397" s="3">
        <v>47170</v>
      </c>
      <c r="N397" t="s">
        <v>2852</v>
      </c>
      <c r="O397" s="4">
        <v>1</v>
      </c>
      <c r="P397">
        <v>0</v>
      </c>
      <c r="Q397">
        <v>0</v>
      </c>
    </row>
    <row r="398" spans="1:17" x14ac:dyDescent="0.25">
      <c r="A398">
        <v>42169</v>
      </c>
      <c r="B398" t="s">
        <v>2853</v>
      </c>
      <c r="C398" t="s">
        <v>2854</v>
      </c>
      <c r="D398" s="3">
        <v>28890</v>
      </c>
      <c r="E398" t="s">
        <v>1401</v>
      </c>
      <c r="G398" s="3">
        <v>45874</v>
      </c>
      <c r="H398" t="s">
        <v>2855</v>
      </c>
      <c r="J398" t="s">
        <v>1860</v>
      </c>
      <c r="K398" t="s">
        <v>73</v>
      </c>
      <c r="L398" s="3">
        <v>1</v>
      </c>
      <c r="M398" s="3">
        <v>1</v>
      </c>
      <c r="N398" t="s">
        <v>2856</v>
      </c>
      <c r="O398" s="4">
        <v>1</v>
      </c>
      <c r="P398">
        <v>0</v>
      </c>
      <c r="Q398">
        <v>0</v>
      </c>
    </row>
    <row r="399" spans="1:17" x14ac:dyDescent="0.25">
      <c r="A399">
        <v>36378</v>
      </c>
      <c r="B399" t="s">
        <v>2857</v>
      </c>
      <c r="C399" t="s">
        <v>2858</v>
      </c>
      <c r="D399" s="3">
        <v>22566</v>
      </c>
      <c r="E399" t="s">
        <v>1401</v>
      </c>
      <c r="G399" s="3">
        <v>44336</v>
      </c>
      <c r="H399" t="s">
        <v>2859</v>
      </c>
      <c r="J399" t="s">
        <v>1414</v>
      </c>
      <c r="K399" t="s">
        <v>73</v>
      </c>
      <c r="L399" s="3">
        <v>47576</v>
      </c>
      <c r="M399" s="3">
        <v>47547</v>
      </c>
      <c r="N399" t="s">
        <v>2860</v>
      </c>
      <c r="O399" s="4">
        <v>1</v>
      </c>
      <c r="P399">
        <v>0</v>
      </c>
      <c r="Q399">
        <v>1</v>
      </c>
    </row>
    <row r="400" spans="1:17" x14ac:dyDescent="0.25">
      <c r="A400">
        <v>26792</v>
      </c>
      <c r="B400" t="s">
        <v>2861</v>
      </c>
      <c r="C400" t="s">
        <v>2862</v>
      </c>
      <c r="D400" s="3">
        <v>24034</v>
      </c>
      <c r="E400" t="s">
        <v>1401</v>
      </c>
      <c r="F400">
        <v>203</v>
      </c>
      <c r="G400" s="3">
        <v>40812</v>
      </c>
      <c r="H400" t="s">
        <v>2863</v>
      </c>
      <c r="I400">
        <v>93348063</v>
      </c>
      <c r="J400" t="s">
        <v>1659</v>
      </c>
      <c r="K400" t="s">
        <v>73</v>
      </c>
      <c r="L400" s="3">
        <v>46870</v>
      </c>
      <c r="M400" s="3">
        <v>46862</v>
      </c>
      <c r="N400" t="s">
        <v>2864</v>
      </c>
      <c r="O400" s="4">
        <v>1</v>
      </c>
      <c r="P400">
        <v>0</v>
      </c>
      <c r="Q400">
        <v>0</v>
      </c>
    </row>
    <row r="401" spans="1:17" x14ac:dyDescent="0.25">
      <c r="A401">
        <v>29674</v>
      </c>
      <c r="B401" t="s">
        <v>2865</v>
      </c>
      <c r="C401" t="s">
        <v>2866</v>
      </c>
      <c r="D401" s="3">
        <v>33868</v>
      </c>
      <c r="E401" t="s">
        <v>1401</v>
      </c>
      <c r="G401" s="3">
        <v>42065</v>
      </c>
      <c r="H401" t="s">
        <v>2867</v>
      </c>
      <c r="J401" t="s">
        <v>1409</v>
      </c>
      <c r="K401" t="s">
        <v>52</v>
      </c>
      <c r="L401" s="3">
        <v>47499</v>
      </c>
      <c r="M401" s="3">
        <v>47441</v>
      </c>
      <c r="N401" t="s">
        <v>2868</v>
      </c>
      <c r="O401" s="4">
        <v>1</v>
      </c>
      <c r="P401">
        <v>0</v>
      </c>
      <c r="Q401">
        <v>0</v>
      </c>
    </row>
    <row r="402" spans="1:17" x14ac:dyDescent="0.25">
      <c r="A402">
        <v>4525</v>
      </c>
      <c r="B402" t="s">
        <v>2869</v>
      </c>
      <c r="C402" t="s">
        <v>2870</v>
      </c>
      <c r="D402" s="3">
        <v>24001</v>
      </c>
      <c r="E402" t="s">
        <v>1401</v>
      </c>
      <c r="F402">
        <v>16</v>
      </c>
      <c r="G402" s="3">
        <v>32489</v>
      </c>
      <c r="H402" t="s">
        <v>2871</v>
      </c>
      <c r="J402" t="s">
        <v>1723</v>
      </c>
      <c r="K402" t="s">
        <v>64</v>
      </c>
      <c r="L402" s="3">
        <v>47590</v>
      </c>
      <c r="M402" s="3">
        <v>46960</v>
      </c>
      <c r="N402" t="s">
        <v>2872</v>
      </c>
      <c r="O402" s="4">
        <v>0.8</v>
      </c>
      <c r="P402">
        <v>0</v>
      </c>
      <c r="Q402">
        <v>0</v>
      </c>
    </row>
    <row r="403" spans="1:17" x14ac:dyDescent="0.25">
      <c r="A403">
        <v>26638</v>
      </c>
      <c r="B403" t="s">
        <v>2873</v>
      </c>
      <c r="C403" t="s">
        <v>2870</v>
      </c>
      <c r="D403" s="3">
        <v>27001</v>
      </c>
      <c r="E403" t="s">
        <v>1401</v>
      </c>
      <c r="F403">
        <v>211</v>
      </c>
      <c r="G403" s="3">
        <v>40749</v>
      </c>
      <c r="H403" t="s">
        <v>2874</v>
      </c>
      <c r="J403" t="s">
        <v>1570</v>
      </c>
      <c r="K403" t="s">
        <v>52</v>
      </c>
      <c r="L403" s="3">
        <v>46175</v>
      </c>
      <c r="M403" s="3">
        <v>45996</v>
      </c>
      <c r="N403" t="s">
        <v>2875</v>
      </c>
      <c r="O403" s="4">
        <v>1</v>
      </c>
      <c r="P403">
        <v>0</v>
      </c>
      <c r="Q403">
        <v>0</v>
      </c>
    </row>
    <row r="404" spans="1:17" x14ac:dyDescent="0.25">
      <c r="A404">
        <v>25234</v>
      </c>
      <c r="B404" t="s">
        <v>2876</v>
      </c>
      <c r="C404" t="s">
        <v>2870</v>
      </c>
      <c r="D404" s="3">
        <v>23931</v>
      </c>
      <c r="E404" t="s">
        <v>1401</v>
      </c>
      <c r="F404">
        <v>613</v>
      </c>
      <c r="G404" s="3">
        <v>40350</v>
      </c>
      <c r="H404" t="s">
        <v>2877</v>
      </c>
      <c r="I404">
        <v>53622213</v>
      </c>
      <c r="J404" t="s">
        <v>1481</v>
      </c>
      <c r="K404" t="s">
        <v>64</v>
      </c>
      <c r="L404" s="3">
        <v>72686</v>
      </c>
      <c r="M404" s="3">
        <v>47189</v>
      </c>
      <c r="N404" t="s">
        <v>2878</v>
      </c>
      <c r="O404" s="4">
        <v>1</v>
      </c>
      <c r="P404">
        <v>0</v>
      </c>
      <c r="Q404">
        <v>0</v>
      </c>
    </row>
    <row r="405" spans="1:17" x14ac:dyDescent="0.25">
      <c r="A405">
        <v>19219</v>
      </c>
      <c r="B405" t="s">
        <v>2879</v>
      </c>
      <c r="C405" t="s">
        <v>2870</v>
      </c>
      <c r="D405" s="3">
        <v>23793</v>
      </c>
      <c r="E405" t="s">
        <v>1401</v>
      </c>
      <c r="F405">
        <v>461</v>
      </c>
      <c r="G405" s="3">
        <v>38831</v>
      </c>
      <c r="H405" t="s">
        <v>2880</v>
      </c>
      <c r="J405" t="s">
        <v>1529</v>
      </c>
      <c r="K405" t="s">
        <v>73</v>
      </c>
      <c r="L405" s="3">
        <v>47588</v>
      </c>
      <c r="M405" s="3">
        <v>47573</v>
      </c>
      <c r="N405" t="s">
        <v>2881</v>
      </c>
      <c r="O405" s="4">
        <v>1</v>
      </c>
      <c r="P405">
        <v>0</v>
      </c>
      <c r="Q405">
        <v>0</v>
      </c>
    </row>
    <row r="406" spans="1:17" x14ac:dyDescent="0.25">
      <c r="A406">
        <v>40400</v>
      </c>
      <c r="B406" t="s">
        <v>2882</v>
      </c>
      <c r="C406" t="s">
        <v>2883</v>
      </c>
      <c r="D406" s="3">
        <v>25646</v>
      </c>
      <c r="E406" t="s">
        <v>1401</v>
      </c>
      <c r="G406" s="3">
        <v>45478</v>
      </c>
      <c r="H406" t="s">
        <v>2884</v>
      </c>
      <c r="J406" t="s">
        <v>1409</v>
      </c>
      <c r="K406" t="s">
        <v>52</v>
      </c>
      <c r="L406" s="3">
        <v>46733</v>
      </c>
      <c r="M406" s="3">
        <v>46040</v>
      </c>
      <c r="N406" t="s">
        <v>2885</v>
      </c>
      <c r="O406" s="4">
        <v>1</v>
      </c>
      <c r="P406">
        <v>0</v>
      </c>
      <c r="Q406">
        <v>0</v>
      </c>
    </row>
    <row r="407" spans="1:17" x14ac:dyDescent="0.25">
      <c r="A407">
        <v>27607</v>
      </c>
      <c r="B407" t="s">
        <v>2886</v>
      </c>
      <c r="C407" t="s">
        <v>2887</v>
      </c>
      <c r="D407" s="3">
        <v>29887</v>
      </c>
      <c r="E407" t="s">
        <v>1401</v>
      </c>
      <c r="F407">
        <v>277</v>
      </c>
      <c r="G407" s="3">
        <v>41141</v>
      </c>
      <c r="H407" t="s">
        <v>2888</v>
      </c>
      <c r="J407" t="s">
        <v>1481</v>
      </c>
      <c r="K407" t="s">
        <v>64</v>
      </c>
      <c r="L407" s="3">
        <v>72686</v>
      </c>
      <c r="M407" s="3">
        <v>46621</v>
      </c>
      <c r="N407" t="s">
        <v>2889</v>
      </c>
      <c r="O407" s="4">
        <v>1</v>
      </c>
      <c r="P407">
        <v>0</v>
      </c>
      <c r="Q407">
        <v>1</v>
      </c>
    </row>
    <row r="408" spans="1:17" x14ac:dyDescent="0.25">
      <c r="A408">
        <v>36021</v>
      </c>
      <c r="B408" t="s">
        <v>2890</v>
      </c>
      <c r="C408" t="s">
        <v>2891</v>
      </c>
      <c r="D408" s="3">
        <v>33168</v>
      </c>
      <c r="E408" t="s">
        <v>1401</v>
      </c>
      <c r="F408">
        <v>308</v>
      </c>
      <c r="G408" s="3">
        <v>44151</v>
      </c>
      <c r="H408" t="s">
        <v>2892</v>
      </c>
      <c r="J408" t="s">
        <v>1433</v>
      </c>
      <c r="K408" t="s">
        <v>73</v>
      </c>
      <c r="L408" s="3">
        <v>45992</v>
      </c>
      <c r="M408" s="3">
        <v>45915</v>
      </c>
      <c r="N408" t="s">
        <v>2893</v>
      </c>
      <c r="O408" s="4">
        <v>1</v>
      </c>
      <c r="P408">
        <v>0</v>
      </c>
      <c r="Q408">
        <v>0</v>
      </c>
    </row>
    <row r="409" spans="1:17" x14ac:dyDescent="0.25">
      <c r="A409">
        <v>20610</v>
      </c>
      <c r="B409" t="s">
        <v>2894</v>
      </c>
      <c r="C409" t="s">
        <v>2891</v>
      </c>
      <c r="D409" s="3">
        <v>27176</v>
      </c>
      <c r="E409" t="s">
        <v>1401</v>
      </c>
      <c r="F409">
        <v>279</v>
      </c>
      <c r="G409" s="3">
        <v>39188</v>
      </c>
      <c r="J409" t="s">
        <v>1481</v>
      </c>
      <c r="K409" t="s">
        <v>67</v>
      </c>
      <c r="L409" s="3">
        <v>72686</v>
      </c>
      <c r="M409" s="3">
        <v>46182</v>
      </c>
      <c r="N409" t="s">
        <v>2895</v>
      </c>
      <c r="O409" s="4">
        <v>0.8</v>
      </c>
      <c r="P409">
        <v>0</v>
      </c>
      <c r="Q409">
        <v>0</v>
      </c>
    </row>
    <row r="410" spans="1:17" x14ac:dyDescent="0.25">
      <c r="A410">
        <v>25871</v>
      </c>
      <c r="B410" t="s">
        <v>2896</v>
      </c>
      <c r="C410" t="s">
        <v>2897</v>
      </c>
      <c r="D410" s="3">
        <v>29751</v>
      </c>
      <c r="E410" t="s">
        <v>1401</v>
      </c>
      <c r="F410">
        <v>617</v>
      </c>
      <c r="G410" s="3">
        <v>40525</v>
      </c>
      <c r="H410" t="s">
        <v>2898</v>
      </c>
      <c r="J410" t="s">
        <v>1524</v>
      </c>
      <c r="K410" t="s">
        <v>64</v>
      </c>
      <c r="L410" s="3">
        <v>47657</v>
      </c>
      <c r="M410" s="3">
        <v>47611</v>
      </c>
      <c r="N410" t="s">
        <v>2899</v>
      </c>
      <c r="O410" s="4">
        <v>1</v>
      </c>
      <c r="P410">
        <v>0</v>
      </c>
      <c r="Q410">
        <v>0</v>
      </c>
    </row>
    <row r="411" spans="1:17" x14ac:dyDescent="0.25">
      <c r="A411">
        <v>11236</v>
      </c>
      <c r="B411" t="s">
        <v>1840</v>
      </c>
      <c r="C411" t="s">
        <v>2900</v>
      </c>
      <c r="D411" s="3">
        <v>23283</v>
      </c>
      <c r="E411" t="s">
        <v>1401</v>
      </c>
      <c r="F411">
        <v>632</v>
      </c>
      <c r="G411" s="3">
        <v>36332</v>
      </c>
      <c r="H411" t="s">
        <v>2901</v>
      </c>
      <c r="J411" t="s">
        <v>1524</v>
      </c>
      <c r="K411" t="s">
        <v>55</v>
      </c>
      <c r="L411" s="3">
        <v>47659</v>
      </c>
      <c r="M411" s="3">
        <v>46974</v>
      </c>
      <c r="N411" t="s">
        <v>2902</v>
      </c>
      <c r="O411" s="4">
        <v>1</v>
      </c>
      <c r="P411">
        <v>0</v>
      </c>
      <c r="Q411">
        <v>0</v>
      </c>
    </row>
    <row r="412" spans="1:17" x14ac:dyDescent="0.25">
      <c r="A412">
        <v>35471</v>
      </c>
      <c r="B412" t="s">
        <v>1768</v>
      </c>
      <c r="C412" t="s">
        <v>2900</v>
      </c>
      <c r="D412" s="3">
        <v>18345</v>
      </c>
      <c r="E412" t="s">
        <v>1401</v>
      </c>
      <c r="G412" s="3">
        <v>43993</v>
      </c>
      <c r="J412" t="s">
        <v>1978</v>
      </c>
      <c r="K412" t="s">
        <v>73</v>
      </c>
      <c r="L412" s="3">
        <v>47664</v>
      </c>
      <c r="M412" s="3">
        <v>46186</v>
      </c>
      <c r="N412" t="s">
        <v>2903</v>
      </c>
      <c r="O412" s="4">
        <v>1</v>
      </c>
      <c r="P412">
        <v>0</v>
      </c>
      <c r="Q412">
        <v>0</v>
      </c>
    </row>
    <row r="413" spans="1:17" x14ac:dyDescent="0.25">
      <c r="A413">
        <v>16895</v>
      </c>
      <c r="B413" t="s">
        <v>2904</v>
      </c>
      <c r="C413" t="s">
        <v>2900</v>
      </c>
      <c r="D413" s="3">
        <v>24194</v>
      </c>
      <c r="E413" t="s">
        <v>1401</v>
      </c>
      <c r="F413">
        <v>213</v>
      </c>
      <c r="G413" s="3">
        <v>38103</v>
      </c>
      <c r="I413">
        <v>93572904</v>
      </c>
      <c r="J413" t="s">
        <v>1427</v>
      </c>
      <c r="K413" t="s">
        <v>55</v>
      </c>
      <c r="L413" s="3">
        <v>72686</v>
      </c>
      <c r="M413" s="3">
        <v>72686</v>
      </c>
      <c r="N413" t="s">
        <v>2905</v>
      </c>
      <c r="O413" s="4">
        <v>1</v>
      </c>
      <c r="P413">
        <v>0</v>
      </c>
      <c r="Q413">
        <v>0</v>
      </c>
    </row>
    <row r="414" spans="1:17" x14ac:dyDescent="0.25">
      <c r="A414">
        <v>29181</v>
      </c>
      <c r="B414" t="s">
        <v>2906</v>
      </c>
      <c r="C414" t="s">
        <v>2907</v>
      </c>
      <c r="D414" s="3">
        <v>25391</v>
      </c>
      <c r="E414" t="s">
        <v>1401</v>
      </c>
      <c r="F414">
        <v>339</v>
      </c>
      <c r="G414" s="3">
        <v>41827</v>
      </c>
      <c r="H414" t="s">
        <v>2908</v>
      </c>
      <c r="J414" t="s">
        <v>1419</v>
      </c>
      <c r="K414" t="s">
        <v>55</v>
      </c>
      <c r="L414" s="3">
        <v>47243</v>
      </c>
      <c r="M414" s="3">
        <v>47196</v>
      </c>
      <c r="N414" t="s">
        <v>2909</v>
      </c>
      <c r="O414" s="4">
        <v>1</v>
      </c>
      <c r="P414">
        <v>0</v>
      </c>
      <c r="Q414">
        <v>1</v>
      </c>
    </row>
    <row r="415" spans="1:17" x14ac:dyDescent="0.25">
      <c r="A415">
        <v>26199</v>
      </c>
      <c r="B415" t="s">
        <v>2910</v>
      </c>
      <c r="C415" t="s">
        <v>2907</v>
      </c>
      <c r="D415" s="3">
        <v>23749</v>
      </c>
      <c r="E415" t="s">
        <v>1401</v>
      </c>
      <c r="F415">
        <v>109</v>
      </c>
      <c r="G415" s="3">
        <v>40637</v>
      </c>
      <c r="H415" t="s">
        <v>2911</v>
      </c>
      <c r="I415">
        <v>92257858</v>
      </c>
      <c r="J415" t="s">
        <v>1427</v>
      </c>
      <c r="K415" t="s">
        <v>58</v>
      </c>
      <c r="L415" s="3">
        <v>72686</v>
      </c>
      <c r="M415" s="3">
        <v>46210</v>
      </c>
      <c r="N415" t="s">
        <v>2912</v>
      </c>
      <c r="O415" s="4">
        <v>0.8</v>
      </c>
      <c r="P415">
        <v>0</v>
      </c>
      <c r="Q415">
        <v>0</v>
      </c>
    </row>
    <row r="416" spans="1:17" x14ac:dyDescent="0.25">
      <c r="A416">
        <v>21581</v>
      </c>
      <c r="B416" t="s">
        <v>2913</v>
      </c>
      <c r="C416" t="s">
        <v>2907</v>
      </c>
      <c r="D416" s="3">
        <v>26100</v>
      </c>
      <c r="E416" t="s">
        <v>1401</v>
      </c>
      <c r="F416">
        <v>148</v>
      </c>
      <c r="G416" s="3">
        <v>39433</v>
      </c>
      <c r="H416" t="s">
        <v>2914</v>
      </c>
      <c r="J416" t="s">
        <v>1529</v>
      </c>
      <c r="K416" t="s">
        <v>73</v>
      </c>
      <c r="L416" s="3">
        <v>47602</v>
      </c>
      <c r="M416" s="3">
        <v>46511</v>
      </c>
      <c r="N416" t="s">
        <v>2915</v>
      </c>
      <c r="O416" s="4">
        <v>1</v>
      </c>
      <c r="P416">
        <v>0</v>
      </c>
      <c r="Q416">
        <v>0</v>
      </c>
    </row>
    <row r="417" spans="1:17" x14ac:dyDescent="0.25">
      <c r="A417">
        <v>37744</v>
      </c>
      <c r="B417" t="s">
        <v>1835</v>
      </c>
      <c r="C417" t="s">
        <v>2916</v>
      </c>
      <c r="D417" s="3">
        <v>24576</v>
      </c>
      <c r="E417" t="s">
        <v>1401</v>
      </c>
      <c r="G417" s="3">
        <v>44753</v>
      </c>
      <c r="H417" t="s">
        <v>2917</v>
      </c>
      <c r="J417" t="s">
        <v>1404</v>
      </c>
      <c r="K417" t="s">
        <v>52</v>
      </c>
      <c r="L417" s="3">
        <v>46595</v>
      </c>
      <c r="M417" s="3">
        <v>46530</v>
      </c>
      <c r="N417" t="s">
        <v>2918</v>
      </c>
      <c r="O417" s="4">
        <v>1</v>
      </c>
      <c r="P417">
        <v>0</v>
      </c>
      <c r="Q417">
        <v>0</v>
      </c>
    </row>
    <row r="418" spans="1:17" x14ac:dyDescent="0.25">
      <c r="A418">
        <v>19917</v>
      </c>
      <c r="B418" t="s">
        <v>2919</v>
      </c>
      <c r="C418" t="s">
        <v>2916</v>
      </c>
      <c r="D418" s="3">
        <v>24135</v>
      </c>
      <c r="E418" t="s">
        <v>1401</v>
      </c>
      <c r="F418">
        <v>532</v>
      </c>
      <c r="G418" s="3">
        <v>39006</v>
      </c>
      <c r="H418" t="s">
        <v>2920</v>
      </c>
      <c r="J418" t="s">
        <v>1627</v>
      </c>
      <c r="K418" t="s">
        <v>55</v>
      </c>
      <c r="L418" s="3">
        <v>47467</v>
      </c>
      <c r="M418" s="3">
        <v>46729</v>
      </c>
      <c r="N418" t="s">
        <v>2921</v>
      </c>
      <c r="O418" s="4">
        <v>1</v>
      </c>
      <c r="P418">
        <v>0</v>
      </c>
      <c r="Q418">
        <v>0</v>
      </c>
    </row>
    <row r="419" spans="1:17" x14ac:dyDescent="0.25">
      <c r="A419">
        <v>15412</v>
      </c>
      <c r="B419" t="s">
        <v>2922</v>
      </c>
      <c r="C419" t="s">
        <v>2916</v>
      </c>
      <c r="D419" s="3">
        <v>24476</v>
      </c>
      <c r="E419" t="s">
        <v>1401</v>
      </c>
      <c r="F419">
        <v>503</v>
      </c>
      <c r="G419" s="3">
        <v>37634</v>
      </c>
      <c r="H419" t="s">
        <v>2923</v>
      </c>
      <c r="J419" t="s">
        <v>1524</v>
      </c>
      <c r="K419" t="s">
        <v>55</v>
      </c>
      <c r="L419" s="3">
        <v>47541</v>
      </c>
      <c r="M419" s="3">
        <v>46772</v>
      </c>
      <c r="N419" t="s">
        <v>2924</v>
      </c>
      <c r="O419" s="4">
        <v>0.8</v>
      </c>
      <c r="P419">
        <v>0</v>
      </c>
      <c r="Q419">
        <v>0</v>
      </c>
    </row>
    <row r="420" spans="1:17" x14ac:dyDescent="0.25">
      <c r="A420">
        <v>40278</v>
      </c>
      <c r="B420" t="s">
        <v>2925</v>
      </c>
      <c r="C420" t="s">
        <v>2926</v>
      </c>
      <c r="D420" s="3">
        <v>30353</v>
      </c>
      <c r="E420" t="s">
        <v>1401</v>
      </c>
      <c r="G420" s="3">
        <v>45378</v>
      </c>
      <c r="H420" t="s">
        <v>2927</v>
      </c>
      <c r="J420" t="s">
        <v>1409</v>
      </c>
      <c r="K420" t="s">
        <v>61</v>
      </c>
      <c r="L420" s="3">
        <v>47229</v>
      </c>
      <c r="M420" s="3">
        <v>47167</v>
      </c>
      <c r="N420" t="s">
        <v>2928</v>
      </c>
      <c r="O420" s="4">
        <v>1</v>
      </c>
      <c r="P420">
        <v>0</v>
      </c>
      <c r="Q420">
        <v>0</v>
      </c>
    </row>
    <row r="421" spans="1:17" x14ac:dyDescent="0.25">
      <c r="A421">
        <v>29271</v>
      </c>
      <c r="B421" t="s">
        <v>1565</v>
      </c>
      <c r="C421" t="s">
        <v>2929</v>
      </c>
      <c r="D421" s="3">
        <v>29005</v>
      </c>
      <c r="E421" t="s">
        <v>1401</v>
      </c>
      <c r="F421">
        <v>298</v>
      </c>
      <c r="G421" s="3">
        <v>41855</v>
      </c>
      <c r="H421" t="s">
        <v>2930</v>
      </c>
      <c r="J421" t="s">
        <v>1627</v>
      </c>
      <c r="K421" t="s">
        <v>70</v>
      </c>
      <c r="L421" s="3">
        <v>47205</v>
      </c>
      <c r="M421" s="3">
        <v>47195</v>
      </c>
      <c r="N421" t="s">
        <v>2931</v>
      </c>
      <c r="O421" s="4">
        <v>1</v>
      </c>
      <c r="P421">
        <v>0</v>
      </c>
      <c r="Q421">
        <v>0</v>
      </c>
    </row>
    <row r="422" spans="1:17" x14ac:dyDescent="0.25">
      <c r="A422">
        <v>18051</v>
      </c>
      <c r="B422" t="s">
        <v>2932</v>
      </c>
      <c r="C422" t="s">
        <v>2929</v>
      </c>
      <c r="D422" s="3">
        <v>24058</v>
      </c>
      <c r="E422" t="s">
        <v>1401</v>
      </c>
      <c r="F422">
        <v>76</v>
      </c>
      <c r="G422" s="3">
        <v>38446</v>
      </c>
      <c r="H422" t="s">
        <v>2933</v>
      </c>
      <c r="I422">
        <v>92783143</v>
      </c>
      <c r="J422" t="s">
        <v>1723</v>
      </c>
      <c r="K422" t="s">
        <v>61</v>
      </c>
      <c r="L422" s="3">
        <v>45983</v>
      </c>
      <c r="M422" s="3">
        <v>45936</v>
      </c>
      <c r="N422" t="s">
        <v>2934</v>
      </c>
      <c r="O422" s="4">
        <v>0.8</v>
      </c>
      <c r="P422">
        <v>0</v>
      </c>
      <c r="Q422">
        <v>0</v>
      </c>
    </row>
    <row r="423" spans="1:17" x14ac:dyDescent="0.25">
      <c r="A423">
        <v>15320</v>
      </c>
      <c r="B423" t="s">
        <v>2239</v>
      </c>
      <c r="C423" t="s">
        <v>2929</v>
      </c>
      <c r="D423" s="3">
        <v>28129</v>
      </c>
      <c r="E423" t="s">
        <v>1401</v>
      </c>
      <c r="F423">
        <v>561</v>
      </c>
      <c r="G423" s="3">
        <v>37585</v>
      </c>
      <c r="H423" t="s">
        <v>2935</v>
      </c>
      <c r="J423" t="s">
        <v>1659</v>
      </c>
      <c r="K423" t="s">
        <v>58</v>
      </c>
      <c r="L423" s="3">
        <v>47679</v>
      </c>
      <c r="M423" s="3">
        <v>46511</v>
      </c>
      <c r="N423" t="s">
        <v>2936</v>
      </c>
      <c r="O423" s="4">
        <v>1</v>
      </c>
      <c r="P423">
        <v>0</v>
      </c>
      <c r="Q423">
        <v>0</v>
      </c>
    </row>
    <row r="424" spans="1:17" x14ac:dyDescent="0.25">
      <c r="A424">
        <v>41710</v>
      </c>
      <c r="B424" t="s">
        <v>2173</v>
      </c>
      <c r="C424" t="s">
        <v>2937</v>
      </c>
      <c r="D424" s="3">
        <v>25405</v>
      </c>
      <c r="E424" t="s">
        <v>1401</v>
      </c>
      <c r="G424" s="3">
        <v>45735</v>
      </c>
      <c r="H424" t="s">
        <v>2938</v>
      </c>
      <c r="J424" t="s">
        <v>1409</v>
      </c>
      <c r="K424" t="s">
        <v>58</v>
      </c>
      <c r="L424" s="3">
        <v>47581</v>
      </c>
      <c r="M424" s="3">
        <v>46817</v>
      </c>
      <c r="N424" t="s">
        <v>2939</v>
      </c>
      <c r="O424" s="4">
        <v>1</v>
      </c>
      <c r="P424">
        <v>0</v>
      </c>
      <c r="Q424">
        <v>0</v>
      </c>
    </row>
    <row r="425" spans="1:17" x14ac:dyDescent="0.25">
      <c r="A425">
        <v>31360</v>
      </c>
      <c r="B425" t="s">
        <v>2712</v>
      </c>
      <c r="C425" t="s">
        <v>2940</v>
      </c>
      <c r="D425" s="3">
        <v>34227</v>
      </c>
      <c r="E425" t="s">
        <v>1401</v>
      </c>
      <c r="F425">
        <v>229</v>
      </c>
      <c r="G425" s="3">
        <v>42744</v>
      </c>
      <c r="H425" t="s">
        <v>2941</v>
      </c>
      <c r="J425" t="s">
        <v>1588</v>
      </c>
      <c r="K425" t="s">
        <v>52</v>
      </c>
      <c r="L425" s="3">
        <v>46279</v>
      </c>
      <c r="M425" s="3">
        <v>46201</v>
      </c>
      <c r="N425" t="s">
        <v>2942</v>
      </c>
      <c r="O425" s="4">
        <v>1</v>
      </c>
      <c r="P425">
        <v>0</v>
      </c>
      <c r="Q425">
        <v>0</v>
      </c>
    </row>
    <row r="426" spans="1:17" x14ac:dyDescent="0.25">
      <c r="A426">
        <v>30967</v>
      </c>
      <c r="B426" t="s">
        <v>2943</v>
      </c>
      <c r="C426" t="s">
        <v>2940</v>
      </c>
      <c r="D426" s="3">
        <v>29408</v>
      </c>
      <c r="E426" t="s">
        <v>1401</v>
      </c>
      <c r="F426">
        <v>128</v>
      </c>
      <c r="G426" s="3">
        <v>42548</v>
      </c>
      <c r="H426" t="s">
        <v>2944</v>
      </c>
      <c r="J426" t="s">
        <v>1659</v>
      </c>
      <c r="K426" t="s">
        <v>52</v>
      </c>
      <c r="L426" s="3">
        <v>46207</v>
      </c>
      <c r="M426" s="3">
        <v>45935</v>
      </c>
      <c r="N426" t="s">
        <v>2945</v>
      </c>
      <c r="O426" s="4">
        <v>1</v>
      </c>
      <c r="P426">
        <v>0</v>
      </c>
      <c r="Q426">
        <v>1</v>
      </c>
    </row>
    <row r="427" spans="1:17" x14ac:dyDescent="0.25">
      <c r="A427">
        <v>27186</v>
      </c>
      <c r="B427" t="s">
        <v>2946</v>
      </c>
      <c r="C427" t="s">
        <v>2947</v>
      </c>
      <c r="D427" s="3">
        <v>27314</v>
      </c>
      <c r="E427" t="s">
        <v>1401</v>
      </c>
      <c r="G427" s="3">
        <v>40959</v>
      </c>
      <c r="H427" t="s">
        <v>2948</v>
      </c>
      <c r="J427" t="s">
        <v>1409</v>
      </c>
      <c r="K427" t="s">
        <v>61</v>
      </c>
      <c r="L427" s="3">
        <v>46272</v>
      </c>
      <c r="M427" s="3">
        <v>46266</v>
      </c>
      <c r="N427" t="s">
        <v>2949</v>
      </c>
      <c r="O427" s="4">
        <v>1</v>
      </c>
      <c r="P427">
        <v>0</v>
      </c>
      <c r="Q427">
        <v>0</v>
      </c>
    </row>
    <row r="428" spans="1:17" x14ac:dyDescent="0.25">
      <c r="A428">
        <v>29821</v>
      </c>
      <c r="B428" t="s">
        <v>2950</v>
      </c>
      <c r="C428" t="s">
        <v>2951</v>
      </c>
      <c r="D428" s="3">
        <v>24617</v>
      </c>
      <c r="E428" t="s">
        <v>1401</v>
      </c>
      <c r="F428">
        <v>346</v>
      </c>
      <c r="G428" s="3">
        <v>42121</v>
      </c>
      <c r="H428" t="s">
        <v>2952</v>
      </c>
      <c r="I428">
        <v>0</v>
      </c>
      <c r="J428" t="s">
        <v>1455</v>
      </c>
      <c r="K428" t="s">
        <v>52</v>
      </c>
      <c r="L428" s="3">
        <v>47614</v>
      </c>
      <c r="M428" s="3">
        <v>47195</v>
      </c>
      <c r="N428" t="s">
        <v>2953</v>
      </c>
      <c r="O428" s="4">
        <v>1</v>
      </c>
      <c r="P428">
        <v>0</v>
      </c>
      <c r="Q428">
        <v>1</v>
      </c>
    </row>
    <row r="429" spans="1:17" x14ac:dyDescent="0.25">
      <c r="A429">
        <v>6067</v>
      </c>
      <c r="B429" t="s">
        <v>2954</v>
      </c>
      <c r="C429" t="s">
        <v>2955</v>
      </c>
      <c r="D429" s="3">
        <v>25610</v>
      </c>
      <c r="E429" t="s">
        <v>1401</v>
      </c>
      <c r="F429">
        <v>467</v>
      </c>
      <c r="G429" s="3">
        <v>33848</v>
      </c>
      <c r="H429" t="s">
        <v>2956</v>
      </c>
      <c r="J429" t="s">
        <v>1529</v>
      </c>
      <c r="K429" t="s">
        <v>73</v>
      </c>
      <c r="L429" s="3">
        <v>45894</v>
      </c>
      <c r="M429" s="3">
        <v>46152</v>
      </c>
      <c r="N429" t="s">
        <v>2957</v>
      </c>
      <c r="O429" s="4">
        <v>0.5</v>
      </c>
      <c r="P429">
        <v>0</v>
      </c>
      <c r="Q429">
        <v>0</v>
      </c>
    </row>
    <row r="430" spans="1:17" x14ac:dyDescent="0.25">
      <c r="A430">
        <v>38931</v>
      </c>
      <c r="B430" t="s">
        <v>2958</v>
      </c>
      <c r="C430" t="s">
        <v>2959</v>
      </c>
      <c r="D430" s="3">
        <v>36438</v>
      </c>
      <c r="E430" t="s">
        <v>1401</v>
      </c>
      <c r="G430" s="3">
        <v>45040</v>
      </c>
      <c r="H430" t="s">
        <v>2960</v>
      </c>
      <c r="J430" t="s">
        <v>1409</v>
      </c>
      <c r="K430" t="s">
        <v>55</v>
      </c>
      <c r="L430" s="3">
        <v>46882</v>
      </c>
      <c r="M430" s="3">
        <v>46842</v>
      </c>
      <c r="N430" t="s">
        <v>2961</v>
      </c>
      <c r="O430" s="4">
        <v>1</v>
      </c>
      <c r="P430">
        <v>0</v>
      </c>
      <c r="Q430">
        <v>0</v>
      </c>
    </row>
    <row r="431" spans="1:17" x14ac:dyDescent="0.25">
      <c r="A431">
        <v>40393</v>
      </c>
      <c r="B431" t="s">
        <v>2962</v>
      </c>
      <c r="C431" t="s">
        <v>2963</v>
      </c>
      <c r="D431" s="3">
        <v>35772</v>
      </c>
      <c r="E431" t="s">
        <v>1401</v>
      </c>
      <c r="G431" s="3">
        <v>45408</v>
      </c>
      <c r="H431" t="s">
        <v>2964</v>
      </c>
      <c r="J431" t="s">
        <v>1409</v>
      </c>
      <c r="K431" t="s">
        <v>52</v>
      </c>
      <c r="L431" s="3">
        <v>47258</v>
      </c>
      <c r="M431" s="3">
        <v>47204</v>
      </c>
      <c r="N431" t="s">
        <v>2965</v>
      </c>
      <c r="O431" s="4">
        <v>1</v>
      </c>
      <c r="P431">
        <v>0</v>
      </c>
      <c r="Q431">
        <v>0</v>
      </c>
    </row>
    <row r="432" spans="1:17" x14ac:dyDescent="0.25">
      <c r="A432">
        <v>37132</v>
      </c>
      <c r="B432" t="s">
        <v>2966</v>
      </c>
      <c r="C432" t="s">
        <v>2967</v>
      </c>
      <c r="D432" s="3">
        <v>34746</v>
      </c>
      <c r="E432" t="s">
        <v>1401</v>
      </c>
      <c r="G432" s="3">
        <v>44599</v>
      </c>
      <c r="H432" t="s">
        <v>2968</v>
      </c>
      <c r="J432" t="s">
        <v>1409</v>
      </c>
      <c r="K432" t="s">
        <v>52</v>
      </c>
      <c r="L432" s="3">
        <v>46439</v>
      </c>
      <c r="M432" s="3">
        <v>46320</v>
      </c>
      <c r="N432" t="s">
        <v>2969</v>
      </c>
      <c r="O432" s="4">
        <v>1</v>
      </c>
      <c r="P432">
        <v>0</v>
      </c>
      <c r="Q432">
        <v>0</v>
      </c>
    </row>
    <row r="433" spans="1:17" x14ac:dyDescent="0.25">
      <c r="A433">
        <v>16545</v>
      </c>
      <c r="B433" t="s">
        <v>2970</v>
      </c>
      <c r="C433" t="s">
        <v>2971</v>
      </c>
      <c r="D433" s="3">
        <v>24848</v>
      </c>
      <c r="E433" t="s">
        <v>1401</v>
      </c>
      <c r="F433">
        <v>535</v>
      </c>
      <c r="G433" s="3">
        <v>37991</v>
      </c>
      <c r="H433" t="s">
        <v>2972</v>
      </c>
      <c r="I433">
        <v>93557570</v>
      </c>
      <c r="J433" t="s">
        <v>1524</v>
      </c>
      <c r="K433" t="s">
        <v>55</v>
      </c>
      <c r="L433" s="3">
        <v>46889</v>
      </c>
      <c r="M433" s="3">
        <v>46882</v>
      </c>
      <c r="N433" t="s">
        <v>2973</v>
      </c>
      <c r="O433" s="4">
        <v>1</v>
      </c>
      <c r="P433">
        <v>0</v>
      </c>
      <c r="Q433">
        <v>0</v>
      </c>
    </row>
    <row r="434" spans="1:17" x14ac:dyDescent="0.25">
      <c r="A434">
        <v>4764</v>
      </c>
      <c r="B434" t="s">
        <v>2974</v>
      </c>
      <c r="C434" t="s">
        <v>2975</v>
      </c>
      <c r="D434" s="3">
        <v>24539</v>
      </c>
      <c r="E434" t="s">
        <v>1401</v>
      </c>
      <c r="F434">
        <v>539</v>
      </c>
      <c r="G434" s="3">
        <v>32924</v>
      </c>
      <c r="H434" t="s">
        <v>2976</v>
      </c>
      <c r="J434" t="s">
        <v>1524</v>
      </c>
      <c r="K434" t="s">
        <v>55</v>
      </c>
      <c r="L434" s="3">
        <v>45943</v>
      </c>
      <c r="M434" s="3">
        <v>46637</v>
      </c>
      <c r="N434" t="s">
        <v>2977</v>
      </c>
      <c r="O434" s="4">
        <v>0.8</v>
      </c>
      <c r="P434">
        <v>0</v>
      </c>
      <c r="Q434">
        <v>0</v>
      </c>
    </row>
    <row r="435" spans="1:17" x14ac:dyDescent="0.25">
      <c r="A435">
        <v>20476</v>
      </c>
      <c r="B435" t="s">
        <v>2978</v>
      </c>
      <c r="C435" t="s">
        <v>2975</v>
      </c>
      <c r="D435" s="3">
        <v>30153</v>
      </c>
      <c r="E435" t="s">
        <v>1657</v>
      </c>
      <c r="F435">
        <v>83</v>
      </c>
      <c r="G435" s="3">
        <v>39160</v>
      </c>
      <c r="H435" t="s">
        <v>2979</v>
      </c>
      <c r="J435" t="s">
        <v>1507</v>
      </c>
      <c r="K435" t="s">
        <v>52</v>
      </c>
      <c r="L435" s="3">
        <v>72686</v>
      </c>
      <c r="M435" s="3">
        <v>46838</v>
      </c>
      <c r="N435" t="s">
        <v>2980</v>
      </c>
      <c r="O435" s="4">
        <v>1</v>
      </c>
      <c r="P435">
        <v>0</v>
      </c>
      <c r="Q435">
        <v>0</v>
      </c>
    </row>
    <row r="436" spans="1:17" x14ac:dyDescent="0.25">
      <c r="A436">
        <v>9824</v>
      </c>
      <c r="B436" t="s">
        <v>2434</v>
      </c>
      <c r="C436" t="s">
        <v>2981</v>
      </c>
      <c r="D436" s="3">
        <v>23784</v>
      </c>
      <c r="E436" t="s">
        <v>1401</v>
      </c>
      <c r="F436">
        <v>192</v>
      </c>
      <c r="G436" s="3">
        <v>35723</v>
      </c>
      <c r="H436" t="s">
        <v>2982</v>
      </c>
      <c r="J436" t="s">
        <v>1507</v>
      </c>
      <c r="K436" t="s">
        <v>67</v>
      </c>
      <c r="L436" s="3">
        <v>72686</v>
      </c>
      <c r="M436" s="3">
        <v>46236</v>
      </c>
      <c r="N436" t="s">
        <v>2983</v>
      </c>
      <c r="O436" s="4">
        <v>1</v>
      </c>
      <c r="P436">
        <v>0</v>
      </c>
      <c r="Q436">
        <v>1</v>
      </c>
    </row>
    <row r="437" spans="1:17" x14ac:dyDescent="0.25">
      <c r="A437">
        <v>40421</v>
      </c>
      <c r="B437" t="s">
        <v>2984</v>
      </c>
      <c r="C437" t="s">
        <v>2981</v>
      </c>
      <c r="D437" s="3">
        <v>20536</v>
      </c>
      <c r="E437" t="s">
        <v>1401</v>
      </c>
      <c r="G437" s="3">
        <v>45407</v>
      </c>
      <c r="J437" t="s">
        <v>1978</v>
      </c>
      <c r="K437" t="s">
        <v>73</v>
      </c>
      <c r="L437" s="3">
        <v>1</v>
      </c>
      <c r="M437" s="3">
        <v>1</v>
      </c>
      <c r="N437" t="s">
        <v>2985</v>
      </c>
      <c r="O437" s="4">
        <v>1</v>
      </c>
      <c r="P437">
        <v>0</v>
      </c>
      <c r="Q437">
        <v>0</v>
      </c>
    </row>
    <row r="438" spans="1:17" x14ac:dyDescent="0.25">
      <c r="A438">
        <v>35187</v>
      </c>
      <c r="B438" t="s">
        <v>2986</v>
      </c>
      <c r="C438" t="s">
        <v>2981</v>
      </c>
      <c r="D438" s="3">
        <v>19500</v>
      </c>
      <c r="E438" t="s">
        <v>1401</v>
      </c>
      <c r="G438" s="3">
        <v>43891</v>
      </c>
      <c r="H438" t="s">
        <v>2987</v>
      </c>
      <c r="J438" t="s">
        <v>1978</v>
      </c>
      <c r="K438" t="s">
        <v>73</v>
      </c>
      <c r="L438" s="3">
        <v>1</v>
      </c>
      <c r="M438" s="3">
        <v>1</v>
      </c>
      <c r="N438" t="s">
        <v>2988</v>
      </c>
      <c r="O438" s="4">
        <v>1</v>
      </c>
      <c r="P438">
        <v>0</v>
      </c>
      <c r="Q438">
        <v>0</v>
      </c>
    </row>
    <row r="439" spans="1:17" x14ac:dyDescent="0.25">
      <c r="A439">
        <v>32091</v>
      </c>
      <c r="B439" t="s">
        <v>2989</v>
      </c>
      <c r="C439" t="s">
        <v>2990</v>
      </c>
      <c r="D439" s="3">
        <v>29257</v>
      </c>
      <c r="E439" t="s">
        <v>1401</v>
      </c>
      <c r="F439">
        <v>69</v>
      </c>
      <c r="G439" s="3">
        <v>43003</v>
      </c>
      <c r="H439" t="s">
        <v>2991</v>
      </c>
      <c r="I439">
        <v>474517590</v>
      </c>
      <c r="J439" t="s">
        <v>1442</v>
      </c>
      <c r="K439" t="s">
        <v>64</v>
      </c>
      <c r="L439" s="3">
        <v>46610</v>
      </c>
      <c r="M439" s="3">
        <v>46565</v>
      </c>
      <c r="N439" t="s">
        <v>2992</v>
      </c>
      <c r="O439" s="4">
        <v>1</v>
      </c>
      <c r="P439">
        <v>0</v>
      </c>
      <c r="Q439">
        <v>1</v>
      </c>
    </row>
    <row r="440" spans="1:17" x14ac:dyDescent="0.25">
      <c r="A440">
        <v>20542</v>
      </c>
      <c r="B440" t="s">
        <v>2993</v>
      </c>
      <c r="C440" t="s">
        <v>2994</v>
      </c>
      <c r="D440" s="3">
        <v>31215</v>
      </c>
      <c r="E440" t="s">
        <v>1401</v>
      </c>
      <c r="F440">
        <v>267</v>
      </c>
      <c r="G440" s="3">
        <v>39174</v>
      </c>
      <c r="H440" t="s">
        <v>2995</v>
      </c>
      <c r="J440" t="s">
        <v>1404</v>
      </c>
      <c r="K440" t="s">
        <v>70</v>
      </c>
      <c r="L440" s="3">
        <v>46187</v>
      </c>
      <c r="M440" s="3">
        <v>46274</v>
      </c>
      <c r="N440" t="s">
        <v>2996</v>
      </c>
      <c r="O440" s="4">
        <v>0.8</v>
      </c>
      <c r="P440">
        <v>0</v>
      </c>
      <c r="Q440">
        <v>0</v>
      </c>
    </row>
    <row r="441" spans="1:17" x14ac:dyDescent="0.25">
      <c r="A441">
        <v>28717</v>
      </c>
      <c r="B441" t="s">
        <v>2720</v>
      </c>
      <c r="C441" t="s">
        <v>1352</v>
      </c>
      <c r="D441" s="3">
        <v>27229</v>
      </c>
      <c r="E441" t="s">
        <v>1401</v>
      </c>
      <c r="F441">
        <v>25</v>
      </c>
      <c r="G441" s="3">
        <v>41659</v>
      </c>
      <c r="H441" t="s">
        <v>2997</v>
      </c>
      <c r="J441" t="s">
        <v>1433</v>
      </c>
      <c r="K441" t="s">
        <v>73</v>
      </c>
      <c r="L441" s="3">
        <v>46859</v>
      </c>
      <c r="M441" s="3">
        <v>46853</v>
      </c>
      <c r="N441" t="s">
        <v>2998</v>
      </c>
      <c r="O441" s="4">
        <v>1</v>
      </c>
      <c r="P441">
        <v>0</v>
      </c>
      <c r="Q441">
        <v>0</v>
      </c>
    </row>
    <row r="442" spans="1:17" x14ac:dyDescent="0.25">
      <c r="A442">
        <v>28821</v>
      </c>
      <c r="B442" t="s">
        <v>2999</v>
      </c>
      <c r="C442" t="s">
        <v>1352</v>
      </c>
      <c r="D442" s="3">
        <v>27974</v>
      </c>
      <c r="E442" t="s">
        <v>1401</v>
      </c>
      <c r="F442">
        <v>652</v>
      </c>
      <c r="G442" s="3">
        <v>41708</v>
      </c>
      <c r="H442" t="s">
        <v>3000</v>
      </c>
      <c r="J442" t="s">
        <v>1627</v>
      </c>
      <c r="K442" t="s">
        <v>55</v>
      </c>
      <c r="L442" s="3">
        <v>47643</v>
      </c>
      <c r="M442" s="3">
        <v>46974</v>
      </c>
      <c r="N442" t="s">
        <v>3001</v>
      </c>
      <c r="O442" s="4">
        <v>0.6</v>
      </c>
      <c r="P442">
        <v>0</v>
      </c>
      <c r="Q442">
        <v>0</v>
      </c>
    </row>
    <row r="443" spans="1:17" x14ac:dyDescent="0.25">
      <c r="A443">
        <v>39858</v>
      </c>
      <c r="B443" t="s">
        <v>3002</v>
      </c>
      <c r="C443" t="s">
        <v>3003</v>
      </c>
      <c r="D443" s="3">
        <v>36686</v>
      </c>
      <c r="E443" t="s">
        <v>1401</v>
      </c>
      <c r="G443" s="3">
        <v>45264</v>
      </c>
      <c r="H443" t="s">
        <v>3004</v>
      </c>
      <c r="J443" t="s">
        <v>1409</v>
      </c>
      <c r="K443" t="s">
        <v>70</v>
      </c>
      <c r="L443" s="3">
        <v>47107</v>
      </c>
      <c r="M443" s="3">
        <v>47072</v>
      </c>
      <c r="N443" t="s">
        <v>3005</v>
      </c>
      <c r="O443" s="4">
        <v>1</v>
      </c>
      <c r="P443">
        <v>0</v>
      </c>
      <c r="Q443">
        <v>0</v>
      </c>
    </row>
    <row r="444" spans="1:17" x14ac:dyDescent="0.25">
      <c r="A444">
        <v>36358</v>
      </c>
      <c r="B444" t="s">
        <v>3006</v>
      </c>
      <c r="C444" t="s">
        <v>3007</v>
      </c>
      <c r="D444" s="3">
        <v>36236</v>
      </c>
      <c r="E444" t="s">
        <v>1401</v>
      </c>
      <c r="G444" s="3">
        <v>44270</v>
      </c>
      <c r="H444" t="s">
        <v>3008</v>
      </c>
      <c r="J444" t="s">
        <v>1409</v>
      </c>
      <c r="K444" t="s">
        <v>70</v>
      </c>
      <c r="L444" s="3">
        <v>46112</v>
      </c>
      <c r="M444" s="3">
        <v>46064</v>
      </c>
      <c r="N444" t="s">
        <v>3009</v>
      </c>
      <c r="O444" s="4">
        <v>1</v>
      </c>
      <c r="P444">
        <v>0</v>
      </c>
      <c r="Q444">
        <v>1</v>
      </c>
    </row>
    <row r="445" spans="1:17" x14ac:dyDescent="0.25">
      <c r="A445">
        <v>21809</v>
      </c>
      <c r="B445" t="s">
        <v>2535</v>
      </c>
      <c r="C445" t="s">
        <v>3010</v>
      </c>
      <c r="D445" s="3">
        <v>29830</v>
      </c>
      <c r="E445" t="s">
        <v>1401</v>
      </c>
      <c r="F445">
        <v>438</v>
      </c>
      <c r="G445" s="3">
        <v>39496</v>
      </c>
      <c r="H445" t="s">
        <v>3011</v>
      </c>
      <c r="J445" t="s">
        <v>1455</v>
      </c>
      <c r="K445" t="s">
        <v>70</v>
      </c>
      <c r="L445" s="3">
        <v>47454</v>
      </c>
      <c r="M445" s="3">
        <v>47272</v>
      </c>
      <c r="N445" t="s">
        <v>3012</v>
      </c>
      <c r="O445" s="4">
        <v>0.8</v>
      </c>
      <c r="P445">
        <v>0</v>
      </c>
      <c r="Q445">
        <v>1</v>
      </c>
    </row>
    <row r="446" spans="1:17" x14ac:dyDescent="0.25">
      <c r="A446">
        <v>32620</v>
      </c>
      <c r="B446" t="s">
        <v>3013</v>
      </c>
      <c r="C446" t="s">
        <v>3014</v>
      </c>
      <c r="D446" s="3">
        <v>35347</v>
      </c>
      <c r="E446" t="s">
        <v>1401</v>
      </c>
      <c r="F446">
        <v>296</v>
      </c>
      <c r="G446" s="3">
        <v>43193</v>
      </c>
      <c r="H446" t="s">
        <v>3015</v>
      </c>
      <c r="J446" t="s">
        <v>1481</v>
      </c>
      <c r="K446" t="s">
        <v>58</v>
      </c>
      <c r="L446" s="3">
        <v>46856</v>
      </c>
      <c r="M446" s="3">
        <v>45944</v>
      </c>
      <c r="N446" t="s">
        <v>3016</v>
      </c>
      <c r="O446" s="4">
        <v>1</v>
      </c>
      <c r="P446">
        <v>0</v>
      </c>
      <c r="Q446">
        <v>1</v>
      </c>
    </row>
    <row r="447" spans="1:17" x14ac:dyDescent="0.25">
      <c r="A447">
        <v>4419</v>
      </c>
      <c r="B447" t="s">
        <v>3017</v>
      </c>
      <c r="C447" t="s">
        <v>3018</v>
      </c>
      <c r="D447" s="3">
        <v>23958</v>
      </c>
      <c r="E447" t="s">
        <v>1401</v>
      </c>
      <c r="F447">
        <v>446</v>
      </c>
      <c r="G447" s="3">
        <v>32223</v>
      </c>
      <c r="H447" t="s">
        <v>3019</v>
      </c>
      <c r="I447">
        <v>93365628</v>
      </c>
      <c r="J447" t="s">
        <v>1529</v>
      </c>
      <c r="K447" t="s">
        <v>73</v>
      </c>
      <c r="L447" s="3">
        <v>46863</v>
      </c>
      <c r="M447" s="3">
        <v>46838</v>
      </c>
      <c r="N447" t="s">
        <v>3020</v>
      </c>
      <c r="O447" s="4">
        <v>0.8</v>
      </c>
      <c r="P447">
        <v>0</v>
      </c>
      <c r="Q447">
        <v>0</v>
      </c>
    </row>
    <row r="448" spans="1:17" x14ac:dyDescent="0.25">
      <c r="A448">
        <v>42120</v>
      </c>
      <c r="B448" t="s">
        <v>3021</v>
      </c>
      <c r="C448" t="s">
        <v>3022</v>
      </c>
      <c r="D448" s="3">
        <v>38832</v>
      </c>
      <c r="E448" t="s">
        <v>1401</v>
      </c>
      <c r="G448" s="3">
        <v>45860</v>
      </c>
      <c r="H448" t="s">
        <v>3023</v>
      </c>
      <c r="J448" t="s">
        <v>1409</v>
      </c>
      <c r="K448" t="s">
        <v>64</v>
      </c>
      <c r="L448" s="3">
        <v>1</v>
      </c>
      <c r="M448" s="3">
        <v>1</v>
      </c>
      <c r="N448" t="s">
        <v>3024</v>
      </c>
      <c r="O448" s="4">
        <v>1</v>
      </c>
      <c r="P448">
        <v>0</v>
      </c>
      <c r="Q448">
        <v>0</v>
      </c>
    </row>
    <row r="449" spans="1:17" x14ac:dyDescent="0.25">
      <c r="A449">
        <v>37609</v>
      </c>
      <c r="B449" t="s">
        <v>3025</v>
      </c>
      <c r="C449" t="s">
        <v>3022</v>
      </c>
      <c r="D449" s="3">
        <v>34406</v>
      </c>
      <c r="E449" t="s">
        <v>1401</v>
      </c>
      <c r="G449" s="3">
        <v>44704</v>
      </c>
      <c r="H449" t="s">
        <v>3026</v>
      </c>
      <c r="J449" t="s">
        <v>1409</v>
      </c>
      <c r="K449" t="s">
        <v>64</v>
      </c>
      <c r="L449" s="3">
        <v>46547</v>
      </c>
      <c r="M449" s="3">
        <v>46497</v>
      </c>
      <c r="N449" t="s">
        <v>3027</v>
      </c>
      <c r="O449" s="4">
        <v>1</v>
      </c>
      <c r="P449">
        <v>0</v>
      </c>
      <c r="Q449">
        <v>0</v>
      </c>
    </row>
    <row r="450" spans="1:17" x14ac:dyDescent="0.25">
      <c r="A450">
        <v>31231</v>
      </c>
      <c r="B450" t="s">
        <v>3028</v>
      </c>
      <c r="C450" t="s">
        <v>3022</v>
      </c>
      <c r="D450" s="3">
        <v>34747</v>
      </c>
      <c r="E450" t="s">
        <v>1401</v>
      </c>
      <c r="F450">
        <v>89</v>
      </c>
      <c r="G450" s="3">
        <v>42674</v>
      </c>
      <c r="H450" t="s">
        <v>3029</v>
      </c>
      <c r="J450" t="s">
        <v>1409</v>
      </c>
      <c r="K450" t="s">
        <v>58</v>
      </c>
      <c r="L450" s="3">
        <v>46263</v>
      </c>
      <c r="M450" s="3">
        <v>46210</v>
      </c>
      <c r="N450" t="s">
        <v>3030</v>
      </c>
      <c r="O450" s="4">
        <v>1</v>
      </c>
      <c r="P450">
        <v>0</v>
      </c>
      <c r="Q450">
        <v>0</v>
      </c>
    </row>
    <row r="451" spans="1:17" x14ac:dyDescent="0.25">
      <c r="A451">
        <v>29179</v>
      </c>
      <c r="B451" t="s">
        <v>3031</v>
      </c>
      <c r="C451" t="s">
        <v>3032</v>
      </c>
      <c r="D451" s="3">
        <v>32059</v>
      </c>
      <c r="E451" t="s">
        <v>1401</v>
      </c>
      <c r="F451">
        <v>276</v>
      </c>
      <c r="G451" s="3">
        <v>41827</v>
      </c>
      <c r="H451" t="s">
        <v>3033</v>
      </c>
      <c r="I451" t="s">
        <v>3034</v>
      </c>
      <c r="J451" t="s">
        <v>1588</v>
      </c>
      <c r="K451" t="s">
        <v>70</v>
      </c>
      <c r="L451" s="3">
        <v>47278</v>
      </c>
      <c r="M451" s="3">
        <v>46042</v>
      </c>
      <c r="N451" t="s">
        <v>3035</v>
      </c>
      <c r="O451" s="4">
        <v>1</v>
      </c>
      <c r="P451">
        <v>0</v>
      </c>
      <c r="Q451">
        <v>0</v>
      </c>
    </row>
    <row r="452" spans="1:17" x14ac:dyDescent="0.25">
      <c r="A452">
        <v>41092</v>
      </c>
      <c r="B452" t="s">
        <v>3036</v>
      </c>
      <c r="C452" t="s">
        <v>3037</v>
      </c>
      <c r="D452" s="3">
        <v>29089</v>
      </c>
      <c r="E452" t="s">
        <v>1401</v>
      </c>
      <c r="G452" s="3">
        <v>45574</v>
      </c>
      <c r="H452" t="s">
        <v>3038</v>
      </c>
      <c r="J452" t="s">
        <v>1409</v>
      </c>
      <c r="K452" t="s">
        <v>52</v>
      </c>
      <c r="L452" s="3">
        <v>47418</v>
      </c>
      <c r="M452" s="3">
        <v>47379</v>
      </c>
      <c r="N452" t="s">
        <v>3039</v>
      </c>
      <c r="O452" s="4">
        <v>1</v>
      </c>
      <c r="P452">
        <v>0</v>
      </c>
      <c r="Q452">
        <v>0</v>
      </c>
    </row>
    <row r="453" spans="1:17" x14ac:dyDescent="0.25">
      <c r="A453">
        <v>7422</v>
      </c>
      <c r="B453" t="s">
        <v>2865</v>
      </c>
      <c r="C453" t="s">
        <v>1348</v>
      </c>
      <c r="D453" s="3">
        <v>26956</v>
      </c>
      <c r="E453" t="s">
        <v>1401</v>
      </c>
      <c r="F453">
        <v>557</v>
      </c>
      <c r="G453" s="3">
        <v>34834</v>
      </c>
      <c r="H453" t="s">
        <v>3040</v>
      </c>
      <c r="J453" t="s">
        <v>1524</v>
      </c>
      <c r="K453" t="s">
        <v>55</v>
      </c>
      <c r="L453" s="3">
        <v>45850</v>
      </c>
      <c r="M453" s="3">
        <v>45993</v>
      </c>
      <c r="N453" t="s">
        <v>3041</v>
      </c>
      <c r="O453" s="4">
        <v>1</v>
      </c>
      <c r="P453">
        <v>0</v>
      </c>
      <c r="Q453">
        <v>1</v>
      </c>
    </row>
    <row r="454" spans="1:17" x14ac:dyDescent="0.25">
      <c r="A454">
        <v>37222</v>
      </c>
      <c r="B454" t="s">
        <v>3042</v>
      </c>
      <c r="C454" t="s">
        <v>1348</v>
      </c>
      <c r="D454" s="3">
        <v>32283</v>
      </c>
      <c r="E454" t="s">
        <v>1401</v>
      </c>
      <c r="G454" s="3">
        <v>44599</v>
      </c>
      <c r="H454" t="s">
        <v>3043</v>
      </c>
      <c r="J454" t="s">
        <v>1409</v>
      </c>
      <c r="K454" t="s">
        <v>73</v>
      </c>
      <c r="L454" s="3">
        <v>46439</v>
      </c>
      <c r="M454" s="3">
        <v>46236</v>
      </c>
      <c r="N454" t="s">
        <v>3044</v>
      </c>
      <c r="O454" s="4">
        <v>0.6</v>
      </c>
      <c r="P454">
        <v>0</v>
      </c>
      <c r="Q454">
        <v>0</v>
      </c>
    </row>
    <row r="455" spans="1:17" x14ac:dyDescent="0.25">
      <c r="A455">
        <v>35107</v>
      </c>
      <c r="B455" t="s">
        <v>3045</v>
      </c>
      <c r="C455" t="s">
        <v>1348</v>
      </c>
      <c r="D455" s="3">
        <v>26227</v>
      </c>
      <c r="E455" t="s">
        <v>1401</v>
      </c>
      <c r="F455">
        <v>311</v>
      </c>
      <c r="G455" s="3">
        <v>43864</v>
      </c>
      <c r="H455" t="s">
        <v>3046</v>
      </c>
      <c r="J455" t="s">
        <v>1414</v>
      </c>
      <c r="K455" t="s">
        <v>55</v>
      </c>
      <c r="L455" s="3">
        <v>47485</v>
      </c>
      <c r="M455" s="3">
        <v>47441</v>
      </c>
      <c r="N455" t="s">
        <v>3047</v>
      </c>
      <c r="O455" s="4">
        <v>0.5</v>
      </c>
      <c r="P455">
        <v>0</v>
      </c>
      <c r="Q455">
        <v>0</v>
      </c>
    </row>
    <row r="456" spans="1:17" x14ac:dyDescent="0.25">
      <c r="A456">
        <v>15628</v>
      </c>
      <c r="B456" t="s">
        <v>3048</v>
      </c>
      <c r="C456" t="s">
        <v>1348</v>
      </c>
      <c r="D456" s="3">
        <v>26166</v>
      </c>
      <c r="E456" t="s">
        <v>1401</v>
      </c>
      <c r="G456" s="3">
        <v>37718</v>
      </c>
      <c r="H456" t="s">
        <v>3049</v>
      </c>
      <c r="J456" t="s">
        <v>1588</v>
      </c>
      <c r="K456" t="s">
        <v>64</v>
      </c>
      <c r="L456" s="3">
        <v>46168</v>
      </c>
      <c r="M456" s="3">
        <v>46056</v>
      </c>
      <c r="N456" t="s">
        <v>3050</v>
      </c>
      <c r="O456" s="4">
        <v>1</v>
      </c>
      <c r="P456">
        <v>0</v>
      </c>
      <c r="Q456">
        <v>0</v>
      </c>
    </row>
    <row r="457" spans="1:17" x14ac:dyDescent="0.25">
      <c r="A457">
        <v>9667</v>
      </c>
      <c r="B457" t="s">
        <v>3051</v>
      </c>
      <c r="C457" t="s">
        <v>3052</v>
      </c>
      <c r="D457" s="3">
        <v>26311</v>
      </c>
      <c r="E457" t="s">
        <v>1401</v>
      </c>
      <c r="F457">
        <v>608</v>
      </c>
      <c r="G457" s="3">
        <v>35667</v>
      </c>
      <c r="H457" t="s">
        <v>3053</v>
      </c>
      <c r="J457" t="s">
        <v>1703</v>
      </c>
      <c r="K457" t="s">
        <v>64</v>
      </c>
      <c r="L457" s="3">
        <v>47558</v>
      </c>
      <c r="M457" s="3">
        <v>46369</v>
      </c>
      <c r="N457" t="s">
        <v>3054</v>
      </c>
      <c r="O457" s="4">
        <v>1</v>
      </c>
      <c r="P457">
        <v>0</v>
      </c>
      <c r="Q457">
        <v>0</v>
      </c>
    </row>
    <row r="458" spans="1:17" x14ac:dyDescent="0.25">
      <c r="A458">
        <v>40608</v>
      </c>
      <c r="B458" t="s">
        <v>3055</v>
      </c>
      <c r="C458" t="s">
        <v>3056</v>
      </c>
      <c r="D458" s="3">
        <v>34274</v>
      </c>
      <c r="E458" t="s">
        <v>1401</v>
      </c>
      <c r="G458" s="3">
        <v>45456</v>
      </c>
      <c r="H458" t="s">
        <v>3057</v>
      </c>
      <c r="J458" t="s">
        <v>1409</v>
      </c>
      <c r="K458" t="s">
        <v>73</v>
      </c>
      <c r="L458" s="3">
        <v>47300</v>
      </c>
      <c r="M458" s="3">
        <v>47272</v>
      </c>
      <c r="N458" t="s">
        <v>3058</v>
      </c>
      <c r="O458" s="4">
        <v>1</v>
      </c>
      <c r="P458">
        <v>0</v>
      </c>
      <c r="Q458">
        <v>0</v>
      </c>
    </row>
    <row r="459" spans="1:17" x14ac:dyDescent="0.25">
      <c r="A459">
        <v>18987</v>
      </c>
      <c r="B459" t="s">
        <v>3059</v>
      </c>
      <c r="C459" t="s">
        <v>3060</v>
      </c>
      <c r="D459" s="3">
        <v>29733</v>
      </c>
      <c r="E459" t="s">
        <v>1401</v>
      </c>
      <c r="F459">
        <v>310</v>
      </c>
      <c r="G459" s="3">
        <v>38754</v>
      </c>
      <c r="H459" t="s">
        <v>3061</v>
      </c>
      <c r="J459" t="s">
        <v>1723</v>
      </c>
      <c r="K459" t="s">
        <v>67</v>
      </c>
      <c r="L459" s="3">
        <v>45895</v>
      </c>
      <c r="M459" s="3">
        <v>45973</v>
      </c>
      <c r="N459" t="s">
        <v>3062</v>
      </c>
      <c r="O459" s="4">
        <v>0.8</v>
      </c>
      <c r="P459">
        <v>0</v>
      </c>
      <c r="Q459">
        <v>0</v>
      </c>
    </row>
    <row r="460" spans="1:17" x14ac:dyDescent="0.25">
      <c r="A460">
        <v>22296</v>
      </c>
      <c r="B460" t="s">
        <v>3063</v>
      </c>
      <c r="C460" t="s">
        <v>3064</v>
      </c>
      <c r="D460" s="3">
        <v>29517</v>
      </c>
      <c r="E460" t="s">
        <v>1401</v>
      </c>
      <c r="F460">
        <v>457</v>
      </c>
      <c r="G460" s="3">
        <v>39601</v>
      </c>
      <c r="H460" t="s">
        <v>3065</v>
      </c>
      <c r="J460" t="s">
        <v>1427</v>
      </c>
      <c r="K460" t="s">
        <v>70</v>
      </c>
      <c r="L460" s="3">
        <v>72686</v>
      </c>
      <c r="M460" s="3">
        <v>47615</v>
      </c>
      <c r="N460" t="s">
        <v>3066</v>
      </c>
      <c r="O460" s="4">
        <v>0.8</v>
      </c>
      <c r="P460">
        <v>0</v>
      </c>
      <c r="Q460">
        <v>0</v>
      </c>
    </row>
    <row r="461" spans="1:17" x14ac:dyDescent="0.25">
      <c r="A461">
        <v>6309</v>
      </c>
      <c r="B461" t="s">
        <v>3067</v>
      </c>
      <c r="C461" t="s">
        <v>3068</v>
      </c>
      <c r="D461" s="3">
        <v>26147</v>
      </c>
      <c r="E461" t="s">
        <v>1401</v>
      </c>
      <c r="F461">
        <v>413</v>
      </c>
      <c r="G461" s="3">
        <v>34078</v>
      </c>
      <c r="H461" t="s">
        <v>3069</v>
      </c>
      <c r="J461" t="s">
        <v>1570</v>
      </c>
      <c r="K461" t="s">
        <v>64</v>
      </c>
      <c r="L461" s="3">
        <v>47594</v>
      </c>
      <c r="M461" s="3">
        <v>46497</v>
      </c>
      <c r="N461" t="s">
        <v>3070</v>
      </c>
      <c r="O461" s="4">
        <v>1</v>
      </c>
      <c r="P461">
        <v>0</v>
      </c>
      <c r="Q461">
        <v>0</v>
      </c>
    </row>
    <row r="462" spans="1:17" x14ac:dyDescent="0.25">
      <c r="A462">
        <v>41137</v>
      </c>
      <c r="B462" t="s">
        <v>3071</v>
      </c>
      <c r="C462" t="s">
        <v>3068</v>
      </c>
      <c r="D462" s="3">
        <v>25087</v>
      </c>
      <c r="E462" t="s">
        <v>1401</v>
      </c>
      <c r="G462" s="3">
        <v>45616</v>
      </c>
      <c r="H462" t="s">
        <v>3072</v>
      </c>
      <c r="J462" t="s">
        <v>1409</v>
      </c>
      <c r="K462" t="s">
        <v>52</v>
      </c>
      <c r="L462" s="3">
        <v>46896</v>
      </c>
      <c r="M462" s="3">
        <v>46165</v>
      </c>
      <c r="N462" t="s">
        <v>3073</v>
      </c>
      <c r="O462" s="4">
        <v>1</v>
      </c>
      <c r="P462">
        <v>0</v>
      </c>
      <c r="Q462">
        <v>0</v>
      </c>
    </row>
    <row r="463" spans="1:17" x14ac:dyDescent="0.25">
      <c r="A463">
        <v>35430</v>
      </c>
      <c r="B463" t="s">
        <v>3074</v>
      </c>
      <c r="C463" t="s">
        <v>3068</v>
      </c>
      <c r="D463" s="3">
        <v>22829</v>
      </c>
      <c r="E463" t="s">
        <v>1401</v>
      </c>
      <c r="F463">
        <v>28</v>
      </c>
      <c r="G463" s="3">
        <v>44011</v>
      </c>
      <c r="H463" t="s">
        <v>3075</v>
      </c>
      <c r="J463" t="s">
        <v>1414</v>
      </c>
      <c r="K463" t="s">
        <v>58</v>
      </c>
      <c r="L463" s="3">
        <v>47587</v>
      </c>
      <c r="M463" s="3">
        <v>47568</v>
      </c>
      <c r="N463" t="s">
        <v>3076</v>
      </c>
      <c r="O463" s="4">
        <v>0.5</v>
      </c>
      <c r="P463">
        <v>1</v>
      </c>
      <c r="Q463">
        <v>1</v>
      </c>
    </row>
    <row r="464" spans="1:17" x14ac:dyDescent="0.25">
      <c r="A464">
        <v>33049</v>
      </c>
      <c r="B464" t="s">
        <v>3077</v>
      </c>
      <c r="C464" t="s">
        <v>3068</v>
      </c>
      <c r="D464" s="3">
        <v>24920</v>
      </c>
      <c r="E464" t="s">
        <v>1401</v>
      </c>
      <c r="F464">
        <v>205</v>
      </c>
      <c r="G464" s="3">
        <v>43318</v>
      </c>
      <c r="H464" t="s">
        <v>3078</v>
      </c>
      <c r="J464" t="s">
        <v>1611</v>
      </c>
      <c r="K464" t="s">
        <v>64</v>
      </c>
      <c r="L464" s="3">
        <v>46915</v>
      </c>
      <c r="M464" s="3">
        <v>46166</v>
      </c>
      <c r="N464" t="s">
        <v>3079</v>
      </c>
      <c r="O464" s="4">
        <v>1</v>
      </c>
      <c r="P464">
        <v>0</v>
      </c>
      <c r="Q464">
        <v>1</v>
      </c>
    </row>
    <row r="465" spans="1:17" x14ac:dyDescent="0.25">
      <c r="A465">
        <v>15088</v>
      </c>
      <c r="B465" t="s">
        <v>3080</v>
      </c>
      <c r="C465" t="s">
        <v>3068</v>
      </c>
      <c r="D465" s="3">
        <v>24300</v>
      </c>
      <c r="E465" t="s">
        <v>1401</v>
      </c>
      <c r="F465">
        <v>505</v>
      </c>
      <c r="G465" s="3">
        <v>37501</v>
      </c>
      <c r="H465" t="s">
        <v>3081</v>
      </c>
      <c r="I465">
        <v>92365262</v>
      </c>
      <c r="J465" t="s">
        <v>1524</v>
      </c>
      <c r="K465" t="s">
        <v>58</v>
      </c>
      <c r="L465" s="3">
        <v>47652</v>
      </c>
      <c r="M465" s="3">
        <v>46279</v>
      </c>
      <c r="N465" t="s">
        <v>3082</v>
      </c>
      <c r="O465" s="4">
        <v>0.8</v>
      </c>
      <c r="P465">
        <v>0</v>
      </c>
      <c r="Q465">
        <v>1</v>
      </c>
    </row>
    <row r="466" spans="1:17" x14ac:dyDescent="0.25">
      <c r="A466">
        <v>31891</v>
      </c>
      <c r="B466" t="s">
        <v>2582</v>
      </c>
      <c r="C466" t="s">
        <v>3083</v>
      </c>
      <c r="D466" s="3">
        <v>26685</v>
      </c>
      <c r="E466" t="s">
        <v>1401</v>
      </c>
      <c r="G466" s="3">
        <v>42975</v>
      </c>
      <c r="H466" t="s">
        <v>3084</v>
      </c>
      <c r="J466" t="s">
        <v>1860</v>
      </c>
      <c r="K466" t="s">
        <v>55</v>
      </c>
      <c r="L466" s="3">
        <v>46565</v>
      </c>
      <c r="M466" s="3">
        <v>46494</v>
      </c>
      <c r="N466" t="s">
        <v>3085</v>
      </c>
      <c r="O466" s="4">
        <v>1</v>
      </c>
      <c r="P466">
        <v>0</v>
      </c>
      <c r="Q466">
        <v>0</v>
      </c>
    </row>
    <row r="467" spans="1:17" x14ac:dyDescent="0.25">
      <c r="A467">
        <v>36503</v>
      </c>
      <c r="B467" t="s">
        <v>3086</v>
      </c>
      <c r="C467" t="s">
        <v>3087</v>
      </c>
      <c r="D467" s="3">
        <v>30035</v>
      </c>
      <c r="E467" t="s">
        <v>1401</v>
      </c>
      <c r="G467" s="3">
        <v>44333</v>
      </c>
      <c r="H467" t="s">
        <v>3088</v>
      </c>
      <c r="J467" t="s">
        <v>1409</v>
      </c>
      <c r="K467" t="s">
        <v>61</v>
      </c>
      <c r="L467" s="3">
        <v>46174</v>
      </c>
      <c r="M467" s="3">
        <v>46004</v>
      </c>
      <c r="N467" t="s">
        <v>3089</v>
      </c>
      <c r="O467" s="4">
        <v>1</v>
      </c>
      <c r="P467">
        <v>0</v>
      </c>
      <c r="Q467">
        <v>0</v>
      </c>
    </row>
    <row r="468" spans="1:17" x14ac:dyDescent="0.25">
      <c r="A468">
        <v>34351</v>
      </c>
      <c r="B468" t="s">
        <v>3090</v>
      </c>
      <c r="C468" t="s">
        <v>3091</v>
      </c>
      <c r="D468" s="3">
        <v>30411</v>
      </c>
      <c r="E468" t="s">
        <v>1401</v>
      </c>
      <c r="F468">
        <v>11</v>
      </c>
      <c r="G468" s="3">
        <v>43710</v>
      </c>
      <c r="H468" t="s">
        <v>3092</v>
      </c>
      <c r="I468">
        <v>468493588</v>
      </c>
      <c r="J468" t="s">
        <v>1419</v>
      </c>
      <c r="K468" t="s">
        <v>58</v>
      </c>
      <c r="L468" s="3">
        <v>47337</v>
      </c>
      <c r="M468" s="3">
        <v>47316</v>
      </c>
      <c r="N468" t="s">
        <v>3093</v>
      </c>
      <c r="O468" s="4">
        <v>1</v>
      </c>
      <c r="P468">
        <v>0</v>
      </c>
      <c r="Q468">
        <v>1</v>
      </c>
    </row>
    <row r="469" spans="1:17" x14ac:dyDescent="0.25">
      <c r="A469">
        <v>20705</v>
      </c>
      <c r="B469" t="s">
        <v>3094</v>
      </c>
      <c r="C469" t="s">
        <v>3095</v>
      </c>
      <c r="D469" s="3">
        <v>31394</v>
      </c>
      <c r="E469" t="s">
        <v>1401</v>
      </c>
      <c r="F469">
        <v>319</v>
      </c>
      <c r="G469" s="3">
        <v>39223</v>
      </c>
      <c r="H469" t="s">
        <v>3096</v>
      </c>
      <c r="J469" t="s">
        <v>1570</v>
      </c>
      <c r="K469" t="s">
        <v>58</v>
      </c>
      <c r="L469" s="3">
        <v>45887</v>
      </c>
      <c r="M469" s="3">
        <v>46236</v>
      </c>
      <c r="N469" t="s">
        <v>3097</v>
      </c>
      <c r="O469" s="4">
        <v>1</v>
      </c>
      <c r="P469">
        <v>0</v>
      </c>
      <c r="Q469">
        <v>0</v>
      </c>
    </row>
    <row r="470" spans="1:17" x14ac:dyDescent="0.25">
      <c r="A470">
        <v>7746</v>
      </c>
      <c r="B470" t="s">
        <v>2387</v>
      </c>
      <c r="C470" t="s">
        <v>3098</v>
      </c>
      <c r="D470" s="3">
        <v>23497</v>
      </c>
      <c r="E470" t="s">
        <v>1401</v>
      </c>
      <c r="F470">
        <v>356</v>
      </c>
      <c r="G470" s="3">
        <v>34932</v>
      </c>
      <c r="I470">
        <v>93293469</v>
      </c>
      <c r="J470" t="s">
        <v>1520</v>
      </c>
      <c r="K470" t="s">
        <v>61</v>
      </c>
      <c r="L470" s="3">
        <v>45854</v>
      </c>
      <c r="M470" s="3">
        <v>47369</v>
      </c>
      <c r="N470" t="s">
        <v>3099</v>
      </c>
      <c r="O470" s="4">
        <v>1</v>
      </c>
      <c r="P470">
        <v>0</v>
      </c>
      <c r="Q470">
        <v>0</v>
      </c>
    </row>
    <row r="471" spans="1:17" x14ac:dyDescent="0.25">
      <c r="A471">
        <v>38481</v>
      </c>
      <c r="B471" t="s">
        <v>2811</v>
      </c>
      <c r="C471" t="s">
        <v>3100</v>
      </c>
      <c r="D471" s="3">
        <v>36732</v>
      </c>
      <c r="E471" t="s">
        <v>1401</v>
      </c>
      <c r="G471" s="3">
        <v>44970</v>
      </c>
      <c r="H471" t="s">
        <v>3101</v>
      </c>
      <c r="J471" t="s">
        <v>1409</v>
      </c>
      <c r="K471" t="s">
        <v>64</v>
      </c>
      <c r="L471" s="3">
        <v>46810</v>
      </c>
      <c r="M471" s="3">
        <v>46707</v>
      </c>
      <c r="N471" t="s">
        <v>3102</v>
      </c>
      <c r="O471" s="4">
        <v>1</v>
      </c>
      <c r="P471">
        <v>0</v>
      </c>
      <c r="Q471">
        <v>0</v>
      </c>
    </row>
    <row r="472" spans="1:17" x14ac:dyDescent="0.25">
      <c r="A472">
        <v>30323</v>
      </c>
      <c r="B472" t="s">
        <v>3103</v>
      </c>
      <c r="C472" t="s">
        <v>3104</v>
      </c>
      <c r="D472" s="3">
        <v>27976</v>
      </c>
      <c r="E472" t="s">
        <v>1401</v>
      </c>
      <c r="F472">
        <v>474</v>
      </c>
      <c r="G472" s="3">
        <v>42296</v>
      </c>
      <c r="H472" t="s">
        <v>3105</v>
      </c>
      <c r="I472">
        <v>93845873</v>
      </c>
      <c r="J472" t="s">
        <v>1419</v>
      </c>
      <c r="K472" t="s">
        <v>55</v>
      </c>
      <c r="L472" s="3">
        <v>47602</v>
      </c>
      <c r="M472" s="3">
        <v>47594</v>
      </c>
      <c r="N472" t="s">
        <v>3106</v>
      </c>
      <c r="O472" s="4">
        <v>1</v>
      </c>
      <c r="P472">
        <v>0</v>
      </c>
      <c r="Q472">
        <v>1</v>
      </c>
    </row>
    <row r="473" spans="1:17" x14ac:dyDescent="0.25">
      <c r="A473">
        <v>9062</v>
      </c>
      <c r="B473" t="s">
        <v>3107</v>
      </c>
      <c r="C473" t="s">
        <v>3108</v>
      </c>
      <c r="D473" s="3">
        <v>26633</v>
      </c>
      <c r="E473" t="s">
        <v>1401</v>
      </c>
      <c r="F473">
        <v>382</v>
      </c>
      <c r="G473" s="3">
        <v>35478</v>
      </c>
      <c r="H473" t="s">
        <v>3109</v>
      </c>
      <c r="J473" t="s">
        <v>1575</v>
      </c>
      <c r="K473" t="s">
        <v>64</v>
      </c>
      <c r="L473" s="3">
        <v>45955</v>
      </c>
      <c r="M473" s="3">
        <v>46273</v>
      </c>
      <c r="N473" t="s">
        <v>3110</v>
      </c>
      <c r="O473" s="4">
        <v>0.8</v>
      </c>
      <c r="P473">
        <v>0</v>
      </c>
      <c r="Q473">
        <v>0</v>
      </c>
    </row>
    <row r="474" spans="1:17" x14ac:dyDescent="0.25">
      <c r="A474">
        <v>35419</v>
      </c>
      <c r="B474" t="s">
        <v>3111</v>
      </c>
      <c r="C474" t="s">
        <v>3108</v>
      </c>
      <c r="D474" s="3">
        <v>28965</v>
      </c>
      <c r="E474" t="s">
        <v>1401</v>
      </c>
      <c r="F474">
        <v>95</v>
      </c>
      <c r="G474" s="3">
        <v>44011</v>
      </c>
      <c r="H474" t="s">
        <v>3112</v>
      </c>
      <c r="I474">
        <v>0</v>
      </c>
      <c r="J474" t="s">
        <v>1433</v>
      </c>
      <c r="K474" t="s">
        <v>73</v>
      </c>
      <c r="L474" s="3">
        <v>47498</v>
      </c>
      <c r="M474" s="3">
        <v>47126</v>
      </c>
      <c r="N474" t="s">
        <v>3113</v>
      </c>
      <c r="O474" s="4">
        <v>1</v>
      </c>
      <c r="P474">
        <v>0</v>
      </c>
      <c r="Q474">
        <v>0</v>
      </c>
    </row>
    <row r="475" spans="1:17" x14ac:dyDescent="0.25">
      <c r="A475">
        <v>16970</v>
      </c>
      <c r="B475" t="s">
        <v>3114</v>
      </c>
      <c r="C475" t="s">
        <v>3108</v>
      </c>
      <c r="D475" s="3">
        <v>29646</v>
      </c>
      <c r="E475" t="s">
        <v>1401</v>
      </c>
      <c r="F475">
        <v>358</v>
      </c>
      <c r="G475" s="3">
        <v>38124</v>
      </c>
      <c r="H475" t="s">
        <v>3115</v>
      </c>
      <c r="J475" t="s">
        <v>1477</v>
      </c>
      <c r="K475" t="s">
        <v>55</v>
      </c>
      <c r="L475" s="3">
        <v>72686</v>
      </c>
      <c r="M475" s="3">
        <v>47316</v>
      </c>
      <c r="N475" t="s">
        <v>3116</v>
      </c>
      <c r="O475" s="4">
        <v>0.8</v>
      </c>
      <c r="P475">
        <v>0</v>
      </c>
      <c r="Q475">
        <v>1</v>
      </c>
    </row>
    <row r="476" spans="1:17" x14ac:dyDescent="0.25">
      <c r="A476">
        <v>24472</v>
      </c>
      <c r="B476" t="s">
        <v>2129</v>
      </c>
      <c r="C476" t="s">
        <v>3117</v>
      </c>
      <c r="D476" s="3">
        <v>30762</v>
      </c>
      <c r="E476" t="s">
        <v>1657</v>
      </c>
      <c r="F476">
        <v>614</v>
      </c>
      <c r="G476" s="3">
        <v>40049</v>
      </c>
      <c r="H476" t="s">
        <v>3118</v>
      </c>
      <c r="J476" t="s">
        <v>1570</v>
      </c>
      <c r="K476" t="s">
        <v>52</v>
      </c>
      <c r="L476" s="3">
        <v>47139</v>
      </c>
      <c r="M476" s="3">
        <v>47105</v>
      </c>
      <c r="N476" t="s">
        <v>3119</v>
      </c>
      <c r="O476" s="4">
        <v>1</v>
      </c>
      <c r="P476">
        <v>0</v>
      </c>
      <c r="Q476">
        <v>0</v>
      </c>
    </row>
    <row r="477" spans="1:17" x14ac:dyDescent="0.25">
      <c r="A477">
        <v>12173</v>
      </c>
      <c r="B477" t="s">
        <v>3120</v>
      </c>
      <c r="C477" t="s">
        <v>2442</v>
      </c>
      <c r="D477" s="3">
        <v>25839</v>
      </c>
      <c r="E477" t="s">
        <v>1401</v>
      </c>
      <c r="F477">
        <v>176</v>
      </c>
      <c r="G477" s="3">
        <v>36690</v>
      </c>
      <c r="H477" t="s">
        <v>3121</v>
      </c>
      <c r="J477" t="s">
        <v>1520</v>
      </c>
      <c r="K477" t="s">
        <v>58</v>
      </c>
      <c r="L477" s="3">
        <v>47337</v>
      </c>
      <c r="M477" s="3">
        <v>47328</v>
      </c>
      <c r="N477" t="s">
        <v>3122</v>
      </c>
      <c r="O477" s="4">
        <v>1</v>
      </c>
      <c r="P477">
        <v>0</v>
      </c>
      <c r="Q477">
        <v>0</v>
      </c>
    </row>
    <row r="478" spans="1:17" x14ac:dyDescent="0.25">
      <c r="A478">
        <v>36627</v>
      </c>
      <c r="B478" t="s">
        <v>3123</v>
      </c>
      <c r="C478" t="s">
        <v>2442</v>
      </c>
      <c r="D478" s="3">
        <v>28213</v>
      </c>
      <c r="E478" t="s">
        <v>1401</v>
      </c>
      <c r="G478" s="3">
        <v>44384</v>
      </c>
      <c r="H478" t="s">
        <v>3124</v>
      </c>
      <c r="J478" t="s">
        <v>1419</v>
      </c>
      <c r="K478" t="s">
        <v>70</v>
      </c>
      <c r="L478" s="3">
        <v>46162</v>
      </c>
      <c r="M478" s="3">
        <v>46162</v>
      </c>
      <c r="N478" t="s">
        <v>3125</v>
      </c>
      <c r="O478" s="4">
        <v>1</v>
      </c>
      <c r="P478">
        <v>0</v>
      </c>
      <c r="Q478">
        <v>0</v>
      </c>
    </row>
    <row r="479" spans="1:17" x14ac:dyDescent="0.25">
      <c r="A479">
        <v>27711</v>
      </c>
      <c r="B479" t="s">
        <v>3126</v>
      </c>
      <c r="C479" t="s">
        <v>2442</v>
      </c>
      <c r="D479" s="3">
        <v>27392</v>
      </c>
      <c r="E479" t="s">
        <v>1401</v>
      </c>
      <c r="F479">
        <v>379</v>
      </c>
      <c r="G479" s="3">
        <v>41218</v>
      </c>
      <c r="H479" t="s">
        <v>3127</v>
      </c>
      <c r="I479">
        <v>93286345</v>
      </c>
      <c r="J479" t="s">
        <v>1455</v>
      </c>
      <c r="K479" t="s">
        <v>61</v>
      </c>
      <c r="L479" s="3">
        <v>46475</v>
      </c>
      <c r="M479" s="3">
        <v>46427</v>
      </c>
      <c r="N479" t="s">
        <v>3128</v>
      </c>
      <c r="O479" s="4">
        <v>1</v>
      </c>
      <c r="P479">
        <v>0</v>
      </c>
      <c r="Q479">
        <v>1</v>
      </c>
    </row>
    <row r="480" spans="1:17" x14ac:dyDescent="0.25">
      <c r="A480">
        <v>26847</v>
      </c>
      <c r="B480" t="s">
        <v>2609</v>
      </c>
      <c r="C480" t="s">
        <v>2442</v>
      </c>
      <c r="D480" s="3">
        <v>25315</v>
      </c>
      <c r="E480" t="s">
        <v>1401</v>
      </c>
      <c r="F480">
        <v>245</v>
      </c>
      <c r="G480" s="3">
        <v>40826</v>
      </c>
      <c r="H480" t="s">
        <v>3129</v>
      </c>
      <c r="J480" t="s">
        <v>1481</v>
      </c>
      <c r="K480" t="s">
        <v>55</v>
      </c>
      <c r="L480" s="3">
        <v>72686</v>
      </c>
      <c r="M480" s="3">
        <v>46266</v>
      </c>
      <c r="N480" t="s">
        <v>3130</v>
      </c>
      <c r="O480" s="4">
        <v>0.8</v>
      </c>
      <c r="P480">
        <v>0</v>
      </c>
      <c r="Q480">
        <v>1</v>
      </c>
    </row>
    <row r="481" spans="1:17" x14ac:dyDescent="0.25">
      <c r="A481">
        <v>19088</v>
      </c>
      <c r="B481" t="s">
        <v>3131</v>
      </c>
      <c r="C481" t="s">
        <v>2442</v>
      </c>
      <c r="D481" s="3">
        <v>27422</v>
      </c>
      <c r="E481" t="s">
        <v>1401</v>
      </c>
      <c r="F481">
        <v>275</v>
      </c>
      <c r="G481" s="3">
        <v>38789</v>
      </c>
      <c r="H481" t="s">
        <v>3132</v>
      </c>
      <c r="J481" t="s">
        <v>1524</v>
      </c>
      <c r="K481" t="s">
        <v>64</v>
      </c>
      <c r="L481" s="3">
        <v>47651</v>
      </c>
      <c r="M481" s="3">
        <v>47615</v>
      </c>
      <c r="N481" t="s">
        <v>3133</v>
      </c>
      <c r="O481" s="4">
        <v>0.8</v>
      </c>
      <c r="P481">
        <v>0</v>
      </c>
      <c r="Q481">
        <v>0</v>
      </c>
    </row>
    <row r="482" spans="1:17" x14ac:dyDescent="0.25">
      <c r="A482">
        <v>12819</v>
      </c>
      <c r="B482" t="s">
        <v>3134</v>
      </c>
      <c r="C482" t="s">
        <v>2442</v>
      </c>
      <c r="D482" s="3">
        <v>27540</v>
      </c>
      <c r="E482" t="s">
        <v>1401</v>
      </c>
      <c r="F482">
        <v>536</v>
      </c>
      <c r="G482" s="3">
        <v>36853</v>
      </c>
      <c r="H482" t="s">
        <v>3135</v>
      </c>
      <c r="J482" t="s">
        <v>1570</v>
      </c>
      <c r="K482" t="s">
        <v>55</v>
      </c>
      <c r="L482" s="3">
        <v>47583</v>
      </c>
      <c r="M482" s="3">
        <v>47568</v>
      </c>
      <c r="N482" t="s">
        <v>3136</v>
      </c>
      <c r="O482" s="4">
        <v>1</v>
      </c>
      <c r="P482">
        <v>0</v>
      </c>
      <c r="Q482">
        <v>1</v>
      </c>
    </row>
    <row r="483" spans="1:17" x14ac:dyDescent="0.25">
      <c r="A483">
        <v>21845</v>
      </c>
      <c r="B483" t="s">
        <v>2594</v>
      </c>
      <c r="C483" t="s">
        <v>3137</v>
      </c>
      <c r="D483" s="3">
        <v>28968</v>
      </c>
      <c r="E483" t="s">
        <v>1401</v>
      </c>
      <c r="F483">
        <v>443</v>
      </c>
      <c r="G483" s="3">
        <v>39510</v>
      </c>
      <c r="H483" t="s">
        <v>3138</v>
      </c>
      <c r="J483" t="s">
        <v>1481</v>
      </c>
      <c r="K483" t="s">
        <v>67</v>
      </c>
      <c r="L483" s="3">
        <v>72686</v>
      </c>
      <c r="M483" s="3">
        <v>46776</v>
      </c>
      <c r="N483" t="s">
        <v>3139</v>
      </c>
      <c r="O483" s="4">
        <v>0.8</v>
      </c>
      <c r="P483">
        <v>0</v>
      </c>
      <c r="Q483">
        <v>0</v>
      </c>
    </row>
    <row r="484" spans="1:17" x14ac:dyDescent="0.25">
      <c r="A484">
        <v>8792</v>
      </c>
      <c r="B484" t="s">
        <v>3140</v>
      </c>
      <c r="C484" t="s">
        <v>3141</v>
      </c>
      <c r="D484" s="3">
        <v>27910</v>
      </c>
      <c r="E484" t="s">
        <v>1401</v>
      </c>
      <c r="F484">
        <v>466</v>
      </c>
      <c r="G484" s="3">
        <v>35338</v>
      </c>
      <c r="H484" t="s">
        <v>3142</v>
      </c>
      <c r="I484">
        <v>93244163</v>
      </c>
      <c r="J484" t="s">
        <v>1507</v>
      </c>
      <c r="K484" t="s">
        <v>55</v>
      </c>
      <c r="L484" s="3">
        <v>47614</v>
      </c>
      <c r="M484" s="3">
        <v>46820</v>
      </c>
      <c r="N484" t="s">
        <v>3143</v>
      </c>
      <c r="O484" s="4">
        <v>1</v>
      </c>
      <c r="P484">
        <v>0</v>
      </c>
      <c r="Q484">
        <v>1</v>
      </c>
    </row>
    <row r="485" spans="1:17" x14ac:dyDescent="0.25">
      <c r="A485">
        <v>9065</v>
      </c>
      <c r="B485" t="s">
        <v>3144</v>
      </c>
      <c r="C485" t="s">
        <v>3145</v>
      </c>
      <c r="D485" s="3">
        <v>24694</v>
      </c>
      <c r="E485" t="s">
        <v>1401</v>
      </c>
      <c r="F485">
        <v>398</v>
      </c>
      <c r="G485" s="3">
        <v>35478</v>
      </c>
      <c r="H485" t="s">
        <v>3146</v>
      </c>
      <c r="J485" t="s">
        <v>1703</v>
      </c>
      <c r="K485" t="s">
        <v>58</v>
      </c>
      <c r="L485" s="3">
        <v>72686</v>
      </c>
      <c r="M485" s="3">
        <v>46194</v>
      </c>
      <c r="N485" t="s">
        <v>3147</v>
      </c>
      <c r="O485" s="4">
        <v>0.5</v>
      </c>
      <c r="P485">
        <v>0</v>
      </c>
      <c r="Q485">
        <v>0</v>
      </c>
    </row>
    <row r="486" spans="1:17" x14ac:dyDescent="0.25">
      <c r="A486">
        <v>33698</v>
      </c>
      <c r="B486" t="s">
        <v>3148</v>
      </c>
      <c r="C486" t="s">
        <v>3145</v>
      </c>
      <c r="D486" s="3">
        <v>30937</v>
      </c>
      <c r="E486" t="s">
        <v>1401</v>
      </c>
      <c r="F486">
        <v>270</v>
      </c>
      <c r="G486" s="3">
        <v>43542</v>
      </c>
      <c r="H486" t="s">
        <v>3149</v>
      </c>
      <c r="J486" t="s">
        <v>1442</v>
      </c>
      <c r="K486" t="s">
        <v>67</v>
      </c>
      <c r="L486" s="3">
        <v>47154</v>
      </c>
      <c r="M486" s="3">
        <v>47100</v>
      </c>
      <c r="N486" t="s">
        <v>3150</v>
      </c>
      <c r="O486" s="4">
        <v>1</v>
      </c>
      <c r="P486">
        <v>0</v>
      </c>
      <c r="Q486">
        <v>1</v>
      </c>
    </row>
    <row r="487" spans="1:17" x14ac:dyDescent="0.25">
      <c r="A487">
        <v>26265</v>
      </c>
      <c r="B487" t="s">
        <v>3151</v>
      </c>
      <c r="C487" t="s">
        <v>3145</v>
      </c>
      <c r="D487" s="3">
        <v>24341</v>
      </c>
      <c r="E487" t="s">
        <v>1401</v>
      </c>
      <c r="F487">
        <v>27</v>
      </c>
      <c r="G487" s="3">
        <v>40658</v>
      </c>
      <c r="H487" t="s">
        <v>3152</v>
      </c>
      <c r="J487" t="s">
        <v>1427</v>
      </c>
      <c r="K487" t="s">
        <v>61</v>
      </c>
      <c r="L487" s="3">
        <v>47575</v>
      </c>
      <c r="M487" s="3">
        <v>47197</v>
      </c>
      <c r="N487" t="s">
        <v>3153</v>
      </c>
      <c r="O487" s="4">
        <v>0.8</v>
      </c>
      <c r="P487">
        <v>0</v>
      </c>
      <c r="Q487">
        <v>1</v>
      </c>
    </row>
    <row r="488" spans="1:17" x14ac:dyDescent="0.25">
      <c r="A488">
        <v>21124</v>
      </c>
      <c r="B488" t="s">
        <v>3154</v>
      </c>
      <c r="C488" t="s">
        <v>3145</v>
      </c>
      <c r="D488" s="3">
        <v>28233</v>
      </c>
      <c r="E488" t="s">
        <v>1401</v>
      </c>
      <c r="F488">
        <v>360</v>
      </c>
      <c r="G488" s="3">
        <v>39286</v>
      </c>
      <c r="H488" t="s">
        <v>3155</v>
      </c>
      <c r="J488" t="s">
        <v>1442</v>
      </c>
      <c r="K488" t="s">
        <v>61</v>
      </c>
      <c r="L488" s="3">
        <v>46039</v>
      </c>
      <c r="M488" s="3">
        <v>46985</v>
      </c>
      <c r="N488" t="s">
        <v>3156</v>
      </c>
      <c r="O488" s="4">
        <v>0.5</v>
      </c>
      <c r="P488">
        <v>0</v>
      </c>
      <c r="Q488">
        <v>0</v>
      </c>
    </row>
    <row r="489" spans="1:17" x14ac:dyDescent="0.25">
      <c r="A489">
        <v>36337</v>
      </c>
      <c r="B489" t="s">
        <v>3157</v>
      </c>
      <c r="C489" t="s">
        <v>3158</v>
      </c>
      <c r="D489" s="3">
        <v>24304</v>
      </c>
      <c r="E489" t="s">
        <v>1401</v>
      </c>
      <c r="G489" s="3">
        <v>44284</v>
      </c>
      <c r="H489" t="s">
        <v>3159</v>
      </c>
      <c r="J489" t="s">
        <v>1611</v>
      </c>
      <c r="K489" t="s">
        <v>64</v>
      </c>
      <c r="L489" s="3">
        <v>46125</v>
      </c>
      <c r="M489" s="3">
        <v>45951</v>
      </c>
      <c r="N489" t="s">
        <v>3160</v>
      </c>
      <c r="O489" s="4">
        <v>0.8</v>
      </c>
      <c r="P489">
        <v>0</v>
      </c>
      <c r="Q489">
        <v>0</v>
      </c>
    </row>
    <row r="490" spans="1:17" x14ac:dyDescent="0.25">
      <c r="A490">
        <v>35120</v>
      </c>
      <c r="B490" t="s">
        <v>3161</v>
      </c>
      <c r="C490" t="s">
        <v>3158</v>
      </c>
      <c r="D490" s="3">
        <v>32582</v>
      </c>
      <c r="E490" t="s">
        <v>1401</v>
      </c>
      <c r="F490">
        <v>480</v>
      </c>
      <c r="G490" s="3">
        <v>43878</v>
      </c>
      <c r="H490" t="s">
        <v>3162</v>
      </c>
      <c r="I490">
        <v>494132438</v>
      </c>
      <c r="J490" t="s">
        <v>1460</v>
      </c>
      <c r="K490" t="s">
        <v>70</v>
      </c>
      <c r="L490" s="3">
        <v>47461</v>
      </c>
      <c r="M490" s="3">
        <v>47460</v>
      </c>
      <c r="N490" t="s">
        <v>3163</v>
      </c>
      <c r="O490" s="4">
        <v>1</v>
      </c>
      <c r="P490">
        <v>0</v>
      </c>
      <c r="Q490">
        <v>1</v>
      </c>
    </row>
    <row r="491" spans="1:17" x14ac:dyDescent="0.25">
      <c r="A491">
        <v>27635</v>
      </c>
      <c r="B491" t="s">
        <v>3164</v>
      </c>
      <c r="C491" t="s">
        <v>3165</v>
      </c>
      <c r="D491" s="3">
        <v>31904</v>
      </c>
      <c r="E491" t="s">
        <v>1401</v>
      </c>
      <c r="F491">
        <v>363</v>
      </c>
      <c r="G491" s="3">
        <v>41176</v>
      </c>
      <c r="H491" t="s">
        <v>3166</v>
      </c>
      <c r="J491" t="s">
        <v>1409</v>
      </c>
      <c r="K491" t="s">
        <v>64</v>
      </c>
      <c r="L491" s="3">
        <v>46523</v>
      </c>
      <c r="M491" s="3">
        <v>46466</v>
      </c>
      <c r="N491" t="s">
        <v>3167</v>
      </c>
      <c r="O491" s="4">
        <v>1</v>
      </c>
      <c r="P491">
        <v>0</v>
      </c>
      <c r="Q491">
        <v>0</v>
      </c>
    </row>
    <row r="492" spans="1:17" x14ac:dyDescent="0.25">
      <c r="A492">
        <v>33400</v>
      </c>
      <c r="B492" t="s">
        <v>3168</v>
      </c>
      <c r="C492" t="s">
        <v>3169</v>
      </c>
      <c r="D492" s="3">
        <v>34591</v>
      </c>
      <c r="E492" t="s">
        <v>1401</v>
      </c>
      <c r="F492">
        <v>85</v>
      </c>
      <c r="G492" s="3">
        <v>43444</v>
      </c>
      <c r="H492" t="s">
        <v>3170</v>
      </c>
      <c r="I492">
        <v>476620718</v>
      </c>
      <c r="J492" t="s">
        <v>1611</v>
      </c>
      <c r="K492" t="s">
        <v>61</v>
      </c>
      <c r="L492" s="3">
        <v>47085</v>
      </c>
      <c r="M492" s="3">
        <v>46946</v>
      </c>
      <c r="N492" t="s">
        <v>3171</v>
      </c>
      <c r="O492" s="4">
        <v>0.8</v>
      </c>
      <c r="P492">
        <v>0</v>
      </c>
      <c r="Q492">
        <v>1</v>
      </c>
    </row>
    <row r="493" spans="1:17" x14ac:dyDescent="0.25">
      <c r="A493">
        <v>26524</v>
      </c>
      <c r="B493" t="s">
        <v>2018</v>
      </c>
      <c r="C493" t="s">
        <v>3169</v>
      </c>
      <c r="D493" s="3">
        <v>32548</v>
      </c>
      <c r="E493" t="s">
        <v>1401</v>
      </c>
      <c r="F493">
        <v>322</v>
      </c>
      <c r="G493" s="3">
        <v>40728</v>
      </c>
      <c r="H493" t="s">
        <v>3172</v>
      </c>
      <c r="J493" t="s">
        <v>1538</v>
      </c>
      <c r="K493" t="s">
        <v>58</v>
      </c>
      <c r="L493" s="3">
        <v>72686</v>
      </c>
      <c r="M493" s="3">
        <v>46201</v>
      </c>
      <c r="N493" t="s">
        <v>3173</v>
      </c>
      <c r="O493" s="4">
        <v>0.8</v>
      </c>
      <c r="P493">
        <v>0</v>
      </c>
      <c r="Q493">
        <v>1</v>
      </c>
    </row>
    <row r="494" spans="1:17" x14ac:dyDescent="0.25">
      <c r="A494">
        <v>16279</v>
      </c>
      <c r="B494" t="s">
        <v>3174</v>
      </c>
      <c r="C494" t="s">
        <v>3169</v>
      </c>
      <c r="D494" s="3">
        <v>28331</v>
      </c>
      <c r="E494" t="s">
        <v>1401</v>
      </c>
      <c r="F494">
        <v>4</v>
      </c>
      <c r="G494" s="3">
        <v>37886</v>
      </c>
      <c r="H494" t="s">
        <v>3175</v>
      </c>
      <c r="I494">
        <v>92728505</v>
      </c>
      <c r="J494" t="s">
        <v>1703</v>
      </c>
      <c r="K494" t="s">
        <v>52</v>
      </c>
      <c r="L494" s="3">
        <v>72686</v>
      </c>
      <c r="M494" s="3">
        <v>46469</v>
      </c>
      <c r="N494" t="s">
        <v>3176</v>
      </c>
      <c r="O494" s="4">
        <v>1</v>
      </c>
      <c r="P494">
        <v>0</v>
      </c>
      <c r="Q494">
        <v>1</v>
      </c>
    </row>
    <row r="495" spans="1:17" x14ac:dyDescent="0.25">
      <c r="A495">
        <v>13088</v>
      </c>
      <c r="B495" t="s">
        <v>3059</v>
      </c>
      <c r="C495" t="s">
        <v>3177</v>
      </c>
      <c r="D495" s="3">
        <v>25548</v>
      </c>
      <c r="E495" t="s">
        <v>1401</v>
      </c>
      <c r="F495">
        <v>56</v>
      </c>
      <c r="G495" s="3">
        <v>36948</v>
      </c>
      <c r="H495" t="s">
        <v>3178</v>
      </c>
      <c r="J495" t="s">
        <v>1575</v>
      </c>
      <c r="K495" t="s">
        <v>52</v>
      </c>
      <c r="L495" s="3">
        <v>47622</v>
      </c>
      <c r="M495" s="3">
        <v>47615</v>
      </c>
      <c r="N495" t="s">
        <v>3179</v>
      </c>
      <c r="O495" s="4">
        <v>0.8</v>
      </c>
      <c r="P495">
        <v>0</v>
      </c>
      <c r="Q495">
        <v>0</v>
      </c>
    </row>
    <row r="496" spans="1:17" x14ac:dyDescent="0.25">
      <c r="A496">
        <v>17951</v>
      </c>
      <c r="B496" t="s">
        <v>3180</v>
      </c>
      <c r="C496" t="s">
        <v>3181</v>
      </c>
      <c r="D496" s="3">
        <v>22267</v>
      </c>
      <c r="E496" t="s">
        <v>1401</v>
      </c>
      <c r="F496">
        <v>227</v>
      </c>
      <c r="G496" s="3">
        <v>38404</v>
      </c>
      <c r="H496" t="s">
        <v>3182</v>
      </c>
      <c r="J496" t="s">
        <v>1538</v>
      </c>
      <c r="K496" t="s">
        <v>55</v>
      </c>
      <c r="L496" s="3">
        <v>72686</v>
      </c>
      <c r="M496" s="3">
        <v>72686</v>
      </c>
      <c r="N496" t="s">
        <v>3183</v>
      </c>
      <c r="O496" s="4">
        <v>0.8</v>
      </c>
      <c r="P496">
        <v>0</v>
      </c>
      <c r="Q496">
        <v>0</v>
      </c>
    </row>
    <row r="497" spans="1:17" x14ac:dyDescent="0.25">
      <c r="A497">
        <v>37951</v>
      </c>
      <c r="B497" t="s">
        <v>3184</v>
      </c>
      <c r="C497" t="s">
        <v>3185</v>
      </c>
      <c r="D497" s="3">
        <v>27961</v>
      </c>
      <c r="E497" t="s">
        <v>1401</v>
      </c>
      <c r="G497" s="3">
        <v>44837</v>
      </c>
      <c r="H497" t="s">
        <v>3186</v>
      </c>
      <c r="J497" t="s">
        <v>1485</v>
      </c>
      <c r="K497" t="s">
        <v>73</v>
      </c>
      <c r="L497" s="3">
        <v>46678</v>
      </c>
      <c r="M497" s="3">
        <v>46593</v>
      </c>
      <c r="N497" t="s">
        <v>3187</v>
      </c>
      <c r="O497" s="4">
        <v>0.8</v>
      </c>
      <c r="P497">
        <v>0</v>
      </c>
      <c r="Q497">
        <v>0</v>
      </c>
    </row>
    <row r="498" spans="1:17" x14ac:dyDescent="0.25">
      <c r="A498">
        <v>35623</v>
      </c>
      <c r="B498" t="s">
        <v>3188</v>
      </c>
      <c r="C498" t="s">
        <v>3189</v>
      </c>
      <c r="D498" s="3">
        <v>29006</v>
      </c>
      <c r="E498" t="s">
        <v>1401</v>
      </c>
      <c r="F498">
        <v>278</v>
      </c>
      <c r="G498" s="3">
        <v>44081</v>
      </c>
      <c r="H498" t="s">
        <v>3190</v>
      </c>
      <c r="J498" t="s">
        <v>1460</v>
      </c>
      <c r="K498" t="s">
        <v>55</v>
      </c>
      <c r="L498" s="3">
        <v>45922</v>
      </c>
      <c r="M498" s="3">
        <v>47407</v>
      </c>
      <c r="N498" t="s">
        <v>3191</v>
      </c>
      <c r="O498" s="4">
        <v>1</v>
      </c>
      <c r="P498">
        <v>0</v>
      </c>
      <c r="Q498">
        <v>0</v>
      </c>
    </row>
    <row r="499" spans="1:17" x14ac:dyDescent="0.25">
      <c r="A499">
        <v>23700</v>
      </c>
      <c r="B499" t="s">
        <v>3192</v>
      </c>
      <c r="C499" t="s">
        <v>3189</v>
      </c>
      <c r="D499" s="3">
        <v>28357</v>
      </c>
      <c r="E499" t="s">
        <v>1401</v>
      </c>
      <c r="G499" s="3">
        <v>39909</v>
      </c>
      <c r="H499" t="s">
        <v>3193</v>
      </c>
      <c r="I499">
        <v>93285649</v>
      </c>
      <c r="J499" t="s">
        <v>1447</v>
      </c>
      <c r="K499" t="s">
        <v>52</v>
      </c>
      <c r="L499" s="3">
        <v>47363</v>
      </c>
      <c r="M499" s="3">
        <v>46005</v>
      </c>
      <c r="N499" t="s">
        <v>3194</v>
      </c>
      <c r="O499" s="4">
        <v>1</v>
      </c>
      <c r="P499">
        <v>0</v>
      </c>
      <c r="Q499">
        <v>0</v>
      </c>
    </row>
    <row r="500" spans="1:17" x14ac:dyDescent="0.25">
      <c r="A500">
        <v>23791</v>
      </c>
      <c r="B500" t="s">
        <v>3195</v>
      </c>
      <c r="C500" t="s">
        <v>3196</v>
      </c>
      <c r="D500" s="3">
        <v>24373</v>
      </c>
      <c r="E500" t="s">
        <v>1401</v>
      </c>
      <c r="F500">
        <v>371</v>
      </c>
      <c r="G500" s="3">
        <v>39923</v>
      </c>
      <c r="H500" t="s">
        <v>3197</v>
      </c>
      <c r="J500" t="s">
        <v>1427</v>
      </c>
      <c r="K500" t="s">
        <v>52</v>
      </c>
      <c r="L500" s="3">
        <v>73050</v>
      </c>
      <c r="M500" s="3">
        <v>47369</v>
      </c>
      <c r="N500" t="s">
        <v>3198</v>
      </c>
      <c r="O500" s="4">
        <v>0.8</v>
      </c>
      <c r="P500">
        <v>0</v>
      </c>
      <c r="Q500">
        <v>0</v>
      </c>
    </row>
    <row r="501" spans="1:17" x14ac:dyDescent="0.25">
      <c r="A501">
        <v>15218</v>
      </c>
      <c r="B501" t="s">
        <v>3199</v>
      </c>
      <c r="C501" t="s">
        <v>3200</v>
      </c>
      <c r="D501" s="3">
        <v>25192</v>
      </c>
      <c r="E501" t="s">
        <v>1401</v>
      </c>
      <c r="F501">
        <v>563</v>
      </c>
      <c r="G501" s="3">
        <v>37543</v>
      </c>
      <c r="H501" t="s">
        <v>3201</v>
      </c>
      <c r="J501" t="s">
        <v>1659</v>
      </c>
      <c r="K501" t="s">
        <v>58</v>
      </c>
      <c r="L501" s="3">
        <v>47636</v>
      </c>
      <c r="M501" s="3">
        <v>46294</v>
      </c>
      <c r="N501" t="s">
        <v>3202</v>
      </c>
      <c r="O501" s="4">
        <v>0.8</v>
      </c>
      <c r="P501">
        <v>0</v>
      </c>
      <c r="Q501">
        <v>0</v>
      </c>
    </row>
    <row r="502" spans="1:17" x14ac:dyDescent="0.25">
      <c r="A502">
        <v>33450</v>
      </c>
      <c r="B502" t="s">
        <v>3203</v>
      </c>
      <c r="C502" t="s">
        <v>3204</v>
      </c>
      <c r="D502" s="3">
        <v>26216</v>
      </c>
      <c r="E502" t="s">
        <v>1401</v>
      </c>
      <c r="F502">
        <v>197</v>
      </c>
      <c r="G502" s="3">
        <v>43472</v>
      </c>
      <c r="H502" t="s">
        <v>3205</v>
      </c>
      <c r="J502" t="s">
        <v>1409</v>
      </c>
      <c r="K502" t="s">
        <v>64</v>
      </c>
      <c r="L502" s="3">
        <v>47011</v>
      </c>
      <c r="M502" s="3">
        <v>47009</v>
      </c>
      <c r="N502" t="s">
        <v>3206</v>
      </c>
      <c r="O502" s="4">
        <v>1</v>
      </c>
      <c r="P502">
        <v>0</v>
      </c>
      <c r="Q502">
        <v>1</v>
      </c>
    </row>
    <row r="503" spans="1:17" x14ac:dyDescent="0.25">
      <c r="A503">
        <v>14021</v>
      </c>
      <c r="B503" t="s">
        <v>3207</v>
      </c>
      <c r="C503" t="s">
        <v>3204</v>
      </c>
      <c r="D503" s="3">
        <v>29626</v>
      </c>
      <c r="E503" t="s">
        <v>1401</v>
      </c>
      <c r="F503">
        <v>37</v>
      </c>
      <c r="G503" s="3">
        <v>37193</v>
      </c>
      <c r="H503" t="s">
        <v>3208</v>
      </c>
      <c r="J503" t="s">
        <v>1427</v>
      </c>
      <c r="K503" t="s">
        <v>67</v>
      </c>
      <c r="L503" s="3">
        <v>72686</v>
      </c>
      <c r="M503" s="3">
        <v>46742</v>
      </c>
      <c r="N503" t="s">
        <v>3209</v>
      </c>
      <c r="O503" s="4">
        <v>1</v>
      </c>
      <c r="P503">
        <v>0</v>
      </c>
      <c r="Q503">
        <v>1</v>
      </c>
    </row>
    <row r="504" spans="1:17" x14ac:dyDescent="0.25">
      <c r="A504">
        <v>37683</v>
      </c>
      <c r="B504" t="s">
        <v>2363</v>
      </c>
      <c r="C504" t="s">
        <v>3210</v>
      </c>
      <c r="D504" s="3">
        <v>35863</v>
      </c>
      <c r="E504" t="s">
        <v>1401</v>
      </c>
      <c r="G504" s="3">
        <v>44739</v>
      </c>
      <c r="H504" t="s">
        <v>3211</v>
      </c>
      <c r="J504" t="s">
        <v>1409</v>
      </c>
      <c r="K504" t="s">
        <v>67</v>
      </c>
      <c r="L504" s="3">
        <v>46610</v>
      </c>
      <c r="M504" s="3">
        <v>46511</v>
      </c>
      <c r="N504" t="s">
        <v>3212</v>
      </c>
      <c r="O504" s="4">
        <v>1</v>
      </c>
      <c r="P504">
        <v>0</v>
      </c>
      <c r="Q504">
        <v>0</v>
      </c>
    </row>
    <row r="505" spans="1:17" x14ac:dyDescent="0.25">
      <c r="A505">
        <v>37999</v>
      </c>
      <c r="B505" t="s">
        <v>3213</v>
      </c>
      <c r="C505" t="s">
        <v>3214</v>
      </c>
      <c r="D505" s="3">
        <v>22487</v>
      </c>
      <c r="E505" t="s">
        <v>1401</v>
      </c>
      <c r="G505" s="3">
        <v>44805</v>
      </c>
      <c r="J505" t="s">
        <v>1978</v>
      </c>
      <c r="K505" t="s">
        <v>67</v>
      </c>
      <c r="L505" s="3">
        <v>1</v>
      </c>
      <c r="M505" s="3">
        <v>45949</v>
      </c>
      <c r="N505" t="s">
        <v>3215</v>
      </c>
      <c r="O505" s="4">
        <v>1</v>
      </c>
      <c r="P505">
        <v>0</v>
      </c>
      <c r="Q505">
        <v>0</v>
      </c>
    </row>
    <row r="506" spans="1:17" x14ac:dyDescent="0.25">
      <c r="A506">
        <v>40362</v>
      </c>
      <c r="B506" t="s">
        <v>3216</v>
      </c>
      <c r="C506" t="s">
        <v>1725</v>
      </c>
      <c r="D506" s="3">
        <v>28613</v>
      </c>
      <c r="E506" t="s">
        <v>1401</v>
      </c>
      <c r="G506" s="3">
        <v>45394</v>
      </c>
      <c r="H506" t="s">
        <v>3217</v>
      </c>
      <c r="J506" t="s">
        <v>1945</v>
      </c>
      <c r="K506" t="s">
        <v>64</v>
      </c>
      <c r="L506" s="3">
        <v>47239</v>
      </c>
      <c r="M506" s="3">
        <v>47201</v>
      </c>
      <c r="N506" t="s">
        <v>3218</v>
      </c>
      <c r="O506" s="4">
        <v>1</v>
      </c>
      <c r="P506">
        <v>0</v>
      </c>
      <c r="Q506">
        <v>0</v>
      </c>
    </row>
    <row r="507" spans="1:17" x14ac:dyDescent="0.25">
      <c r="A507">
        <v>21249</v>
      </c>
      <c r="B507" t="s">
        <v>2811</v>
      </c>
      <c r="C507" t="s">
        <v>3219</v>
      </c>
      <c r="D507" s="3">
        <v>30655</v>
      </c>
      <c r="E507" t="s">
        <v>1401</v>
      </c>
      <c r="F507">
        <v>139</v>
      </c>
      <c r="G507" s="3">
        <v>39314</v>
      </c>
      <c r="H507" t="s">
        <v>3220</v>
      </c>
      <c r="I507">
        <v>92255582</v>
      </c>
      <c r="J507" t="s">
        <v>1442</v>
      </c>
      <c r="K507" t="s">
        <v>61</v>
      </c>
      <c r="L507" s="3">
        <v>46447</v>
      </c>
      <c r="M507" s="3">
        <v>46418</v>
      </c>
      <c r="N507" t="s">
        <v>3221</v>
      </c>
      <c r="O507" s="4">
        <v>0.8</v>
      </c>
      <c r="P507">
        <v>0</v>
      </c>
      <c r="Q507">
        <v>1</v>
      </c>
    </row>
    <row r="508" spans="1:17" x14ac:dyDescent="0.25">
      <c r="A508">
        <v>39558</v>
      </c>
      <c r="B508" t="s">
        <v>3025</v>
      </c>
      <c r="C508" t="s">
        <v>3222</v>
      </c>
      <c r="D508" s="3">
        <v>31519</v>
      </c>
      <c r="E508" t="s">
        <v>1401</v>
      </c>
      <c r="G508" s="3">
        <v>45208</v>
      </c>
      <c r="H508" t="s">
        <v>3223</v>
      </c>
      <c r="J508" t="s">
        <v>1409</v>
      </c>
      <c r="K508" t="s">
        <v>67</v>
      </c>
      <c r="L508" s="3">
        <v>47052</v>
      </c>
      <c r="M508" s="3">
        <v>46974</v>
      </c>
      <c r="N508" t="s">
        <v>3224</v>
      </c>
      <c r="O508" s="4">
        <v>1</v>
      </c>
      <c r="P508">
        <v>0</v>
      </c>
      <c r="Q508">
        <v>0</v>
      </c>
    </row>
    <row r="509" spans="1:17" x14ac:dyDescent="0.25">
      <c r="A509">
        <v>38807</v>
      </c>
      <c r="B509" t="s">
        <v>3225</v>
      </c>
      <c r="C509" t="s">
        <v>3226</v>
      </c>
      <c r="D509" s="3">
        <v>24130</v>
      </c>
      <c r="E509" t="s">
        <v>1401</v>
      </c>
      <c r="G509" s="3">
        <v>45027</v>
      </c>
      <c r="H509" t="s">
        <v>3227</v>
      </c>
      <c r="J509" t="s">
        <v>1409</v>
      </c>
      <c r="K509" t="s">
        <v>61</v>
      </c>
      <c r="L509" s="3">
        <v>46874</v>
      </c>
      <c r="M509" s="3">
        <v>46810</v>
      </c>
      <c r="N509" t="s">
        <v>3228</v>
      </c>
      <c r="O509" s="4">
        <v>1</v>
      </c>
      <c r="P509">
        <v>0</v>
      </c>
      <c r="Q509">
        <v>0</v>
      </c>
    </row>
    <row r="510" spans="1:17" x14ac:dyDescent="0.25">
      <c r="A510">
        <v>40058</v>
      </c>
      <c r="B510" t="s">
        <v>3229</v>
      </c>
      <c r="C510" t="s">
        <v>3230</v>
      </c>
      <c r="D510" s="3">
        <v>37636</v>
      </c>
      <c r="E510" t="s">
        <v>1401</v>
      </c>
      <c r="G510" s="3">
        <v>45321</v>
      </c>
      <c r="H510" t="s">
        <v>3231</v>
      </c>
      <c r="J510" t="s">
        <v>1409</v>
      </c>
      <c r="K510" t="s">
        <v>61</v>
      </c>
      <c r="L510" s="3">
        <v>47164</v>
      </c>
      <c r="M510" s="3">
        <v>47134</v>
      </c>
      <c r="N510" t="s">
        <v>3232</v>
      </c>
      <c r="O510" s="4">
        <v>1</v>
      </c>
      <c r="P510">
        <v>0</v>
      </c>
      <c r="Q510">
        <v>0</v>
      </c>
    </row>
    <row r="511" spans="1:17" x14ac:dyDescent="0.25">
      <c r="A511">
        <v>41874</v>
      </c>
      <c r="B511" t="s">
        <v>3233</v>
      </c>
      <c r="C511" t="s">
        <v>3234</v>
      </c>
      <c r="D511" s="3">
        <v>26143</v>
      </c>
      <c r="E511" t="s">
        <v>1401</v>
      </c>
      <c r="G511" s="3">
        <v>45814</v>
      </c>
      <c r="H511" t="s">
        <v>3235</v>
      </c>
      <c r="J511" t="s">
        <v>1409</v>
      </c>
      <c r="K511" t="s">
        <v>52</v>
      </c>
      <c r="L511" s="3">
        <v>47659</v>
      </c>
      <c r="M511" s="3">
        <v>47596</v>
      </c>
      <c r="N511" t="s">
        <v>3236</v>
      </c>
      <c r="O511" s="4">
        <v>1</v>
      </c>
      <c r="P511">
        <v>0</v>
      </c>
      <c r="Q511">
        <v>0</v>
      </c>
    </row>
    <row r="512" spans="1:17" x14ac:dyDescent="0.25">
      <c r="A512">
        <v>37950</v>
      </c>
      <c r="B512" t="s">
        <v>3237</v>
      </c>
      <c r="C512" t="s">
        <v>3234</v>
      </c>
      <c r="D512" s="3">
        <v>26858</v>
      </c>
      <c r="E512" t="s">
        <v>1401</v>
      </c>
      <c r="G512" s="3">
        <v>44809</v>
      </c>
      <c r="H512" t="s">
        <v>3238</v>
      </c>
      <c r="J512" t="s">
        <v>1945</v>
      </c>
      <c r="K512" t="s">
        <v>52</v>
      </c>
      <c r="L512" s="3">
        <v>46651</v>
      </c>
      <c r="M512" s="3">
        <v>46565</v>
      </c>
      <c r="N512" t="s">
        <v>3239</v>
      </c>
      <c r="O512" s="4">
        <v>1</v>
      </c>
      <c r="P512">
        <v>0</v>
      </c>
      <c r="Q512">
        <v>0</v>
      </c>
    </row>
    <row r="513" spans="1:17" x14ac:dyDescent="0.25">
      <c r="A513">
        <v>25993</v>
      </c>
      <c r="B513" t="s">
        <v>3240</v>
      </c>
      <c r="C513" t="s">
        <v>3234</v>
      </c>
      <c r="D513" s="3">
        <v>27364</v>
      </c>
      <c r="E513" t="s">
        <v>1401</v>
      </c>
      <c r="F513">
        <v>137</v>
      </c>
      <c r="G513" s="3">
        <v>40567</v>
      </c>
      <c r="H513" t="s">
        <v>3241</v>
      </c>
      <c r="J513" t="s">
        <v>1442</v>
      </c>
      <c r="K513" t="s">
        <v>61</v>
      </c>
      <c r="L513" s="3">
        <v>45931</v>
      </c>
      <c r="M513" s="3">
        <v>45902</v>
      </c>
      <c r="N513" t="s">
        <v>3242</v>
      </c>
      <c r="O513" s="4">
        <v>1</v>
      </c>
      <c r="P513">
        <v>0</v>
      </c>
      <c r="Q513">
        <v>1</v>
      </c>
    </row>
    <row r="514" spans="1:17" x14ac:dyDescent="0.25">
      <c r="A514">
        <v>35490</v>
      </c>
      <c r="B514" t="s">
        <v>3243</v>
      </c>
      <c r="C514" t="s">
        <v>3244</v>
      </c>
      <c r="D514" s="3">
        <v>35139</v>
      </c>
      <c r="E514" t="s">
        <v>1401</v>
      </c>
      <c r="F514">
        <v>10</v>
      </c>
      <c r="G514" s="3">
        <v>44025</v>
      </c>
      <c r="H514" t="s">
        <v>3245</v>
      </c>
      <c r="J514" t="s">
        <v>1414</v>
      </c>
      <c r="K514" t="s">
        <v>67</v>
      </c>
      <c r="L514" s="3">
        <v>47526</v>
      </c>
      <c r="M514" s="3">
        <v>47524</v>
      </c>
      <c r="N514" t="s">
        <v>3246</v>
      </c>
      <c r="O514" s="4">
        <v>1</v>
      </c>
      <c r="P514">
        <v>0</v>
      </c>
      <c r="Q514">
        <v>0</v>
      </c>
    </row>
    <row r="515" spans="1:17" x14ac:dyDescent="0.25">
      <c r="A515">
        <v>36512</v>
      </c>
      <c r="B515" t="s">
        <v>3247</v>
      </c>
      <c r="C515" t="s">
        <v>3248</v>
      </c>
      <c r="D515" s="3">
        <v>36403</v>
      </c>
      <c r="E515" t="s">
        <v>1401</v>
      </c>
      <c r="G515" s="3">
        <v>44333</v>
      </c>
      <c r="H515" t="s">
        <v>3249</v>
      </c>
      <c r="J515" t="s">
        <v>1516</v>
      </c>
      <c r="K515" t="s">
        <v>67</v>
      </c>
      <c r="L515" s="3">
        <v>46174</v>
      </c>
      <c r="M515" s="3">
        <v>46124</v>
      </c>
      <c r="N515" t="s">
        <v>3250</v>
      </c>
      <c r="O515" s="4">
        <v>0.8</v>
      </c>
      <c r="P515">
        <v>0</v>
      </c>
      <c r="Q515">
        <v>1</v>
      </c>
    </row>
    <row r="516" spans="1:17" x14ac:dyDescent="0.25">
      <c r="A516">
        <v>35414</v>
      </c>
      <c r="B516" t="s">
        <v>3251</v>
      </c>
      <c r="C516" t="s">
        <v>3252</v>
      </c>
      <c r="D516" s="3">
        <v>31067</v>
      </c>
      <c r="E516" t="s">
        <v>1401</v>
      </c>
      <c r="F516">
        <v>324</v>
      </c>
      <c r="G516" s="3">
        <v>44039</v>
      </c>
      <c r="H516" t="s">
        <v>3253</v>
      </c>
      <c r="J516" t="s">
        <v>1409</v>
      </c>
      <c r="K516" t="s">
        <v>67</v>
      </c>
      <c r="L516" s="3">
        <v>47393</v>
      </c>
      <c r="M516" s="3">
        <v>47351</v>
      </c>
      <c r="N516" t="s">
        <v>3254</v>
      </c>
      <c r="O516" s="4">
        <v>1</v>
      </c>
      <c r="P516">
        <v>0</v>
      </c>
      <c r="Q516">
        <v>0</v>
      </c>
    </row>
    <row r="517" spans="1:17" x14ac:dyDescent="0.25">
      <c r="A517">
        <v>29477</v>
      </c>
      <c r="B517" t="s">
        <v>3255</v>
      </c>
      <c r="C517" t="s">
        <v>3256</v>
      </c>
      <c r="D517" s="3">
        <v>30968</v>
      </c>
      <c r="E517" t="s">
        <v>1401</v>
      </c>
      <c r="F517">
        <v>436</v>
      </c>
      <c r="G517" s="3">
        <v>41946</v>
      </c>
      <c r="H517" t="s">
        <v>3257</v>
      </c>
      <c r="J517" t="s">
        <v>1659</v>
      </c>
      <c r="K517" t="s">
        <v>73</v>
      </c>
      <c r="L517" s="3">
        <v>47279</v>
      </c>
      <c r="M517" s="3">
        <v>47267</v>
      </c>
      <c r="N517" t="s">
        <v>3258</v>
      </c>
      <c r="O517" s="4">
        <v>0.8</v>
      </c>
      <c r="P517">
        <v>0</v>
      </c>
      <c r="Q517">
        <v>0</v>
      </c>
    </row>
    <row r="518" spans="1:17" x14ac:dyDescent="0.25">
      <c r="A518">
        <v>41888</v>
      </c>
      <c r="B518" t="s">
        <v>3259</v>
      </c>
      <c r="C518" t="s">
        <v>1356</v>
      </c>
      <c r="D518" s="3">
        <v>28560</v>
      </c>
      <c r="E518" t="s">
        <v>1401</v>
      </c>
      <c r="G518" s="3">
        <v>45831</v>
      </c>
      <c r="H518" t="s">
        <v>3260</v>
      </c>
      <c r="J518" t="s">
        <v>1409</v>
      </c>
      <c r="K518" t="s">
        <v>64</v>
      </c>
      <c r="L518" s="3">
        <v>47678</v>
      </c>
      <c r="M518" s="3">
        <v>47594</v>
      </c>
      <c r="N518" t="s">
        <v>3261</v>
      </c>
      <c r="O518" s="4">
        <v>1</v>
      </c>
      <c r="P518">
        <v>0</v>
      </c>
      <c r="Q518">
        <v>0</v>
      </c>
    </row>
    <row r="519" spans="1:17" x14ac:dyDescent="0.25">
      <c r="A519">
        <v>41550</v>
      </c>
      <c r="B519" t="s">
        <v>3262</v>
      </c>
      <c r="C519" t="s">
        <v>1356</v>
      </c>
      <c r="D519" s="3">
        <v>31677</v>
      </c>
      <c r="E519" t="s">
        <v>1401</v>
      </c>
      <c r="G519" s="3">
        <v>45735</v>
      </c>
      <c r="H519" t="s">
        <v>3263</v>
      </c>
      <c r="J519" t="s">
        <v>1945</v>
      </c>
      <c r="K519" t="s">
        <v>61</v>
      </c>
      <c r="L519" s="3">
        <v>47115</v>
      </c>
      <c r="M519" s="3">
        <v>47015</v>
      </c>
      <c r="N519" t="s">
        <v>3264</v>
      </c>
      <c r="O519" s="4">
        <v>1</v>
      </c>
      <c r="P519">
        <v>0</v>
      </c>
      <c r="Q519">
        <v>0</v>
      </c>
    </row>
    <row r="520" spans="1:17" x14ac:dyDescent="0.25">
      <c r="A520">
        <v>37226</v>
      </c>
      <c r="B520" t="s">
        <v>3265</v>
      </c>
      <c r="C520" t="s">
        <v>1356</v>
      </c>
      <c r="D520" s="3">
        <v>33397</v>
      </c>
      <c r="E520" t="s">
        <v>1401</v>
      </c>
      <c r="G520" s="3">
        <v>44613</v>
      </c>
      <c r="H520" t="s">
        <v>3266</v>
      </c>
      <c r="J520" t="s">
        <v>1442</v>
      </c>
      <c r="K520" t="s">
        <v>70</v>
      </c>
      <c r="L520" s="3">
        <v>46453</v>
      </c>
      <c r="M520" s="3">
        <v>46273</v>
      </c>
      <c r="N520" t="s">
        <v>3267</v>
      </c>
      <c r="O520" s="4">
        <v>0.8</v>
      </c>
      <c r="P520">
        <v>0</v>
      </c>
      <c r="Q520">
        <v>1</v>
      </c>
    </row>
    <row r="521" spans="1:17" x14ac:dyDescent="0.25">
      <c r="A521">
        <v>39907</v>
      </c>
      <c r="B521" t="s">
        <v>3268</v>
      </c>
      <c r="C521" t="s">
        <v>3269</v>
      </c>
      <c r="D521" s="3">
        <v>29982</v>
      </c>
      <c r="E521" t="s">
        <v>1401</v>
      </c>
      <c r="G521" s="3">
        <v>45299</v>
      </c>
      <c r="H521" t="s">
        <v>3270</v>
      </c>
      <c r="J521" t="s">
        <v>1409</v>
      </c>
      <c r="K521" t="s">
        <v>64</v>
      </c>
      <c r="L521" s="3">
        <v>47169</v>
      </c>
      <c r="M521" s="3">
        <v>47077</v>
      </c>
      <c r="N521" t="s">
        <v>3271</v>
      </c>
      <c r="O521" s="4">
        <v>1</v>
      </c>
      <c r="P521">
        <v>0</v>
      </c>
      <c r="Q521">
        <v>0</v>
      </c>
    </row>
    <row r="522" spans="1:17" x14ac:dyDescent="0.25">
      <c r="A522">
        <v>36438</v>
      </c>
      <c r="B522" t="s">
        <v>3272</v>
      </c>
      <c r="C522" t="s">
        <v>3273</v>
      </c>
      <c r="D522" s="3">
        <v>26348</v>
      </c>
      <c r="E522" t="s">
        <v>1401</v>
      </c>
      <c r="G522" s="3">
        <v>44298</v>
      </c>
      <c r="H522" t="s">
        <v>3274</v>
      </c>
      <c r="J522" t="s">
        <v>1404</v>
      </c>
      <c r="K522" t="s">
        <v>55</v>
      </c>
      <c r="L522" s="3">
        <v>46138</v>
      </c>
      <c r="M522" s="3">
        <v>46097</v>
      </c>
      <c r="N522" t="s">
        <v>3275</v>
      </c>
      <c r="O522" s="4">
        <v>1</v>
      </c>
      <c r="P522">
        <v>0</v>
      </c>
      <c r="Q522">
        <v>1</v>
      </c>
    </row>
    <row r="523" spans="1:17" x14ac:dyDescent="0.25">
      <c r="A523">
        <v>40223</v>
      </c>
      <c r="B523" t="s">
        <v>3276</v>
      </c>
      <c r="C523" t="s">
        <v>3277</v>
      </c>
      <c r="D523" s="3">
        <v>35832</v>
      </c>
      <c r="E523" t="s">
        <v>1401</v>
      </c>
      <c r="G523" s="3">
        <v>45349</v>
      </c>
      <c r="H523" t="s">
        <v>3278</v>
      </c>
      <c r="J523" t="s">
        <v>1409</v>
      </c>
      <c r="K523" t="s">
        <v>52</v>
      </c>
      <c r="L523" s="3">
        <v>47194</v>
      </c>
      <c r="M523" s="3">
        <v>47168</v>
      </c>
      <c r="N523" t="s">
        <v>3279</v>
      </c>
      <c r="O523" s="4">
        <v>0.8</v>
      </c>
      <c r="P523">
        <v>0</v>
      </c>
      <c r="Q523">
        <v>0</v>
      </c>
    </row>
    <row r="524" spans="1:17" x14ac:dyDescent="0.25">
      <c r="A524">
        <v>37543</v>
      </c>
      <c r="B524" t="s">
        <v>3280</v>
      </c>
      <c r="C524" t="s">
        <v>3281</v>
      </c>
      <c r="D524" s="3">
        <v>25212</v>
      </c>
      <c r="E524" t="s">
        <v>1401</v>
      </c>
      <c r="G524" s="3">
        <v>44683</v>
      </c>
      <c r="H524" t="s">
        <v>3282</v>
      </c>
      <c r="J524" t="s">
        <v>1409</v>
      </c>
      <c r="K524" t="s">
        <v>64</v>
      </c>
      <c r="L524" s="3">
        <v>46529</v>
      </c>
      <c r="M524" s="3">
        <v>46470</v>
      </c>
      <c r="N524" t="s">
        <v>3283</v>
      </c>
      <c r="O524" s="4">
        <v>1</v>
      </c>
      <c r="P524">
        <v>0</v>
      </c>
      <c r="Q524">
        <v>0</v>
      </c>
    </row>
    <row r="525" spans="1:17" x14ac:dyDescent="0.25">
      <c r="A525">
        <v>28835</v>
      </c>
      <c r="B525" t="s">
        <v>3284</v>
      </c>
      <c r="C525" t="s">
        <v>3285</v>
      </c>
      <c r="D525" s="3">
        <v>33067</v>
      </c>
      <c r="E525" t="s">
        <v>1401</v>
      </c>
      <c r="F525">
        <v>241</v>
      </c>
      <c r="G525" s="3">
        <v>41722</v>
      </c>
      <c r="H525" t="s">
        <v>3286</v>
      </c>
      <c r="J525" t="s">
        <v>1520</v>
      </c>
      <c r="K525" t="s">
        <v>61</v>
      </c>
      <c r="L525" s="3">
        <v>47135</v>
      </c>
      <c r="M525" s="3">
        <v>47051</v>
      </c>
      <c r="N525" t="s">
        <v>3287</v>
      </c>
      <c r="O525" s="4">
        <v>0.8</v>
      </c>
      <c r="P525">
        <v>0</v>
      </c>
      <c r="Q525">
        <v>0</v>
      </c>
    </row>
    <row r="526" spans="1:17" x14ac:dyDescent="0.25">
      <c r="A526">
        <v>32245</v>
      </c>
      <c r="B526" t="s">
        <v>3288</v>
      </c>
      <c r="C526" t="s">
        <v>3289</v>
      </c>
      <c r="D526" s="3">
        <v>28206</v>
      </c>
      <c r="E526" t="s">
        <v>1401</v>
      </c>
      <c r="F526">
        <v>240</v>
      </c>
      <c r="G526" s="3">
        <v>43073</v>
      </c>
      <c r="H526" t="s">
        <v>3290</v>
      </c>
      <c r="I526" t="s">
        <v>3291</v>
      </c>
      <c r="J526" t="s">
        <v>1945</v>
      </c>
      <c r="K526" t="s">
        <v>58</v>
      </c>
      <c r="L526" s="3">
        <v>46676</v>
      </c>
      <c r="M526" s="3">
        <v>46616</v>
      </c>
      <c r="N526" t="s">
        <v>3292</v>
      </c>
      <c r="O526" s="4">
        <v>1</v>
      </c>
      <c r="P526">
        <v>0</v>
      </c>
      <c r="Q526">
        <v>0</v>
      </c>
    </row>
    <row r="527" spans="1:17" x14ac:dyDescent="0.25">
      <c r="A527">
        <v>5076</v>
      </c>
      <c r="B527" t="s">
        <v>3293</v>
      </c>
      <c r="C527" t="s">
        <v>3294</v>
      </c>
      <c r="D527" s="3">
        <v>23694</v>
      </c>
      <c r="E527" t="s">
        <v>1401</v>
      </c>
      <c r="F527">
        <v>630</v>
      </c>
      <c r="G527" s="3">
        <v>33308</v>
      </c>
      <c r="H527" t="s">
        <v>3295</v>
      </c>
      <c r="I527">
        <v>92277204</v>
      </c>
      <c r="J527" t="s">
        <v>1524</v>
      </c>
      <c r="K527" t="s">
        <v>55</v>
      </c>
      <c r="L527" s="3">
        <v>47653</v>
      </c>
      <c r="M527" s="3">
        <v>46834</v>
      </c>
      <c r="N527" t="s">
        <v>3296</v>
      </c>
      <c r="O527" s="4">
        <v>0.8</v>
      </c>
      <c r="P527">
        <v>0</v>
      </c>
      <c r="Q527">
        <v>0</v>
      </c>
    </row>
    <row r="528" spans="1:17" x14ac:dyDescent="0.25">
      <c r="A528">
        <v>23918</v>
      </c>
      <c r="B528" t="s">
        <v>3297</v>
      </c>
      <c r="C528" t="s">
        <v>3294</v>
      </c>
      <c r="D528" s="3">
        <v>26005</v>
      </c>
      <c r="E528" t="s">
        <v>1401</v>
      </c>
      <c r="F528">
        <v>376</v>
      </c>
      <c r="G528" s="3">
        <v>39972</v>
      </c>
      <c r="H528" t="s">
        <v>3298</v>
      </c>
      <c r="J528" t="s">
        <v>1520</v>
      </c>
      <c r="K528" t="s">
        <v>58</v>
      </c>
      <c r="L528" s="3">
        <v>47143</v>
      </c>
      <c r="M528" s="3">
        <v>46005</v>
      </c>
      <c r="N528" t="s">
        <v>3299</v>
      </c>
      <c r="O528" s="4">
        <v>1</v>
      </c>
      <c r="P528">
        <v>0</v>
      </c>
      <c r="Q528">
        <v>1</v>
      </c>
    </row>
    <row r="529" spans="1:17" x14ac:dyDescent="0.25">
      <c r="A529">
        <v>40890</v>
      </c>
      <c r="B529" t="s">
        <v>3300</v>
      </c>
      <c r="C529" t="s">
        <v>3301</v>
      </c>
      <c r="D529" s="3">
        <v>37705</v>
      </c>
      <c r="E529" t="s">
        <v>1401</v>
      </c>
      <c r="G529" s="3">
        <v>45530</v>
      </c>
      <c r="H529" t="s">
        <v>3302</v>
      </c>
      <c r="I529">
        <v>497579525</v>
      </c>
      <c r="J529" t="s">
        <v>1409</v>
      </c>
      <c r="K529" t="s">
        <v>52</v>
      </c>
      <c r="L529" s="3">
        <v>47372</v>
      </c>
      <c r="M529" s="3">
        <v>47303</v>
      </c>
      <c r="N529" t="s">
        <v>3303</v>
      </c>
      <c r="O529" s="4">
        <v>1</v>
      </c>
      <c r="P529">
        <v>0</v>
      </c>
      <c r="Q529">
        <v>0</v>
      </c>
    </row>
    <row r="530" spans="1:17" x14ac:dyDescent="0.25">
      <c r="A530">
        <v>40006</v>
      </c>
      <c r="B530" t="s">
        <v>3154</v>
      </c>
      <c r="C530" t="s">
        <v>3304</v>
      </c>
      <c r="D530" s="3">
        <v>38314</v>
      </c>
      <c r="E530" t="s">
        <v>1401</v>
      </c>
      <c r="G530" s="3">
        <v>45307</v>
      </c>
      <c r="H530" t="s">
        <v>3305</v>
      </c>
      <c r="J530" t="s">
        <v>1409</v>
      </c>
      <c r="K530" t="s">
        <v>61</v>
      </c>
      <c r="L530" s="3">
        <v>47154</v>
      </c>
      <c r="M530" s="3">
        <v>47126</v>
      </c>
      <c r="N530" t="s">
        <v>3306</v>
      </c>
      <c r="O530" s="4">
        <v>1</v>
      </c>
      <c r="P530">
        <v>0</v>
      </c>
      <c r="Q530">
        <v>0</v>
      </c>
    </row>
    <row r="531" spans="1:17" x14ac:dyDescent="0.25">
      <c r="A531">
        <v>36275</v>
      </c>
      <c r="B531" t="s">
        <v>3307</v>
      </c>
      <c r="C531" t="s">
        <v>3308</v>
      </c>
      <c r="D531" s="3">
        <v>27839</v>
      </c>
      <c r="E531" t="s">
        <v>1657</v>
      </c>
      <c r="G531" s="3">
        <v>44270</v>
      </c>
      <c r="H531" t="s">
        <v>3309</v>
      </c>
      <c r="J531" t="s">
        <v>1516</v>
      </c>
      <c r="K531" t="s">
        <v>52</v>
      </c>
      <c r="L531" s="3">
        <v>46368</v>
      </c>
      <c r="M531" s="3">
        <v>46120</v>
      </c>
      <c r="N531" t="s">
        <v>3310</v>
      </c>
      <c r="O531" s="4">
        <v>1</v>
      </c>
      <c r="P531">
        <v>0</v>
      </c>
      <c r="Q531">
        <v>0</v>
      </c>
    </row>
    <row r="532" spans="1:17" x14ac:dyDescent="0.25">
      <c r="A532">
        <v>41882</v>
      </c>
      <c r="B532" t="s">
        <v>3311</v>
      </c>
      <c r="C532" t="s">
        <v>3312</v>
      </c>
      <c r="D532" s="3">
        <v>32479</v>
      </c>
      <c r="E532" t="s">
        <v>1401</v>
      </c>
      <c r="G532" s="3">
        <v>45831</v>
      </c>
      <c r="H532" t="s">
        <v>3313</v>
      </c>
      <c r="J532" t="s">
        <v>1409</v>
      </c>
      <c r="K532" t="s">
        <v>58</v>
      </c>
      <c r="L532" s="3">
        <v>47673</v>
      </c>
      <c r="M532" s="3">
        <v>47568</v>
      </c>
      <c r="N532" t="s">
        <v>3314</v>
      </c>
      <c r="O532" s="4">
        <v>1</v>
      </c>
      <c r="P532">
        <v>0</v>
      </c>
      <c r="Q532">
        <v>0</v>
      </c>
    </row>
    <row r="533" spans="1:17" x14ac:dyDescent="0.25">
      <c r="A533">
        <v>19086</v>
      </c>
      <c r="B533" t="s">
        <v>2502</v>
      </c>
      <c r="C533" t="s">
        <v>3312</v>
      </c>
      <c r="D533" s="3">
        <v>29513</v>
      </c>
      <c r="E533" t="s">
        <v>1401</v>
      </c>
      <c r="F533">
        <v>264</v>
      </c>
      <c r="G533" s="3">
        <v>38789</v>
      </c>
      <c r="H533" t="s">
        <v>3315</v>
      </c>
      <c r="J533" t="s">
        <v>1481</v>
      </c>
      <c r="K533" t="s">
        <v>67</v>
      </c>
      <c r="L533" s="3">
        <v>72686</v>
      </c>
      <c r="M533" s="3">
        <v>46932</v>
      </c>
      <c r="N533" t="s">
        <v>3316</v>
      </c>
      <c r="O533" s="4">
        <v>1</v>
      </c>
      <c r="P533">
        <v>0</v>
      </c>
      <c r="Q533">
        <v>0</v>
      </c>
    </row>
    <row r="534" spans="1:17" x14ac:dyDescent="0.25">
      <c r="A534">
        <v>41521</v>
      </c>
      <c r="B534" t="s">
        <v>3317</v>
      </c>
      <c r="C534" t="s">
        <v>3318</v>
      </c>
      <c r="D534" s="3">
        <v>31115</v>
      </c>
      <c r="E534" t="s">
        <v>1401</v>
      </c>
      <c r="G534" s="3">
        <v>45720</v>
      </c>
      <c r="H534" t="s">
        <v>3319</v>
      </c>
      <c r="J534" t="s">
        <v>1409</v>
      </c>
      <c r="K534" t="s">
        <v>64</v>
      </c>
      <c r="L534" s="3">
        <v>1</v>
      </c>
      <c r="M534" s="3">
        <v>1</v>
      </c>
      <c r="N534" t="s">
        <v>3320</v>
      </c>
      <c r="O534" s="4">
        <v>1</v>
      </c>
      <c r="P534">
        <v>0</v>
      </c>
      <c r="Q534">
        <v>0</v>
      </c>
    </row>
    <row r="535" spans="1:17" x14ac:dyDescent="0.25">
      <c r="A535">
        <v>39856</v>
      </c>
      <c r="B535" t="s">
        <v>3321</v>
      </c>
      <c r="C535" t="s">
        <v>3322</v>
      </c>
      <c r="D535" s="3">
        <v>33698</v>
      </c>
      <c r="E535" t="s">
        <v>1401</v>
      </c>
      <c r="G535" s="3">
        <v>45264</v>
      </c>
      <c r="H535" t="s">
        <v>3323</v>
      </c>
      <c r="J535" t="s">
        <v>1409</v>
      </c>
      <c r="K535" t="s">
        <v>64</v>
      </c>
      <c r="L535" s="3">
        <v>47108</v>
      </c>
      <c r="M535" s="3">
        <v>47072</v>
      </c>
      <c r="N535" t="s">
        <v>3324</v>
      </c>
      <c r="O535" s="4">
        <v>1</v>
      </c>
      <c r="P535">
        <v>0</v>
      </c>
      <c r="Q535">
        <v>0</v>
      </c>
    </row>
    <row r="536" spans="1:17" x14ac:dyDescent="0.25">
      <c r="A536">
        <v>39610</v>
      </c>
      <c r="B536" t="s">
        <v>3325</v>
      </c>
      <c r="C536" t="s">
        <v>3326</v>
      </c>
      <c r="D536" s="3">
        <v>35615</v>
      </c>
      <c r="E536" t="s">
        <v>1401</v>
      </c>
      <c r="G536" s="3">
        <v>45208</v>
      </c>
      <c r="H536" t="s">
        <v>3327</v>
      </c>
      <c r="J536" t="s">
        <v>1409</v>
      </c>
      <c r="K536" t="s">
        <v>55</v>
      </c>
      <c r="L536" s="3">
        <v>47049</v>
      </c>
      <c r="M536" s="3">
        <v>47009</v>
      </c>
      <c r="N536" t="s">
        <v>3328</v>
      </c>
      <c r="O536" s="4">
        <v>1</v>
      </c>
      <c r="P536">
        <v>0</v>
      </c>
      <c r="Q536">
        <v>0</v>
      </c>
    </row>
    <row r="537" spans="1:17" x14ac:dyDescent="0.25">
      <c r="A537">
        <v>5063</v>
      </c>
      <c r="B537" t="s">
        <v>3329</v>
      </c>
      <c r="C537" t="s">
        <v>1373</v>
      </c>
      <c r="D537" s="3">
        <v>25160</v>
      </c>
      <c r="E537" t="s">
        <v>1401</v>
      </c>
      <c r="F537">
        <v>232</v>
      </c>
      <c r="G537" s="3">
        <v>33287</v>
      </c>
      <c r="H537" t="s">
        <v>3330</v>
      </c>
      <c r="J537" t="s">
        <v>1703</v>
      </c>
      <c r="K537" t="s">
        <v>73</v>
      </c>
      <c r="L537" s="3">
        <v>45952</v>
      </c>
      <c r="M537" s="3">
        <v>46665</v>
      </c>
      <c r="N537" t="s">
        <v>3331</v>
      </c>
      <c r="O537" s="4">
        <v>0.8</v>
      </c>
      <c r="P537">
        <v>0</v>
      </c>
      <c r="Q537">
        <v>0</v>
      </c>
    </row>
    <row r="538" spans="1:17" x14ac:dyDescent="0.25">
      <c r="A538">
        <v>41230</v>
      </c>
      <c r="B538" t="s">
        <v>3332</v>
      </c>
      <c r="C538" t="s">
        <v>1373</v>
      </c>
      <c r="D538" s="3">
        <v>27424</v>
      </c>
      <c r="E538" t="s">
        <v>1401</v>
      </c>
      <c r="G538" s="3">
        <v>45603</v>
      </c>
      <c r="H538" t="s">
        <v>3333</v>
      </c>
      <c r="J538" t="s">
        <v>1409</v>
      </c>
      <c r="K538" t="s">
        <v>52</v>
      </c>
      <c r="L538" s="3">
        <v>47448</v>
      </c>
      <c r="M538" s="3">
        <v>47407</v>
      </c>
      <c r="N538" t="s">
        <v>3334</v>
      </c>
      <c r="O538" s="4">
        <v>1</v>
      </c>
      <c r="P538">
        <v>0</v>
      </c>
      <c r="Q538">
        <v>0</v>
      </c>
    </row>
    <row r="539" spans="1:17" x14ac:dyDescent="0.25">
      <c r="A539">
        <v>27713</v>
      </c>
      <c r="B539" t="s">
        <v>3335</v>
      </c>
      <c r="C539" t="s">
        <v>1373</v>
      </c>
      <c r="D539" s="3">
        <v>25474</v>
      </c>
      <c r="E539" t="s">
        <v>1401</v>
      </c>
      <c r="F539">
        <v>77</v>
      </c>
      <c r="G539" s="3">
        <v>41218</v>
      </c>
      <c r="H539" t="s">
        <v>3336</v>
      </c>
      <c r="J539" t="s">
        <v>1481</v>
      </c>
      <c r="K539" t="s">
        <v>70</v>
      </c>
      <c r="L539" s="3">
        <v>46601</v>
      </c>
      <c r="M539" s="3">
        <v>46593</v>
      </c>
      <c r="N539" t="s">
        <v>3337</v>
      </c>
      <c r="O539" s="4">
        <v>0.8</v>
      </c>
      <c r="P539">
        <v>0</v>
      </c>
      <c r="Q539">
        <v>0</v>
      </c>
    </row>
    <row r="540" spans="1:17" x14ac:dyDescent="0.25">
      <c r="A540">
        <v>25486</v>
      </c>
      <c r="B540" t="s">
        <v>2651</v>
      </c>
      <c r="C540" t="s">
        <v>1373</v>
      </c>
      <c r="D540" s="3">
        <v>25942</v>
      </c>
      <c r="E540" t="s">
        <v>1401</v>
      </c>
      <c r="F540">
        <v>471</v>
      </c>
      <c r="G540" s="3">
        <v>40385</v>
      </c>
      <c r="H540" t="s">
        <v>3338</v>
      </c>
      <c r="J540" t="s">
        <v>1485</v>
      </c>
      <c r="K540" t="s">
        <v>61</v>
      </c>
      <c r="L540" s="3">
        <v>47467</v>
      </c>
      <c r="M540" s="3">
        <v>46718</v>
      </c>
      <c r="N540" t="s">
        <v>3339</v>
      </c>
      <c r="O540" s="4">
        <v>1</v>
      </c>
      <c r="P540">
        <v>0</v>
      </c>
      <c r="Q540">
        <v>0</v>
      </c>
    </row>
    <row r="541" spans="1:17" x14ac:dyDescent="0.25">
      <c r="A541">
        <v>22042</v>
      </c>
      <c r="B541" t="s">
        <v>3340</v>
      </c>
      <c r="C541" t="s">
        <v>1373</v>
      </c>
      <c r="D541" s="3">
        <v>31562</v>
      </c>
      <c r="E541" t="s">
        <v>1401</v>
      </c>
      <c r="F541">
        <v>286</v>
      </c>
      <c r="G541" s="3">
        <v>39538</v>
      </c>
      <c r="H541" t="s">
        <v>3341</v>
      </c>
      <c r="J541" t="s">
        <v>1588</v>
      </c>
      <c r="K541" t="s">
        <v>67</v>
      </c>
      <c r="L541" s="3">
        <v>47672</v>
      </c>
      <c r="M541" s="3">
        <v>46686</v>
      </c>
      <c r="N541" t="s">
        <v>3342</v>
      </c>
      <c r="O541" s="4">
        <v>1</v>
      </c>
      <c r="P541">
        <v>0</v>
      </c>
      <c r="Q541">
        <v>1</v>
      </c>
    </row>
    <row r="542" spans="1:17" x14ac:dyDescent="0.25">
      <c r="A542">
        <v>21507</v>
      </c>
      <c r="B542" t="s">
        <v>2430</v>
      </c>
      <c r="C542" t="s">
        <v>1373</v>
      </c>
      <c r="D542" s="3">
        <v>29938</v>
      </c>
      <c r="E542" t="s">
        <v>1401</v>
      </c>
      <c r="F542">
        <v>284</v>
      </c>
      <c r="G542" s="3">
        <v>39405</v>
      </c>
      <c r="H542" t="s">
        <v>3343</v>
      </c>
      <c r="J542" t="s">
        <v>1723</v>
      </c>
      <c r="K542" t="s">
        <v>64</v>
      </c>
      <c r="L542" s="3">
        <v>46662</v>
      </c>
      <c r="M542" s="3">
        <v>46658</v>
      </c>
      <c r="N542" t="s">
        <v>3344</v>
      </c>
      <c r="O542" s="4">
        <v>0.8</v>
      </c>
      <c r="P542">
        <v>0</v>
      </c>
      <c r="Q542">
        <v>0</v>
      </c>
    </row>
    <row r="543" spans="1:17" x14ac:dyDescent="0.25">
      <c r="A543">
        <v>20656</v>
      </c>
      <c r="B543" t="s">
        <v>1768</v>
      </c>
      <c r="C543" t="s">
        <v>1373</v>
      </c>
      <c r="D543" s="3">
        <v>25256</v>
      </c>
      <c r="E543" t="s">
        <v>1401</v>
      </c>
      <c r="F543">
        <v>502</v>
      </c>
      <c r="G543" s="3">
        <v>39204</v>
      </c>
      <c r="H543" t="s">
        <v>3345</v>
      </c>
      <c r="I543">
        <v>3254244570</v>
      </c>
      <c r="J543" t="s">
        <v>1570</v>
      </c>
      <c r="K543" t="s">
        <v>58</v>
      </c>
      <c r="L543" s="3">
        <v>47611</v>
      </c>
      <c r="M543" s="3">
        <v>46776</v>
      </c>
      <c r="N543" t="s">
        <v>3346</v>
      </c>
      <c r="O543" s="4">
        <v>0.8</v>
      </c>
      <c r="P543">
        <v>0</v>
      </c>
      <c r="Q543">
        <v>0</v>
      </c>
    </row>
    <row r="544" spans="1:17" x14ac:dyDescent="0.25">
      <c r="A544">
        <v>39728</v>
      </c>
      <c r="B544" t="s">
        <v>3347</v>
      </c>
      <c r="C544" t="s">
        <v>3348</v>
      </c>
      <c r="D544" s="3">
        <v>36347</v>
      </c>
      <c r="E544" t="s">
        <v>1401</v>
      </c>
      <c r="G544" s="3">
        <v>45250</v>
      </c>
      <c r="H544" t="s">
        <v>3349</v>
      </c>
      <c r="J544" t="s">
        <v>1409</v>
      </c>
      <c r="K544" t="s">
        <v>73</v>
      </c>
      <c r="L544" s="3">
        <v>47092</v>
      </c>
      <c r="M544" s="3">
        <v>47027</v>
      </c>
      <c r="N544" t="s">
        <v>3350</v>
      </c>
      <c r="O544" s="4">
        <v>1</v>
      </c>
      <c r="P544">
        <v>0</v>
      </c>
      <c r="Q544">
        <v>0</v>
      </c>
    </row>
    <row r="545" spans="1:17" x14ac:dyDescent="0.25">
      <c r="A545">
        <v>35434</v>
      </c>
      <c r="B545" t="s">
        <v>3351</v>
      </c>
      <c r="C545" t="s">
        <v>3352</v>
      </c>
      <c r="D545" s="3">
        <v>29155</v>
      </c>
      <c r="E545" t="s">
        <v>1401</v>
      </c>
      <c r="F545">
        <v>426</v>
      </c>
      <c r="G545" s="3">
        <v>44081</v>
      </c>
      <c r="H545" t="s">
        <v>3353</v>
      </c>
      <c r="J545" t="s">
        <v>1442</v>
      </c>
      <c r="K545" t="s">
        <v>52</v>
      </c>
      <c r="L545" s="3">
        <v>47435</v>
      </c>
      <c r="M545" s="3">
        <v>46646</v>
      </c>
      <c r="N545" t="s">
        <v>3354</v>
      </c>
      <c r="O545" s="4">
        <v>1</v>
      </c>
      <c r="P545">
        <v>0</v>
      </c>
      <c r="Q545">
        <v>1</v>
      </c>
    </row>
    <row r="546" spans="1:17" x14ac:dyDescent="0.25">
      <c r="A546">
        <v>24156</v>
      </c>
      <c r="B546" t="s">
        <v>3351</v>
      </c>
      <c r="C546" t="s">
        <v>3355</v>
      </c>
      <c r="D546" s="3">
        <v>32241</v>
      </c>
      <c r="E546" t="s">
        <v>1401</v>
      </c>
      <c r="F546">
        <v>432</v>
      </c>
      <c r="G546" s="3">
        <v>40000</v>
      </c>
      <c r="H546" t="s">
        <v>3356</v>
      </c>
      <c r="J546" t="s">
        <v>1442</v>
      </c>
      <c r="K546" t="s">
        <v>61</v>
      </c>
      <c r="L546" s="3">
        <v>47129</v>
      </c>
      <c r="M546" s="3">
        <v>47105</v>
      </c>
      <c r="N546" t="s">
        <v>3357</v>
      </c>
      <c r="O546" s="4">
        <v>1</v>
      </c>
      <c r="P546">
        <v>0</v>
      </c>
      <c r="Q546">
        <v>1</v>
      </c>
    </row>
    <row r="547" spans="1:17" x14ac:dyDescent="0.25">
      <c r="A547">
        <v>41520</v>
      </c>
      <c r="B547" t="s">
        <v>3358</v>
      </c>
      <c r="C547" t="s">
        <v>3359</v>
      </c>
      <c r="D547" s="3">
        <v>35076</v>
      </c>
      <c r="E547" t="s">
        <v>1401</v>
      </c>
      <c r="G547" s="3">
        <v>45720</v>
      </c>
      <c r="H547" t="s">
        <v>3360</v>
      </c>
      <c r="J547" t="s">
        <v>1409</v>
      </c>
      <c r="K547" t="s">
        <v>61</v>
      </c>
      <c r="L547" s="3">
        <v>47562</v>
      </c>
      <c r="M547" s="3">
        <v>47456</v>
      </c>
      <c r="N547" t="s">
        <v>3361</v>
      </c>
      <c r="O547" s="4">
        <v>1</v>
      </c>
      <c r="P547">
        <v>0</v>
      </c>
      <c r="Q547">
        <v>0</v>
      </c>
    </row>
    <row r="548" spans="1:17" x14ac:dyDescent="0.25">
      <c r="A548">
        <v>23790</v>
      </c>
      <c r="B548" t="s">
        <v>3362</v>
      </c>
      <c r="C548" t="s">
        <v>3363</v>
      </c>
      <c r="D548" s="3">
        <v>26528</v>
      </c>
      <c r="E548" t="s">
        <v>1401</v>
      </c>
      <c r="F548">
        <v>318</v>
      </c>
      <c r="G548" s="3">
        <v>39923</v>
      </c>
      <c r="H548" t="s">
        <v>3364</v>
      </c>
      <c r="J548" t="s">
        <v>1723</v>
      </c>
      <c r="K548" t="s">
        <v>52</v>
      </c>
      <c r="L548" s="3">
        <v>47154</v>
      </c>
      <c r="M548" s="3">
        <v>46981</v>
      </c>
      <c r="N548" t="s">
        <v>3365</v>
      </c>
      <c r="O548" s="4">
        <v>0.8</v>
      </c>
      <c r="P548">
        <v>0</v>
      </c>
      <c r="Q548">
        <v>0</v>
      </c>
    </row>
    <row r="549" spans="1:17" x14ac:dyDescent="0.25">
      <c r="A549">
        <v>41064</v>
      </c>
      <c r="B549" t="s">
        <v>3366</v>
      </c>
      <c r="C549" t="s">
        <v>3367</v>
      </c>
      <c r="D549" s="3">
        <v>37647</v>
      </c>
      <c r="E549" t="s">
        <v>1401</v>
      </c>
      <c r="G549" s="3">
        <v>45588</v>
      </c>
      <c r="H549" t="s">
        <v>3368</v>
      </c>
      <c r="J549" t="s">
        <v>1409</v>
      </c>
      <c r="K549" t="s">
        <v>52</v>
      </c>
      <c r="L549" s="3">
        <v>47435</v>
      </c>
      <c r="M549" s="3">
        <v>47379</v>
      </c>
      <c r="N549" t="s">
        <v>3369</v>
      </c>
      <c r="O549" s="4">
        <v>1</v>
      </c>
      <c r="P549">
        <v>0</v>
      </c>
      <c r="Q549">
        <v>0</v>
      </c>
    </row>
    <row r="550" spans="1:17" x14ac:dyDescent="0.25">
      <c r="A550">
        <v>36228</v>
      </c>
      <c r="B550" t="s">
        <v>3370</v>
      </c>
      <c r="C550" t="s">
        <v>3371</v>
      </c>
      <c r="D550" s="3">
        <v>36109</v>
      </c>
      <c r="E550" t="s">
        <v>1401</v>
      </c>
      <c r="G550" s="3">
        <v>44256</v>
      </c>
      <c r="H550" t="s">
        <v>3372</v>
      </c>
      <c r="J550" t="s">
        <v>1409</v>
      </c>
      <c r="K550" t="s">
        <v>58</v>
      </c>
      <c r="L550" s="3">
        <v>46096</v>
      </c>
      <c r="M550" s="3">
        <v>45903</v>
      </c>
      <c r="N550" t="s">
        <v>3373</v>
      </c>
      <c r="O550" s="4">
        <v>1</v>
      </c>
      <c r="P550">
        <v>0</v>
      </c>
      <c r="Q550">
        <v>0</v>
      </c>
    </row>
    <row r="551" spans="1:17" x14ac:dyDescent="0.25">
      <c r="A551">
        <v>40201</v>
      </c>
      <c r="B551" t="s">
        <v>3140</v>
      </c>
      <c r="C551" t="s">
        <v>3374</v>
      </c>
      <c r="D551" s="3">
        <v>37879</v>
      </c>
      <c r="E551" t="s">
        <v>1401</v>
      </c>
      <c r="G551" s="3">
        <v>45378</v>
      </c>
      <c r="H551" t="s">
        <v>3375</v>
      </c>
      <c r="J551" t="s">
        <v>1409</v>
      </c>
      <c r="K551" t="s">
        <v>52</v>
      </c>
      <c r="L551" s="3">
        <v>47224</v>
      </c>
      <c r="M551" s="3">
        <v>47150</v>
      </c>
      <c r="N551" t="s">
        <v>3376</v>
      </c>
      <c r="O551" s="4">
        <v>1</v>
      </c>
      <c r="P551">
        <v>0</v>
      </c>
      <c r="Q551">
        <v>0</v>
      </c>
    </row>
    <row r="552" spans="1:17" x14ac:dyDescent="0.25">
      <c r="A552">
        <v>40294</v>
      </c>
      <c r="B552" t="s">
        <v>3377</v>
      </c>
      <c r="C552" t="s">
        <v>3378</v>
      </c>
      <c r="D552" s="3">
        <v>33604</v>
      </c>
      <c r="E552" t="s">
        <v>1401</v>
      </c>
      <c r="G552" s="3">
        <v>45404</v>
      </c>
      <c r="H552" t="s">
        <v>3379</v>
      </c>
      <c r="J552" t="s">
        <v>1409</v>
      </c>
      <c r="K552" t="s">
        <v>61</v>
      </c>
      <c r="L552" s="3">
        <v>47504</v>
      </c>
      <c r="M552" s="3">
        <v>47498</v>
      </c>
      <c r="N552" t="s">
        <v>3380</v>
      </c>
      <c r="O552" s="4">
        <v>1</v>
      </c>
      <c r="P552">
        <v>0</v>
      </c>
      <c r="Q552">
        <v>0</v>
      </c>
    </row>
    <row r="553" spans="1:17" x14ac:dyDescent="0.25">
      <c r="A553">
        <v>8394</v>
      </c>
      <c r="B553" t="s">
        <v>3381</v>
      </c>
      <c r="C553" t="s">
        <v>3382</v>
      </c>
      <c r="D553" s="3">
        <v>26996</v>
      </c>
      <c r="E553" t="s">
        <v>1401</v>
      </c>
      <c r="F553">
        <v>71</v>
      </c>
      <c r="G553" s="3">
        <v>35219</v>
      </c>
      <c r="H553" t="s">
        <v>3383</v>
      </c>
      <c r="J553" t="s">
        <v>1529</v>
      </c>
      <c r="K553" t="s">
        <v>73</v>
      </c>
      <c r="L553" s="3">
        <v>45880</v>
      </c>
      <c r="M553" s="3">
        <v>46014</v>
      </c>
      <c r="N553" t="s">
        <v>3384</v>
      </c>
      <c r="O553" s="4">
        <v>1</v>
      </c>
      <c r="P553">
        <v>0</v>
      </c>
      <c r="Q553">
        <v>1</v>
      </c>
    </row>
    <row r="554" spans="1:17" x14ac:dyDescent="0.25">
      <c r="A554">
        <v>6229</v>
      </c>
      <c r="B554" t="s">
        <v>1277</v>
      </c>
      <c r="C554" t="s">
        <v>3382</v>
      </c>
      <c r="D554" s="3">
        <v>20773</v>
      </c>
      <c r="E554" t="s">
        <v>1401</v>
      </c>
      <c r="F554">
        <v>628</v>
      </c>
      <c r="G554" s="3">
        <v>34008</v>
      </c>
      <c r="H554" t="s">
        <v>3385</v>
      </c>
      <c r="J554" t="s">
        <v>1538</v>
      </c>
      <c r="K554" t="s">
        <v>58</v>
      </c>
      <c r="L554" s="3">
        <v>47481</v>
      </c>
      <c r="M554" s="3">
        <v>47456</v>
      </c>
      <c r="N554" t="s">
        <v>3386</v>
      </c>
      <c r="O554" s="4">
        <v>0.5</v>
      </c>
      <c r="P554">
        <v>0</v>
      </c>
      <c r="Q554">
        <v>0</v>
      </c>
    </row>
    <row r="555" spans="1:17" x14ac:dyDescent="0.25">
      <c r="A555">
        <v>38740</v>
      </c>
      <c r="B555" t="s">
        <v>3387</v>
      </c>
      <c r="C555" t="s">
        <v>3388</v>
      </c>
      <c r="D555" s="3">
        <v>33360</v>
      </c>
      <c r="E555" t="s">
        <v>1401</v>
      </c>
      <c r="G555" s="3">
        <v>45027</v>
      </c>
      <c r="H555" t="s">
        <v>3389</v>
      </c>
      <c r="J555" t="s">
        <v>1409</v>
      </c>
      <c r="K555" t="s">
        <v>61</v>
      </c>
      <c r="L555" s="3">
        <v>46869</v>
      </c>
      <c r="M555" s="3">
        <v>46791</v>
      </c>
      <c r="N555" t="s">
        <v>3390</v>
      </c>
      <c r="O555" s="4">
        <v>1</v>
      </c>
      <c r="P555">
        <v>0</v>
      </c>
      <c r="Q555">
        <v>0</v>
      </c>
    </row>
    <row r="556" spans="1:17" x14ac:dyDescent="0.25">
      <c r="A556">
        <v>29746</v>
      </c>
      <c r="B556" t="s">
        <v>3391</v>
      </c>
      <c r="C556" t="s">
        <v>3392</v>
      </c>
      <c r="D556" s="3">
        <v>28476</v>
      </c>
      <c r="E556" t="s">
        <v>1401</v>
      </c>
      <c r="F556">
        <v>70</v>
      </c>
      <c r="G556" s="3">
        <v>42093</v>
      </c>
      <c r="H556" t="s">
        <v>3393</v>
      </c>
      <c r="J556" t="s">
        <v>1419</v>
      </c>
      <c r="K556" t="s">
        <v>55</v>
      </c>
      <c r="L556" s="3">
        <v>47454</v>
      </c>
      <c r="M556" s="3">
        <v>47449</v>
      </c>
      <c r="N556" t="s">
        <v>3394</v>
      </c>
      <c r="O556" s="4">
        <v>1</v>
      </c>
      <c r="P556">
        <v>0</v>
      </c>
      <c r="Q556">
        <v>1</v>
      </c>
    </row>
    <row r="557" spans="1:17" x14ac:dyDescent="0.25">
      <c r="A557">
        <v>29818</v>
      </c>
      <c r="B557" t="s">
        <v>3395</v>
      </c>
      <c r="C557" t="s">
        <v>3396</v>
      </c>
      <c r="D557" s="3">
        <v>32133</v>
      </c>
      <c r="E557" t="s">
        <v>1657</v>
      </c>
      <c r="F557">
        <v>401</v>
      </c>
      <c r="G557" s="3">
        <v>42121</v>
      </c>
      <c r="H557" t="s">
        <v>3397</v>
      </c>
      <c r="J557" t="s">
        <v>1723</v>
      </c>
      <c r="K557" t="s">
        <v>52</v>
      </c>
      <c r="L557" s="3">
        <v>47485</v>
      </c>
      <c r="M557" s="3">
        <v>47470</v>
      </c>
      <c r="N557" t="s">
        <v>3398</v>
      </c>
      <c r="O557" s="4">
        <v>1</v>
      </c>
      <c r="P557">
        <v>0</v>
      </c>
      <c r="Q557">
        <v>0</v>
      </c>
    </row>
    <row r="558" spans="1:17" x14ac:dyDescent="0.25">
      <c r="A558">
        <v>8708</v>
      </c>
      <c r="B558" t="s">
        <v>3399</v>
      </c>
      <c r="C558" t="s">
        <v>3400</v>
      </c>
      <c r="D558" s="3">
        <v>27571</v>
      </c>
      <c r="E558" t="s">
        <v>1401</v>
      </c>
      <c r="F558">
        <v>2</v>
      </c>
      <c r="G558" s="3">
        <v>35303</v>
      </c>
      <c r="I558">
        <v>93568611</v>
      </c>
      <c r="J558" t="s">
        <v>1529</v>
      </c>
      <c r="K558" t="s">
        <v>73</v>
      </c>
      <c r="L558" s="3">
        <v>47576</v>
      </c>
      <c r="M558" s="3">
        <v>47573</v>
      </c>
      <c r="N558" t="s">
        <v>3401</v>
      </c>
      <c r="O558" s="4">
        <v>0.8</v>
      </c>
      <c r="P558">
        <v>0</v>
      </c>
      <c r="Q558">
        <v>0</v>
      </c>
    </row>
    <row r="559" spans="1:17" x14ac:dyDescent="0.25">
      <c r="A559">
        <v>33551</v>
      </c>
      <c r="B559" t="s">
        <v>3402</v>
      </c>
      <c r="C559" t="s">
        <v>3400</v>
      </c>
      <c r="D559" s="3">
        <v>31396</v>
      </c>
      <c r="E559" t="s">
        <v>1401</v>
      </c>
      <c r="G559" s="3">
        <v>43500</v>
      </c>
      <c r="H559" t="s">
        <v>3403</v>
      </c>
      <c r="I559" t="s">
        <v>3403</v>
      </c>
      <c r="J559" t="s">
        <v>1409</v>
      </c>
      <c r="K559" t="s">
        <v>58</v>
      </c>
      <c r="L559" s="3">
        <v>47161</v>
      </c>
      <c r="M559" s="3">
        <v>47136</v>
      </c>
      <c r="N559" t="s">
        <v>3404</v>
      </c>
      <c r="O559" s="4">
        <v>0.8</v>
      </c>
      <c r="P559">
        <v>0</v>
      </c>
      <c r="Q559">
        <v>0</v>
      </c>
    </row>
    <row r="560" spans="1:17" x14ac:dyDescent="0.25">
      <c r="A560">
        <v>20655</v>
      </c>
      <c r="B560" t="s">
        <v>3405</v>
      </c>
      <c r="C560" t="s">
        <v>3400</v>
      </c>
      <c r="D560" s="3">
        <v>30082</v>
      </c>
      <c r="E560" t="s">
        <v>1401</v>
      </c>
      <c r="F560">
        <v>344</v>
      </c>
      <c r="G560" s="3">
        <v>39204</v>
      </c>
      <c r="H560" t="s">
        <v>3406</v>
      </c>
      <c r="J560" t="s">
        <v>1507</v>
      </c>
      <c r="K560" t="s">
        <v>70</v>
      </c>
      <c r="L560" s="3">
        <v>73050</v>
      </c>
      <c r="M560" s="3">
        <v>47201</v>
      </c>
      <c r="N560" t="s">
        <v>3407</v>
      </c>
      <c r="O560" s="4">
        <v>0.8</v>
      </c>
      <c r="P560">
        <v>0</v>
      </c>
      <c r="Q560">
        <v>0</v>
      </c>
    </row>
    <row r="561" spans="1:17" x14ac:dyDescent="0.25">
      <c r="A561">
        <v>16897</v>
      </c>
      <c r="B561" t="s">
        <v>3140</v>
      </c>
      <c r="C561" t="s">
        <v>3400</v>
      </c>
      <c r="D561" s="3">
        <v>30395</v>
      </c>
      <c r="E561" t="s">
        <v>1401</v>
      </c>
      <c r="F561">
        <v>416</v>
      </c>
      <c r="G561" s="3">
        <v>38103</v>
      </c>
      <c r="H561" t="s">
        <v>3408</v>
      </c>
      <c r="J561" t="s">
        <v>1507</v>
      </c>
      <c r="K561" t="s">
        <v>67</v>
      </c>
      <c r="L561" s="3">
        <v>72686</v>
      </c>
      <c r="M561" s="3">
        <v>47323</v>
      </c>
      <c r="N561" t="s">
        <v>3409</v>
      </c>
      <c r="O561" s="4">
        <v>0.8</v>
      </c>
      <c r="P561">
        <v>0</v>
      </c>
      <c r="Q561">
        <v>0</v>
      </c>
    </row>
    <row r="562" spans="1:17" x14ac:dyDescent="0.25">
      <c r="A562">
        <v>30121</v>
      </c>
      <c r="B562" t="s">
        <v>3410</v>
      </c>
      <c r="C562" t="s">
        <v>3411</v>
      </c>
      <c r="D562" s="3">
        <v>22410</v>
      </c>
      <c r="E562" t="s">
        <v>1401</v>
      </c>
      <c r="F562">
        <v>134</v>
      </c>
      <c r="G562" s="3">
        <v>42198</v>
      </c>
      <c r="H562" t="s">
        <v>3412</v>
      </c>
      <c r="I562">
        <v>92280648</v>
      </c>
      <c r="J562" t="s">
        <v>1419</v>
      </c>
      <c r="K562" t="s">
        <v>61</v>
      </c>
      <c r="L562" s="3">
        <v>47533</v>
      </c>
      <c r="M562" s="3">
        <v>47524</v>
      </c>
      <c r="N562" t="s">
        <v>3413</v>
      </c>
      <c r="O562" s="4">
        <v>1</v>
      </c>
      <c r="P562">
        <v>0</v>
      </c>
      <c r="Q562">
        <v>0</v>
      </c>
    </row>
    <row r="563" spans="1:17" x14ac:dyDescent="0.25">
      <c r="A563">
        <v>39183</v>
      </c>
      <c r="B563" t="s">
        <v>3414</v>
      </c>
      <c r="C563" t="s">
        <v>3415</v>
      </c>
      <c r="D563" s="3">
        <v>32148</v>
      </c>
      <c r="E563" t="s">
        <v>1401</v>
      </c>
      <c r="G563" s="3">
        <v>45103</v>
      </c>
      <c r="H563" t="s">
        <v>3416</v>
      </c>
      <c r="J563" t="s">
        <v>1409</v>
      </c>
      <c r="K563" t="s">
        <v>61</v>
      </c>
      <c r="L563" s="3">
        <v>46946</v>
      </c>
      <c r="M563" s="3">
        <v>46887</v>
      </c>
      <c r="N563" t="s">
        <v>3417</v>
      </c>
      <c r="O563" s="4">
        <v>1</v>
      </c>
      <c r="P563">
        <v>0</v>
      </c>
      <c r="Q563">
        <v>0</v>
      </c>
    </row>
    <row r="564" spans="1:17" x14ac:dyDescent="0.25">
      <c r="A564">
        <v>42022</v>
      </c>
      <c r="B564" t="s">
        <v>3418</v>
      </c>
      <c r="C564" t="s">
        <v>3419</v>
      </c>
      <c r="D564" s="3">
        <v>36225</v>
      </c>
      <c r="E564" t="s">
        <v>1401</v>
      </c>
      <c r="G564" s="3">
        <v>45840</v>
      </c>
      <c r="H564" t="s">
        <v>3420</v>
      </c>
      <c r="J564" t="s">
        <v>1409</v>
      </c>
      <c r="K564" t="s">
        <v>58</v>
      </c>
      <c r="L564" s="3">
        <v>47538</v>
      </c>
      <c r="M564" s="3">
        <v>47243</v>
      </c>
      <c r="N564" t="s">
        <v>3421</v>
      </c>
      <c r="O564" s="4">
        <v>1</v>
      </c>
      <c r="P564">
        <v>0</v>
      </c>
      <c r="Q564">
        <v>0</v>
      </c>
    </row>
    <row r="565" spans="1:17" x14ac:dyDescent="0.25">
      <c r="A565">
        <v>40055</v>
      </c>
      <c r="B565" t="s">
        <v>3422</v>
      </c>
      <c r="C565" t="s">
        <v>3423</v>
      </c>
      <c r="D565" s="3">
        <v>34746</v>
      </c>
      <c r="E565" t="s">
        <v>1401</v>
      </c>
      <c r="G565" s="3">
        <v>45321</v>
      </c>
      <c r="H565" t="s">
        <v>3424</v>
      </c>
      <c r="J565" t="s">
        <v>1409</v>
      </c>
      <c r="K565" t="s">
        <v>58</v>
      </c>
      <c r="L565" s="3">
        <v>47168</v>
      </c>
      <c r="M565" s="3">
        <v>47129</v>
      </c>
      <c r="N565" t="s">
        <v>3425</v>
      </c>
      <c r="O565" s="4">
        <v>1</v>
      </c>
      <c r="P565">
        <v>0</v>
      </c>
      <c r="Q565">
        <v>0</v>
      </c>
    </row>
    <row r="566" spans="1:17" x14ac:dyDescent="0.25">
      <c r="A566">
        <v>40478</v>
      </c>
      <c r="B566" t="s">
        <v>3426</v>
      </c>
      <c r="C566" t="s">
        <v>3427</v>
      </c>
      <c r="D566" s="3">
        <v>36547</v>
      </c>
      <c r="E566" t="s">
        <v>1401</v>
      </c>
      <c r="G566" s="3">
        <v>45442</v>
      </c>
      <c r="H566" t="s">
        <v>3428</v>
      </c>
      <c r="J566" t="s">
        <v>1409</v>
      </c>
      <c r="K566" t="s">
        <v>55</v>
      </c>
      <c r="L566" s="3">
        <v>47286</v>
      </c>
      <c r="M566" s="3">
        <v>47222</v>
      </c>
      <c r="N566" t="s">
        <v>3429</v>
      </c>
      <c r="O566" s="4">
        <v>1</v>
      </c>
      <c r="P566">
        <v>0</v>
      </c>
      <c r="Q566">
        <v>0</v>
      </c>
    </row>
    <row r="567" spans="1:17" x14ac:dyDescent="0.25">
      <c r="A567">
        <v>40521</v>
      </c>
      <c r="B567" t="s">
        <v>3430</v>
      </c>
      <c r="C567" t="s">
        <v>3431</v>
      </c>
      <c r="D567" s="3">
        <v>31462</v>
      </c>
      <c r="E567" t="s">
        <v>1401</v>
      </c>
      <c r="G567" s="3">
        <v>45419</v>
      </c>
      <c r="H567" t="s">
        <v>3432</v>
      </c>
      <c r="J567" t="s">
        <v>1409</v>
      </c>
      <c r="K567" t="s">
        <v>73</v>
      </c>
      <c r="L567" s="3">
        <v>46281</v>
      </c>
      <c r="M567" s="3">
        <v>46244</v>
      </c>
      <c r="N567" t="s">
        <v>3433</v>
      </c>
      <c r="O567" s="4">
        <v>1</v>
      </c>
      <c r="P567">
        <v>0</v>
      </c>
      <c r="Q567">
        <v>0</v>
      </c>
    </row>
    <row r="568" spans="1:17" x14ac:dyDescent="0.25">
      <c r="A568">
        <v>39251</v>
      </c>
      <c r="B568" t="s">
        <v>3434</v>
      </c>
      <c r="C568" t="s">
        <v>3431</v>
      </c>
      <c r="D568" s="3">
        <v>36822</v>
      </c>
      <c r="E568" t="s">
        <v>1401</v>
      </c>
      <c r="G568" s="3">
        <v>45103</v>
      </c>
      <c r="H568" t="s">
        <v>3435</v>
      </c>
      <c r="J568" t="s">
        <v>1409</v>
      </c>
      <c r="K568" t="s">
        <v>70</v>
      </c>
      <c r="L568" s="3">
        <v>46945</v>
      </c>
      <c r="M568" s="3">
        <v>46925</v>
      </c>
      <c r="N568" t="s">
        <v>3436</v>
      </c>
      <c r="O568" s="4">
        <v>1</v>
      </c>
      <c r="P568">
        <v>0</v>
      </c>
      <c r="Q568">
        <v>0</v>
      </c>
    </row>
    <row r="569" spans="1:17" x14ac:dyDescent="0.25">
      <c r="A569">
        <v>24367</v>
      </c>
      <c r="B569" t="s">
        <v>3437</v>
      </c>
      <c r="C569" t="s">
        <v>3431</v>
      </c>
      <c r="D569" s="3">
        <v>26948</v>
      </c>
      <c r="E569" t="s">
        <v>1401</v>
      </c>
      <c r="F569">
        <v>605</v>
      </c>
      <c r="G569" s="3">
        <v>40035</v>
      </c>
      <c r="H569" t="s">
        <v>3438</v>
      </c>
      <c r="J569" t="s">
        <v>1477</v>
      </c>
      <c r="K569" t="s">
        <v>55</v>
      </c>
      <c r="L569" s="3">
        <v>47150</v>
      </c>
      <c r="M569" s="3">
        <v>47141</v>
      </c>
      <c r="N569" t="s">
        <v>3439</v>
      </c>
      <c r="O569" s="4">
        <v>1</v>
      </c>
      <c r="P569">
        <v>0</v>
      </c>
      <c r="Q569">
        <v>0</v>
      </c>
    </row>
    <row r="570" spans="1:17" x14ac:dyDescent="0.25">
      <c r="A570">
        <v>42015</v>
      </c>
      <c r="B570" t="s">
        <v>3440</v>
      </c>
      <c r="C570" t="s">
        <v>3441</v>
      </c>
      <c r="D570" s="3">
        <v>31325</v>
      </c>
      <c r="E570" t="s">
        <v>1401</v>
      </c>
      <c r="G570" s="3">
        <v>45831</v>
      </c>
      <c r="H570" t="s">
        <v>3442</v>
      </c>
      <c r="J570" t="s">
        <v>1409</v>
      </c>
      <c r="K570" t="s">
        <v>58</v>
      </c>
      <c r="L570" s="3">
        <v>47679</v>
      </c>
      <c r="M570" s="3">
        <v>47636</v>
      </c>
      <c r="N570" t="s">
        <v>3443</v>
      </c>
      <c r="O570" s="4">
        <v>1</v>
      </c>
      <c r="P570">
        <v>0</v>
      </c>
      <c r="Q570">
        <v>0</v>
      </c>
    </row>
    <row r="571" spans="1:17" x14ac:dyDescent="0.25">
      <c r="A571">
        <v>37936</v>
      </c>
      <c r="B571" t="s">
        <v>3444</v>
      </c>
      <c r="C571" t="s">
        <v>3441</v>
      </c>
      <c r="D571" s="3">
        <v>34889</v>
      </c>
      <c r="E571" t="s">
        <v>1401</v>
      </c>
      <c r="G571" s="3">
        <v>44837</v>
      </c>
      <c r="H571" t="s">
        <v>3445</v>
      </c>
      <c r="J571" t="s">
        <v>1460</v>
      </c>
      <c r="K571" t="s">
        <v>67</v>
      </c>
      <c r="L571" s="3">
        <v>46553</v>
      </c>
      <c r="M571" s="3">
        <v>46680</v>
      </c>
      <c r="N571" t="s">
        <v>3446</v>
      </c>
      <c r="O571" s="4">
        <v>1</v>
      </c>
      <c r="P571">
        <v>0</v>
      </c>
      <c r="Q571">
        <v>0</v>
      </c>
    </row>
    <row r="572" spans="1:17" x14ac:dyDescent="0.25">
      <c r="A572">
        <v>39146</v>
      </c>
      <c r="B572" t="s">
        <v>3447</v>
      </c>
      <c r="C572" t="s">
        <v>3448</v>
      </c>
      <c r="D572" s="3">
        <v>28674</v>
      </c>
      <c r="E572" t="s">
        <v>1401</v>
      </c>
      <c r="G572" s="3">
        <v>45090</v>
      </c>
      <c r="H572" t="s">
        <v>3449</v>
      </c>
      <c r="J572" t="s">
        <v>1409</v>
      </c>
      <c r="K572" t="s">
        <v>70</v>
      </c>
      <c r="L572" s="3">
        <v>46933</v>
      </c>
      <c r="M572" s="3">
        <v>46883</v>
      </c>
      <c r="N572" t="s">
        <v>3450</v>
      </c>
      <c r="O572" s="4">
        <v>1</v>
      </c>
      <c r="P572">
        <v>0</v>
      </c>
      <c r="Q572">
        <v>0</v>
      </c>
    </row>
    <row r="573" spans="1:17" x14ac:dyDescent="0.25">
      <c r="A573">
        <v>21466</v>
      </c>
      <c r="B573" t="s">
        <v>2096</v>
      </c>
      <c r="C573" t="s">
        <v>3448</v>
      </c>
      <c r="D573" s="3">
        <v>25358</v>
      </c>
      <c r="E573" t="s">
        <v>1401</v>
      </c>
      <c r="F573">
        <v>395</v>
      </c>
      <c r="G573" s="3">
        <v>39391</v>
      </c>
      <c r="I573">
        <v>32479662027</v>
      </c>
      <c r="J573" t="s">
        <v>1529</v>
      </c>
      <c r="K573" t="s">
        <v>73</v>
      </c>
      <c r="L573" s="3">
        <v>47664</v>
      </c>
      <c r="M573" s="3">
        <v>46369</v>
      </c>
      <c r="N573" t="s">
        <v>3451</v>
      </c>
      <c r="O573" s="4">
        <v>1</v>
      </c>
      <c r="P573">
        <v>0</v>
      </c>
      <c r="Q573">
        <v>0</v>
      </c>
    </row>
    <row r="574" spans="1:17" x14ac:dyDescent="0.25">
      <c r="A574">
        <v>37907</v>
      </c>
      <c r="B574" t="s">
        <v>3452</v>
      </c>
      <c r="C574" t="s">
        <v>3453</v>
      </c>
      <c r="D574" s="3">
        <v>36493</v>
      </c>
      <c r="E574" t="s">
        <v>1401</v>
      </c>
      <c r="G574" s="3">
        <v>44809</v>
      </c>
      <c r="H574" t="s">
        <v>3454</v>
      </c>
      <c r="J574" t="s">
        <v>1409</v>
      </c>
      <c r="K574" t="s">
        <v>52</v>
      </c>
      <c r="L574" s="3">
        <v>46652</v>
      </c>
      <c r="M574" s="3">
        <v>46574</v>
      </c>
      <c r="N574" t="s">
        <v>3455</v>
      </c>
      <c r="O574" s="4">
        <v>1</v>
      </c>
      <c r="P574">
        <v>0</v>
      </c>
      <c r="Q574">
        <v>0</v>
      </c>
    </row>
    <row r="575" spans="1:17" x14ac:dyDescent="0.25">
      <c r="A575">
        <v>6049</v>
      </c>
      <c r="B575" t="s">
        <v>3456</v>
      </c>
      <c r="C575" t="s">
        <v>3457</v>
      </c>
      <c r="D575" s="3">
        <v>23942</v>
      </c>
      <c r="E575" t="s">
        <v>1401</v>
      </c>
      <c r="F575">
        <v>193</v>
      </c>
      <c r="G575" s="3">
        <v>33819</v>
      </c>
      <c r="H575" t="s">
        <v>3458</v>
      </c>
      <c r="J575" t="s">
        <v>1529</v>
      </c>
      <c r="K575" t="s">
        <v>73</v>
      </c>
      <c r="L575" s="3">
        <v>47636</v>
      </c>
      <c r="M575" s="3">
        <v>46364</v>
      </c>
      <c r="N575" t="s">
        <v>3459</v>
      </c>
      <c r="O575" s="4">
        <v>0.8</v>
      </c>
      <c r="P575">
        <v>0</v>
      </c>
      <c r="Q575">
        <v>1</v>
      </c>
    </row>
    <row r="576" spans="1:17" x14ac:dyDescent="0.25">
      <c r="A576">
        <v>35397</v>
      </c>
      <c r="B576" t="s">
        <v>3460</v>
      </c>
      <c r="C576" t="s">
        <v>3461</v>
      </c>
      <c r="D576" s="3">
        <v>30513</v>
      </c>
      <c r="E576" t="s">
        <v>1401</v>
      </c>
      <c r="F576">
        <v>387</v>
      </c>
      <c r="G576" s="3">
        <v>43984</v>
      </c>
      <c r="H576" t="s">
        <v>3462</v>
      </c>
      <c r="I576">
        <v>92567935</v>
      </c>
      <c r="J576" t="s">
        <v>1442</v>
      </c>
      <c r="K576" t="s">
        <v>73</v>
      </c>
      <c r="L576" s="3">
        <v>47450</v>
      </c>
      <c r="M576" s="3">
        <v>47441</v>
      </c>
      <c r="N576" t="s">
        <v>3463</v>
      </c>
      <c r="O576" s="4">
        <v>1</v>
      </c>
      <c r="P576">
        <v>0</v>
      </c>
      <c r="Q576">
        <v>1</v>
      </c>
    </row>
    <row r="577" spans="1:17" x14ac:dyDescent="0.25">
      <c r="A577">
        <v>38013</v>
      </c>
      <c r="B577" t="s">
        <v>3464</v>
      </c>
      <c r="C577" t="s">
        <v>1885</v>
      </c>
      <c r="D577" s="3">
        <v>32771</v>
      </c>
      <c r="E577" t="s">
        <v>1401</v>
      </c>
      <c r="G577" s="3">
        <v>44837</v>
      </c>
      <c r="H577" t="s">
        <v>3465</v>
      </c>
      <c r="J577" t="s">
        <v>1404</v>
      </c>
      <c r="K577" t="s">
        <v>73</v>
      </c>
      <c r="L577" s="3">
        <v>46683</v>
      </c>
      <c r="M577" s="3">
        <v>46565</v>
      </c>
      <c r="N577" t="s">
        <v>3466</v>
      </c>
      <c r="O577" s="4">
        <v>1</v>
      </c>
      <c r="P577">
        <v>0</v>
      </c>
      <c r="Q577">
        <v>0</v>
      </c>
    </row>
    <row r="578" spans="1:17" x14ac:dyDescent="0.25">
      <c r="A578">
        <v>25829</v>
      </c>
      <c r="B578" t="s">
        <v>3467</v>
      </c>
      <c r="C578" t="s">
        <v>1885</v>
      </c>
      <c r="D578" s="3">
        <v>28120</v>
      </c>
      <c r="E578" t="s">
        <v>1401</v>
      </c>
      <c r="F578">
        <v>74</v>
      </c>
      <c r="G578" s="3">
        <v>40497</v>
      </c>
      <c r="H578" t="s">
        <v>3468</v>
      </c>
      <c r="J578" t="s">
        <v>1538</v>
      </c>
      <c r="K578" t="s">
        <v>67</v>
      </c>
      <c r="L578" s="3">
        <v>45914</v>
      </c>
      <c r="M578" s="3">
        <v>45909</v>
      </c>
      <c r="N578" t="s">
        <v>3469</v>
      </c>
      <c r="O578" s="4">
        <v>1</v>
      </c>
      <c r="P578">
        <v>0</v>
      </c>
      <c r="Q578">
        <v>0</v>
      </c>
    </row>
    <row r="579" spans="1:17" x14ac:dyDescent="0.25">
      <c r="A579">
        <v>35220</v>
      </c>
      <c r="B579" t="s">
        <v>3470</v>
      </c>
      <c r="C579" t="s">
        <v>3471</v>
      </c>
      <c r="D579" s="3">
        <v>32543</v>
      </c>
      <c r="E579" t="s">
        <v>1401</v>
      </c>
      <c r="G579" s="3">
        <v>43906</v>
      </c>
      <c r="H579" t="s">
        <v>3472</v>
      </c>
      <c r="I579" t="s">
        <v>3473</v>
      </c>
      <c r="J579" t="s">
        <v>1414</v>
      </c>
      <c r="K579" t="s">
        <v>73</v>
      </c>
      <c r="L579" s="3">
        <v>47504</v>
      </c>
      <c r="M579" s="3">
        <v>47460</v>
      </c>
      <c r="N579" t="s">
        <v>3474</v>
      </c>
      <c r="O579" s="4">
        <v>1</v>
      </c>
      <c r="P579">
        <v>0</v>
      </c>
      <c r="Q579">
        <v>1</v>
      </c>
    </row>
    <row r="580" spans="1:17" x14ac:dyDescent="0.25">
      <c r="A580">
        <v>39106</v>
      </c>
      <c r="B580" t="s">
        <v>3475</v>
      </c>
      <c r="C580" t="s">
        <v>3476</v>
      </c>
      <c r="D580" s="3">
        <v>36995</v>
      </c>
      <c r="E580" t="s">
        <v>1401</v>
      </c>
      <c r="G580" s="3">
        <v>45076</v>
      </c>
      <c r="H580" t="s">
        <v>3477</v>
      </c>
      <c r="J580" t="s">
        <v>1409</v>
      </c>
      <c r="K580" t="s">
        <v>55</v>
      </c>
      <c r="L580" s="3">
        <v>46919</v>
      </c>
      <c r="M580" s="3">
        <v>46880</v>
      </c>
      <c r="N580" t="s">
        <v>3478</v>
      </c>
      <c r="O580" s="4">
        <v>1</v>
      </c>
      <c r="P580">
        <v>0</v>
      </c>
      <c r="Q580">
        <v>0</v>
      </c>
    </row>
    <row r="581" spans="1:17" x14ac:dyDescent="0.25">
      <c r="A581">
        <v>19691</v>
      </c>
      <c r="B581" t="s">
        <v>3479</v>
      </c>
      <c r="C581" t="s">
        <v>3476</v>
      </c>
      <c r="D581" s="3">
        <v>23974</v>
      </c>
      <c r="E581" t="s">
        <v>1401</v>
      </c>
      <c r="F581">
        <v>506</v>
      </c>
      <c r="G581" s="3">
        <v>38936</v>
      </c>
      <c r="H581" t="s">
        <v>3480</v>
      </c>
      <c r="J581" t="s">
        <v>1524</v>
      </c>
      <c r="K581" t="s">
        <v>58</v>
      </c>
      <c r="L581" s="3">
        <v>45964</v>
      </c>
      <c r="M581" s="3">
        <v>46056</v>
      </c>
      <c r="N581" t="s">
        <v>3481</v>
      </c>
      <c r="O581" s="4">
        <v>0.8</v>
      </c>
      <c r="P581">
        <v>0</v>
      </c>
      <c r="Q581">
        <v>0</v>
      </c>
    </row>
    <row r="582" spans="1:17" x14ac:dyDescent="0.25">
      <c r="A582">
        <v>13020</v>
      </c>
      <c r="B582" t="s">
        <v>3482</v>
      </c>
      <c r="C582" t="s">
        <v>3476</v>
      </c>
      <c r="D582" s="3">
        <v>22182</v>
      </c>
      <c r="E582" t="s">
        <v>1401</v>
      </c>
      <c r="F582">
        <v>236</v>
      </c>
      <c r="G582" s="3">
        <v>36923</v>
      </c>
      <c r="H582" t="s">
        <v>3483</v>
      </c>
      <c r="I582">
        <v>92262940</v>
      </c>
      <c r="J582" t="s">
        <v>1575</v>
      </c>
      <c r="K582" t="s">
        <v>73</v>
      </c>
      <c r="L582" s="3">
        <v>72686</v>
      </c>
      <c r="M582" s="3">
        <v>72686</v>
      </c>
      <c r="N582" t="s">
        <v>3484</v>
      </c>
      <c r="O582" s="4">
        <v>0.8</v>
      </c>
      <c r="P582">
        <v>0</v>
      </c>
      <c r="Q582">
        <v>0</v>
      </c>
    </row>
    <row r="583" spans="1:17" x14ac:dyDescent="0.25">
      <c r="A583">
        <v>38551</v>
      </c>
      <c r="B583" t="s">
        <v>3485</v>
      </c>
      <c r="C583" t="s">
        <v>2042</v>
      </c>
      <c r="D583" s="3">
        <v>29593</v>
      </c>
      <c r="E583" t="s">
        <v>1401</v>
      </c>
      <c r="G583" s="3">
        <v>44970</v>
      </c>
      <c r="H583" t="s">
        <v>3486</v>
      </c>
      <c r="J583" t="s">
        <v>1414</v>
      </c>
      <c r="K583" t="s">
        <v>55</v>
      </c>
      <c r="L583" s="3">
        <v>46817</v>
      </c>
      <c r="M583" s="3">
        <v>46735</v>
      </c>
      <c r="N583" t="s">
        <v>3487</v>
      </c>
      <c r="O583" s="4">
        <v>1</v>
      </c>
      <c r="P583">
        <v>0</v>
      </c>
      <c r="Q583">
        <v>0</v>
      </c>
    </row>
    <row r="584" spans="1:17" x14ac:dyDescent="0.25">
      <c r="A584">
        <v>36663</v>
      </c>
      <c r="B584" t="s">
        <v>3488</v>
      </c>
      <c r="C584" t="s">
        <v>3489</v>
      </c>
      <c r="D584" s="3">
        <v>36031</v>
      </c>
      <c r="E584" t="s">
        <v>1401</v>
      </c>
      <c r="G584" s="3">
        <v>44431</v>
      </c>
      <c r="H584" t="s">
        <v>3490</v>
      </c>
      <c r="J584" t="s">
        <v>1404</v>
      </c>
      <c r="K584" t="s">
        <v>52</v>
      </c>
      <c r="L584" s="3">
        <v>46277</v>
      </c>
      <c r="M584" s="3">
        <v>46175</v>
      </c>
      <c r="N584" t="s">
        <v>3491</v>
      </c>
      <c r="O584" s="4">
        <v>0.8</v>
      </c>
      <c r="P584">
        <v>0</v>
      </c>
      <c r="Q584">
        <v>1</v>
      </c>
    </row>
    <row r="585" spans="1:17" x14ac:dyDescent="0.25">
      <c r="A585">
        <v>25733</v>
      </c>
      <c r="B585" t="s">
        <v>2712</v>
      </c>
      <c r="C585" t="s">
        <v>3492</v>
      </c>
      <c r="D585" s="3">
        <v>30480</v>
      </c>
      <c r="E585" t="s">
        <v>1401</v>
      </c>
      <c r="F585">
        <v>24</v>
      </c>
      <c r="G585" s="3">
        <v>40469</v>
      </c>
      <c r="H585" t="s">
        <v>3493</v>
      </c>
      <c r="J585" t="s">
        <v>1477</v>
      </c>
      <c r="K585" t="s">
        <v>58</v>
      </c>
      <c r="L585" s="3">
        <v>73050</v>
      </c>
      <c r="M585" s="3">
        <v>47551</v>
      </c>
      <c r="N585" t="s">
        <v>3494</v>
      </c>
      <c r="O585" s="4">
        <v>1</v>
      </c>
      <c r="P585">
        <v>0</v>
      </c>
      <c r="Q585">
        <v>0</v>
      </c>
    </row>
    <row r="586" spans="1:17" x14ac:dyDescent="0.25">
      <c r="A586">
        <v>35055</v>
      </c>
      <c r="B586" t="s">
        <v>3495</v>
      </c>
      <c r="C586" t="s">
        <v>3496</v>
      </c>
      <c r="D586" s="3">
        <v>36273</v>
      </c>
      <c r="E586" t="s">
        <v>1401</v>
      </c>
      <c r="F586">
        <v>405</v>
      </c>
      <c r="G586" s="3">
        <v>43864</v>
      </c>
      <c r="H586" t="s">
        <v>3497</v>
      </c>
      <c r="J586" t="s">
        <v>1414</v>
      </c>
      <c r="K586" t="s">
        <v>58</v>
      </c>
      <c r="L586" s="3">
        <v>47470</v>
      </c>
      <c r="M586" s="3">
        <v>47460</v>
      </c>
      <c r="N586" t="s">
        <v>3498</v>
      </c>
      <c r="O586" s="4">
        <v>1</v>
      </c>
      <c r="P586">
        <v>0</v>
      </c>
      <c r="Q586">
        <v>1</v>
      </c>
    </row>
    <row r="587" spans="1:17" x14ac:dyDescent="0.25">
      <c r="A587">
        <v>36426</v>
      </c>
      <c r="B587" t="s">
        <v>3499</v>
      </c>
      <c r="C587" t="s">
        <v>3500</v>
      </c>
      <c r="D587" s="3">
        <v>32703</v>
      </c>
      <c r="E587" t="s">
        <v>1401</v>
      </c>
      <c r="G587" s="3">
        <v>44305</v>
      </c>
      <c r="H587" t="s">
        <v>3501</v>
      </c>
      <c r="J587" t="s">
        <v>1404</v>
      </c>
      <c r="K587" t="s">
        <v>55</v>
      </c>
      <c r="L587" s="3">
        <v>46138</v>
      </c>
      <c r="M587" s="3">
        <v>46090</v>
      </c>
      <c r="N587" t="s">
        <v>3502</v>
      </c>
      <c r="O587" s="4">
        <v>1</v>
      </c>
      <c r="P587">
        <v>0</v>
      </c>
      <c r="Q587">
        <v>1</v>
      </c>
    </row>
    <row r="588" spans="1:17" x14ac:dyDescent="0.25">
      <c r="A588">
        <v>22416</v>
      </c>
      <c r="B588" t="s">
        <v>3503</v>
      </c>
      <c r="C588" t="s">
        <v>3504</v>
      </c>
      <c r="D588" s="3">
        <v>31696</v>
      </c>
      <c r="E588" t="s">
        <v>1401</v>
      </c>
      <c r="F588">
        <v>342</v>
      </c>
      <c r="G588" s="3">
        <v>39615</v>
      </c>
      <c r="H588" t="s">
        <v>3505</v>
      </c>
      <c r="J588" t="s">
        <v>1477</v>
      </c>
      <c r="K588" t="s">
        <v>61</v>
      </c>
      <c r="L588" s="3">
        <v>72686</v>
      </c>
      <c r="M588" s="3">
        <v>46672</v>
      </c>
      <c r="N588" t="s">
        <v>3506</v>
      </c>
      <c r="O588" s="4">
        <v>1</v>
      </c>
      <c r="P588">
        <v>0</v>
      </c>
      <c r="Q588">
        <v>1</v>
      </c>
    </row>
    <row r="589" spans="1:17" x14ac:dyDescent="0.25">
      <c r="A589">
        <v>39899</v>
      </c>
      <c r="B589" t="s">
        <v>3317</v>
      </c>
      <c r="C589" t="s">
        <v>3507</v>
      </c>
      <c r="D589" s="3">
        <v>22796</v>
      </c>
      <c r="E589" t="s">
        <v>1401</v>
      </c>
      <c r="G589" s="3">
        <v>45315</v>
      </c>
      <c r="H589" t="s">
        <v>3508</v>
      </c>
      <c r="J589" t="s">
        <v>1409</v>
      </c>
      <c r="K589" t="s">
        <v>61</v>
      </c>
      <c r="L589" s="3">
        <v>46497</v>
      </c>
      <c r="M589" s="3">
        <v>46431</v>
      </c>
      <c r="N589" t="s">
        <v>3509</v>
      </c>
      <c r="O589" s="4">
        <v>1</v>
      </c>
      <c r="P589">
        <v>0</v>
      </c>
      <c r="Q589">
        <v>0</v>
      </c>
    </row>
    <row r="590" spans="1:17" x14ac:dyDescent="0.25">
      <c r="A590">
        <v>41821</v>
      </c>
      <c r="B590" t="s">
        <v>3510</v>
      </c>
      <c r="C590" t="s">
        <v>3511</v>
      </c>
      <c r="D590" s="3">
        <v>37792</v>
      </c>
      <c r="E590" t="s">
        <v>1401</v>
      </c>
      <c r="G590" s="3">
        <v>45783</v>
      </c>
      <c r="H590" t="s">
        <v>3512</v>
      </c>
      <c r="J590" t="s">
        <v>1409</v>
      </c>
      <c r="K590" t="s">
        <v>61</v>
      </c>
      <c r="L590" s="3">
        <v>47629</v>
      </c>
      <c r="M590" s="3">
        <v>47538</v>
      </c>
      <c r="N590" t="s">
        <v>3513</v>
      </c>
      <c r="O590" s="4">
        <v>1</v>
      </c>
      <c r="P590">
        <v>0</v>
      </c>
      <c r="Q590">
        <v>0</v>
      </c>
    </row>
    <row r="591" spans="1:17" x14ac:dyDescent="0.25">
      <c r="A591">
        <v>23326</v>
      </c>
      <c r="B591" t="s">
        <v>3514</v>
      </c>
      <c r="C591" t="s">
        <v>3515</v>
      </c>
      <c r="D591" s="3">
        <v>28126</v>
      </c>
      <c r="E591" t="s">
        <v>1401</v>
      </c>
      <c r="F591">
        <v>327</v>
      </c>
      <c r="G591" s="3">
        <v>39839</v>
      </c>
      <c r="H591" t="s">
        <v>3516</v>
      </c>
      <c r="J591" t="s">
        <v>1427</v>
      </c>
      <c r="K591" t="s">
        <v>52</v>
      </c>
      <c r="L591" s="3">
        <v>73050</v>
      </c>
      <c r="M591" s="3">
        <v>45891</v>
      </c>
      <c r="N591" t="s">
        <v>3517</v>
      </c>
      <c r="O591" s="4">
        <v>1</v>
      </c>
      <c r="P591">
        <v>0</v>
      </c>
      <c r="Q591">
        <v>1</v>
      </c>
    </row>
    <row r="592" spans="1:17" x14ac:dyDescent="0.25">
      <c r="A592">
        <v>32528</v>
      </c>
      <c r="B592" t="s">
        <v>3518</v>
      </c>
      <c r="C592" t="s">
        <v>3519</v>
      </c>
      <c r="D592" s="3">
        <v>30914</v>
      </c>
      <c r="E592" t="s">
        <v>1401</v>
      </c>
      <c r="F592">
        <v>115</v>
      </c>
      <c r="G592" s="3">
        <v>43164</v>
      </c>
      <c r="H592" t="s">
        <v>3520</v>
      </c>
      <c r="J592" t="s">
        <v>1460</v>
      </c>
      <c r="K592" t="s">
        <v>67</v>
      </c>
      <c r="L592" s="3">
        <v>46624</v>
      </c>
      <c r="M592" s="3">
        <v>46621</v>
      </c>
      <c r="N592" t="s">
        <v>3521</v>
      </c>
      <c r="O592" s="4">
        <v>0.8</v>
      </c>
      <c r="P592">
        <v>0</v>
      </c>
      <c r="Q592">
        <v>1</v>
      </c>
    </row>
    <row r="593" spans="1:17" x14ac:dyDescent="0.25">
      <c r="A593">
        <v>40859</v>
      </c>
      <c r="B593" t="s">
        <v>3522</v>
      </c>
      <c r="C593" t="s">
        <v>3523</v>
      </c>
      <c r="D593" s="3">
        <v>29961</v>
      </c>
      <c r="E593" t="s">
        <v>1401</v>
      </c>
      <c r="G593" s="3">
        <v>45544</v>
      </c>
      <c r="H593" t="s">
        <v>3524</v>
      </c>
      <c r="J593" t="s">
        <v>1409</v>
      </c>
      <c r="K593" t="s">
        <v>58</v>
      </c>
      <c r="L593" s="3">
        <v>47391</v>
      </c>
      <c r="M593" s="3">
        <v>47294</v>
      </c>
      <c r="N593" t="s">
        <v>3525</v>
      </c>
      <c r="O593" s="4">
        <v>1</v>
      </c>
      <c r="P593">
        <v>0</v>
      </c>
      <c r="Q593">
        <v>0</v>
      </c>
    </row>
    <row r="594" spans="1:17" x14ac:dyDescent="0.25">
      <c r="A594">
        <v>38691</v>
      </c>
      <c r="B594" t="s">
        <v>3526</v>
      </c>
      <c r="C594" t="s">
        <v>3527</v>
      </c>
      <c r="D594" s="3">
        <v>37281</v>
      </c>
      <c r="E594" t="s">
        <v>1401</v>
      </c>
      <c r="G594" s="3">
        <v>45012</v>
      </c>
      <c r="H594" t="s">
        <v>3528</v>
      </c>
      <c r="J594" t="s">
        <v>1409</v>
      </c>
      <c r="K594" t="s">
        <v>70</v>
      </c>
      <c r="L594" s="3">
        <v>46855</v>
      </c>
      <c r="M594" s="3">
        <v>46763</v>
      </c>
      <c r="N594" t="s">
        <v>3529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F3F33F98-34CD-46C8-81F6-961C6427BDC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2025-09-10T12:45:02Z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